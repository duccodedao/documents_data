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3E6AB8F-3EA1-45CD-8470-93A8D25FF524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Mẫu" sheetId="11" r:id="rId1"/>
    <sheet name="BC BKL" sheetId="10" r:id="rId2"/>
    <sheet name="Ung Thư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66" i="10" l="1"/>
  <c r="U66" i="10"/>
  <c r="G56" i="10"/>
  <c r="G52" i="10"/>
  <c r="G46" i="10"/>
  <c r="G42" i="10"/>
  <c r="G38" i="10"/>
  <c r="G31" i="10"/>
  <c r="G27" i="10"/>
  <c r="G22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AC18" i="10"/>
  <c r="G18" i="10"/>
  <c r="U70" i="10"/>
  <c r="AA66" i="10"/>
  <c r="AE70" i="11"/>
  <c r="AD70" i="11"/>
  <c r="AC70" i="11"/>
  <c r="AB70" i="11"/>
  <c r="AA70" i="11"/>
  <c r="Y70" i="11"/>
  <c r="X70" i="11"/>
  <c r="W70" i="11"/>
  <c r="V70" i="11"/>
  <c r="U70" i="11"/>
  <c r="AD69" i="11"/>
  <c r="AC69" i="11"/>
  <c r="AB69" i="11"/>
  <c r="AA69" i="11"/>
  <c r="X69" i="11"/>
  <c r="W69" i="11"/>
  <c r="V69" i="11"/>
  <c r="U69" i="11"/>
  <c r="AD68" i="11"/>
  <c r="AC68" i="11"/>
  <c r="AB68" i="11"/>
  <c r="AA68" i="11"/>
  <c r="X68" i="11"/>
  <c r="W68" i="11"/>
  <c r="V68" i="11"/>
  <c r="U68" i="11"/>
  <c r="AD67" i="11"/>
  <c r="AC67" i="11"/>
  <c r="AB67" i="11"/>
  <c r="AA67" i="11"/>
  <c r="X67" i="11"/>
  <c r="W67" i="11"/>
  <c r="V67" i="11"/>
  <c r="U67" i="11"/>
  <c r="AD66" i="11"/>
  <c r="AC66" i="11"/>
  <c r="AB66" i="11"/>
  <c r="AA66" i="11"/>
  <c r="X66" i="11"/>
  <c r="W66" i="11"/>
  <c r="V66" i="11"/>
  <c r="U66" i="11"/>
  <c r="AD63" i="11"/>
  <c r="AC63" i="11"/>
  <c r="AB63" i="11"/>
  <c r="AA63" i="11"/>
  <c r="X63" i="11"/>
  <c r="W63" i="11"/>
  <c r="V63" i="11"/>
  <c r="U63" i="11"/>
  <c r="AD62" i="11"/>
  <c r="AC62" i="11"/>
  <c r="AB62" i="11"/>
  <c r="AA62" i="11"/>
  <c r="X62" i="11"/>
  <c r="W62" i="11"/>
  <c r="V62" i="11"/>
  <c r="U62" i="11"/>
  <c r="AD61" i="11"/>
  <c r="AC61" i="11"/>
  <c r="AB61" i="11"/>
  <c r="AA61" i="11"/>
  <c r="X61" i="11"/>
  <c r="W61" i="11"/>
  <c r="V61" i="11"/>
  <c r="U61" i="11"/>
  <c r="AD60" i="11"/>
  <c r="AC60" i="11"/>
  <c r="AB60" i="11"/>
  <c r="AA60" i="11"/>
  <c r="X60" i="11"/>
  <c r="W60" i="11"/>
  <c r="V60" i="11"/>
  <c r="U60" i="11"/>
  <c r="AD59" i="11"/>
  <c r="AC59" i="11"/>
  <c r="AB59" i="11"/>
  <c r="AA59" i="11"/>
  <c r="X59" i="11"/>
  <c r="W59" i="11"/>
  <c r="V59" i="11"/>
  <c r="U59" i="11"/>
  <c r="AD58" i="11"/>
  <c r="AC58" i="11"/>
  <c r="AB58" i="11"/>
  <c r="AA58" i="11"/>
  <c r="X58" i="11"/>
  <c r="W58" i="11"/>
  <c r="V58" i="11"/>
  <c r="U58" i="11"/>
  <c r="AD57" i="11"/>
  <c r="AC57" i="11"/>
  <c r="AB57" i="11"/>
  <c r="AA57" i="11"/>
  <c r="X57" i="11"/>
  <c r="W57" i="11"/>
  <c r="V57" i="11"/>
  <c r="U57" i="11"/>
  <c r="AD56" i="11"/>
  <c r="AC56" i="11"/>
  <c r="AB56" i="11"/>
  <c r="AA56" i="11"/>
  <c r="X56" i="11"/>
  <c r="W56" i="11"/>
  <c r="V56" i="11"/>
  <c r="U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AD55" i="11"/>
  <c r="AC55" i="11"/>
  <c r="AB55" i="11"/>
  <c r="AA55" i="11"/>
  <c r="X55" i="11"/>
  <c r="W55" i="11"/>
  <c r="V55" i="11"/>
  <c r="U55" i="11"/>
  <c r="AD54" i="11"/>
  <c r="AC54" i="11"/>
  <c r="AB54" i="11"/>
  <c r="AA54" i="11"/>
  <c r="X54" i="11"/>
  <c r="W54" i="11"/>
  <c r="V54" i="11"/>
  <c r="U54" i="11"/>
  <c r="AD53" i="11"/>
  <c r="AC53" i="11"/>
  <c r="AB53" i="11"/>
  <c r="AA53" i="11"/>
  <c r="X53" i="11"/>
  <c r="W53" i="11"/>
  <c r="V53" i="11"/>
  <c r="U53" i="11"/>
  <c r="AD52" i="11"/>
  <c r="AC52" i="11"/>
  <c r="AB52" i="11"/>
  <c r="AA52" i="11"/>
  <c r="X52" i="11"/>
  <c r="W52" i="11"/>
  <c r="V52" i="11"/>
  <c r="U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AD51" i="11"/>
  <c r="AC51" i="11"/>
  <c r="AB51" i="11"/>
  <c r="AA51" i="11"/>
  <c r="X51" i="11"/>
  <c r="W51" i="11"/>
  <c r="V51" i="11"/>
  <c r="U51" i="11"/>
  <c r="AD50" i="11"/>
  <c r="AC50" i="11"/>
  <c r="AB50" i="11"/>
  <c r="AA50" i="11"/>
  <c r="X50" i="11"/>
  <c r="W50" i="11"/>
  <c r="V50" i="11"/>
  <c r="U50" i="11"/>
  <c r="AD49" i="11"/>
  <c r="AC49" i="11"/>
  <c r="AB49" i="11"/>
  <c r="AA49" i="11"/>
  <c r="X49" i="11"/>
  <c r="W49" i="11"/>
  <c r="V49" i="11"/>
  <c r="U49" i="11"/>
  <c r="AD48" i="11"/>
  <c r="AC48" i="11"/>
  <c r="AB48" i="11"/>
  <c r="AA48" i="11"/>
  <c r="X48" i="11"/>
  <c r="W48" i="11"/>
  <c r="V48" i="11"/>
  <c r="U48" i="11"/>
  <c r="AD47" i="11"/>
  <c r="AC47" i="11"/>
  <c r="AB47" i="11"/>
  <c r="AA47" i="11"/>
  <c r="X47" i="11"/>
  <c r="W47" i="11"/>
  <c r="V47" i="11"/>
  <c r="U47" i="11"/>
  <c r="X46" i="11"/>
  <c r="W46" i="11"/>
  <c r="V46" i="11"/>
  <c r="U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AD45" i="11"/>
  <c r="AC45" i="11"/>
  <c r="AB45" i="11"/>
  <c r="AA45" i="11"/>
  <c r="X45" i="11"/>
  <c r="W45" i="11"/>
  <c r="V45" i="11"/>
  <c r="U45" i="11"/>
  <c r="Y45" i="11" s="1"/>
  <c r="AD44" i="11"/>
  <c r="AC44" i="11"/>
  <c r="AB44" i="11"/>
  <c r="AA44" i="11"/>
  <c r="X44" i="11"/>
  <c r="W44" i="11"/>
  <c r="V44" i="11"/>
  <c r="U44" i="11"/>
  <c r="Y44" i="11" s="1"/>
  <c r="AD43" i="11"/>
  <c r="AC43" i="11"/>
  <c r="AB43" i="11"/>
  <c r="AA43" i="11"/>
  <c r="X43" i="11"/>
  <c r="W43" i="11"/>
  <c r="V43" i="11"/>
  <c r="U43" i="11"/>
  <c r="Y43" i="11" s="1"/>
  <c r="S42" i="11"/>
  <c r="R42" i="11"/>
  <c r="AB42" i="11" s="1"/>
  <c r="Q42" i="11"/>
  <c r="P42" i="11"/>
  <c r="O42" i="11"/>
  <c r="N42" i="11"/>
  <c r="M42" i="11"/>
  <c r="L42" i="11"/>
  <c r="K42" i="11"/>
  <c r="J42" i="11"/>
  <c r="I42" i="11"/>
  <c r="H42" i="11"/>
  <c r="G42" i="11"/>
  <c r="AD41" i="11"/>
  <c r="AC41" i="11"/>
  <c r="AB41" i="11"/>
  <c r="AA41" i="11"/>
  <c r="X41" i="11"/>
  <c r="W41" i="11"/>
  <c r="V41" i="11"/>
  <c r="U41" i="11"/>
  <c r="AD40" i="11"/>
  <c r="AC40" i="11"/>
  <c r="AB40" i="11"/>
  <c r="AA40" i="11"/>
  <c r="X40" i="11"/>
  <c r="W40" i="11"/>
  <c r="V40" i="11"/>
  <c r="U40" i="11"/>
  <c r="AD39" i="11"/>
  <c r="AC39" i="11"/>
  <c r="AB39" i="11"/>
  <c r="AA39" i="11"/>
  <c r="X39" i="11"/>
  <c r="W39" i="11"/>
  <c r="V39" i="11"/>
  <c r="U39" i="11"/>
  <c r="AD38" i="11"/>
  <c r="AC38" i="11"/>
  <c r="AB38" i="11"/>
  <c r="AA38" i="11"/>
  <c r="X38" i="11"/>
  <c r="W38" i="11"/>
  <c r="V38" i="11"/>
  <c r="U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AD35" i="11"/>
  <c r="AC35" i="11"/>
  <c r="AB35" i="11"/>
  <c r="AA35" i="11"/>
  <c r="X35" i="11"/>
  <c r="W35" i="11"/>
  <c r="V35" i="11"/>
  <c r="U35" i="11"/>
  <c r="AD34" i="11"/>
  <c r="AC34" i="11"/>
  <c r="AB34" i="11"/>
  <c r="AA34" i="11"/>
  <c r="X34" i="11"/>
  <c r="W34" i="11"/>
  <c r="V34" i="11"/>
  <c r="U34" i="11"/>
  <c r="AD33" i="11"/>
  <c r="AC33" i="11"/>
  <c r="AB33" i="11"/>
  <c r="AA33" i="11"/>
  <c r="X33" i="11"/>
  <c r="W33" i="11"/>
  <c r="V33" i="11"/>
  <c r="U33" i="11"/>
  <c r="AD32" i="11"/>
  <c r="AC32" i="11"/>
  <c r="AB32" i="11"/>
  <c r="AA32" i="11"/>
  <c r="X32" i="11"/>
  <c r="W32" i="11"/>
  <c r="V32" i="11"/>
  <c r="U32" i="11"/>
  <c r="AD31" i="11"/>
  <c r="AC31" i="11"/>
  <c r="AB31" i="11"/>
  <c r="AA31" i="11"/>
  <c r="X31" i="11"/>
  <c r="W31" i="11"/>
  <c r="V31" i="11"/>
  <c r="U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AD30" i="11"/>
  <c r="AC30" i="11"/>
  <c r="AB30" i="11"/>
  <c r="AA30" i="11"/>
  <c r="X30" i="11"/>
  <c r="W30" i="11"/>
  <c r="V30" i="11"/>
  <c r="U30" i="11"/>
  <c r="AD29" i="11"/>
  <c r="AC29" i="11"/>
  <c r="AB29" i="11"/>
  <c r="AA29" i="11"/>
  <c r="X29" i="11"/>
  <c r="W29" i="11"/>
  <c r="V29" i="11"/>
  <c r="U29" i="11"/>
  <c r="AD28" i="11"/>
  <c r="AC28" i="11"/>
  <c r="AB28" i="11"/>
  <c r="AA28" i="11"/>
  <c r="X28" i="11"/>
  <c r="X27" i="11" s="1"/>
  <c r="W28" i="11"/>
  <c r="V28" i="11"/>
  <c r="U28" i="11"/>
  <c r="W27" i="11"/>
  <c r="V27" i="11"/>
  <c r="U27" i="11"/>
  <c r="S27" i="11"/>
  <c r="R27" i="11"/>
  <c r="Q27" i="11"/>
  <c r="P27" i="11"/>
  <c r="O27" i="11"/>
  <c r="N27" i="11"/>
  <c r="M27" i="11"/>
  <c r="AC27" i="11" s="1"/>
  <c r="L27" i="11"/>
  <c r="K27" i="11"/>
  <c r="J27" i="11"/>
  <c r="I27" i="11"/>
  <c r="H27" i="11"/>
  <c r="G27" i="11"/>
  <c r="AA27" i="11" s="1"/>
  <c r="AD26" i="11"/>
  <c r="AC26" i="11"/>
  <c r="AB26" i="11"/>
  <c r="AA26" i="11"/>
  <c r="AE26" i="11" s="1"/>
  <c r="X26" i="11"/>
  <c r="W26" i="11"/>
  <c r="V26" i="11"/>
  <c r="U26" i="11"/>
  <c r="Y26" i="11" s="1"/>
  <c r="AD25" i="11"/>
  <c r="AC25" i="11"/>
  <c r="AB25" i="11"/>
  <c r="AA25" i="11"/>
  <c r="X25" i="11"/>
  <c r="W25" i="11"/>
  <c r="V25" i="11"/>
  <c r="U25" i="11"/>
  <c r="AD24" i="11"/>
  <c r="AC24" i="11"/>
  <c r="AB24" i="11"/>
  <c r="AA24" i="11"/>
  <c r="X24" i="11"/>
  <c r="W24" i="11"/>
  <c r="V24" i="11"/>
  <c r="U24" i="11"/>
  <c r="AD23" i="11"/>
  <c r="AC23" i="11"/>
  <c r="AB23" i="11"/>
  <c r="AA23" i="11"/>
  <c r="X23" i="11"/>
  <c r="W23" i="11"/>
  <c r="V23" i="11"/>
  <c r="V22" i="11" s="1"/>
  <c r="U23" i="11"/>
  <c r="X22" i="11"/>
  <c r="W22" i="11"/>
  <c r="U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AD21" i="11"/>
  <c r="AC21" i="11"/>
  <c r="AB21" i="11"/>
  <c r="AA21" i="11"/>
  <c r="X21" i="11"/>
  <c r="W21" i="11"/>
  <c r="V21" i="11"/>
  <c r="U21" i="11"/>
  <c r="AD20" i="11"/>
  <c r="AC20" i="11"/>
  <c r="AB20" i="11"/>
  <c r="AA20" i="11"/>
  <c r="X20" i="11"/>
  <c r="W20" i="11"/>
  <c r="V20" i="11"/>
  <c r="U20" i="11"/>
  <c r="AD19" i="11"/>
  <c r="AC19" i="11"/>
  <c r="AB19" i="11"/>
  <c r="AA19" i="11"/>
  <c r="AE19" i="11" s="1"/>
  <c r="X19" i="11"/>
  <c r="W19" i="11"/>
  <c r="V19" i="11"/>
  <c r="U19" i="11"/>
  <c r="Y19" i="11" s="1"/>
  <c r="W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AD15" i="11"/>
  <c r="AC15" i="11"/>
  <c r="AB15" i="11"/>
  <c r="AA15" i="11"/>
  <c r="X15" i="11"/>
  <c r="W15" i="11"/>
  <c r="V15" i="11"/>
  <c r="U15" i="11"/>
  <c r="AD14" i="11"/>
  <c r="AC14" i="11"/>
  <c r="AB14" i="11"/>
  <c r="AA14" i="11"/>
  <c r="X14" i="11"/>
  <c r="W14" i="11"/>
  <c r="V14" i="11"/>
  <c r="U14" i="11"/>
  <c r="AD11" i="11"/>
  <c r="AC11" i="11"/>
  <c r="AB11" i="11"/>
  <c r="AA11" i="11"/>
  <c r="X11" i="11"/>
  <c r="W11" i="11"/>
  <c r="V11" i="11"/>
  <c r="U11" i="11"/>
  <c r="AD10" i="11"/>
  <c r="AC10" i="11"/>
  <c r="AB10" i="11"/>
  <c r="AA10" i="11"/>
  <c r="X10" i="11"/>
  <c r="W10" i="11"/>
  <c r="V10" i="11"/>
  <c r="U10" i="11"/>
  <c r="AD9" i="11"/>
  <c r="AC9" i="11"/>
  <c r="AB9" i="11"/>
  <c r="AA9" i="11"/>
  <c r="X9" i="11"/>
  <c r="W9" i="11"/>
  <c r="V9" i="11"/>
  <c r="U9" i="11"/>
  <c r="AD8" i="11"/>
  <c r="AC8" i="11"/>
  <c r="AB8" i="11"/>
  <c r="AA8" i="11"/>
  <c r="X8" i="11"/>
  <c r="W8" i="11"/>
  <c r="V8" i="11"/>
  <c r="U8" i="11"/>
  <c r="AD7" i="11"/>
  <c r="AC7" i="11"/>
  <c r="AB7" i="11"/>
  <c r="AA7" i="11"/>
  <c r="X7" i="11"/>
  <c r="W7" i="11"/>
  <c r="V7" i="11"/>
  <c r="U7" i="11"/>
  <c r="V55" i="10"/>
  <c r="U55" i="10"/>
  <c r="AA70" i="10"/>
  <c r="AA61" i="10"/>
  <c r="V49" i="10"/>
  <c r="AC49" i="10"/>
  <c r="X50" i="10"/>
  <c r="W50" i="10"/>
  <c r="V50" i="10"/>
  <c r="U50" i="10"/>
  <c r="S46" i="10"/>
  <c r="AA68" i="10"/>
  <c r="AD70" i="10"/>
  <c r="AC70" i="10"/>
  <c r="AB70" i="10"/>
  <c r="AA67" i="10"/>
  <c r="AB67" i="10"/>
  <c r="AC67" i="10"/>
  <c r="AD67" i="10"/>
  <c r="AB68" i="10"/>
  <c r="AC68" i="10"/>
  <c r="AD68" i="10"/>
  <c r="AA69" i="10"/>
  <c r="AB69" i="10"/>
  <c r="AC69" i="10"/>
  <c r="AD69" i="10"/>
  <c r="AD66" i="10"/>
  <c r="AC66" i="10"/>
  <c r="AB66" i="10"/>
  <c r="W57" i="10"/>
  <c r="V58" i="10"/>
  <c r="V57" i="10"/>
  <c r="U59" i="10"/>
  <c r="U58" i="10"/>
  <c r="U57" i="10"/>
  <c r="U56" i="10" s="1"/>
  <c r="H56" i="10"/>
  <c r="I56" i="10"/>
  <c r="J56" i="10"/>
  <c r="K56" i="10"/>
  <c r="L56" i="10"/>
  <c r="M56" i="10"/>
  <c r="N56" i="10"/>
  <c r="O56" i="10"/>
  <c r="P56" i="10"/>
  <c r="Q56" i="10"/>
  <c r="R56" i="10"/>
  <c r="S56" i="10"/>
  <c r="AD53" i="10"/>
  <c r="AD54" i="10"/>
  <c r="AD55" i="10"/>
  <c r="AC55" i="10"/>
  <c r="AA62" i="10"/>
  <c r="AD63" i="10"/>
  <c r="AC63" i="10"/>
  <c r="AB63" i="10"/>
  <c r="AA63" i="10"/>
  <c r="AD62" i="10"/>
  <c r="AC62" i="10"/>
  <c r="AB62" i="10"/>
  <c r="AD61" i="10"/>
  <c r="AC61" i="10"/>
  <c r="AB61" i="10"/>
  <c r="AB60" i="10" s="1"/>
  <c r="AA57" i="10"/>
  <c r="AB55" i="10"/>
  <c r="AB53" i="10"/>
  <c r="AA53" i="10"/>
  <c r="AB51" i="10"/>
  <c r="AC60" i="10" l="1"/>
  <c r="AE66" i="11"/>
  <c r="AE67" i="11"/>
  <c r="AE68" i="11"/>
  <c r="AE69" i="11"/>
  <c r="AD60" i="10"/>
  <c r="V18" i="11"/>
  <c r="AD18" i="11"/>
  <c r="X18" i="11"/>
  <c r="Y66" i="11"/>
  <c r="Y67" i="11"/>
  <c r="Y68" i="11"/>
  <c r="Y69" i="11"/>
  <c r="U42" i="11"/>
  <c r="AE43" i="11"/>
  <c r="AE44" i="11"/>
  <c r="AE45" i="11"/>
  <c r="AA60" i="10"/>
  <c r="U18" i="11"/>
  <c r="AC22" i="11"/>
  <c r="AE66" i="10"/>
  <c r="Y56" i="11"/>
  <c r="AE56" i="11"/>
  <c r="Y57" i="11"/>
  <c r="AE57" i="11"/>
  <c r="Y58" i="11"/>
  <c r="AE58" i="11"/>
  <c r="Y59" i="11"/>
  <c r="AE59" i="11"/>
  <c r="Y52" i="11"/>
  <c r="AE52" i="11"/>
  <c r="Y53" i="11"/>
  <c r="AE53" i="11"/>
  <c r="Y54" i="11"/>
  <c r="AE54" i="11"/>
  <c r="Y55" i="11"/>
  <c r="AE55" i="11"/>
  <c r="Y51" i="11"/>
  <c r="AE51" i="11"/>
  <c r="X42" i="11"/>
  <c r="W42" i="11"/>
  <c r="V42" i="11"/>
  <c r="Y38" i="11"/>
  <c r="AE38" i="11"/>
  <c r="Y39" i="11"/>
  <c r="AE39" i="11"/>
  <c r="Y40" i="11"/>
  <c r="AE40" i="11"/>
  <c r="Y41" i="11"/>
  <c r="AE41" i="11"/>
  <c r="AD27" i="11"/>
  <c r="Y27" i="11"/>
  <c r="Y28" i="11"/>
  <c r="AE28" i="11"/>
  <c r="Y29" i="11"/>
  <c r="AE29" i="11"/>
  <c r="Y30" i="11"/>
  <c r="AE30" i="11"/>
  <c r="AB27" i="11"/>
  <c r="AB22" i="11"/>
  <c r="Y24" i="11"/>
  <c r="AA22" i="11"/>
  <c r="AD22" i="11"/>
  <c r="Y22" i="11"/>
  <c r="Y23" i="11"/>
  <c r="AE23" i="11"/>
  <c r="AE24" i="11"/>
  <c r="Y25" i="11"/>
  <c r="AE25" i="11"/>
  <c r="AB18" i="11"/>
  <c r="AA18" i="11"/>
  <c r="AE18" i="11" s="1"/>
  <c r="Y18" i="11"/>
  <c r="AC18" i="11"/>
  <c r="Y20" i="11"/>
  <c r="AE20" i="11"/>
  <c r="Y21" i="11"/>
  <c r="AE21" i="11"/>
  <c r="Y14" i="11"/>
  <c r="AE14" i="11"/>
  <c r="Y15" i="11"/>
  <c r="AE15" i="11"/>
  <c r="Y7" i="11"/>
  <c r="AE7" i="11"/>
  <c r="Y8" i="11"/>
  <c r="AE8" i="11"/>
  <c r="AE9" i="11"/>
  <c r="Y10" i="11"/>
  <c r="AE10" i="11"/>
  <c r="Y11" i="11"/>
  <c r="AE11" i="11"/>
  <c r="Y9" i="11"/>
  <c r="AE27" i="11"/>
  <c r="AC42" i="11"/>
  <c r="AA42" i="11"/>
  <c r="Y42" i="11" l="1"/>
  <c r="AD42" i="11"/>
  <c r="AE42" i="11"/>
  <c r="AE22" i="11"/>
  <c r="AB50" i="10"/>
  <c r="AA50" i="10"/>
  <c r="AD50" i="10"/>
  <c r="AC50" i="10"/>
  <c r="AA35" i="10"/>
  <c r="AA58" i="10"/>
  <c r="AB58" i="10"/>
  <c r="AC58" i="10"/>
  <c r="AD58" i="10"/>
  <c r="AA59" i="10"/>
  <c r="AB59" i="10"/>
  <c r="AC59" i="10"/>
  <c r="AD59" i="10"/>
  <c r="AD57" i="10"/>
  <c r="AC57" i="10"/>
  <c r="AB57" i="10"/>
  <c r="X53" i="10"/>
  <c r="AC53" i="10"/>
  <c r="AE53" i="10" s="1"/>
  <c r="AA54" i="10"/>
  <c r="AB54" i="10"/>
  <c r="AB52" i="10" s="1"/>
  <c r="AC54" i="10"/>
  <c r="AA55" i="10"/>
  <c r="AD51" i="10"/>
  <c r="AC51" i="10"/>
  <c r="AA51" i="10"/>
  <c r="AA47" i="10"/>
  <c r="AD49" i="10"/>
  <c r="AB49" i="10"/>
  <c r="AA49" i="10"/>
  <c r="AD48" i="10"/>
  <c r="AC48" i="10"/>
  <c r="AB48" i="10"/>
  <c r="AA48" i="10"/>
  <c r="AD47" i="10"/>
  <c r="AC47" i="10"/>
  <c r="AB47" i="10"/>
  <c r="AA44" i="10"/>
  <c r="AB44" i="10"/>
  <c r="AC44" i="10"/>
  <c r="AD44" i="10"/>
  <c r="AA45" i="10"/>
  <c r="AB45" i="10"/>
  <c r="AC45" i="10"/>
  <c r="AD45" i="10"/>
  <c r="AA43" i="10"/>
  <c r="AD43" i="10"/>
  <c r="AC43" i="10"/>
  <c r="AB43" i="10"/>
  <c r="AA40" i="10"/>
  <c r="AB40" i="10"/>
  <c r="AC40" i="10"/>
  <c r="AD40" i="10"/>
  <c r="AA41" i="10"/>
  <c r="AB41" i="10"/>
  <c r="AC41" i="10"/>
  <c r="AD41" i="10"/>
  <c r="AD39" i="10"/>
  <c r="AC39" i="10"/>
  <c r="AB39" i="10"/>
  <c r="AA39" i="10"/>
  <c r="AA38" i="10" s="1"/>
  <c r="AA33" i="10"/>
  <c r="AB33" i="10"/>
  <c r="AC33" i="10"/>
  <c r="AD33" i="10"/>
  <c r="AA34" i="10"/>
  <c r="AB34" i="10"/>
  <c r="AC34" i="10"/>
  <c r="AD34" i="10"/>
  <c r="AB35" i="10"/>
  <c r="AC35" i="10"/>
  <c r="AD35" i="10"/>
  <c r="AD32" i="10"/>
  <c r="AC32" i="10"/>
  <c r="AB32" i="10"/>
  <c r="AB31" i="10" s="1"/>
  <c r="AA32" i="10"/>
  <c r="AA19" i="10"/>
  <c r="AE19" i="10" s="1"/>
  <c r="AB19" i="10"/>
  <c r="AC19" i="10"/>
  <c r="AD19" i="10"/>
  <c r="AA20" i="10"/>
  <c r="AB20" i="10"/>
  <c r="AC20" i="10"/>
  <c r="AD20" i="10"/>
  <c r="AA21" i="10"/>
  <c r="AE21" i="10" s="1"/>
  <c r="AB21" i="10"/>
  <c r="AC21" i="10"/>
  <c r="AD21" i="10"/>
  <c r="AA23" i="10"/>
  <c r="AB23" i="10"/>
  <c r="AC23" i="10"/>
  <c r="AD23" i="10"/>
  <c r="AA24" i="10"/>
  <c r="AE24" i="10" s="1"/>
  <c r="AB24" i="10"/>
  <c r="AC24" i="10"/>
  <c r="AD24" i="10"/>
  <c r="AA25" i="10"/>
  <c r="AB25" i="10"/>
  <c r="AC25" i="10"/>
  <c r="AD25" i="10"/>
  <c r="AA26" i="10"/>
  <c r="AE26" i="10" s="1"/>
  <c r="AB26" i="10"/>
  <c r="AC26" i="10"/>
  <c r="AD26" i="10"/>
  <c r="AA28" i="10"/>
  <c r="AB28" i="10"/>
  <c r="AC28" i="10"/>
  <c r="AD28" i="10"/>
  <c r="AA29" i="10"/>
  <c r="AB29" i="10"/>
  <c r="AC29" i="10"/>
  <c r="AD29" i="10"/>
  <c r="AA30" i="10"/>
  <c r="AB30" i="10"/>
  <c r="AC30" i="10"/>
  <c r="AD30" i="10"/>
  <c r="AA15" i="10"/>
  <c r="AE15" i="10" s="1"/>
  <c r="AB15" i="10"/>
  <c r="AC15" i="10"/>
  <c r="AD15" i="10"/>
  <c r="AD14" i="10"/>
  <c r="AC14" i="10"/>
  <c r="AB14" i="10"/>
  <c r="AA14" i="10"/>
  <c r="AA8" i="10"/>
  <c r="AE8" i="10" s="1"/>
  <c r="AB8" i="10"/>
  <c r="AC8" i="10"/>
  <c r="AD8" i="10"/>
  <c r="AA9" i="10"/>
  <c r="AB9" i="10"/>
  <c r="AC9" i="10"/>
  <c r="AD9" i="10"/>
  <c r="AA10" i="10"/>
  <c r="AB10" i="10"/>
  <c r="AC10" i="10"/>
  <c r="AD10" i="10"/>
  <c r="AA11" i="10"/>
  <c r="AB11" i="10"/>
  <c r="AC11" i="10"/>
  <c r="AD11" i="10"/>
  <c r="AD7" i="10"/>
  <c r="AC7" i="10"/>
  <c r="AB7" i="10"/>
  <c r="AA7" i="10"/>
  <c r="AE70" i="10"/>
  <c r="AE10" i="10"/>
  <c r="U9" i="10"/>
  <c r="U8" i="10"/>
  <c r="U7" i="10"/>
  <c r="U25" i="10"/>
  <c r="AC31" i="10" l="1"/>
  <c r="AD38" i="10"/>
  <c r="AE40" i="10"/>
  <c r="AE9" i="10"/>
  <c r="AE30" i="10"/>
  <c r="AD31" i="10"/>
  <c r="AE39" i="10"/>
  <c r="AE11" i="10"/>
  <c r="AD56" i="10"/>
  <c r="AE14" i="10"/>
  <c r="AC38" i="10"/>
  <c r="AE41" i="10"/>
  <c r="AE29" i="10"/>
  <c r="AE25" i="10"/>
  <c r="AE23" i="10"/>
  <c r="AB38" i="10"/>
  <c r="AE38" i="10" s="1"/>
  <c r="AE57" i="10"/>
  <c r="AB56" i="10"/>
  <c r="AC56" i="10"/>
  <c r="AE58" i="10"/>
  <c r="AA56" i="10"/>
  <c r="AA31" i="10"/>
  <c r="AC52" i="10"/>
  <c r="AE7" i="10"/>
  <c r="AE54" i="10"/>
  <c r="AE55" i="10"/>
  <c r="AA52" i="10"/>
  <c r="AD52" i="10"/>
  <c r="AE20" i="10"/>
  <c r="AE28" i="10"/>
  <c r="AE56" i="10" l="1"/>
  <c r="Y70" i="10"/>
  <c r="X70" i="10"/>
  <c r="W70" i="10"/>
  <c r="V70" i="10"/>
  <c r="X63" i="10"/>
  <c r="X62" i="10"/>
  <c r="X61" i="10"/>
  <c r="X49" i="10"/>
  <c r="X48" i="10"/>
  <c r="X47" i="10"/>
  <c r="X33" i="10"/>
  <c r="X34" i="10"/>
  <c r="X35" i="10"/>
  <c r="X32" i="10"/>
  <c r="W63" i="10"/>
  <c r="W62" i="10"/>
  <c r="W61" i="10"/>
  <c r="W49" i="10"/>
  <c r="W48" i="10"/>
  <c r="W47" i="10"/>
  <c r="W46" i="10" s="1"/>
  <c r="W33" i="10"/>
  <c r="W34" i="10"/>
  <c r="W35" i="10"/>
  <c r="V32" i="10"/>
  <c r="W32" i="10"/>
  <c r="W24" i="10"/>
  <c r="V63" i="10"/>
  <c r="V62" i="10"/>
  <c r="V61" i="10"/>
  <c r="V48" i="10"/>
  <c r="V47" i="10"/>
  <c r="V46" i="10" s="1"/>
  <c r="V33" i="10"/>
  <c r="V34" i="10"/>
  <c r="V35" i="10"/>
  <c r="U33" i="10"/>
  <c r="U34" i="10"/>
  <c r="U35" i="10"/>
  <c r="U32" i="10"/>
  <c r="U63" i="10"/>
  <c r="U62" i="10"/>
  <c r="U61" i="10"/>
  <c r="U48" i="10"/>
  <c r="U49" i="10"/>
  <c r="U47" i="10"/>
  <c r="U67" i="10"/>
  <c r="V67" i="10"/>
  <c r="W67" i="10"/>
  <c r="X67" i="10"/>
  <c r="U68" i="10"/>
  <c r="V68" i="10"/>
  <c r="W68" i="10"/>
  <c r="X68" i="10"/>
  <c r="U69" i="10"/>
  <c r="V69" i="10"/>
  <c r="W69" i="10"/>
  <c r="X69" i="10"/>
  <c r="X66" i="10"/>
  <c r="W66" i="10"/>
  <c r="W58" i="10"/>
  <c r="X58" i="10"/>
  <c r="V59" i="10"/>
  <c r="V56" i="10" s="1"/>
  <c r="W59" i="10"/>
  <c r="X59" i="10"/>
  <c r="X57" i="10"/>
  <c r="V54" i="10"/>
  <c r="W54" i="10"/>
  <c r="X54" i="10"/>
  <c r="W55" i="10"/>
  <c r="X55" i="10"/>
  <c r="W53" i="10"/>
  <c r="V53" i="10"/>
  <c r="X51" i="10"/>
  <c r="W51" i="10"/>
  <c r="V51" i="10"/>
  <c r="V43" i="10"/>
  <c r="W43" i="10"/>
  <c r="X43" i="10"/>
  <c r="V44" i="10"/>
  <c r="W44" i="10"/>
  <c r="X44" i="10"/>
  <c r="V45" i="10"/>
  <c r="W45" i="10"/>
  <c r="X45" i="10"/>
  <c r="U40" i="10"/>
  <c r="V40" i="10"/>
  <c r="W40" i="10"/>
  <c r="X40" i="10"/>
  <c r="U41" i="10"/>
  <c r="V41" i="10"/>
  <c r="W41" i="10"/>
  <c r="X41" i="10"/>
  <c r="X39" i="10"/>
  <c r="W39" i="10"/>
  <c r="V39" i="10"/>
  <c r="U39" i="10"/>
  <c r="V29" i="10"/>
  <c r="W29" i="10"/>
  <c r="X29" i="10"/>
  <c r="V30" i="10"/>
  <c r="W30" i="10"/>
  <c r="X30" i="10"/>
  <c r="X28" i="10"/>
  <c r="W28" i="10"/>
  <c r="V28" i="10"/>
  <c r="V24" i="10"/>
  <c r="X24" i="10"/>
  <c r="V25" i="10"/>
  <c r="W25" i="10"/>
  <c r="X25" i="10"/>
  <c r="V26" i="10"/>
  <c r="W26" i="10"/>
  <c r="Y26" i="10" s="1"/>
  <c r="X26" i="10"/>
  <c r="X23" i="10"/>
  <c r="W23" i="10"/>
  <c r="V23" i="10"/>
  <c r="V20" i="10"/>
  <c r="W20" i="10"/>
  <c r="X20" i="10"/>
  <c r="V21" i="10"/>
  <c r="W21" i="10"/>
  <c r="X21" i="10"/>
  <c r="X19" i="10"/>
  <c r="W19" i="10"/>
  <c r="V19" i="10"/>
  <c r="X15" i="10"/>
  <c r="W15" i="10"/>
  <c r="V15" i="10"/>
  <c r="X14" i="10"/>
  <c r="W14" i="10"/>
  <c r="V14" i="10"/>
  <c r="V8" i="10"/>
  <c r="W8" i="10"/>
  <c r="X8" i="10"/>
  <c r="V9" i="10"/>
  <c r="W9" i="10"/>
  <c r="Y9" i="10" s="1"/>
  <c r="X9" i="10"/>
  <c r="V10" i="10"/>
  <c r="W10" i="10"/>
  <c r="X10" i="10"/>
  <c r="V11" i="10"/>
  <c r="W11" i="10"/>
  <c r="X11" i="10"/>
  <c r="X7" i="10"/>
  <c r="W7" i="10"/>
  <c r="V7" i="10"/>
  <c r="U54" i="10"/>
  <c r="U53" i="10"/>
  <c r="U52" i="10" s="1"/>
  <c r="U51" i="10"/>
  <c r="U44" i="10"/>
  <c r="U45" i="10"/>
  <c r="U43" i="10"/>
  <c r="U29" i="10"/>
  <c r="U30" i="10"/>
  <c r="U28" i="10"/>
  <c r="U24" i="10"/>
  <c r="Y24" i="10" s="1"/>
  <c r="U26" i="10"/>
  <c r="U23" i="10"/>
  <c r="Y23" i="10" s="1"/>
  <c r="U20" i="10"/>
  <c r="U21" i="10"/>
  <c r="Y21" i="10" s="1"/>
  <c r="U19" i="10"/>
  <c r="U15" i="10"/>
  <c r="U14" i="10"/>
  <c r="U10" i="10"/>
  <c r="Y10" i="10" s="1"/>
  <c r="U11" i="10"/>
  <c r="L52" i="10"/>
  <c r="L46" i="10"/>
  <c r="L42" i="10"/>
  <c r="L38" i="10"/>
  <c r="L31" i="10"/>
  <c r="L27" i="10"/>
  <c r="L22" i="10"/>
  <c r="Y11" i="10" l="1"/>
  <c r="Y30" i="10"/>
  <c r="Y29" i="10"/>
  <c r="Y8" i="10"/>
  <c r="V31" i="10"/>
  <c r="Y25" i="10"/>
  <c r="Y58" i="10"/>
  <c r="W56" i="10"/>
  <c r="Y56" i="10" s="1"/>
  <c r="Y14" i="10"/>
  <c r="Y20" i="10"/>
  <c r="Y28" i="10"/>
  <c r="U31" i="10"/>
  <c r="X60" i="10"/>
  <c r="Y7" i="10"/>
  <c r="U60" i="10"/>
  <c r="X31" i="10"/>
  <c r="X46" i="10"/>
  <c r="Y51" i="10"/>
  <c r="Y55" i="10"/>
  <c r="X56" i="10"/>
  <c r="U46" i="10"/>
  <c r="V60" i="10"/>
  <c r="W31" i="10"/>
  <c r="W60" i="10"/>
  <c r="Y15" i="10"/>
  <c r="Y41" i="10"/>
  <c r="Y40" i="10"/>
  <c r="Y45" i="10"/>
  <c r="Y59" i="10"/>
  <c r="AE59" i="10" s="1"/>
  <c r="Y44" i="10"/>
  <c r="AE44" i="10" s="1"/>
  <c r="Y19" i="10"/>
  <c r="Y66" i="10"/>
  <c r="Y54" i="10"/>
  <c r="Y43" i="10"/>
  <c r="AE43" i="10"/>
  <c r="Y53" i="10"/>
  <c r="Y69" i="10"/>
  <c r="Y68" i="10"/>
  <c r="Y67" i="10"/>
  <c r="Y39" i="10"/>
  <c r="Y57" i="10"/>
  <c r="K52" i="10"/>
  <c r="K46" i="10"/>
  <c r="K42" i="10"/>
  <c r="K38" i="10"/>
  <c r="K31" i="10"/>
  <c r="K27" i="10"/>
  <c r="K22" i="10"/>
  <c r="AE51" i="10" l="1"/>
  <c r="AE67" i="10"/>
  <c r="AE45" i="10"/>
  <c r="AE68" i="10"/>
  <c r="AE69" i="10"/>
  <c r="J52" i="10"/>
  <c r="J46" i="10"/>
  <c r="J42" i="10"/>
  <c r="J38" i="10"/>
  <c r="J31" i="10"/>
  <c r="J27" i="10"/>
  <c r="AB27" i="10" s="1"/>
  <c r="J22" i="10"/>
  <c r="AB22" i="10" s="1"/>
  <c r="AB18" i="10"/>
  <c r="AE52" i="10" l="1"/>
  <c r="I52" i="10"/>
  <c r="I46" i="10"/>
  <c r="I42" i="10"/>
  <c r="I38" i="10"/>
  <c r="I31" i="10"/>
  <c r="I27" i="10"/>
  <c r="I22" i="10"/>
  <c r="X52" i="10" l="1"/>
  <c r="X38" i="10"/>
  <c r="X27" i="10"/>
  <c r="X22" i="10"/>
  <c r="X18" i="10"/>
  <c r="W52" i="10"/>
  <c r="W38" i="10"/>
  <c r="W27" i="10"/>
  <c r="W22" i="10"/>
  <c r="W18" i="10"/>
  <c r="V52" i="10"/>
  <c r="V38" i="10"/>
  <c r="V27" i="10"/>
  <c r="V22" i="10"/>
  <c r="V18" i="10"/>
  <c r="S52" i="10"/>
  <c r="S42" i="10"/>
  <c r="S38" i="10"/>
  <c r="S31" i="10"/>
  <c r="S27" i="10"/>
  <c r="S22" i="10"/>
  <c r="R52" i="10"/>
  <c r="R46" i="10"/>
  <c r="R42" i="10"/>
  <c r="R38" i="10"/>
  <c r="R31" i="10"/>
  <c r="R27" i="10"/>
  <c r="R22" i="10"/>
  <c r="Q52" i="10"/>
  <c r="Q46" i="10"/>
  <c r="Q42" i="10"/>
  <c r="Q38" i="10"/>
  <c r="Q31" i="10"/>
  <c r="Q27" i="10"/>
  <c r="Q22" i="10"/>
  <c r="P52" i="10"/>
  <c r="P46" i="10"/>
  <c r="P42" i="10"/>
  <c r="P38" i="10"/>
  <c r="P31" i="10"/>
  <c r="P27" i="10"/>
  <c r="P22" i="10"/>
  <c r="AD18" i="10"/>
  <c r="O52" i="10"/>
  <c r="O46" i="10"/>
  <c r="O42" i="10"/>
  <c r="O38" i="10"/>
  <c r="O31" i="10"/>
  <c r="O27" i="10"/>
  <c r="O22" i="10"/>
  <c r="N52" i="10"/>
  <c r="N46" i="10"/>
  <c r="N42" i="10"/>
  <c r="N38" i="10"/>
  <c r="N31" i="10"/>
  <c r="N27" i="10"/>
  <c r="N22" i="10"/>
  <c r="M52" i="10"/>
  <c r="M46" i="10"/>
  <c r="M42" i="10"/>
  <c r="V42" i="10" s="1"/>
  <c r="M38" i="10"/>
  <c r="M31" i="10"/>
  <c r="M27" i="10"/>
  <c r="M22" i="10"/>
  <c r="U38" i="10"/>
  <c r="U27" i="10"/>
  <c r="U22" i="10"/>
  <c r="U18" i="10"/>
  <c r="AC27" i="10" l="1"/>
  <c r="AD27" i="10"/>
  <c r="AC22" i="10"/>
  <c r="AD22" i="10"/>
  <c r="Y22" i="10"/>
  <c r="Y18" i="10"/>
  <c r="Y52" i="10"/>
  <c r="Y27" i="10"/>
  <c r="AA42" i="10"/>
  <c r="W42" i="10"/>
  <c r="AB42" i="10"/>
  <c r="X42" i="10"/>
  <c r="Y38" i="10"/>
  <c r="D57" i="7"/>
  <c r="E57" i="7"/>
  <c r="F57" i="7"/>
  <c r="G57" i="7"/>
  <c r="H57" i="7"/>
  <c r="C57" i="7"/>
  <c r="H52" i="10" l="1"/>
  <c r="H46" i="10"/>
  <c r="H42" i="10"/>
  <c r="U42" i="10" s="1"/>
  <c r="AC42" i="10" s="1"/>
  <c r="H38" i="10"/>
  <c r="H31" i="10"/>
  <c r="H27" i="10"/>
  <c r="AA27" i="10" s="1"/>
  <c r="AE27" i="10" s="1"/>
  <c r="H22" i="10"/>
  <c r="AA22" i="10" s="1"/>
  <c r="AE22" i="10" s="1"/>
  <c r="AA18" i="10"/>
  <c r="AE18" i="10" s="1"/>
  <c r="Y42" i="10" l="1"/>
  <c r="AD42" i="10" s="1"/>
  <c r="AE42" i="10" s="1"/>
</calcChain>
</file>

<file path=xl/sharedStrings.xml><?xml version="1.0" encoding="utf-8"?>
<sst xmlns="http://schemas.openxmlformats.org/spreadsheetml/2006/main" count="524" uniqueCount="186">
  <si>
    <t>TT</t>
  </si>
  <si>
    <t>Nội Dung</t>
  </si>
  <si>
    <t>Cộng dồn</t>
  </si>
  <si>
    <t>Số bệnh nhân THA không tiếp tục tham gia điều trị</t>
  </si>
  <si>
    <t>Nội dung</t>
  </si>
  <si>
    <t>1.1</t>
  </si>
  <si>
    <t>1.2</t>
  </si>
  <si>
    <t>5.1</t>
  </si>
  <si>
    <t>5.2</t>
  </si>
  <si>
    <t>Số người được sàng lọc các bệnh ung thư</t>
  </si>
  <si>
    <t>Số người được kiểm tra sức khỏe định kỳ</t>
  </si>
  <si>
    <t>Tổng số BN tiền ĐTĐ được phát hiện trong tháng</t>
  </si>
  <si>
    <t>Số bệnh nhân Ung thư không tiếp tục tham gia điều trị</t>
  </si>
  <si>
    <t>2. Hoạt động truyền thông về bệnh không lây nhiễm:</t>
  </si>
  <si>
    <t>Số lượng</t>
  </si>
  <si>
    <t>3. Phòng, chống Tăng huyết áp (THA):</t>
  </si>
  <si>
    <t>CỘNG HÒA XÃ HỘI CHỦ NGHĨA VIỆT NAM</t>
  </si>
  <si>
    <t>Tổng số BN ĐTĐ không tiếp tục tham gia điều trị</t>
  </si>
  <si>
    <t>Tổng số bệnh nhân Ung thư được quản lý hiện tại</t>
  </si>
  <si>
    <t>Số ca tử vong do Ung thư</t>
  </si>
  <si>
    <t>Số ca tử vong do bệnh ĐTĐ</t>
  </si>
  <si>
    <t>Số ca tử vong do bệnh THA</t>
  </si>
  <si>
    <t>Tổng số bệnh nhân THA được phát hiện mới trong tháng</t>
  </si>
  <si>
    <t>Tổng số BN ĐTĐ được phát hiện mới trong tháng</t>
  </si>
  <si>
    <t>Tổng số bệnh nhân Ung thư được phát hiện mới trong tháng</t>
  </si>
  <si>
    <t>Tổng số bệnh nhân THA cũ quay lại điều trị</t>
  </si>
  <si>
    <t>Tổng số bệnh nhân ĐTĐ cũ quay lại điều trị</t>
  </si>
  <si>
    <t>Tổng số bệnh nhân Ung thư cũ quay lại điều trị</t>
  </si>
  <si>
    <t xml:space="preserve">     Độc lập - Tự do - Hạnh phúc</t>
  </si>
  <si>
    <t>BÁO CÁO 
CHƯƠNG TRÌNH PHÒNG CHỐNG BỆNH UNG THƯ</t>
  </si>
  <si>
    <t>Tên Bệnh</t>
  </si>
  <si>
    <t>Kết quả thực hiện trong năm</t>
  </si>
  <si>
    <t>Quản lý BN</t>
  </si>
  <si>
    <t>Ghi Chú</t>
  </si>
  <si>
    <t>Số Mắc</t>
  </si>
  <si>
    <t>Mắc 
Tích Lũy</t>
  </si>
  <si>
    <t>Số Chết</t>
  </si>
  <si>
    <t>Chết 
Tích Lũy</t>
  </si>
  <si>
    <t>Không tiếp tục điều trị</t>
  </si>
  <si>
    <t>Quản lý 
hiện tại</t>
  </si>
  <si>
    <t>K Vú</t>
  </si>
  <si>
    <t>K Phổi</t>
  </si>
  <si>
    <t>K Gan</t>
  </si>
  <si>
    <t>K Dạ Dày</t>
  </si>
  <si>
    <t>K Hạch</t>
  </si>
  <si>
    <t>K Máu</t>
  </si>
  <si>
    <t>K Bàng Quang</t>
  </si>
  <si>
    <t>K Thận</t>
  </si>
  <si>
    <t>TỔNG CỘNG</t>
  </si>
  <si>
    <t xml:space="preserve">               </t>
  </si>
  <si>
    <t>STT</t>
  </si>
  <si>
    <t>4. Phòng, chống Đái tháo đường (ĐTĐ):</t>
  </si>
  <si>
    <t>1. Hoạt động sàng lọc, kiểm tra sức khỏe một số bệnh không lây nhiễm:</t>
  </si>
  <si>
    <t>Số người ≥ 40 tuổi được đo huyết áp</t>
  </si>
  <si>
    <t>Số người ≥ 40 tuổi được xét nghiệm đường máu</t>
  </si>
  <si>
    <t>Số người ≥ 40 tuổi được sàng lọc đái tháo đường bằng bộ câu hỏi</t>
  </si>
  <si>
    <t>Tổng số bệnh nhân THA được quản lý hiện tại</t>
  </si>
  <si>
    <t>Số bệnh nhân THA điều trị đạt huyết áp mục tiêu</t>
  </si>
  <si>
    <t>Tổng số BN ĐTĐ được quản lý hiện tại</t>
  </si>
  <si>
    <t>Số BN ĐTĐ điều trị duy trì ổn định</t>
  </si>
  <si>
    <t>Tổng số BN tiền ĐTĐ được quản lý hiện tại</t>
  </si>
  <si>
    <t>Loại tài liệu/hình thức truyền thông</t>
  </si>
  <si>
    <t>Nội dung/chủ đề</t>
  </si>
  <si>
    <t>Tổng số bệnh nhân THA cũ quay lại điều trị tại TYT</t>
  </si>
  <si>
    <t>Tổng số bệnh nhân THA cũ quay lại điều trị tại TTYT</t>
  </si>
  <si>
    <t>Tổng số bệnh nhân THA cũ quay lại điều trị tại CSYT khác</t>
  </si>
  <si>
    <t>Số bệnh nhân THA không tiếp tục tham gia điều trị tại TYT</t>
  </si>
  <si>
    <t>1.3</t>
  </si>
  <si>
    <t>2.1</t>
  </si>
  <si>
    <t>2.2</t>
  </si>
  <si>
    <t>2.3</t>
  </si>
  <si>
    <t>4.1</t>
  </si>
  <si>
    <t>4.2</t>
  </si>
  <si>
    <t>4.3</t>
  </si>
  <si>
    <t>3.1</t>
  </si>
  <si>
    <t>3.2</t>
  </si>
  <si>
    <t>3.3</t>
  </si>
  <si>
    <t>Tổng số bệnh nhân THA được quản lý hiện tại ở TYT</t>
  </si>
  <si>
    <t>Tổng số bệnh nhân THA được quản lý hiện tại ở TTYT</t>
  </si>
  <si>
    <t>5.3</t>
  </si>
  <si>
    <t>Tổng số BN ĐTĐ được phát hiện mới trong tháng tại TYT</t>
  </si>
  <si>
    <t>Tổng số BN ĐTĐ được phát hiện mới trong tháng tại TTYT</t>
  </si>
  <si>
    <t>Tổng số bệnh nhân ĐTĐ cũ quay lại điều trị tại TYT</t>
  </si>
  <si>
    <t>Tổng số bệnh nhân ĐTĐ cũ quay lại điều trị tại TTYT</t>
  </si>
  <si>
    <t>Tổng số bệnh nhân ĐTĐ cũ quay lại điều trị tại CSYT khác</t>
  </si>
  <si>
    <t>Tổng số BN ĐTĐ được quản lý hiện tại ở TYT</t>
  </si>
  <si>
    <t>Tổng số BN ĐTĐ được quản lý hiện tại ở TTYT</t>
  </si>
  <si>
    <t>Tổng số BN ĐTĐ được quản lý hiện tại ở CSYT khác</t>
  </si>
  <si>
    <t>Tổng số BN ĐTĐ không tiếp tục tham gia điều trị tại TYT</t>
  </si>
  <si>
    <t>Tổng số BN ĐTĐ không tiếp tục tham gia điều trị tại TTYT</t>
  </si>
  <si>
    <t>Tổng số BN tiền ĐTĐ được phát hiện trong tháng tại TYT</t>
  </si>
  <si>
    <t>Tổng số BN tiền ĐTĐ được phát hiện trong tháng tại TTYT</t>
  </si>
  <si>
    <t>Tổng số BN tiền ĐTĐ được quản lý hiện tại ở TYT</t>
  </si>
  <si>
    <t>Tổng số BN tiền ĐTĐ được quản lý hiện tại ở TTYT</t>
  </si>
  <si>
    <t>Tổng số BN tiền ĐTĐ được quản lý hiện tại ở CSYT khác</t>
  </si>
  <si>
    <t>6.1</t>
  </si>
  <si>
    <t>6.2</t>
  </si>
  <si>
    <t>6.3</t>
  </si>
  <si>
    <t>7.1</t>
  </si>
  <si>
    <t>7.2</t>
  </si>
  <si>
    <t>7.3</t>
  </si>
  <si>
    <t>8.1</t>
  </si>
  <si>
    <t>8.2</t>
  </si>
  <si>
    <t>8.3</t>
  </si>
  <si>
    <t>K Đầu tụy</t>
  </si>
  <si>
    <t>K Thực quản</t>
  </si>
  <si>
    <t>K Xương</t>
  </si>
  <si>
    <t>K Cổ tử cung</t>
  </si>
  <si>
    <t>K Trực tràng</t>
  </si>
  <si>
    <t>K Vòm họng</t>
  </si>
  <si>
    <t xml:space="preserve">K Hầu họng </t>
  </si>
  <si>
    <t>K Tuyến giáp</t>
  </si>
  <si>
    <t>K Ruột</t>
  </si>
  <si>
    <t>K Buồng trứng</t>
  </si>
  <si>
    <t>K Não</t>
  </si>
  <si>
    <t>K Xoang hàm</t>
  </si>
  <si>
    <t>K Võng mạc</t>
  </si>
  <si>
    <t>K Tuyến mang tai</t>
  </si>
  <si>
    <t>K Tuyến tiền liệt</t>
  </si>
  <si>
    <t>K Da</t>
  </si>
  <si>
    <t>K Mũi</t>
  </si>
  <si>
    <t>K Manh tràng</t>
  </si>
  <si>
    <t>K Hầu mũi</t>
  </si>
  <si>
    <t>K Thanh quản</t>
  </si>
  <si>
    <t>K Bóng vater</t>
  </si>
  <si>
    <t>K Tá tràng</t>
  </si>
  <si>
    <t>K Hồi tràng</t>
  </si>
  <si>
    <t>K Tinh hoàn</t>
  </si>
  <si>
    <t>K Đại tràng</t>
  </si>
  <si>
    <t>K Dương vật</t>
  </si>
  <si>
    <t>K Lưỡi</t>
  </si>
  <si>
    <t>NGƯỜI BÁO CÁO</t>
  </si>
  <si>
    <t>TRẠM Y TẾ</t>
  </si>
  <si>
    <t>K Túi mật</t>
  </si>
  <si>
    <t xml:space="preserve"> Phát loa</t>
  </si>
  <si>
    <t>Phòng chống bệnh tăng huyết áp</t>
  </si>
  <si>
    <t>Phòng chống bệnh đái tháo đường</t>
  </si>
  <si>
    <t>TYT PHƯỜNG HIỆP THÀNH</t>
  </si>
  <si>
    <t xml:space="preserve">- TD Ung thư mô liên kết Kaposi của vòm khẩu cái bội 
- U ác của mô liên kết và mềm của đầu, mặt và cổ </t>
  </si>
  <si>
    <t>Số bệnh nhân THA không tiếp tục tham gia điều trị tại TTYT</t>
  </si>
  <si>
    <t>Số bệnh nhân THA không tiếp tục tham gia điều trị tại CSYT khác</t>
  </si>
  <si>
    <t>Tổng số bệnh nhân THA được quản lý hiện tại ở CSYT khác</t>
  </si>
  <si>
    <t>Tổng số bệnh nhân THA được phát hiện mới trong tháng tại TYT</t>
  </si>
  <si>
    <t>Tổng số bệnh nhân THA được phát hiện mới trong tháng tại TTYT</t>
  </si>
  <si>
    <t>Tổng số bệnh nhân THA được phát hiện mới trong tháng tại CSYT khác</t>
  </si>
  <si>
    <t>Tổng số BN ĐTĐ được phát hiện mới trong tháng tại CSYT khác</t>
  </si>
  <si>
    <t>K âm hộ</t>
  </si>
  <si>
    <t>K hậu môn</t>
  </si>
  <si>
    <t>K tuyến ức</t>
  </si>
  <si>
    <t>K khâủ cái</t>
  </si>
  <si>
    <t>K phúc mạc</t>
  </si>
  <si>
    <t>K nướu hàm dưới</t>
  </si>
  <si>
    <t>K hỗng tràng</t>
  </si>
  <si>
    <t>K đường mật</t>
  </si>
  <si>
    <t>K mô liên kết Đầu-mặt-cổ</t>
  </si>
  <si>
    <t>K màng phổi</t>
  </si>
  <si>
    <t>K thanh môn</t>
  </si>
  <si>
    <t>k niệu quản</t>
  </si>
  <si>
    <t xml:space="preserve">K khác </t>
  </si>
  <si>
    <t>Báo cáo tháng 01 năm 2026</t>
  </si>
  <si>
    <t>UBND PHƯƠNG HIỆP THÀNH</t>
  </si>
  <si>
    <t>Phường Hiệp Thành, ngày 28 tháng 01 năm 2026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</si>
  <si>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</si>
  <si>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</si>
  <si>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</si>
  <si>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</si>
  <si>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</si>
  <si>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</si>
  <si>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</si>
  <si>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</si>
  <si>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</si>
  <si>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</si>
  <si>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</si>
  <si>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</si>
  <si>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Qúy I</t>
  </si>
  <si>
    <t>Qúy II</t>
  </si>
  <si>
    <r>
      <t xml:space="preserve">5. Phòng, chống Ung thư: </t>
    </r>
    <r>
      <rPr>
        <b/>
        <i/>
        <sz val="13"/>
        <color theme="1" tint="4.9989318521683403E-2"/>
        <rFont val="Times New Roman"/>
        <family val="1"/>
      </rPr>
      <t>(phụ lục báo cáo từng loại bệnh kèm theo)</t>
    </r>
  </si>
  <si>
    <t>UBND PHƯỜNG HIỆP THÀNH</t>
  </si>
  <si>
    <t>BÁO CÁO THÔNG KẾ HOẠT ĐỘNG BỆNH KHÔNG LÂY NHIỄM THÁNG NĂM 2026</t>
  </si>
  <si>
    <t>Qúy III</t>
  </si>
  <si>
    <t>Qúy IV</t>
  </si>
  <si>
    <t>Tháng 12/2025</t>
  </si>
  <si>
    <t>BÁO CÁO GỐI ĐẦU</t>
  </si>
  <si>
    <t>Tổng số BN tiền ĐTĐ được phát hiện trong tháng tại CSYT khác</t>
  </si>
  <si>
    <t>Tổng số BN ĐTĐ không tiếp tục tham gia điều trị tại CSYT khác</t>
  </si>
  <si>
    <t>BÁO CÁO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</si>
</sst>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VNI-Times"/>
    </font>
    <font>
      <b/>
      <sz val="13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sz val="12"/>
      <color indexed="8"/>
      <name val="Times New Roman"/>
      <family val="1"/>
    </font>
    <font>
      <sz val="13"/>
      <color theme="1"/>
      <name val="Times New Roman"/>
      <family val="1"/>
    </font>
    <font>
      <b/>
      <sz val="14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sz val="12"/>
      <color rgb="FFFF0000"/>
      <name val="Times New Roman"/>
      <family val="1"/>
    </font>
    <font>
      <sz val="13"/>
      <color rgb="FFFF0000"/>
      <name val="Times New Roman"/>
      <family val="1"/>
    </font>
    <font>
      <sz val="12"/>
      <color theme="1" tint="4.9989318521683403E-2"/>
      <name val="Times New Roman"/>
      <family val="1"/>
    </font>
    <font>
      <sz val="13"/>
      <color theme="1" tint="4.9989318521683403E-2"/>
      <name val="Times New Roman"/>
      <family val="1"/>
    </font>
    <font>
      <b/>
      <i/>
      <sz val="12"/>
      <color theme="1" tint="4.9989318521683403E-2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  <font>
      <b/>
      <i/>
      <sz val="13"/>
      <color theme="1" tint="4.9989318521683403E-2"/>
      <name val="Times New Roman"/>
      <family val="1"/>
    </font>
    <font>
      <i/>
      <sz val="13"/>
      <color theme="1" tint="4.9989318521683403E-2"/>
      <name val="Times New Roman"/>
      <family val="1"/>
    </font>
    <font>
      <b/>
      <sz val="13"/>
      <color rgb="FFFF0000"/>
      <name val="Times New Roman"/>
      <family val="1"/>
    </font>
    <font>
      <b/>
      <sz val="20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/>
      <right style="thin">
        <color auto="1"/>
      </right>
      <top style="thin">
        <color indexed="64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7">
    <xf numFmtId="0" fontId="0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4" fillId="0" borderId="0"/>
  </cellStyleXfs>
  <cellXfs count="167">
    <xf numFmtId="0" fontId="0" fillId="0" borderId="0" xfId="0"/>
    <xf numFmtId="0" fontId="1" fillId="0" borderId="0" xfId="2" applyFont="1" applyAlignment="1">
      <alignment horizontal="center" vertical="center"/>
    </xf>
    <xf numFmtId="0" fontId="9" fillId="0" borderId="0" xfId="2" applyFont="1"/>
    <xf numFmtId="0" fontId="10" fillId="0" borderId="0" xfId="2" applyFont="1"/>
    <xf numFmtId="0" fontId="1" fillId="0" borderId="0" xfId="2" applyFont="1"/>
    <xf numFmtId="0" fontId="11" fillId="0" borderId="0" xfId="0" applyFont="1"/>
    <xf numFmtId="0" fontId="2" fillId="0" borderId="0" xfId="2" applyFont="1"/>
    <xf numFmtId="0" fontId="3" fillId="0" borderId="0" xfId="0" applyFont="1"/>
    <xf numFmtId="0" fontId="13" fillId="0" borderId="0" xfId="0" applyFont="1"/>
    <xf numFmtId="0" fontId="1" fillId="0" borderId="0" xfId="2" applyFont="1" applyAlignment="1"/>
    <xf numFmtId="0" fontId="2" fillId="0" borderId="0" xfId="0" applyFont="1" applyAlignment="1">
      <alignment vertical="center"/>
    </xf>
    <xf numFmtId="0" fontId="11" fillId="0" borderId="2" xfId="0" applyFont="1" applyBorder="1"/>
    <xf numFmtId="0" fontId="14" fillId="0" borderId="2" xfId="0" applyFont="1" applyBorder="1" applyAlignment="1">
      <alignment horizontal="center" vertical="center"/>
    </xf>
    <xf numFmtId="1" fontId="14" fillId="0" borderId="2" xfId="1" applyNumberFormat="1" applyFont="1" applyBorder="1" applyAlignment="1">
      <alignment horizontal="center" vertical="center"/>
    </xf>
    <xf numFmtId="1" fontId="11" fillId="0" borderId="2" xfId="1" applyNumberFormat="1" applyFont="1" applyBorder="1" applyAlignment="1">
      <alignment horizontal="center" vertical="center"/>
    </xf>
    <xf numFmtId="1" fontId="14" fillId="0" borderId="8" xfId="1" applyNumberFormat="1" applyFont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14" fillId="0" borderId="2" xfId="2" applyFont="1" applyBorder="1" applyAlignment="1">
      <alignment horizontal="center" vertical="center"/>
    </xf>
    <xf numFmtId="0" fontId="11" fillId="0" borderId="2" xfId="0" quotePrefix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1" fontId="16" fillId="0" borderId="2" xfId="1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1" fontId="18" fillId="0" borderId="2" xfId="1" applyNumberFormat="1" applyFont="1" applyFill="1" applyBorder="1" applyAlignment="1">
      <alignment horizontal="center" vertical="center"/>
    </xf>
    <xf numFmtId="1" fontId="18" fillId="0" borderId="8" xfId="1" applyNumberFormat="1" applyFont="1" applyFill="1" applyBorder="1" applyAlignment="1">
      <alignment horizontal="center" vertical="center"/>
    </xf>
    <xf numFmtId="1" fontId="18" fillId="0" borderId="2" xfId="0" applyNumberFormat="1" applyFont="1" applyFill="1" applyBorder="1" applyAlignment="1">
      <alignment horizontal="center" vertical="center"/>
    </xf>
    <xf numFmtId="1" fontId="18" fillId="0" borderId="8" xfId="0" applyNumberFormat="1" applyFont="1" applyFill="1" applyBorder="1" applyAlignment="1">
      <alignment horizontal="center" vertical="center"/>
    </xf>
    <xf numFmtId="0" fontId="20" fillId="0" borderId="0" xfId="2" applyFont="1" applyFill="1" applyAlignment="1"/>
    <xf numFmtId="0" fontId="21" fillId="0" borderId="0" xfId="2" applyFont="1" applyFill="1" applyAlignment="1"/>
    <xf numFmtId="0" fontId="20" fillId="0" borderId="0" xfId="2" applyFont="1" applyFill="1" applyAlignment="1">
      <alignment vertical="center"/>
    </xf>
    <xf numFmtId="0" fontId="17" fillId="0" borderId="0" xfId="2" applyFont="1" applyFill="1"/>
    <xf numFmtId="0" fontId="18" fillId="0" borderId="0" xfId="2" applyFont="1" applyFill="1" applyAlignment="1">
      <alignment horizontal="center" vertical="center"/>
    </xf>
    <xf numFmtId="0" fontId="20" fillId="0" borderId="0" xfId="2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3" xfId="3" applyFont="1" applyFill="1" applyBorder="1" applyAlignment="1">
      <alignment horizontal="center"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8" fillId="0" borderId="2" xfId="3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/>
    </xf>
    <xf numFmtId="0" fontId="20" fillId="0" borderId="2" xfId="3" applyFont="1" applyFill="1" applyBorder="1" applyAlignment="1">
      <alignment horizontal="center" vertical="center"/>
    </xf>
    <xf numFmtId="0" fontId="18" fillId="0" borderId="8" xfId="3" applyFont="1" applyFill="1" applyBorder="1" applyAlignment="1">
      <alignment horizontal="right" vertical="center"/>
    </xf>
    <xf numFmtId="0" fontId="18" fillId="0" borderId="9" xfId="3" applyFont="1" applyFill="1" applyBorder="1" applyAlignment="1">
      <alignment horizontal="right" vertical="center"/>
    </xf>
    <xf numFmtId="0" fontId="18" fillId="0" borderId="6" xfId="3" applyFont="1" applyFill="1" applyBorder="1" applyAlignment="1">
      <alignment horizontal="right" vertical="center"/>
    </xf>
    <xf numFmtId="0" fontId="18" fillId="0" borderId="2" xfId="3" applyFont="1" applyFill="1" applyBorder="1" applyAlignment="1">
      <alignment horizontal="right" vertical="center"/>
    </xf>
    <xf numFmtId="1" fontId="18" fillId="3" borderId="2" xfId="1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" fontId="18" fillId="4" borderId="2" xfId="1" applyNumberFormat="1" applyFont="1" applyFill="1" applyBorder="1" applyAlignment="1">
      <alignment horizontal="center" vertical="center"/>
    </xf>
    <xf numFmtId="1" fontId="18" fillId="4" borderId="2" xfId="3" applyNumberFormat="1" applyFont="1" applyFill="1" applyBorder="1" applyAlignment="1">
      <alignment horizontal="center" vertical="center"/>
    </xf>
    <xf numFmtId="1" fontId="24" fillId="0" borderId="2" xfId="1" applyNumberFormat="1" applyFont="1" applyFill="1" applyBorder="1" applyAlignment="1">
      <alignment horizontal="center" vertical="center"/>
    </xf>
    <xf numFmtId="1" fontId="16" fillId="0" borderId="2" xfId="0" applyNumberFormat="1" applyFont="1" applyFill="1" applyBorder="1" applyAlignment="1">
      <alignment horizontal="center" vertical="center"/>
    </xf>
    <xf numFmtId="0" fontId="16" fillId="4" borderId="2" xfId="3" applyFont="1" applyFill="1" applyBorder="1" applyAlignment="1">
      <alignment horizontal="right" vertical="center"/>
    </xf>
    <xf numFmtId="1" fontId="24" fillId="4" borderId="2" xfId="1" applyNumberFormat="1" applyFont="1" applyFill="1" applyBorder="1" applyAlignment="1">
      <alignment horizontal="center" vertical="center"/>
    </xf>
    <xf numFmtId="1" fontId="16" fillId="4" borderId="2" xfId="1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vertical="center"/>
    </xf>
    <xf numFmtId="1" fontId="16" fillId="4" borderId="2" xfId="0" applyNumberFormat="1" applyFont="1" applyFill="1" applyBorder="1" applyAlignment="1">
      <alignment horizontal="center" vertical="center"/>
    </xf>
    <xf numFmtId="1" fontId="16" fillId="4" borderId="2" xfId="3" applyNumberFormat="1" applyFont="1" applyFill="1" applyBorder="1" applyAlignment="1">
      <alignment horizontal="center" vertical="center"/>
    </xf>
    <xf numFmtId="0" fontId="16" fillId="4" borderId="10" xfId="3" applyFont="1" applyFill="1" applyBorder="1" applyAlignment="1">
      <alignment horizontal="right" vertical="center"/>
    </xf>
    <xf numFmtId="1" fontId="24" fillId="4" borderId="10" xfId="1" applyNumberFormat="1" applyFont="1" applyFill="1" applyBorder="1" applyAlignment="1">
      <alignment horizontal="center" vertical="center"/>
    </xf>
    <xf numFmtId="0" fontId="16" fillId="4" borderId="8" xfId="3" applyFont="1" applyFill="1" applyBorder="1" applyAlignment="1">
      <alignment horizontal="right" vertical="center"/>
    </xf>
    <xf numFmtId="0" fontId="20" fillId="4" borderId="2" xfId="3" applyFont="1" applyFill="1" applyBorder="1" applyAlignment="1">
      <alignment horizontal="center" vertical="center" wrapText="1"/>
    </xf>
    <xf numFmtId="1" fontId="16" fillId="3" borderId="2" xfId="1" applyNumberFormat="1" applyFont="1" applyFill="1" applyBorder="1" applyAlignment="1">
      <alignment horizontal="center" vertical="center"/>
    </xf>
    <xf numFmtId="1" fontId="16" fillId="3" borderId="2" xfId="3" applyNumberFormat="1" applyFont="1" applyFill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" fontId="16" fillId="0" borderId="2" xfId="3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1" fontId="24" fillId="4" borderId="3" xfId="1" applyNumberFormat="1" applyFont="1" applyFill="1" applyBorder="1" applyAlignment="1">
      <alignment horizontal="center" vertical="center"/>
    </xf>
    <xf numFmtId="1" fontId="16" fillId="4" borderId="3" xfId="1" applyNumberFormat="1" applyFont="1" applyFill="1" applyBorder="1" applyAlignment="1">
      <alignment horizontal="center" vertical="center"/>
    </xf>
    <xf numFmtId="1" fontId="24" fillId="4" borderId="11" xfId="1" applyNumberFormat="1" applyFont="1" applyFill="1" applyBorder="1" applyAlignment="1">
      <alignment horizontal="center" vertical="center"/>
    </xf>
    <xf numFmtId="1" fontId="16" fillId="0" borderId="3" xfId="1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vertical="center"/>
    </xf>
    <xf numFmtId="0" fontId="17" fillId="0" borderId="0" xfId="2" applyFont="1" applyFill="1" applyBorder="1"/>
    <xf numFmtId="0" fontId="20" fillId="0" borderId="0" xfId="3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20" fillId="0" borderId="0" xfId="3" applyFont="1" applyFill="1" applyBorder="1" applyAlignment="1">
      <alignment horizontal="center" vertical="center"/>
    </xf>
    <xf numFmtId="1" fontId="24" fillId="0" borderId="0" xfId="1" applyNumberFormat="1" applyFont="1" applyFill="1" applyBorder="1" applyAlignment="1">
      <alignment horizontal="center" vertical="center"/>
    </xf>
    <xf numFmtId="1" fontId="18" fillId="0" borderId="0" xfId="1" applyNumberFormat="1" applyFont="1" applyFill="1" applyBorder="1" applyAlignment="1">
      <alignment horizontal="center" vertical="center"/>
    </xf>
    <xf numFmtId="1" fontId="16" fillId="0" borderId="0" xfId="1" applyNumberFormat="1" applyFont="1" applyFill="1" applyBorder="1" applyAlignment="1">
      <alignment horizontal="center" vertical="center"/>
    </xf>
    <xf numFmtId="1" fontId="18" fillId="0" borderId="0" xfId="0" applyNumberFormat="1" applyFont="1" applyFill="1" applyBorder="1" applyAlignment="1">
      <alignment horizontal="center" vertical="center"/>
    </xf>
    <xf numFmtId="1" fontId="16" fillId="0" borderId="0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20" fillId="4" borderId="3" xfId="3" applyFont="1" applyFill="1" applyBorder="1" applyAlignment="1">
      <alignment horizontal="center" vertical="center" wrapText="1"/>
    </xf>
    <xf numFmtId="1" fontId="18" fillId="4" borderId="3" xfId="1" applyNumberFormat="1" applyFont="1" applyFill="1" applyBorder="1" applyAlignment="1">
      <alignment horizontal="center" vertical="center"/>
    </xf>
    <xf numFmtId="1" fontId="18" fillId="4" borderId="3" xfId="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" fontId="18" fillId="5" borderId="2" xfId="3" applyNumberFormat="1" applyFont="1" applyFill="1" applyBorder="1" applyAlignment="1">
      <alignment horizontal="center" vertical="center"/>
    </xf>
    <xf numFmtId="1" fontId="11" fillId="0" borderId="2" xfId="0" applyNumberFormat="1" applyFont="1" applyFill="1" applyBorder="1" applyAlignment="1">
      <alignment horizontal="center" vertical="center"/>
    </xf>
    <xf numFmtId="0" fontId="16" fillId="0" borderId="2" xfId="3" applyFont="1" applyFill="1" applyBorder="1" applyAlignment="1">
      <alignment horizontal="right" vertical="center"/>
    </xf>
    <xf numFmtId="1" fontId="16" fillId="0" borderId="3" xfId="3" applyNumberFormat="1" applyFont="1" applyFill="1" applyBorder="1" applyAlignment="1">
      <alignment horizontal="center" vertical="center"/>
    </xf>
    <xf numFmtId="1" fontId="24" fillId="0" borderId="2" xfId="1" applyNumberFormat="1" applyFont="1" applyBorder="1" applyAlignment="1">
      <alignment horizontal="center" vertical="center"/>
    </xf>
    <xf numFmtId="0" fontId="16" fillId="0" borderId="2" xfId="3" applyFont="1" applyFill="1" applyBorder="1" applyAlignment="1">
      <alignment horizontal="center" vertical="center"/>
    </xf>
    <xf numFmtId="0" fontId="18" fillId="0" borderId="3" xfId="3" applyFont="1" applyFill="1" applyBorder="1" applyAlignment="1">
      <alignment horizontal="left" vertical="center"/>
    </xf>
    <xf numFmtId="0" fontId="18" fillId="0" borderId="4" xfId="3" applyFont="1" applyFill="1" applyBorder="1" applyAlignment="1">
      <alignment horizontal="left" vertical="center"/>
    </xf>
    <xf numFmtId="0" fontId="18" fillId="0" borderId="5" xfId="3" applyFont="1" applyFill="1" applyBorder="1" applyAlignment="1">
      <alignment horizontal="left" vertical="center"/>
    </xf>
    <xf numFmtId="0" fontId="23" fillId="0" borderId="7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0" fillId="2" borderId="0" xfId="3" applyFont="1" applyFill="1" applyBorder="1" applyAlignment="1">
      <alignment horizontal="left" vertical="center"/>
    </xf>
    <xf numFmtId="0" fontId="20" fillId="2" borderId="17" xfId="3" applyFont="1" applyFill="1" applyBorder="1" applyAlignment="1">
      <alignment horizontal="left" vertical="center"/>
    </xf>
    <xf numFmtId="0" fontId="20" fillId="3" borderId="3" xfId="3" applyFont="1" applyFill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/>
    </xf>
    <xf numFmtId="0" fontId="20" fillId="3" borderId="5" xfId="3" applyFont="1" applyFill="1" applyBorder="1" applyAlignment="1">
      <alignment horizontal="center" vertical="center"/>
    </xf>
    <xf numFmtId="0" fontId="18" fillId="0" borderId="3" xfId="3" applyFont="1" applyFill="1" applyBorder="1" applyAlignment="1">
      <alignment horizontal="left" vertical="center" wrapText="1"/>
    </xf>
    <xf numFmtId="0" fontId="18" fillId="0" borderId="4" xfId="3" applyFont="1" applyFill="1" applyBorder="1" applyAlignment="1">
      <alignment horizontal="left" vertical="center" wrapText="1"/>
    </xf>
    <xf numFmtId="0" fontId="18" fillId="0" borderId="5" xfId="3" applyFont="1" applyFill="1" applyBorder="1" applyAlignment="1">
      <alignment horizontal="left" vertical="center" wrapText="1"/>
    </xf>
    <xf numFmtId="0" fontId="16" fillId="4" borderId="3" xfId="3" applyFont="1" applyFill="1" applyBorder="1" applyAlignment="1">
      <alignment horizontal="left" vertical="center" wrapText="1"/>
    </xf>
    <xf numFmtId="0" fontId="16" fillId="4" borderId="4" xfId="3" applyFont="1" applyFill="1" applyBorder="1" applyAlignment="1">
      <alignment horizontal="left" vertical="center" wrapText="1"/>
    </xf>
    <xf numFmtId="0" fontId="16" fillId="4" borderId="5" xfId="3" applyFont="1" applyFill="1" applyBorder="1" applyAlignment="1">
      <alignment horizontal="left" vertical="center" wrapText="1"/>
    </xf>
    <xf numFmtId="0" fontId="16" fillId="4" borderId="3" xfId="3" applyFont="1" applyFill="1" applyBorder="1" applyAlignment="1">
      <alignment horizontal="left" vertical="center"/>
    </xf>
    <xf numFmtId="0" fontId="16" fillId="4" borderId="4" xfId="3" applyFont="1" applyFill="1" applyBorder="1" applyAlignment="1">
      <alignment horizontal="left" vertical="center"/>
    </xf>
    <xf numFmtId="0" fontId="16" fillId="4" borderId="5" xfId="3" applyFont="1" applyFill="1" applyBorder="1" applyAlignment="1">
      <alignment horizontal="left" vertical="center"/>
    </xf>
    <xf numFmtId="0" fontId="16" fillId="4" borderId="11" xfId="3" applyFont="1" applyFill="1" applyBorder="1" applyAlignment="1">
      <alignment horizontal="left" vertical="center" wrapText="1"/>
    </xf>
    <xf numFmtId="0" fontId="16" fillId="4" borderId="12" xfId="3" applyFont="1" applyFill="1" applyBorder="1" applyAlignment="1">
      <alignment horizontal="left" vertical="center" wrapText="1"/>
    </xf>
    <xf numFmtId="0" fontId="16" fillId="4" borderId="13" xfId="3" applyFont="1" applyFill="1" applyBorder="1" applyAlignment="1">
      <alignment horizontal="left" vertical="center" wrapText="1"/>
    </xf>
    <xf numFmtId="0" fontId="16" fillId="0" borderId="3" xfId="3" applyFont="1" applyFill="1" applyBorder="1" applyAlignment="1">
      <alignment horizontal="left" vertical="center" wrapText="1"/>
    </xf>
    <xf numFmtId="0" fontId="16" fillId="0" borderId="4" xfId="3" applyFont="1" applyFill="1" applyBorder="1" applyAlignment="1">
      <alignment horizontal="left" vertical="center" wrapText="1"/>
    </xf>
    <xf numFmtId="0" fontId="16" fillId="0" borderId="5" xfId="3" applyFont="1" applyFill="1" applyBorder="1" applyAlignment="1">
      <alignment horizontal="left" vertical="center" wrapText="1"/>
    </xf>
    <xf numFmtId="0" fontId="16" fillId="0" borderId="3" xfId="3" applyFont="1" applyFill="1" applyBorder="1" applyAlignment="1">
      <alignment horizontal="left" vertical="center"/>
    </xf>
    <xf numFmtId="0" fontId="16" fillId="0" borderId="4" xfId="3" applyFont="1" applyFill="1" applyBorder="1" applyAlignment="1">
      <alignment horizontal="left" vertical="center"/>
    </xf>
    <xf numFmtId="0" fontId="16" fillId="0" borderId="5" xfId="3" applyFont="1" applyFill="1" applyBorder="1" applyAlignment="1">
      <alignment horizontal="left" vertical="center"/>
    </xf>
    <xf numFmtId="0" fontId="18" fillId="0" borderId="14" xfId="3" applyFont="1" applyFill="1" applyBorder="1" applyAlignment="1">
      <alignment horizontal="left" vertical="center"/>
    </xf>
    <xf numFmtId="0" fontId="18" fillId="0" borderId="15" xfId="3" applyFont="1" applyFill="1" applyBorder="1" applyAlignment="1">
      <alignment horizontal="left" vertical="center"/>
    </xf>
    <xf numFmtId="0" fontId="18" fillId="0" borderId="16" xfId="3" applyFont="1" applyFill="1" applyBorder="1" applyAlignment="1">
      <alignment horizontal="left" vertical="center"/>
    </xf>
    <xf numFmtId="0" fontId="24" fillId="3" borderId="3" xfId="3" applyFont="1" applyFill="1" applyBorder="1" applyAlignment="1">
      <alignment horizontal="center" vertical="center"/>
    </xf>
    <xf numFmtId="0" fontId="24" fillId="3" borderId="4" xfId="3" applyFont="1" applyFill="1" applyBorder="1" applyAlignment="1">
      <alignment horizontal="center" vertical="center"/>
    </xf>
    <xf numFmtId="0" fontId="24" fillId="3" borderId="5" xfId="3" applyFont="1" applyFill="1" applyBorder="1" applyAlignment="1">
      <alignment horizontal="center" vertical="center"/>
    </xf>
    <xf numFmtId="0" fontId="18" fillId="0" borderId="14" xfId="3" applyFont="1" applyFill="1" applyBorder="1" applyAlignment="1">
      <alignment horizontal="left" vertical="center" wrapText="1"/>
    </xf>
    <xf numFmtId="0" fontId="18" fillId="0" borderId="3" xfId="3" applyFont="1" applyFill="1" applyBorder="1" applyAlignment="1">
      <alignment horizontal="center" vertical="center"/>
    </xf>
    <xf numFmtId="0" fontId="18" fillId="0" borderId="4" xfId="3" applyFont="1" applyFill="1" applyBorder="1" applyAlignment="1">
      <alignment horizontal="center" vertical="center"/>
    </xf>
    <xf numFmtId="0" fontId="18" fillId="0" borderId="5" xfId="3" applyFont="1" applyFill="1" applyBorder="1" applyAlignment="1">
      <alignment horizontal="center" vertical="center"/>
    </xf>
    <xf numFmtId="0" fontId="20" fillId="0" borderId="0" xfId="5" applyFont="1" applyFill="1" applyAlignment="1">
      <alignment horizontal="center" vertical="center" wrapText="1"/>
    </xf>
    <xf numFmtId="0" fontId="18" fillId="0" borderId="0" xfId="2" applyFont="1" applyFill="1" applyAlignment="1">
      <alignment horizontal="center" vertical="center"/>
    </xf>
    <xf numFmtId="0" fontId="20" fillId="0" borderId="0" xfId="2" applyFont="1" applyFill="1" applyAlignment="1">
      <alignment horizontal="center"/>
    </xf>
    <xf numFmtId="0" fontId="20" fillId="0" borderId="0" xfId="2" applyFont="1" applyFill="1" applyAlignment="1">
      <alignment horizontal="center" vertical="center"/>
    </xf>
    <xf numFmtId="0" fontId="21" fillId="0" borderId="0" xfId="2" applyFont="1" applyFill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4" borderId="0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16" fillId="4" borderId="2" xfId="3" applyFont="1" applyFill="1" applyBorder="1" applyAlignment="1">
      <alignment horizontal="left" vertical="center" wrapText="1"/>
    </xf>
    <xf numFmtId="0" fontId="18" fillId="0" borderId="2" xfId="3" applyFont="1" applyFill="1" applyBorder="1" applyAlignment="1">
      <alignment horizontal="left" vertical="center" wrapText="1"/>
    </xf>
    <xf numFmtId="0" fontId="16" fillId="4" borderId="2" xfId="3" applyFont="1" applyFill="1" applyBorder="1" applyAlignment="1">
      <alignment horizontal="left" vertical="center"/>
    </xf>
    <xf numFmtId="0" fontId="18" fillId="0" borderId="2" xfId="3" applyFont="1" applyFill="1" applyBorder="1" applyAlignment="1">
      <alignment horizontal="left" vertical="center"/>
    </xf>
    <xf numFmtId="0" fontId="18" fillId="0" borderId="18" xfId="3" applyFont="1" applyFill="1" applyBorder="1" applyAlignment="1">
      <alignment horizontal="left" vertical="center" wrapText="1"/>
    </xf>
    <xf numFmtId="0" fontId="18" fillId="0" borderId="7" xfId="3" applyFont="1" applyFill="1" applyBorder="1" applyAlignment="1">
      <alignment horizontal="left" vertical="center"/>
    </xf>
    <xf numFmtId="0" fontId="18" fillId="0" borderId="19" xfId="3" applyFont="1" applyFill="1" applyBorder="1" applyAlignment="1">
      <alignment horizontal="left" vertical="center"/>
    </xf>
    <xf numFmtId="0" fontId="1" fillId="0" borderId="0" xfId="2" applyFont="1" applyAlignment="1">
      <alignment horizontal="center" wrapText="1"/>
    </xf>
    <xf numFmtId="0" fontId="1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2" fillId="0" borderId="0" xfId="2" applyFont="1" applyAlignment="1">
      <alignment horizontal="center"/>
    </xf>
    <xf numFmtId="0" fontId="6" fillId="0" borderId="2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6" fillId="0" borderId="0" xfId="2" applyFont="1" applyAlignment="1">
      <alignment horizontal="center"/>
    </xf>
    <xf numFmtId="0" fontId="6" fillId="0" borderId="0" xfId="2" applyFont="1" applyAlignment="1">
      <alignment horizontal="center" vertical="center"/>
    </xf>
    <xf numFmtId="0" fontId="12" fillId="0" borderId="0" xfId="2" applyFont="1" applyAlignment="1">
      <alignment horizontal="center"/>
    </xf>
    <xf numFmtId="0" fontId="1" fillId="0" borderId="0" xfId="2" applyFont="1" applyAlignment="1">
      <alignment horizontal="center" vertical="top"/>
    </xf>
    <xf numFmtId="0" fontId="6" fillId="0" borderId="2" xfId="2" applyFont="1" applyBorder="1" applyAlignment="1">
      <alignment horizontal="center"/>
    </xf>
    <xf numFmtId="0" fontId="7" fillId="0" borderId="0" xfId="2" applyFont="1" applyAlignment="1">
      <alignment horizontal="center"/>
    </xf>
  </cellXfs>
  <cellStyles count="7">
    <cellStyle name="Bình thường 2" xfId="1" xr:uid="{00000000-0005-0000-0000-000000000000}"/>
    <cellStyle name="Normal" xfId="0" builtinId="0"/>
    <cellStyle name="Normal 16" xfId="3" xr:uid="{00000000-0005-0000-0000-000002000000}"/>
    <cellStyle name="Normal 17" xfId="4" xr:uid="{00000000-0005-0000-0000-000003000000}"/>
    <cellStyle name="Normal 2" xfId="2" xr:uid="{00000000-0005-0000-0000-000004000000}"/>
    <cellStyle name="Normal 23" xfId="5" xr:uid="{00000000-0005-0000-0000-000005000000}"/>
    <cellStyle name="Normal 3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2840182</xdr:colOff>
      <xdr:row>1</xdr:row>
      <xdr:rowOff>241435</xdr:rowOff>
    </xdr:from>
    <xdr:to>
      <xdr:col>3</xdr:col>
      <xdr:colOff>33820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V="1">
          <a:off x="3164032" y="450985"/>
          <a:ext cx="65121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674172</xdr:colOff>
      <xdr:row>2</xdr:row>
      <xdr:rowOff>82880</xdr:rowOff>
    </xdr:from>
    <xdr:to>
      <xdr:col>15</xdr:col>
      <xdr:colOff>406978</xdr:colOff>
      <xdr:row>2</xdr:row>
      <xdr:rowOff>96487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4199672" y="530555"/>
          <a:ext cx="1656856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2511136</xdr:colOff>
      <xdr:row>1</xdr:row>
      <xdr:rowOff>241435</xdr:rowOff>
    </xdr:from>
    <xdr:to>
      <xdr:col>2</xdr:col>
      <xdr:colOff>189683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2840181" y="449253"/>
          <a:ext cx="657275" cy="10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674172</xdr:colOff>
      <xdr:row>2</xdr:row>
      <xdr:rowOff>82880</xdr:rowOff>
    </xdr:from>
    <xdr:to>
      <xdr:col>15</xdr:col>
      <xdr:colOff>406978</xdr:colOff>
      <xdr:row>2</xdr:row>
      <xdr:rowOff>96487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1411445" y="533153"/>
          <a:ext cx="1672442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17319</xdr:colOff>
      <xdr:row>30</xdr:row>
      <xdr:rowOff>17318</xdr:rowOff>
    </xdr:from>
    <xdr:to>
      <xdr:col>24</xdr:col>
      <xdr:colOff>952500</xdr:colOff>
      <xdr:row>34</xdr:row>
      <xdr:rowOff>277091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24349364" y="9438409"/>
          <a:ext cx="935181" cy="15759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34636</xdr:colOff>
      <xdr:row>30</xdr:row>
      <xdr:rowOff>34637</xdr:rowOff>
    </xdr:from>
    <xdr:to>
      <xdr:col>30</xdr:col>
      <xdr:colOff>969817</xdr:colOff>
      <xdr:row>34</xdr:row>
      <xdr:rowOff>294410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30289500" y="9455728"/>
          <a:ext cx="935181" cy="15759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31174</xdr:colOff>
      <xdr:row>45</xdr:row>
      <xdr:rowOff>13854</xdr:rowOff>
    </xdr:from>
    <xdr:to>
      <xdr:col>24</xdr:col>
      <xdr:colOff>966355</xdr:colOff>
      <xdr:row>49</xdr:row>
      <xdr:rowOff>273627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4363219" y="14370627"/>
          <a:ext cx="935181" cy="15759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62345</xdr:colOff>
      <xdr:row>45</xdr:row>
      <xdr:rowOff>45027</xdr:rowOff>
    </xdr:from>
    <xdr:to>
      <xdr:col>31</xdr:col>
      <xdr:colOff>10390</xdr:colOff>
      <xdr:row>49</xdr:row>
      <xdr:rowOff>304800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30317209" y="14401800"/>
          <a:ext cx="935181" cy="157595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10392</xdr:colOff>
      <xdr:row>59</xdr:row>
      <xdr:rowOff>10391</xdr:rowOff>
    </xdr:from>
    <xdr:to>
      <xdr:col>25</xdr:col>
      <xdr:colOff>0</xdr:colOff>
      <xdr:row>63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24342437" y="18973800"/>
          <a:ext cx="976745" cy="13057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17318</xdr:colOff>
      <xdr:row>59</xdr:row>
      <xdr:rowOff>0</xdr:rowOff>
    </xdr:from>
    <xdr:to>
      <xdr:col>31</xdr:col>
      <xdr:colOff>6927</xdr:colOff>
      <xdr:row>62</xdr:row>
      <xdr:rowOff>318655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30272182" y="18963409"/>
          <a:ext cx="976745" cy="130579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659947</xdr:colOff>
      <xdr:row>1</xdr:row>
      <xdr:rowOff>240846</xdr:rowOff>
    </xdr:from>
    <xdr:to>
      <xdr:col>2</xdr:col>
      <xdr:colOff>206829</xdr:colOff>
      <xdr:row>1</xdr:row>
      <xdr:rowOff>240847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V="1">
          <a:off x="1272268" y="444953"/>
          <a:ext cx="825954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108858</xdr:colOff>
      <xdr:row>2</xdr:row>
      <xdr:rowOff>54428</xdr:rowOff>
    </xdr:from>
    <xdr:to>
      <xdr:col>8</xdr:col>
      <xdr:colOff>176893</xdr:colOff>
      <xdr:row>2</xdr:row>
      <xdr:rowOff>68035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4191001" y="503464"/>
          <a:ext cx="1292678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659947</xdr:colOff>
      <xdr:row>1</xdr:row>
      <xdr:rowOff>240846</xdr:rowOff>
    </xdr:from>
    <xdr:to>
      <xdr:col>2</xdr:col>
      <xdr:colOff>206829</xdr:colOff>
      <xdr:row>1</xdr:row>
      <xdr:rowOff>240847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flipV="1">
          <a:off x="1012372" y="450396"/>
          <a:ext cx="823232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108858</xdr:colOff>
      <xdr:row>2</xdr:row>
      <xdr:rowOff>54428</xdr:rowOff>
    </xdr:from>
    <xdr:to>
      <xdr:col>8</xdr:col>
      <xdr:colOff>176893</xdr:colOff>
      <xdr:row>2</xdr:row>
      <xdr:rowOff>68035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>
          <a:off x="4176033" y="502103"/>
          <a:ext cx="1287235" cy="1360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E78"/>
  <sheetViews>
    <sheetView zoomScale="55" zoomScaleNormal="55" workbookViewId="0">
      <pane xSplit="6" ySplit="6" topLeftCell="G25" activePane="bottomRight" state="frozen"/>
      <selection pane="topRight" activeCell="G1" sqref="G1"/>
      <selection pane="bottomLeft" activeCell="A7" sqref="A7"/>
      <selection pane="bottomRight" activeCell="S43" sqref="A41:S43"/>
    </sheetView>
  </sheetViews>
  <sheetFormatPr defaultColWidth="9.140625" defaultRowHeight="15.75"/>
  <cols>
    <col min="1" max="1" width="4.85546875" style="29" customWidth="1"/>
    <col min="2" max="2" width="44.5703125" style="29" bestFit="1" customWidth="1"/>
    <col min="3" max="3" width="7.28515625" style="29" customWidth="1"/>
    <col min="4" max="4" width="6.7109375" style="29" customWidth="1"/>
    <col min="5" max="5" width="13.7109375" style="29" customWidth="1"/>
    <col min="6" max="6" width="19.42578125" style="29" customWidth="1"/>
    <col min="7" max="7" width="19.7109375" style="10" customWidth="1"/>
    <col min="8" max="19" width="14.42578125" style="29" customWidth="1"/>
    <col min="20" max="20" width="14.42578125" style="79" customWidth="1"/>
    <col min="21" max="25" width="14.85546875" style="29" customWidth="1"/>
    <col min="26" max="26" width="14.85546875" style="79" customWidth="1"/>
    <col min="27" max="31" width="14.85546875" style="29" customWidth="1"/>
    <col min="32" max="16384" width="9.140625" style="29"/>
  </cols>
  <sheetData>
    <row r="1" spans="1:31" ht="16.5">
      <c r="A1" s="140" t="s">
        <v>177</v>
      </c>
      <c r="B1" s="140"/>
      <c r="C1" s="140"/>
      <c r="D1" s="140"/>
      <c r="E1" s="140"/>
      <c r="F1" s="140"/>
      <c r="G1" s="39"/>
      <c r="I1" s="35"/>
      <c r="M1" s="141" t="s">
        <v>16</v>
      </c>
      <c r="N1" s="141"/>
      <c r="O1" s="141"/>
      <c r="P1" s="141"/>
      <c r="Q1" s="141"/>
    </row>
    <row r="2" spans="1:31" ht="18.75">
      <c r="A2" s="142" t="s">
        <v>132</v>
      </c>
      <c r="B2" s="142"/>
      <c r="C2" s="142"/>
      <c r="D2" s="142"/>
      <c r="E2" s="142"/>
      <c r="F2" s="142"/>
      <c r="G2" s="40"/>
      <c r="I2" s="36"/>
      <c r="M2" s="143" t="s">
        <v>28</v>
      </c>
      <c r="N2" s="143"/>
      <c r="O2" s="143"/>
      <c r="P2" s="143"/>
      <c r="Q2" s="143"/>
      <c r="U2" s="144" t="s">
        <v>185</v>
      </c>
      <c r="V2" s="144"/>
      <c r="W2" s="144"/>
      <c r="X2" s="144"/>
      <c r="Y2" s="144"/>
      <c r="AA2" s="144" t="s">
        <v>182</v>
      </c>
      <c r="AB2" s="144"/>
      <c r="AC2" s="144"/>
      <c r="AD2" s="144"/>
      <c r="AE2" s="144"/>
    </row>
    <row r="3" spans="1:31" ht="16.5">
      <c r="A3" s="142"/>
      <c r="B3" s="142"/>
      <c r="C3" s="37"/>
      <c r="D3" s="37"/>
      <c r="E3" s="38"/>
      <c r="F3" s="38"/>
      <c r="G3" s="6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80"/>
      <c r="U3" s="145"/>
      <c r="V3" s="145"/>
      <c r="W3" s="145"/>
      <c r="X3" s="145"/>
      <c r="Y3" s="145"/>
      <c r="AA3" s="145"/>
      <c r="AB3" s="145"/>
      <c r="AC3" s="145"/>
      <c r="AD3" s="145"/>
      <c r="AE3" s="145"/>
    </row>
    <row r="4" spans="1:31" ht="16.5" customHeight="1">
      <c r="A4" s="139" t="s">
        <v>178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41"/>
    </row>
    <row r="5" spans="1:31" ht="26.25" customHeight="1">
      <c r="A5" s="106" t="s">
        <v>52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</row>
    <row r="6" spans="1:31" ht="26.25" customHeight="1">
      <c r="A6" s="42" t="s">
        <v>0</v>
      </c>
      <c r="B6" s="108" t="s">
        <v>1</v>
      </c>
      <c r="C6" s="109"/>
      <c r="D6" s="109"/>
      <c r="E6" s="109"/>
      <c r="F6" s="110"/>
      <c r="G6" s="43" t="s">
        <v>181</v>
      </c>
      <c r="H6" s="43" t="s">
        <v>162</v>
      </c>
      <c r="I6" s="43" t="s">
        <v>163</v>
      </c>
      <c r="J6" s="43" t="s">
        <v>164</v>
      </c>
      <c r="K6" s="43" t="s">
        <v>165</v>
      </c>
      <c r="L6" s="43" t="s">
        <v>166</v>
      </c>
      <c r="M6" s="43" t="s">
        <v>167</v>
      </c>
      <c r="N6" s="43" t="s">
        <v>168</v>
      </c>
      <c r="O6" s="43" t="s">
        <v>169</v>
      </c>
      <c r="P6" s="43" t="s">
        <v>170</v>
      </c>
      <c r="Q6" s="43" t="s">
        <v>171</v>
      </c>
      <c r="R6" s="43" t="s">
        <v>172</v>
      </c>
      <c r="S6" s="44" t="s">
        <v>173</v>
      </c>
      <c r="T6" s="81"/>
      <c r="U6" s="44" t="s">
        <v>174</v>
      </c>
      <c r="V6" s="44" t="s">
        <v>175</v>
      </c>
      <c r="W6" s="44" t="s">
        <v>179</v>
      </c>
      <c r="X6" s="44" t="s">
        <v>180</v>
      </c>
      <c r="Y6" s="90" t="s">
        <v>2</v>
      </c>
      <c r="AA6" s="44" t="s">
        <v>174</v>
      </c>
      <c r="AB6" s="44" t="s">
        <v>175</v>
      </c>
      <c r="AC6" s="44" t="s">
        <v>179</v>
      </c>
      <c r="AD6" s="44" t="s">
        <v>180</v>
      </c>
      <c r="AE6" s="68" t="s">
        <v>2</v>
      </c>
    </row>
    <row r="7" spans="1:31" ht="26.25" customHeight="1">
      <c r="A7" s="45">
        <v>1</v>
      </c>
      <c r="B7" s="111" t="s">
        <v>53</v>
      </c>
      <c r="C7" s="112"/>
      <c r="D7" s="112"/>
      <c r="E7" s="112"/>
      <c r="F7" s="113"/>
      <c r="G7" s="27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82"/>
      <c r="U7" s="31">
        <f>SUM(H7:J7)</f>
        <v>0</v>
      </c>
      <c r="V7" s="31">
        <f>SUM(K7:M7)</f>
        <v>0</v>
      </c>
      <c r="W7" s="31">
        <f>SUM(N7:P7)</f>
        <v>0</v>
      </c>
      <c r="X7" s="31">
        <f>SUM(Q7:S7)</f>
        <v>0</v>
      </c>
      <c r="Y7" s="91">
        <f>SUM(U7:X7)</f>
        <v>0</v>
      </c>
      <c r="AA7" s="31">
        <f>SUM(G7:I7)</f>
        <v>0</v>
      </c>
      <c r="AB7" s="31">
        <f>SUM(J7:L7)</f>
        <v>0</v>
      </c>
      <c r="AC7" s="31">
        <f>SUM(M7:O7)</f>
        <v>0</v>
      </c>
      <c r="AD7" s="31">
        <f>SUM(P7:R7)</f>
        <v>0</v>
      </c>
      <c r="AE7" s="55">
        <f>SUM(AA7:AD7)</f>
        <v>0</v>
      </c>
    </row>
    <row r="8" spans="1:31" ht="26.25" customHeight="1">
      <c r="A8" s="45">
        <v>2</v>
      </c>
      <c r="B8" s="100" t="s">
        <v>54</v>
      </c>
      <c r="C8" s="101"/>
      <c r="D8" s="101"/>
      <c r="E8" s="101"/>
      <c r="F8" s="102"/>
      <c r="G8" s="27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82"/>
      <c r="U8" s="31">
        <f>SUM(H8:J8)</f>
        <v>0</v>
      </c>
      <c r="V8" s="31">
        <f t="shared" ref="V8:V11" si="0">SUM(K8:M8)</f>
        <v>0</v>
      </c>
      <c r="W8" s="31">
        <f t="shared" ref="W8:W11" si="1">SUM(N8:P8)</f>
        <v>0</v>
      </c>
      <c r="X8" s="31">
        <f t="shared" ref="X8:X11" si="2">SUM(Q8:S8)</f>
        <v>0</v>
      </c>
      <c r="Y8" s="91">
        <f t="shared" ref="Y8:Y11" si="3">SUM(U8:X8)</f>
        <v>0</v>
      </c>
      <c r="AA8" s="31">
        <f t="shared" ref="AA8:AA11" si="4">SUM(G8:I8)</f>
        <v>0</v>
      </c>
      <c r="AB8" s="31">
        <f t="shared" ref="AB8:AB11" si="5">SUM(J8:L8)</f>
        <v>0</v>
      </c>
      <c r="AC8" s="31">
        <f t="shared" ref="AC8:AC11" si="6">SUM(M8:O8)</f>
        <v>0</v>
      </c>
      <c r="AD8" s="31">
        <f t="shared" ref="AD8:AD11" si="7">SUM(P8:R8)</f>
        <v>0</v>
      </c>
      <c r="AE8" s="55">
        <f t="shared" ref="AE8:AE11" si="8">SUM(AA8:AD8)</f>
        <v>0</v>
      </c>
    </row>
    <row r="9" spans="1:31" ht="26.25" customHeight="1">
      <c r="A9" s="45">
        <v>3</v>
      </c>
      <c r="B9" s="111" t="s">
        <v>55</v>
      </c>
      <c r="C9" s="112"/>
      <c r="D9" s="112"/>
      <c r="E9" s="112"/>
      <c r="F9" s="113"/>
      <c r="G9" s="27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82"/>
      <c r="U9" s="31">
        <f>SUM(H9:J9)</f>
        <v>0</v>
      </c>
      <c r="V9" s="31">
        <f t="shared" si="0"/>
        <v>0</v>
      </c>
      <c r="W9" s="31">
        <f t="shared" si="1"/>
        <v>0</v>
      </c>
      <c r="X9" s="31">
        <f t="shared" si="2"/>
        <v>0</v>
      </c>
      <c r="Y9" s="91">
        <f t="shared" si="3"/>
        <v>0</v>
      </c>
      <c r="AA9" s="31">
        <f t="shared" si="4"/>
        <v>0</v>
      </c>
      <c r="AB9" s="31">
        <f t="shared" si="5"/>
        <v>0</v>
      </c>
      <c r="AC9" s="31">
        <f t="shared" si="6"/>
        <v>0</v>
      </c>
      <c r="AD9" s="31">
        <f t="shared" si="7"/>
        <v>0</v>
      </c>
      <c r="AE9" s="55">
        <f t="shared" si="8"/>
        <v>0</v>
      </c>
    </row>
    <row r="10" spans="1:31" ht="26.25" customHeight="1">
      <c r="A10" s="45">
        <v>4</v>
      </c>
      <c r="B10" s="100" t="s">
        <v>9</v>
      </c>
      <c r="C10" s="101"/>
      <c r="D10" s="101"/>
      <c r="E10" s="101"/>
      <c r="F10" s="102"/>
      <c r="G10" s="12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82"/>
      <c r="U10" s="31">
        <f t="shared" ref="U10:U11" si="9">SUM(H10:J10)</f>
        <v>0</v>
      </c>
      <c r="V10" s="31">
        <f t="shared" si="0"/>
        <v>0</v>
      </c>
      <c r="W10" s="31">
        <f t="shared" si="1"/>
        <v>0</v>
      </c>
      <c r="X10" s="31">
        <f t="shared" si="2"/>
        <v>0</v>
      </c>
      <c r="Y10" s="91">
        <f t="shared" si="3"/>
        <v>0</v>
      </c>
      <c r="AA10" s="31">
        <f t="shared" si="4"/>
        <v>0</v>
      </c>
      <c r="AB10" s="31">
        <f t="shared" si="5"/>
        <v>0</v>
      </c>
      <c r="AC10" s="31">
        <f t="shared" si="6"/>
        <v>0</v>
      </c>
      <c r="AD10" s="31">
        <f t="shared" si="7"/>
        <v>0</v>
      </c>
      <c r="AE10" s="55">
        <f t="shared" si="8"/>
        <v>0</v>
      </c>
    </row>
    <row r="11" spans="1:31" ht="26.25" customHeight="1">
      <c r="A11" s="45">
        <v>5</v>
      </c>
      <c r="B11" s="100" t="s">
        <v>10</v>
      </c>
      <c r="C11" s="101"/>
      <c r="D11" s="101"/>
      <c r="E11" s="101"/>
      <c r="F11" s="102"/>
      <c r="G11" s="12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82"/>
      <c r="U11" s="31">
        <f t="shared" si="9"/>
        <v>0</v>
      </c>
      <c r="V11" s="31">
        <f t="shared" si="0"/>
        <v>0</v>
      </c>
      <c r="W11" s="31">
        <f t="shared" si="1"/>
        <v>0</v>
      </c>
      <c r="X11" s="31">
        <f t="shared" si="2"/>
        <v>0</v>
      </c>
      <c r="Y11" s="91">
        <f t="shared" si="3"/>
        <v>0</v>
      </c>
      <c r="AA11" s="31">
        <f t="shared" si="4"/>
        <v>0</v>
      </c>
      <c r="AB11" s="31">
        <f t="shared" si="5"/>
        <v>0</v>
      </c>
      <c r="AC11" s="31">
        <f t="shared" si="6"/>
        <v>0</v>
      </c>
      <c r="AD11" s="31">
        <f t="shared" si="7"/>
        <v>0</v>
      </c>
      <c r="AE11" s="55">
        <f t="shared" si="8"/>
        <v>0</v>
      </c>
    </row>
    <row r="12" spans="1:31" ht="26.25" customHeight="1">
      <c r="A12" s="106" t="s">
        <v>13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7"/>
    </row>
    <row r="13" spans="1:31" ht="26.25" customHeight="1">
      <c r="A13" s="42" t="s">
        <v>0</v>
      </c>
      <c r="B13" s="46" t="s">
        <v>61</v>
      </c>
      <c r="C13" s="108" t="s">
        <v>62</v>
      </c>
      <c r="D13" s="109"/>
      <c r="E13" s="109"/>
      <c r="F13" s="110"/>
      <c r="G13" s="43" t="s">
        <v>181</v>
      </c>
      <c r="H13" s="42" t="s">
        <v>14</v>
      </c>
      <c r="I13" s="42" t="s">
        <v>14</v>
      </c>
      <c r="J13" s="42" t="s">
        <v>14</v>
      </c>
      <c r="K13" s="42" t="s">
        <v>14</v>
      </c>
      <c r="L13" s="42" t="s">
        <v>14</v>
      </c>
      <c r="M13" s="42" t="s">
        <v>14</v>
      </c>
      <c r="N13" s="42" t="s">
        <v>14</v>
      </c>
      <c r="O13" s="42" t="s">
        <v>14</v>
      </c>
      <c r="P13" s="42" t="s">
        <v>14</v>
      </c>
      <c r="Q13" s="42" t="s">
        <v>14</v>
      </c>
      <c r="R13" s="42" t="s">
        <v>14</v>
      </c>
      <c r="S13" s="42" t="s">
        <v>14</v>
      </c>
      <c r="T13" s="83"/>
      <c r="U13" s="44" t="s">
        <v>174</v>
      </c>
      <c r="V13" s="44" t="s">
        <v>175</v>
      </c>
      <c r="W13" s="44" t="s">
        <v>179</v>
      </c>
      <c r="X13" s="44" t="s">
        <v>180</v>
      </c>
      <c r="Y13" s="90" t="s">
        <v>2</v>
      </c>
      <c r="AA13" s="44" t="s">
        <v>174</v>
      </c>
      <c r="AB13" s="44" t="s">
        <v>175</v>
      </c>
      <c r="AC13" s="44" t="s">
        <v>179</v>
      </c>
      <c r="AD13" s="44" t="s">
        <v>180</v>
      </c>
      <c r="AE13" s="68" t="s">
        <v>2</v>
      </c>
    </row>
    <row r="14" spans="1:31" ht="26.25" customHeight="1">
      <c r="A14" s="45">
        <v>1</v>
      </c>
      <c r="B14" s="47" t="s">
        <v>134</v>
      </c>
      <c r="C14" s="136" t="s">
        <v>135</v>
      </c>
      <c r="D14" s="137"/>
      <c r="E14" s="137"/>
      <c r="F14" s="138"/>
      <c r="G14" s="72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83"/>
      <c r="U14" s="31">
        <f>SUM(H14:J14)</f>
        <v>0</v>
      </c>
      <c r="V14" s="31">
        <f t="shared" ref="V14:V15" si="10">SUM(K14:M14)</f>
        <v>0</v>
      </c>
      <c r="W14" s="31">
        <f t="shared" ref="W14:W15" si="11">SUM(N14:P14)</f>
        <v>0</v>
      </c>
      <c r="X14" s="31">
        <f t="shared" ref="X14:X15" si="12">SUM(Q14:S14)</f>
        <v>0</v>
      </c>
      <c r="Y14" s="91">
        <f>SUM(U14:X14)</f>
        <v>0</v>
      </c>
      <c r="AA14" s="31">
        <f>SUM(G14:I14)</f>
        <v>0</v>
      </c>
      <c r="AB14" s="31">
        <f>SUM(J14:L14)</f>
        <v>0</v>
      </c>
      <c r="AC14" s="31">
        <f>SUM(M14:O14)</f>
        <v>0</v>
      </c>
      <c r="AD14" s="31">
        <f>SUM(P14:R14)</f>
        <v>0</v>
      </c>
      <c r="AE14" s="55">
        <f>SUM(AA14:AD14)</f>
        <v>0</v>
      </c>
    </row>
    <row r="15" spans="1:31" ht="26.25" customHeight="1">
      <c r="A15" s="45">
        <v>2</v>
      </c>
      <c r="B15" s="47" t="s">
        <v>134</v>
      </c>
      <c r="C15" s="136" t="s">
        <v>136</v>
      </c>
      <c r="D15" s="137"/>
      <c r="E15" s="137"/>
      <c r="F15" s="138"/>
      <c r="G15" s="72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83"/>
      <c r="U15" s="31">
        <f>SUM(H15:J15)</f>
        <v>0</v>
      </c>
      <c r="V15" s="31">
        <f t="shared" si="10"/>
        <v>0</v>
      </c>
      <c r="W15" s="31">
        <f t="shared" si="11"/>
        <v>0</v>
      </c>
      <c r="X15" s="31">
        <f t="shared" si="12"/>
        <v>0</v>
      </c>
      <c r="Y15" s="91">
        <f>SUM(U15:X15)</f>
        <v>0</v>
      </c>
      <c r="AA15" s="31">
        <f>SUM(G15:I15)</f>
        <v>0</v>
      </c>
      <c r="AB15" s="31">
        <f>SUM(J15:L15)</f>
        <v>0</v>
      </c>
      <c r="AC15" s="31">
        <f>SUM(M15:O15)</f>
        <v>0</v>
      </c>
      <c r="AD15" s="31">
        <f>SUM(P15:R15)</f>
        <v>0</v>
      </c>
      <c r="AE15" s="55">
        <f>SUM(AA15:AD15)</f>
        <v>0</v>
      </c>
    </row>
    <row r="16" spans="1:31" ht="26.25" customHeight="1">
      <c r="A16" s="106" t="s">
        <v>15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7"/>
    </row>
    <row r="17" spans="1:31" ht="26.25" customHeight="1">
      <c r="A17" s="42" t="s">
        <v>0</v>
      </c>
      <c r="B17" s="108" t="s">
        <v>1</v>
      </c>
      <c r="C17" s="109"/>
      <c r="D17" s="109"/>
      <c r="E17" s="109"/>
      <c r="F17" s="110"/>
      <c r="G17" s="43" t="s">
        <v>181</v>
      </c>
      <c r="H17" s="43" t="s">
        <v>162</v>
      </c>
      <c r="I17" s="43" t="s">
        <v>163</v>
      </c>
      <c r="J17" s="43" t="s">
        <v>164</v>
      </c>
      <c r="K17" s="43" t="s">
        <v>165</v>
      </c>
      <c r="L17" s="43" t="s">
        <v>166</v>
      </c>
      <c r="M17" s="43" t="s">
        <v>167</v>
      </c>
      <c r="N17" s="43" t="s">
        <v>168</v>
      </c>
      <c r="O17" s="43" t="s">
        <v>169</v>
      </c>
      <c r="P17" s="43" t="s">
        <v>170</v>
      </c>
      <c r="Q17" s="43" t="s">
        <v>171</v>
      </c>
      <c r="R17" s="43" t="s">
        <v>172</v>
      </c>
      <c r="S17" s="44" t="s">
        <v>173</v>
      </c>
      <c r="T17" s="81"/>
      <c r="U17" s="44" t="s">
        <v>174</v>
      </c>
      <c r="V17" s="44" t="s">
        <v>175</v>
      </c>
      <c r="W17" s="44" t="s">
        <v>179</v>
      </c>
      <c r="X17" s="44" t="s">
        <v>180</v>
      </c>
      <c r="Y17" s="90" t="s">
        <v>2</v>
      </c>
      <c r="AA17" s="44" t="s">
        <v>174</v>
      </c>
      <c r="AB17" s="44" t="s">
        <v>175</v>
      </c>
      <c r="AC17" s="44" t="s">
        <v>179</v>
      </c>
      <c r="AD17" s="44" t="s">
        <v>180</v>
      </c>
      <c r="AE17" s="68" t="s">
        <v>2</v>
      </c>
    </row>
    <row r="18" spans="1:31" s="62" customFormat="1" ht="26.25" customHeight="1">
      <c r="A18" s="67">
        <v>1</v>
      </c>
      <c r="B18" s="117" t="s">
        <v>22</v>
      </c>
      <c r="C18" s="118"/>
      <c r="D18" s="118"/>
      <c r="E18" s="118"/>
      <c r="F18" s="119"/>
      <c r="G18" s="60">
        <f>SUM(F19:G21)</f>
        <v>0</v>
      </c>
      <c r="H18" s="60">
        <f>SUM(F19:H21)</f>
        <v>0</v>
      </c>
      <c r="I18" s="60">
        <f t="shared" ref="I18:S18" si="13">SUM(H19:I21)</f>
        <v>0</v>
      </c>
      <c r="J18" s="60">
        <f t="shared" si="13"/>
        <v>0</v>
      </c>
      <c r="K18" s="60">
        <f t="shared" si="13"/>
        <v>0</v>
      </c>
      <c r="L18" s="60">
        <f t="shared" si="13"/>
        <v>0</v>
      </c>
      <c r="M18" s="60">
        <f t="shared" si="13"/>
        <v>0</v>
      </c>
      <c r="N18" s="60">
        <f t="shared" si="13"/>
        <v>0</v>
      </c>
      <c r="O18" s="60">
        <f t="shared" si="13"/>
        <v>0</v>
      </c>
      <c r="P18" s="60">
        <f t="shared" si="13"/>
        <v>0</v>
      </c>
      <c r="Q18" s="60">
        <f t="shared" si="13"/>
        <v>0</v>
      </c>
      <c r="R18" s="60">
        <f t="shared" si="13"/>
        <v>0</v>
      </c>
      <c r="S18" s="60">
        <f t="shared" si="13"/>
        <v>0</v>
      </c>
      <c r="T18" s="84"/>
      <c r="U18" s="60">
        <f>SUM(U19:U21)</f>
        <v>0</v>
      </c>
      <c r="V18" s="60">
        <f>SUM(V19:V21)</f>
        <v>0</v>
      </c>
      <c r="W18" s="60">
        <f>SUM(W19:W21)</f>
        <v>0</v>
      </c>
      <c r="X18" s="60">
        <f>SUM(X19:X21)</f>
        <v>0</v>
      </c>
      <c r="Y18" s="76">
        <f>SUM(U18:X18)</f>
        <v>0</v>
      </c>
      <c r="Z18" s="93"/>
      <c r="AA18" s="31">
        <f>SUM(G18:I18)</f>
        <v>0</v>
      </c>
      <c r="AB18" s="31">
        <f>SUM(J18:L18)</f>
        <v>0</v>
      </c>
      <c r="AC18" s="31">
        <f>SUM(M18:O18)</f>
        <v>0</v>
      </c>
      <c r="AD18" s="31">
        <f>SUM(P18:R18)</f>
        <v>0</v>
      </c>
      <c r="AE18" s="61">
        <f>SUM(AA18:AD18)</f>
        <v>0</v>
      </c>
    </row>
    <row r="19" spans="1:31" ht="26.25" customHeight="1">
      <c r="A19" s="50" t="s">
        <v>5</v>
      </c>
      <c r="B19" s="111" t="s">
        <v>142</v>
      </c>
      <c r="C19" s="101"/>
      <c r="D19" s="101"/>
      <c r="E19" s="101"/>
      <c r="F19" s="102"/>
      <c r="G19" s="13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85"/>
      <c r="U19" s="31">
        <f>SUM(H19:J19)</f>
        <v>0</v>
      </c>
      <c r="V19" s="31">
        <f t="shared" ref="V19:V21" si="14">SUM(K19:M19)</f>
        <v>0</v>
      </c>
      <c r="W19" s="31">
        <f t="shared" ref="W19:W21" si="15">SUM(N19:P19)</f>
        <v>0</v>
      </c>
      <c r="X19" s="31">
        <f t="shared" ref="X19:X21" si="16">SUM(Q19:S19)</f>
        <v>0</v>
      </c>
      <c r="Y19" s="91">
        <f t="shared" ref="Y19:Y30" si="17">SUM(U19:X19)</f>
        <v>0</v>
      </c>
      <c r="AA19" s="31">
        <f t="shared" ref="AA19:AA30" si="18">SUM(G19:I19)</f>
        <v>0</v>
      </c>
      <c r="AB19" s="31">
        <f t="shared" ref="AB19:AB30" si="19">SUM(J19:L19)</f>
        <v>0</v>
      </c>
      <c r="AC19" s="31">
        <f t="shared" ref="AC19:AC30" si="20">SUM(M19:O19)</f>
        <v>0</v>
      </c>
      <c r="AD19" s="31">
        <f t="shared" ref="AD19:AD30" si="21">SUM(P19:R19)</f>
        <v>0</v>
      </c>
      <c r="AE19" s="55">
        <f t="shared" ref="AE19:AE30" si="22">SUM(AA19:AD19)</f>
        <v>0</v>
      </c>
    </row>
    <row r="20" spans="1:31" ht="26.25" customHeight="1">
      <c r="A20" s="50" t="s">
        <v>6</v>
      </c>
      <c r="B20" s="111" t="s">
        <v>143</v>
      </c>
      <c r="C20" s="101"/>
      <c r="D20" s="101"/>
      <c r="E20" s="101"/>
      <c r="F20" s="102"/>
      <c r="G20" s="14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85"/>
      <c r="U20" s="31">
        <f t="shared" ref="U20:U30" si="23">SUM(H20:J20)</f>
        <v>0</v>
      </c>
      <c r="V20" s="31">
        <f t="shared" si="14"/>
        <v>0</v>
      </c>
      <c r="W20" s="31">
        <f t="shared" si="15"/>
        <v>0</v>
      </c>
      <c r="X20" s="31">
        <f t="shared" si="16"/>
        <v>0</v>
      </c>
      <c r="Y20" s="91">
        <f t="shared" si="17"/>
        <v>0</v>
      </c>
      <c r="AA20" s="31">
        <f t="shared" si="18"/>
        <v>0</v>
      </c>
      <c r="AB20" s="31">
        <f t="shared" si="19"/>
        <v>0</v>
      </c>
      <c r="AC20" s="31">
        <f t="shared" si="20"/>
        <v>0</v>
      </c>
      <c r="AD20" s="31">
        <f t="shared" si="21"/>
        <v>0</v>
      </c>
      <c r="AE20" s="55">
        <f t="shared" si="22"/>
        <v>0</v>
      </c>
    </row>
    <row r="21" spans="1:31" ht="26.25" customHeight="1">
      <c r="A21" s="51" t="s">
        <v>67</v>
      </c>
      <c r="B21" s="111" t="s">
        <v>144</v>
      </c>
      <c r="C21" s="101"/>
      <c r="D21" s="101"/>
      <c r="E21" s="101"/>
      <c r="F21" s="102"/>
      <c r="G21" s="13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85"/>
      <c r="U21" s="31">
        <f t="shared" si="23"/>
        <v>0</v>
      </c>
      <c r="V21" s="31">
        <f t="shared" si="14"/>
        <v>0</v>
      </c>
      <c r="W21" s="31">
        <f t="shared" si="15"/>
        <v>0</v>
      </c>
      <c r="X21" s="31">
        <f t="shared" si="16"/>
        <v>0</v>
      </c>
      <c r="Y21" s="91">
        <f t="shared" si="17"/>
        <v>0</v>
      </c>
      <c r="AA21" s="31">
        <f t="shared" si="18"/>
        <v>0</v>
      </c>
      <c r="AB21" s="31">
        <f t="shared" si="19"/>
        <v>0</v>
      </c>
      <c r="AC21" s="31">
        <f t="shared" si="20"/>
        <v>0</v>
      </c>
      <c r="AD21" s="31">
        <f t="shared" si="21"/>
        <v>0</v>
      </c>
      <c r="AE21" s="55">
        <f t="shared" si="22"/>
        <v>0</v>
      </c>
    </row>
    <row r="22" spans="1:31" s="62" customFormat="1" ht="26.25" customHeight="1">
      <c r="A22" s="67">
        <v>2</v>
      </c>
      <c r="B22" s="117" t="s">
        <v>25</v>
      </c>
      <c r="C22" s="118"/>
      <c r="D22" s="118"/>
      <c r="E22" s="118"/>
      <c r="F22" s="119"/>
      <c r="G22" s="60">
        <f t="shared" ref="G22:X22" si="24">G23+G24+G25</f>
        <v>0</v>
      </c>
      <c r="H22" s="60">
        <f t="shared" si="24"/>
        <v>0</v>
      </c>
      <c r="I22" s="60">
        <f t="shared" si="24"/>
        <v>0</v>
      </c>
      <c r="J22" s="60">
        <f t="shared" si="24"/>
        <v>0</v>
      </c>
      <c r="K22" s="60">
        <f t="shared" si="24"/>
        <v>0</v>
      </c>
      <c r="L22" s="60">
        <f t="shared" si="24"/>
        <v>0</v>
      </c>
      <c r="M22" s="60">
        <f t="shared" si="24"/>
        <v>0</v>
      </c>
      <c r="N22" s="60">
        <f t="shared" si="24"/>
        <v>0</v>
      </c>
      <c r="O22" s="60">
        <f t="shared" si="24"/>
        <v>0</v>
      </c>
      <c r="P22" s="60">
        <f t="shared" si="24"/>
        <v>0</v>
      </c>
      <c r="Q22" s="60">
        <f t="shared" si="24"/>
        <v>0</v>
      </c>
      <c r="R22" s="60">
        <f t="shared" si="24"/>
        <v>0</v>
      </c>
      <c r="S22" s="60">
        <f t="shared" si="24"/>
        <v>0</v>
      </c>
      <c r="T22" s="84"/>
      <c r="U22" s="60">
        <f t="shared" si="24"/>
        <v>0</v>
      </c>
      <c r="V22" s="60">
        <f t="shared" si="24"/>
        <v>0</v>
      </c>
      <c r="W22" s="60">
        <f t="shared" si="24"/>
        <v>0</v>
      </c>
      <c r="X22" s="60">
        <f t="shared" si="24"/>
        <v>0</v>
      </c>
      <c r="Y22" s="76">
        <f t="shared" si="17"/>
        <v>0</v>
      </c>
      <c r="Z22" s="93"/>
      <c r="AA22" s="31">
        <f t="shared" si="18"/>
        <v>0</v>
      </c>
      <c r="AB22" s="31">
        <f t="shared" si="19"/>
        <v>0</v>
      </c>
      <c r="AC22" s="31">
        <f t="shared" si="20"/>
        <v>0</v>
      </c>
      <c r="AD22" s="31">
        <f t="shared" si="21"/>
        <v>0</v>
      </c>
      <c r="AE22" s="61">
        <f t="shared" si="22"/>
        <v>0</v>
      </c>
    </row>
    <row r="23" spans="1:31" ht="26.25" customHeight="1">
      <c r="A23" s="50" t="s">
        <v>68</v>
      </c>
      <c r="B23" s="100" t="s">
        <v>63</v>
      </c>
      <c r="C23" s="101"/>
      <c r="D23" s="101"/>
      <c r="E23" s="101"/>
      <c r="F23" s="102"/>
      <c r="G23" s="13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85"/>
      <c r="U23" s="31">
        <f t="shared" si="23"/>
        <v>0</v>
      </c>
      <c r="V23" s="31">
        <f t="shared" ref="V23" si="25">SUM(K23:M23)</f>
        <v>0</v>
      </c>
      <c r="W23" s="31">
        <f t="shared" ref="W23" si="26">SUM(N23:P23)</f>
        <v>0</v>
      </c>
      <c r="X23" s="31">
        <f t="shared" ref="X23:X26" si="27">SUM(Q23:S23)</f>
        <v>0</v>
      </c>
      <c r="Y23" s="91">
        <f t="shared" si="17"/>
        <v>0</v>
      </c>
      <c r="AA23" s="31">
        <f t="shared" si="18"/>
        <v>0</v>
      </c>
      <c r="AB23" s="31">
        <f t="shared" si="19"/>
        <v>0</v>
      </c>
      <c r="AC23" s="31">
        <f t="shared" si="20"/>
        <v>0</v>
      </c>
      <c r="AD23" s="31">
        <f t="shared" si="21"/>
        <v>0</v>
      </c>
      <c r="AE23" s="55">
        <f t="shared" si="22"/>
        <v>0</v>
      </c>
    </row>
    <row r="24" spans="1:31" ht="26.25" customHeight="1">
      <c r="A24" s="50" t="s">
        <v>69</v>
      </c>
      <c r="B24" s="100" t="s">
        <v>64</v>
      </c>
      <c r="C24" s="101"/>
      <c r="D24" s="101"/>
      <c r="E24" s="101"/>
      <c r="F24" s="102"/>
      <c r="G24" s="13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85"/>
      <c r="U24" s="31">
        <f t="shared" si="23"/>
        <v>0</v>
      </c>
      <c r="V24" s="31">
        <f t="shared" ref="V24:V26" si="28">SUM(K24:M24)</f>
        <v>0</v>
      </c>
      <c r="W24" s="31">
        <f>SUM(N24:P24)</f>
        <v>0</v>
      </c>
      <c r="X24" s="31">
        <f t="shared" si="27"/>
        <v>0</v>
      </c>
      <c r="Y24" s="91">
        <f t="shared" si="17"/>
        <v>0</v>
      </c>
      <c r="AA24" s="31">
        <f t="shared" si="18"/>
        <v>0</v>
      </c>
      <c r="AB24" s="31">
        <f t="shared" si="19"/>
        <v>0</v>
      </c>
      <c r="AC24" s="31">
        <f t="shared" si="20"/>
        <v>0</v>
      </c>
      <c r="AD24" s="31">
        <f t="shared" si="21"/>
        <v>0</v>
      </c>
      <c r="AE24" s="55">
        <f t="shared" si="22"/>
        <v>0</v>
      </c>
    </row>
    <row r="25" spans="1:31" ht="26.25" customHeight="1">
      <c r="A25" s="51" t="s">
        <v>70</v>
      </c>
      <c r="B25" s="100" t="s">
        <v>65</v>
      </c>
      <c r="C25" s="101"/>
      <c r="D25" s="101"/>
      <c r="E25" s="101"/>
      <c r="F25" s="102"/>
      <c r="G25" s="13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85"/>
      <c r="U25" s="31">
        <f>SUM(H25:J25)</f>
        <v>0</v>
      </c>
      <c r="V25" s="31">
        <f t="shared" si="28"/>
        <v>0</v>
      </c>
      <c r="W25" s="31">
        <f t="shared" ref="W25:W26" si="29">SUM(N25:P25)</f>
        <v>0</v>
      </c>
      <c r="X25" s="31">
        <f t="shared" si="27"/>
        <v>0</v>
      </c>
      <c r="Y25" s="91">
        <f t="shared" si="17"/>
        <v>0</v>
      </c>
      <c r="AA25" s="31">
        <f t="shared" si="18"/>
        <v>0</v>
      </c>
      <c r="AB25" s="31">
        <f t="shared" si="19"/>
        <v>0</v>
      </c>
      <c r="AC25" s="31">
        <f t="shared" si="20"/>
        <v>0</v>
      </c>
      <c r="AD25" s="31">
        <f t="shared" si="21"/>
        <v>0</v>
      </c>
      <c r="AE25" s="55">
        <f t="shared" si="22"/>
        <v>0</v>
      </c>
    </row>
    <row r="26" spans="1:31" s="62" customFormat="1" ht="26.25" customHeight="1">
      <c r="A26" s="59">
        <v>3</v>
      </c>
      <c r="B26" s="117" t="s">
        <v>21</v>
      </c>
      <c r="C26" s="118"/>
      <c r="D26" s="118"/>
      <c r="E26" s="118"/>
      <c r="F26" s="119"/>
      <c r="G26" s="61">
        <v>0</v>
      </c>
      <c r="H26" s="61">
        <v>0</v>
      </c>
      <c r="I26" s="61">
        <v>0</v>
      </c>
      <c r="J26" s="61">
        <v>3</v>
      </c>
      <c r="K26" s="61">
        <v>0</v>
      </c>
      <c r="L26" s="61">
        <v>0</v>
      </c>
      <c r="M26" s="61"/>
      <c r="N26" s="61"/>
      <c r="O26" s="61"/>
      <c r="P26" s="61"/>
      <c r="Q26" s="61"/>
      <c r="R26" s="61"/>
      <c r="S26" s="61"/>
      <c r="T26" s="86"/>
      <c r="U26" s="61">
        <f t="shared" si="23"/>
        <v>3</v>
      </c>
      <c r="V26" s="61">
        <f t="shared" si="28"/>
        <v>0</v>
      </c>
      <c r="W26" s="61">
        <f t="shared" si="29"/>
        <v>0</v>
      </c>
      <c r="X26" s="61">
        <f t="shared" si="27"/>
        <v>0</v>
      </c>
      <c r="Y26" s="76">
        <f t="shared" si="17"/>
        <v>3</v>
      </c>
      <c r="Z26" s="93"/>
      <c r="AA26" s="31">
        <f t="shared" si="18"/>
        <v>0</v>
      </c>
      <c r="AB26" s="31">
        <f t="shared" si="19"/>
        <v>3</v>
      </c>
      <c r="AC26" s="31">
        <f t="shared" si="20"/>
        <v>0</v>
      </c>
      <c r="AD26" s="31">
        <f t="shared" si="21"/>
        <v>0</v>
      </c>
      <c r="AE26" s="61">
        <f t="shared" si="22"/>
        <v>3</v>
      </c>
    </row>
    <row r="27" spans="1:31" s="62" customFormat="1" ht="26.25" customHeight="1">
      <c r="A27" s="67">
        <v>4</v>
      </c>
      <c r="B27" s="117" t="s">
        <v>3</v>
      </c>
      <c r="C27" s="118"/>
      <c r="D27" s="118"/>
      <c r="E27" s="118"/>
      <c r="F27" s="119"/>
      <c r="G27" s="60">
        <f t="shared" ref="G27:X27" si="30">G28+G29+G30</f>
        <v>0</v>
      </c>
      <c r="H27" s="60">
        <f t="shared" si="30"/>
        <v>0</v>
      </c>
      <c r="I27" s="60">
        <f t="shared" si="30"/>
        <v>0</v>
      </c>
      <c r="J27" s="60">
        <f t="shared" si="30"/>
        <v>0</v>
      </c>
      <c r="K27" s="60">
        <f t="shared" si="30"/>
        <v>0</v>
      </c>
      <c r="L27" s="60">
        <f t="shared" si="30"/>
        <v>0</v>
      </c>
      <c r="M27" s="60">
        <f t="shared" si="30"/>
        <v>0</v>
      </c>
      <c r="N27" s="60">
        <f t="shared" si="30"/>
        <v>0</v>
      </c>
      <c r="O27" s="60">
        <f t="shared" si="30"/>
        <v>0</v>
      </c>
      <c r="P27" s="60">
        <f t="shared" si="30"/>
        <v>0</v>
      </c>
      <c r="Q27" s="60">
        <f t="shared" si="30"/>
        <v>0</v>
      </c>
      <c r="R27" s="60">
        <f t="shared" si="30"/>
        <v>0</v>
      </c>
      <c r="S27" s="60">
        <f t="shared" si="30"/>
        <v>0</v>
      </c>
      <c r="T27" s="84"/>
      <c r="U27" s="60">
        <f t="shared" si="30"/>
        <v>0</v>
      </c>
      <c r="V27" s="60">
        <f t="shared" si="30"/>
        <v>0</v>
      </c>
      <c r="W27" s="60">
        <f t="shared" si="30"/>
        <v>0</v>
      </c>
      <c r="X27" s="60">
        <f t="shared" si="30"/>
        <v>0</v>
      </c>
      <c r="Y27" s="76">
        <f t="shared" si="17"/>
        <v>0</v>
      </c>
      <c r="Z27" s="93"/>
      <c r="AA27" s="31">
        <f t="shared" si="18"/>
        <v>0</v>
      </c>
      <c r="AB27" s="31">
        <f t="shared" si="19"/>
        <v>0</v>
      </c>
      <c r="AC27" s="31">
        <f t="shared" si="20"/>
        <v>0</v>
      </c>
      <c r="AD27" s="31">
        <f t="shared" si="21"/>
        <v>0</v>
      </c>
      <c r="AE27" s="61">
        <f t="shared" si="22"/>
        <v>0</v>
      </c>
    </row>
    <row r="28" spans="1:31" ht="26.25" customHeight="1">
      <c r="A28" s="50" t="s">
        <v>71</v>
      </c>
      <c r="B28" s="100" t="s">
        <v>66</v>
      </c>
      <c r="C28" s="101"/>
      <c r="D28" s="101"/>
      <c r="E28" s="101"/>
      <c r="F28" s="102"/>
      <c r="G28" s="13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85"/>
      <c r="U28" s="31">
        <f t="shared" si="23"/>
        <v>0</v>
      </c>
      <c r="V28" s="31">
        <f t="shared" ref="V28" si="31">SUM(K28:M28)</f>
        <v>0</v>
      </c>
      <c r="W28" s="31">
        <f t="shared" ref="W28:W30" si="32">SUM(N28:P28)</f>
        <v>0</v>
      </c>
      <c r="X28" s="31">
        <f t="shared" ref="X28:X30" si="33">SUM(Q28:S28)</f>
        <v>0</v>
      </c>
      <c r="Y28" s="91">
        <f t="shared" si="17"/>
        <v>0</v>
      </c>
      <c r="AA28" s="31">
        <f t="shared" si="18"/>
        <v>0</v>
      </c>
      <c r="AB28" s="31">
        <f t="shared" si="19"/>
        <v>0</v>
      </c>
      <c r="AC28" s="31">
        <f t="shared" si="20"/>
        <v>0</v>
      </c>
      <c r="AD28" s="31">
        <f t="shared" si="21"/>
        <v>0</v>
      </c>
      <c r="AE28" s="55">
        <f t="shared" si="22"/>
        <v>0</v>
      </c>
    </row>
    <row r="29" spans="1:31" ht="26.25" customHeight="1">
      <c r="A29" s="50" t="s">
        <v>72</v>
      </c>
      <c r="B29" s="111" t="s">
        <v>139</v>
      </c>
      <c r="C29" s="101"/>
      <c r="D29" s="101"/>
      <c r="E29" s="101"/>
      <c r="F29" s="102"/>
      <c r="G29" s="13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85"/>
      <c r="U29" s="31">
        <f t="shared" si="23"/>
        <v>0</v>
      </c>
      <c r="V29" s="31">
        <f t="shared" ref="V29:V30" si="34">SUM(K29:M29)</f>
        <v>0</v>
      </c>
      <c r="W29" s="31">
        <f t="shared" si="32"/>
        <v>0</v>
      </c>
      <c r="X29" s="31">
        <f t="shared" si="33"/>
        <v>0</v>
      </c>
      <c r="Y29" s="91">
        <f t="shared" si="17"/>
        <v>0</v>
      </c>
      <c r="AA29" s="31">
        <f t="shared" si="18"/>
        <v>0</v>
      </c>
      <c r="AB29" s="31">
        <f t="shared" si="19"/>
        <v>0</v>
      </c>
      <c r="AC29" s="31">
        <f t="shared" si="20"/>
        <v>0</v>
      </c>
      <c r="AD29" s="31">
        <f t="shared" si="21"/>
        <v>0</v>
      </c>
      <c r="AE29" s="55">
        <f t="shared" si="22"/>
        <v>0</v>
      </c>
    </row>
    <row r="30" spans="1:31" ht="26.25" customHeight="1" thickBot="1">
      <c r="A30" s="50" t="s">
        <v>73</v>
      </c>
      <c r="B30" s="135" t="s">
        <v>140</v>
      </c>
      <c r="C30" s="130"/>
      <c r="D30" s="130"/>
      <c r="E30" s="130"/>
      <c r="F30" s="131"/>
      <c r="G30" s="15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1"/>
      <c r="T30" s="85"/>
      <c r="U30" s="31">
        <f t="shared" si="23"/>
        <v>0</v>
      </c>
      <c r="V30" s="31">
        <f t="shared" si="34"/>
        <v>0</v>
      </c>
      <c r="W30" s="31">
        <f t="shared" si="32"/>
        <v>0</v>
      </c>
      <c r="X30" s="31">
        <f t="shared" si="33"/>
        <v>0</v>
      </c>
      <c r="Y30" s="91">
        <f t="shared" si="17"/>
        <v>0</v>
      </c>
      <c r="AA30" s="31">
        <f t="shared" si="18"/>
        <v>0</v>
      </c>
      <c r="AB30" s="31">
        <f t="shared" si="19"/>
        <v>0</v>
      </c>
      <c r="AC30" s="31">
        <f t="shared" si="20"/>
        <v>0</v>
      </c>
      <c r="AD30" s="31">
        <f t="shared" si="21"/>
        <v>0</v>
      </c>
      <c r="AE30" s="55">
        <f t="shared" si="22"/>
        <v>0</v>
      </c>
    </row>
    <row r="31" spans="1:31" s="62" customFormat="1" ht="26.25" customHeight="1" thickTop="1">
      <c r="A31" s="65">
        <v>5</v>
      </c>
      <c r="B31" s="120" t="s">
        <v>56</v>
      </c>
      <c r="C31" s="121"/>
      <c r="D31" s="121"/>
      <c r="E31" s="121"/>
      <c r="F31" s="122"/>
      <c r="G31" s="66">
        <f t="shared" ref="G31:S31" si="35">G32+G33+G34</f>
        <v>0</v>
      </c>
      <c r="H31" s="66">
        <f t="shared" si="35"/>
        <v>0</v>
      </c>
      <c r="I31" s="66">
        <f t="shared" si="35"/>
        <v>0</v>
      </c>
      <c r="J31" s="66">
        <f t="shared" si="35"/>
        <v>0</v>
      </c>
      <c r="K31" s="66">
        <f t="shared" si="35"/>
        <v>0</v>
      </c>
      <c r="L31" s="66">
        <f t="shared" si="35"/>
        <v>0</v>
      </c>
      <c r="M31" s="66">
        <f t="shared" si="35"/>
        <v>0</v>
      </c>
      <c r="N31" s="66">
        <f t="shared" si="35"/>
        <v>0</v>
      </c>
      <c r="O31" s="66">
        <f t="shared" si="35"/>
        <v>0</v>
      </c>
      <c r="P31" s="66">
        <f>P32+P33+P34</f>
        <v>0</v>
      </c>
      <c r="Q31" s="66">
        <f t="shared" si="35"/>
        <v>0</v>
      </c>
      <c r="R31" s="66">
        <f t="shared" si="35"/>
        <v>0</v>
      </c>
      <c r="S31" s="60">
        <f t="shared" si="35"/>
        <v>0</v>
      </c>
      <c r="T31" s="84"/>
      <c r="U31" s="60">
        <f>SUM(U32:U34)</f>
        <v>0</v>
      </c>
      <c r="V31" s="60">
        <f t="shared" ref="V31:W31" si="36">SUM(V32:V34)</f>
        <v>0</v>
      </c>
      <c r="W31" s="60">
        <f t="shared" si="36"/>
        <v>0</v>
      </c>
      <c r="X31" s="60">
        <f>SUM(X32:X34)</f>
        <v>0</v>
      </c>
      <c r="Y31" s="75"/>
      <c r="Z31" s="93"/>
      <c r="AA31" s="60">
        <f>SUM(AA32:AA34)</f>
        <v>0</v>
      </c>
      <c r="AB31" s="60">
        <f>SUM(AB32:AB34)</f>
        <v>0</v>
      </c>
      <c r="AC31" s="60">
        <f t="shared" ref="AC31" si="37">SUM(AC32:AC34)</f>
        <v>0</v>
      </c>
      <c r="AD31" s="60">
        <f>SUM(AD32:AD34)</f>
        <v>0</v>
      </c>
      <c r="AE31" s="60"/>
    </row>
    <row r="32" spans="1:31" ht="26.25" customHeight="1">
      <c r="A32" s="52" t="s">
        <v>7</v>
      </c>
      <c r="B32" s="111" t="s">
        <v>77</v>
      </c>
      <c r="C32" s="112"/>
      <c r="D32" s="112"/>
      <c r="E32" s="112"/>
      <c r="F32" s="113"/>
      <c r="G32" s="13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85"/>
      <c r="U32" s="53">
        <f>J32</f>
        <v>0</v>
      </c>
      <c r="V32" s="53">
        <f>M32</f>
        <v>0</v>
      </c>
      <c r="W32" s="53">
        <f>P32</f>
        <v>0</v>
      </c>
      <c r="X32" s="53">
        <f>S32</f>
        <v>0</v>
      </c>
      <c r="Y32" s="75"/>
      <c r="AA32" s="53">
        <f>I32</f>
        <v>0</v>
      </c>
      <c r="AB32" s="53">
        <f>L32</f>
        <v>0</v>
      </c>
      <c r="AC32" s="53">
        <f>O32</f>
        <v>0</v>
      </c>
      <c r="AD32" s="53">
        <f>R32</f>
        <v>0</v>
      </c>
      <c r="AE32" s="55"/>
    </row>
    <row r="33" spans="1:31" ht="26.25" customHeight="1">
      <c r="A33" s="52" t="s">
        <v>8</v>
      </c>
      <c r="B33" s="111" t="s">
        <v>78</v>
      </c>
      <c r="C33" s="112"/>
      <c r="D33" s="112"/>
      <c r="E33" s="112"/>
      <c r="F33" s="113"/>
      <c r="G33" s="13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85"/>
      <c r="U33" s="53">
        <f t="shared" ref="U33:U35" si="38">J33</f>
        <v>0</v>
      </c>
      <c r="V33" s="53">
        <f t="shared" ref="V33:V35" si="39">M33</f>
        <v>0</v>
      </c>
      <c r="W33" s="53">
        <f t="shared" ref="W33:W35" si="40">P33</f>
        <v>0</v>
      </c>
      <c r="X33" s="53">
        <f t="shared" ref="X33:X35" si="41">S33</f>
        <v>0</v>
      </c>
      <c r="Y33" s="75"/>
      <c r="AA33" s="53">
        <f>I33</f>
        <v>0</v>
      </c>
      <c r="AB33" s="53">
        <f t="shared" ref="AB33:AB35" si="42">L33</f>
        <v>0</v>
      </c>
      <c r="AC33" s="53">
        <f t="shared" ref="AC33:AC35" si="43">O33</f>
        <v>0</v>
      </c>
      <c r="AD33" s="53">
        <f t="shared" ref="AD33:AD35" si="44">R33</f>
        <v>0</v>
      </c>
      <c r="AE33" s="55"/>
    </row>
    <row r="34" spans="1:31" ht="26.25" customHeight="1">
      <c r="A34" s="52" t="s">
        <v>79</v>
      </c>
      <c r="B34" s="111" t="s">
        <v>141</v>
      </c>
      <c r="C34" s="112"/>
      <c r="D34" s="112"/>
      <c r="E34" s="112"/>
      <c r="F34" s="113"/>
      <c r="G34" s="13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85"/>
      <c r="U34" s="53">
        <f t="shared" si="38"/>
        <v>0</v>
      </c>
      <c r="V34" s="53">
        <f t="shared" si="39"/>
        <v>0</v>
      </c>
      <c r="W34" s="53">
        <f t="shared" si="40"/>
        <v>0</v>
      </c>
      <c r="X34" s="53">
        <f t="shared" si="41"/>
        <v>0</v>
      </c>
      <c r="Y34" s="75"/>
      <c r="AA34" s="53">
        <f>I34</f>
        <v>0</v>
      </c>
      <c r="AB34" s="53">
        <f t="shared" si="42"/>
        <v>0</v>
      </c>
      <c r="AC34" s="53">
        <f t="shared" si="43"/>
        <v>0</v>
      </c>
      <c r="AD34" s="53">
        <f t="shared" si="44"/>
        <v>0</v>
      </c>
      <c r="AE34" s="55"/>
    </row>
    <row r="35" spans="1:31" ht="26.25" customHeight="1">
      <c r="A35" s="52">
        <v>6</v>
      </c>
      <c r="B35" s="111" t="s">
        <v>57</v>
      </c>
      <c r="C35" s="112"/>
      <c r="D35" s="112"/>
      <c r="E35" s="112"/>
      <c r="F35" s="113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86"/>
      <c r="U35" s="53">
        <f t="shared" si="38"/>
        <v>0</v>
      </c>
      <c r="V35" s="53">
        <f t="shared" si="39"/>
        <v>0</v>
      </c>
      <c r="W35" s="53">
        <f t="shared" si="40"/>
        <v>0</v>
      </c>
      <c r="X35" s="53">
        <f t="shared" si="41"/>
        <v>0</v>
      </c>
      <c r="Y35" s="75"/>
      <c r="AA35" s="53">
        <f>I35</f>
        <v>0</v>
      </c>
      <c r="AB35" s="53">
        <f t="shared" si="42"/>
        <v>0</v>
      </c>
      <c r="AC35" s="53">
        <f t="shared" si="43"/>
        <v>0</v>
      </c>
      <c r="AD35" s="53">
        <f t="shared" si="44"/>
        <v>0</v>
      </c>
      <c r="AE35" s="56"/>
    </row>
    <row r="36" spans="1:31" ht="26.25" customHeight="1">
      <c r="A36" s="106" t="s">
        <v>51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7"/>
    </row>
    <row r="37" spans="1:31" ht="26.25" customHeight="1">
      <c r="A37" s="42" t="s">
        <v>0</v>
      </c>
      <c r="B37" s="132" t="s">
        <v>4</v>
      </c>
      <c r="C37" s="133"/>
      <c r="D37" s="133"/>
      <c r="E37" s="133"/>
      <c r="F37" s="134"/>
      <c r="G37" s="43" t="s">
        <v>181</v>
      </c>
      <c r="H37" s="43" t="s">
        <v>162</v>
      </c>
      <c r="I37" s="43" t="s">
        <v>163</v>
      </c>
      <c r="J37" s="43" t="s">
        <v>164</v>
      </c>
      <c r="K37" s="43" t="s">
        <v>165</v>
      </c>
      <c r="L37" s="43" t="s">
        <v>166</v>
      </c>
      <c r="M37" s="43" t="s">
        <v>167</v>
      </c>
      <c r="N37" s="43" t="s">
        <v>168</v>
      </c>
      <c r="O37" s="43" t="s">
        <v>169</v>
      </c>
      <c r="P37" s="43" t="s">
        <v>170</v>
      </c>
      <c r="Q37" s="43" t="s">
        <v>171</v>
      </c>
      <c r="R37" s="43" t="s">
        <v>172</v>
      </c>
      <c r="S37" s="44" t="s">
        <v>173</v>
      </c>
      <c r="T37" s="81"/>
      <c r="U37" s="44" t="s">
        <v>174</v>
      </c>
      <c r="V37" s="44" t="s">
        <v>175</v>
      </c>
      <c r="W37" s="44" t="s">
        <v>179</v>
      </c>
      <c r="X37" s="44" t="s">
        <v>180</v>
      </c>
      <c r="Y37" s="90" t="s">
        <v>2</v>
      </c>
      <c r="AA37" s="44" t="s">
        <v>174</v>
      </c>
      <c r="AB37" s="44" t="s">
        <v>175</v>
      </c>
      <c r="AC37" s="44" t="s">
        <v>179</v>
      </c>
      <c r="AD37" s="44" t="s">
        <v>180</v>
      </c>
      <c r="AE37" s="68" t="s">
        <v>2</v>
      </c>
    </row>
    <row r="38" spans="1:31" s="62" customFormat="1" ht="26.25" customHeight="1">
      <c r="A38" s="59">
        <v>1</v>
      </c>
      <c r="B38" s="117" t="s">
        <v>23</v>
      </c>
      <c r="C38" s="118"/>
      <c r="D38" s="118"/>
      <c r="E38" s="118"/>
      <c r="F38" s="119"/>
      <c r="G38" s="60">
        <f t="shared" ref="G38:X38" si="45">G39+G40+G41</f>
        <v>0</v>
      </c>
      <c r="H38" s="60">
        <f t="shared" si="45"/>
        <v>0</v>
      </c>
      <c r="I38" s="60">
        <f t="shared" si="45"/>
        <v>0</v>
      </c>
      <c r="J38" s="60">
        <f t="shared" si="45"/>
        <v>0</v>
      </c>
      <c r="K38" s="60">
        <f t="shared" si="45"/>
        <v>0</v>
      </c>
      <c r="L38" s="60">
        <f t="shared" si="45"/>
        <v>0</v>
      </c>
      <c r="M38" s="60">
        <f t="shared" si="45"/>
        <v>0</v>
      </c>
      <c r="N38" s="60">
        <f t="shared" si="45"/>
        <v>0</v>
      </c>
      <c r="O38" s="60">
        <f t="shared" si="45"/>
        <v>0</v>
      </c>
      <c r="P38" s="60">
        <f t="shared" si="45"/>
        <v>0</v>
      </c>
      <c r="Q38" s="60">
        <f t="shared" si="45"/>
        <v>0</v>
      </c>
      <c r="R38" s="60">
        <f t="shared" si="45"/>
        <v>0</v>
      </c>
      <c r="S38" s="60">
        <f t="shared" si="45"/>
        <v>0</v>
      </c>
      <c r="T38" s="84"/>
      <c r="U38" s="60">
        <f t="shared" si="45"/>
        <v>0</v>
      </c>
      <c r="V38" s="60">
        <f t="shared" si="45"/>
        <v>0</v>
      </c>
      <c r="W38" s="60">
        <f t="shared" si="45"/>
        <v>0</v>
      </c>
      <c r="X38" s="60">
        <f t="shared" si="45"/>
        <v>0</v>
      </c>
      <c r="Y38" s="76">
        <f t="shared" ref="Y38:Y45" si="46">SUM(U38:X38)</f>
        <v>0</v>
      </c>
      <c r="Z38" s="93"/>
      <c r="AA38" s="60">
        <f>AA39+AA40+AA41</f>
        <v>0</v>
      </c>
      <c r="AB38" s="60">
        <f>AB39+AB40+AB41</f>
        <v>0</v>
      </c>
      <c r="AC38" s="60">
        <f>AC39+AC40+AC41</f>
        <v>0</v>
      </c>
      <c r="AD38" s="60">
        <f>AD39+AD40+AD41</f>
        <v>0</v>
      </c>
      <c r="AE38" s="61">
        <f>SUM(AA38:AD38)</f>
        <v>0</v>
      </c>
    </row>
    <row r="39" spans="1:31" ht="26.25" customHeight="1">
      <c r="A39" s="52" t="s">
        <v>5</v>
      </c>
      <c r="B39" s="100" t="s">
        <v>80</v>
      </c>
      <c r="C39" s="101"/>
      <c r="D39" s="101"/>
      <c r="E39" s="101"/>
      <c r="F39" s="102"/>
      <c r="G39" s="16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87"/>
      <c r="U39" s="31">
        <f t="shared" ref="U39:U42" si="47">SUM(H39:J39)</f>
        <v>0</v>
      </c>
      <c r="V39" s="31">
        <f t="shared" ref="V39:V45" si="48">SUM(K39:M39)</f>
        <v>0</v>
      </c>
      <c r="W39" s="31">
        <f t="shared" ref="W39:W45" si="49">SUM(N39:P39)</f>
        <v>0</v>
      </c>
      <c r="X39" s="31">
        <f t="shared" ref="X39:X45" si="50">SUM(Q39:S39)</f>
        <v>0</v>
      </c>
      <c r="Y39" s="91">
        <f t="shared" si="46"/>
        <v>0</v>
      </c>
      <c r="AA39" s="31">
        <f t="shared" ref="AA39:AA41" si="51">SUM(G39:I39)</f>
        <v>0</v>
      </c>
      <c r="AB39" s="31">
        <f t="shared" ref="AB39:AB41" si="52">SUM(J39:L39)</f>
        <v>0</v>
      </c>
      <c r="AC39" s="31">
        <f t="shared" ref="AC39:AC41" si="53">SUM(M39:O39)</f>
        <v>0</v>
      </c>
      <c r="AD39" s="31">
        <f t="shared" ref="AD39:AD41" si="54">SUM(P39:R39)</f>
        <v>0</v>
      </c>
      <c r="AE39" s="55">
        <f>SUM(AA39:AD39)</f>
        <v>0</v>
      </c>
    </row>
    <row r="40" spans="1:31" ht="26.25" customHeight="1">
      <c r="A40" s="52" t="s">
        <v>6</v>
      </c>
      <c r="B40" s="100" t="s">
        <v>81</v>
      </c>
      <c r="C40" s="101"/>
      <c r="D40" s="101"/>
      <c r="E40" s="101"/>
      <c r="F40" s="102"/>
      <c r="G40" s="16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87"/>
      <c r="U40" s="31">
        <f t="shared" si="47"/>
        <v>0</v>
      </c>
      <c r="V40" s="31">
        <f t="shared" si="48"/>
        <v>0</v>
      </c>
      <c r="W40" s="31">
        <f t="shared" si="49"/>
        <v>0</v>
      </c>
      <c r="X40" s="31">
        <f t="shared" si="50"/>
        <v>0</v>
      </c>
      <c r="Y40" s="91">
        <f t="shared" si="46"/>
        <v>0</v>
      </c>
      <c r="AA40" s="31">
        <f t="shared" si="51"/>
        <v>0</v>
      </c>
      <c r="AB40" s="31">
        <f t="shared" si="52"/>
        <v>0</v>
      </c>
      <c r="AC40" s="31">
        <f t="shared" si="53"/>
        <v>0</v>
      </c>
      <c r="AD40" s="31">
        <f t="shared" si="54"/>
        <v>0</v>
      </c>
      <c r="AE40" s="55">
        <f>SUM(AA40:AD40)</f>
        <v>0</v>
      </c>
    </row>
    <row r="41" spans="1:31" ht="26.25" customHeight="1">
      <c r="A41" s="52" t="s">
        <v>67</v>
      </c>
      <c r="B41" s="111" t="s">
        <v>145</v>
      </c>
      <c r="C41" s="101"/>
      <c r="D41" s="101"/>
      <c r="E41" s="101"/>
      <c r="F41" s="102"/>
      <c r="G41" s="16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87"/>
      <c r="U41" s="31">
        <f t="shared" si="47"/>
        <v>0</v>
      </c>
      <c r="V41" s="31">
        <f t="shared" si="48"/>
        <v>0</v>
      </c>
      <c r="W41" s="31">
        <f t="shared" si="49"/>
        <v>0</v>
      </c>
      <c r="X41" s="31">
        <f t="shared" si="50"/>
        <v>0</v>
      </c>
      <c r="Y41" s="91">
        <f t="shared" si="46"/>
        <v>0</v>
      </c>
      <c r="AA41" s="31">
        <f t="shared" si="51"/>
        <v>0</v>
      </c>
      <c r="AB41" s="31">
        <f t="shared" si="52"/>
        <v>0</v>
      </c>
      <c r="AC41" s="31">
        <f t="shared" si="53"/>
        <v>0</v>
      </c>
      <c r="AD41" s="31">
        <f t="shared" si="54"/>
        <v>0</v>
      </c>
      <c r="AE41" s="55">
        <f>SUM(AA41:AD41)</f>
        <v>0</v>
      </c>
    </row>
    <row r="42" spans="1:31" s="62" customFormat="1" ht="26.25" customHeight="1">
      <c r="A42" s="59">
        <v>2</v>
      </c>
      <c r="B42" s="117" t="s">
        <v>26</v>
      </c>
      <c r="C42" s="118"/>
      <c r="D42" s="118"/>
      <c r="E42" s="118"/>
      <c r="F42" s="119"/>
      <c r="G42" s="60">
        <f t="shared" ref="G42:S42" si="55">G43+G44+G45</f>
        <v>0</v>
      </c>
      <c r="H42" s="60">
        <f t="shared" si="55"/>
        <v>0</v>
      </c>
      <c r="I42" s="60">
        <f t="shared" si="55"/>
        <v>0</v>
      </c>
      <c r="J42" s="60">
        <f t="shared" si="55"/>
        <v>0</v>
      </c>
      <c r="K42" s="60">
        <f t="shared" si="55"/>
        <v>0</v>
      </c>
      <c r="L42" s="60">
        <f t="shared" si="55"/>
        <v>0</v>
      </c>
      <c r="M42" s="60">
        <f t="shared" si="55"/>
        <v>0</v>
      </c>
      <c r="N42" s="60">
        <f t="shared" si="55"/>
        <v>0</v>
      </c>
      <c r="O42" s="60">
        <f t="shared" si="55"/>
        <v>0</v>
      </c>
      <c r="P42" s="60">
        <f t="shared" si="55"/>
        <v>0</v>
      </c>
      <c r="Q42" s="60">
        <f t="shared" si="55"/>
        <v>0</v>
      </c>
      <c r="R42" s="60">
        <f t="shared" si="55"/>
        <v>0</v>
      </c>
      <c r="S42" s="60">
        <f t="shared" si="55"/>
        <v>0</v>
      </c>
      <c r="T42" s="84"/>
      <c r="U42" s="61">
        <f t="shared" si="47"/>
        <v>0</v>
      </c>
      <c r="V42" s="61">
        <f t="shared" si="48"/>
        <v>0</v>
      </c>
      <c r="W42" s="61">
        <f t="shared" si="49"/>
        <v>0</v>
      </c>
      <c r="X42" s="61">
        <f t="shared" si="50"/>
        <v>0</v>
      </c>
      <c r="Y42" s="76">
        <f t="shared" si="46"/>
        <v>0</v>
      </c>
      <c r="Z42" s="93"/>
      <c r="AA42" s="61">
        <f>SUM(N42:P42)</f>
        <v>0</v>
      </c>
      <c r="AB42" s="61">
        <f>SUM(Q42:S42)</f>
        <v>0</v>
      </c>
      <c r="AC42" s="61">
        <f t="shared" ref="AC42" si="56">SUM(U42:W42)</f>
        <v>0</v>
      </c>
      <c r="AD42" s="61">
        <f t="shared" ref="AD42" si="57">SUM(X42:Z42)</f>
        <v>0</v>
      </c>
      <c r="AE42" s="61">
        <f t="shared" ref="AE42:AE45" si="58">SUM(AA42:AD42)</f>
        <v>0</v>
      </c>
    </row>
    <row r="43" spans="1:31" ht="26.25" customHeight="1">
      <c r="A43" s="52" t="s">
        <v>68</v>
      </c>
      <c r="B43" s="100" t="s">
        <v>82</v>
      </c>
      <c r="C43" s="101"/>
      <c r="D43" s="101"/>
      <c r="E43" s="101"/>
      <c r="F43" s="102"/>
      <c r="G43" s="16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87"/>
      <c r="U43" s="31">
        <f>SUM(H43:J43)</f>
        <v>0</v>
      </c>
      <c r="V43" s="31">
        <f t="shared" si="48"/>
        <v>0</v>
      </c>
      <c r="W43" s="31">
        <f t="shared" si="49"/>
        <v>0</v>
      </c>
      <c r="X43" s="31">
        <f t="shared" si="50"/>
        <v>0</v>
      </c>
      <c r="Y43" s="91">
        <f t="shared" si="46"/>
        <v>0</v>
      </c>
      <c r="AA43" s="31">
        <f>SUM(G43:I43)</f>
        <v>0</v>
      </c>
      <c r="AB43" s="31">
        <f t="shared" ref="AB43:AB45" si="59">SUM(J43:L43)</f>
        <v>0</v>
      </c>
      <c r="AC43" s="31">
        <f t="shared" ref="AC43:AC45" si="60">SUM(M43:O43)</f>
        <v>0</v>
      </c>
      <c r="AD43" s="31">
        <f t="shared" ref="AD43:AD45" si="61">SUM(P43:R43)</f>
        <v>0</v>
      </c>
      <c r="AE43" s="55">
        <f t="shared" si="58"/>
        <v>0</v>
      </c>
    </row>
    <row r="44" spans="1:31" ht="26.25" customHeight="1">
      <c r="A44" s="52" t="s">
        <v>69</v>
      </c>
      <c r="B44" s="100" t="s">
        <v>83</v>
      </c>
      <c r="C44" s="101"/>
      <c r="D44" s="101"/>
      <c r="E44" s="101"/>
      <c r="F44" s="102"/>
      <c r="G44" s="16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87"/>
      <c r="U44" s="31">
        <f>SUM(H44:J44)</f>
        <v>0</v>
      </c>
      <c r="V44" s="31">
        <f t="shared" si="48"/>
        <v>0</v>
      </c>
      <c r="W44" s="31">
        <f t="shared" si="49"/>
        <v>0</v>
      </c>
      <c r="X44" s="31">
        <f t="shared" si="50"/>
        <v>0</v>
      </c>
      <c r="Y44" s="91">
        <f t="shared" si="46"/>
        <v>0</v>
      </c>
      <c r="AA44" s="31">
        <f t="shared" ref="AA44:AA45" si="62">SUM(G44:I44)</f>
        <v>0</v>
      </c>
      <c r="AB44" s="31">
        <f t="shared" si="59"/>
        <v>0</v>
      </c>
      <c r="AC44" s="31">
        <f t="shared" si="60"/>
        <v>0</v>
      </c>
      <c r="AD44" s="31">
        <f t="shared" si="61"/>
        <v>0</v>
      </c>
      <c r="AE44" s="55">
        <f t="shared" si="58"/>
        <v>0</v>
      </c>
    </row>
    <row r="45" spans="1:31" ht="26.25" customHeight="1" thickBot="1">
      <c r="A45" s="49" t="s">
        <v>70</v>
      </c>
      <c r="B45" s="129" t="s">
        <v>84</v>
      </c>
      <c r="C45" s="130"/>
      <c r="D45" s="130"/>
      <c r="E45" s="130"/>
      <c r="F45" s="131"/>
      <c r="G45" s="17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3"/>
      <c r="T45" s="87"/>
      <c r="U45" s="31">
        <f>SUM(H45:J45)</f>
        <v>0</v>
      </c>
      <c r="V45" s="31">
        <f t="shared" si="48"/>
        <v>0</v>
      </c>
      <c r="W45" s="31">
        <f t="shared" si="49"/>
        <v>0</v>
      </c>
      <c r="X45" s="31">
        <f t="shared" si="50"/>
        <v>0</v>
      </c>
      <c r="Y45" s="91">
        <f t="shared" si="46"/>
        <v>0</v>
      </c>
      <c r="AA45" s="31">
        <f t="shared" si="62"/>
        <v>0</v>
      </c>
      <c r="AB45" s="31">
        <f t="shared" si="59"/>
        <v>0</v>
      </c>
      <c r="AC45" s="31">
        <f t="shared" si="60"/>
        <v>0</v>
      </c>
      <c r="AD45" s="31">
        <f t="shared" si="61"/>
        <v>0</v>
      </c>
      <c r="AE45" s="55">
        <f t="shared" si="58"/>
        <v>0</v>
      </c>
    </row>
    <row r="46" spans="1:31" s="62" customFormat="1" ht="26.25" customHeight="1" thickTop="1">
      <c r="A46" s="65">
        <v>3</v>
      </c>
      <c r="B46" s="120" t="s">
        <v>58</v>
      </c>
      <c r="C46" s="121"/>
      <c r="D46" s="121"/>
      <c r="E46" s="121"/>
      <c r="F46" s="122"/>
      <c r="G46" s="66">
        <f t="shared" ref="G46:R46" si="63">G47+G48+G49</f>
        <v>0</v>
      </c>
      <c r="H46" s="66">
        <f t="shared" si="63"/>
        <v>0</v>
      </c>
      <c r="I46" s="66">
        <f t="shared" si="63"/>
        <v>0</v>
      </c>
      <c r="J46" s="66">
        <f t="shared" si="63"/>
        <v>0</v>
      </c>
      <c r="K46" s="66">
        <f t="shared" si="63"/>
        <v>0</v>
      </c>
      <c r="L46" s="66">
        <f t="shared" si="63"/>
        <v>0</v>
      </c>
      <c r="M46" s="66">
        <f t="shared" si="63"/>
        <v>0</v>
      </c>
      <c r="N46" s="66">
        <f t="shared" si="63"/>
        <v>0</v>
      </c>
      <c r="O46" s="66">
        <f t="shared" si="63"/>
        <v>0</v>
      </c>
      <c r="P46" s="66">
        <f t="shared" si="63"/>
        <v>0</v>
      </c>
      <c r="Q46" s="66">
        <f t="shared" si="63"/>
        <v>0</v>
      </c>
      <c r="R46" s="66">
        <f t="shared" si="63"/>
        <v>0</v>
      </c>
      <c r="S46" s="60">
        <f>S47+S48+S49</f>
        <v>0</v>
      </c>
      <c r="T46" s="84"/>
      <c r="U46" s="60">
        <f>U47+U48+U49</f>
        <v>0</v>
      </c>
      <c r="V46" s="66">
        <f>V47+V48+V49</f>
        <v>0</v>
      </c>
      <c r="W46" s="66">
        <f>W47+W48+W49</f>
        <v>0</v>
      </c>
      <c r="X46" s="66">
        <f>X47+X48+X49</f>
        <v>0</v>
      </c>
      <c r="Y46" s="77"/>
      <c r="Z46" s="93"/>
      <c r="AA46" s="60"/>
      <c r="AB46" s="60"/>
      <c r="AC46" s="60"/>
      <c r="AD46" s="60"/>
      <c r="AE46" s="60"/>
    </row>
    <row r="47" spans="1:31" ht="26.25" customHeight="1">
      <c r="A47" s="52" t="s">
        <v>74</v>
      </c>
      <c r="B47" s="111" t="s">
        <v>85</v>
      </c>
      <c r="C47" s="112"/>
      <c r="D47" s="112"/>
      <c r="E47" s="112"/>
      <c r="F47" s="113"/>
      <c r="G47" s="16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87"/>
      <c r="U47" s="53">
        <f>J47</f>
        <v>0</v>
      </c>
      <c r="V47" s="53">
        <f>M47</f>
        <v>0</v>
      </c>
      <c r="W47" s="53">
        <f>P47</f>
        <v>0</v>
      </c>
      <c r="X47" s="53">
        <f>S47</f>
        <v>0</v>
      </c>
      <c r="Y47" s="91"/>
      <c r="AA47" s="53">
        <f>I47</f>
        <v>0</v>
      </c>
      <c r="AB47" s="53">
        <f>L47</f>
        <v>0</v>
      </c>
      <c r="AC47" s="53">
        <f>O47</f>
        <v>0</v>
      </c>
      <c r="AD47" s="53">
        <f>R47</f>
        <v>0</v>
      </c>
      <c r="AE47" s="55"/>
    </row>
    <row r="48" spans="1:31" ht="26.25" customHeight="1">
      <c r="A48" s="52" t="s">
        <v>75</v>
      </c>
      <c r="B48" s="111" t="s">
        <v>86</v>
      </c>
      <c r="C48" s="112"/>
      <c r="D48" s="112"/>
      <c r="E48" s="112"/>
      <c r="F48" s="113"/>
      <c r="G48" s="18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87"/>
      <c r="U48" s="53">
        <f t="shared" ref="U48:U49" si="64">J48</f>
        <v>0</v>
      </c>
      <c r="V48" s="53">
        <f t="shared" ref="V48" si="65">M48</f>
        <v>0</v>
      </c>
      <c r="W48" s="53">
        <f t="shared" ref="W48:W49" si="66">P48</f>
        <v>0</v>
      </c>
      <c r="X48" s="53">
        <f t="shared" ref="X48:X49" si="67">S48</f>
        <v>0</v>
      </c>
      <c r="Y48" s="91"/>
      <c r="AA48" s="53">
        <f t="shared" ref="AA48:AA49" si="68">I48</f>
        <v>0</v>
      </c>
      <c r="AB48" s="53">
        <f>L48</f>
        <v>0</v>
      </c>
      <c r="AC48" s="53">
        <f t="shared" ref="AC48:AC50" si="69">O48</f>
        <v>0</v>
      </c>
      <c r="AD48" s="53">
        <f t="shared" ref="AD48:AD50" si="70">R48</f>
        <v>0</v>
      </c>
      <c r="AE48" s="55"/>
    </row>
    <row r="49" spans="1:31" ht="26.25" customHeight="1">
      <c r="A49" s="52" t="s">
        <v>76</v>
      </c>
      <c r="B49" s="111" t="s">
        <v>87</v>
      </c>
      <c r="C49" s="112"/>
      <c r="D49" s="112"/>
      <c r="E49" s="112"/>
      <c r="F49" s="113"/>
      <c r="G49" s="16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87"/>
      <c r="U49" s="53">
        <f t="shared" si="64"/>
        <v>0</v>
      </c>
      <c r="V49" s="53">
        <f>M49</f>
        <v>0</v>
      </c>
      <c r="W49" s="53">
        <f t="shared" si="66"/>
        <v>0</v>
      </c>
      <c r="X49" s="53">
        <f t="shared" si="67"/>
        <v>0</v>
      </c>
      <c r="Y49" s="91"/>
      <c r="AA49" s="53">
        <f t="shared" si="68"/>
        <v>0</v>
      </c>
      <c r="AB49" s="53">
        <f>L49</f>
        <v>0</v>
      </c>
      <c r="AC49" s="53">
        <f>O49</f>
        <v>0</v>
      </c>
      <c r="AD49" s="53">
        <f t="shared" si="70"/>
        <v>0</v>
      </c>
      <c r="AE49" s="55"/>
    </row>
    <row r="50" spans="1:31" s="74" customFormat="1" ht="26.25" customHeight="1">
      <c r="A50" s="96">
        <v>4</v>
      </c>
      <c r="B50" s="123" t="s">
        <v>59</v>
      </c>
      <c r="C50" s="124"/>
      <c r="D50" s="124"/>
      <c r="E50" s="124"/>
      <c r="F50" s="125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88"/>
      <c r="U50" s="28">
        <f>J50</f>
        <v>0</v>
      </c>
      <c r="V50" s="73">
        <f>M50</f>
        <v>0</v>
      </c>
      <c r="W50" s="73">
        <f>P50</f>
        <v>0</v>
      </c>
      <c r="X50" s="73">
        <f>S50</f>
        <v>0</v>
      </c>
      <c r="Y50" s="97"/>
      <c r="Z50" s="93"/>
      <c r="AA50" s="31">
        <f>I50</f>
        <v>0</v>
      </c>
      <c r="AB50" s="31">
        <f>L50</f>
        <v>0</v>
      </c>
      <c r="AC50" s="31">
        <f t="shared" si="69"/>
        <v>0</v>
      </c>
      <c r="AD50" s="31">
        <f t="shared" si="70"/>
        <v>0</v>
      </c>
      <c r="AE50" s="73"/>
    </row>
    <row r="51" spans="1:31" s="74" customFormat="1" ht="26.25" customHeight="1">
      <c r="A51" s="96">
        <v>5</v>
      </c>
      <c r="B51" s="126" t="s">
        <v>20</v>
      </c>
      <c r="C51" s="127"/>
      <c r="D51" s="127"/>
      <c r="E51" s="127"/>
      <c r="F51" s="12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88"/>
      <c r="U51" s="28">
        <f>SUM(H51:J51)</f>
        <v>0</v>
      </c>
      <c r="V51" s="28">
        <f t="shared" ref="V51" si="71">SUM(K51:M51)</f>
        <v>0</v>
      </c>
      <c r="W51" s="28">
        <f t="shared" ref="W51" si="72">SUM(N51:P51)</f>
        <v>0</v>
      </c>
      <c r="X51" s="28">
        <f t="shared" ref="X51" si="73">SUM(Q51:S51)</f>
        <v>0</v>
      </c>
      <c r="Y51" s="78">
        <f>SUM(U51:X51)</f>
        <v>0</v>
      </c>
      <c r="Z51" s="93"/>
      <c r="AA51" s="31">
        <f t="shared" ref="AA51" si="74">SUM(G51:I51)</f>
        <v>0</v>
      </c>
      <c r="AB51" s="31">
        <f>SUM(J51:L51)</f>
        <v>0</v>
      </c>
      <c r="AC51" s="31">
        <f t="shared" ref="AC51" si="75">SUM(M51:O51)</f>
        <v>0</v>
      </c>
      <c r="AD51" s="31">
        <f t="shared" ref="AD51" si="76">SUM(P51:R51)</f>
        <v>0</v>
      </c>
      <c r="AE51" s="28">
        <f t="shared" ref="AE51:AE52" si="77">SUM(AA51:AD51)</f>
        <v>0</v>
      </c>
    </row>
    <row r="52" spans="1:31" s="62" customFormat="1" ht="26.25" customHeight="1">
      <c r="A52" s="59">
        <v>6</v>
      </c>
      <c r="B52" s="117" t="s">
        <v>17</v>
      </c>
      <c r="C52" s="118"/>
      <c r="D52" s="118"/>
      <c r="E52" s="118"/>
      <c r="F52" s="119"/>
      <c r="G52" s="60">
        <f t="shared" ref="G52:X52" si="78">G53+G54+G55</f>
        <v>0</v>
      </c>
      <c r="H52" s="60">
        <f t="shared" si="78"/>
        <v>0</v>
      </c>
      <c r="I52" s="60">
        <f t="shared" si="78"/>
        <v>0</v>
      </c>
      <c r="J52" s="60">
        <f t="shared" si="78"/>
        <v>0</v>
      </c>
      <c r="K52" s="60">
        <f t="shared" si="78"/>
        <v>0</v>
      </c>
      <c r="L52" s="60">
        <f t="shared" si="78"/>
        <v>0</v>
      </c>
      <c r="M52" s="60">
        <f t="shared" si="78"/>
        <v>0</v>
      </c>
      <c r="N52" s="60">
        <f t="shared" si="78"/>
        <v>0</v>
      </c>
      <c r="O52" s="60">
        <f t="shared" si="78"/>
        <v>0</v>
      </c>
      <c r="P52" s="60">
        <f t="shared" si="78"/>
        <v>0</v>
      </c>
      <c r="Q52" s="60">
        <f t="shared" si="78"/>
        <v>0</v>
      </c>
      <c r="R52" s="60">
        <f t="shared" si="78"/>
        <v>0</v>
      </c>
      <c r="S52" s="60">
        <f t="shared" si="78"/>
        <v>0</v>
      </c>
      <c r="T52" s="84"/>
      <c r="U52" s="60">
        <f>U53+U54+U55</f>
        <v>0</v>
      </c>
      <c r="V52" s="60">
        <f t="shared" si="78"/>
        <v>0</v>
      </c>
      <c r="W52" s="60">
        <f t="shared" si="78"/>
        <v>0</v>
      </c>
      <c r="X52" s="60">
        <f t="shared" si="78"/>
        <v>0</v>
      </c>
      <c r="Y52" s="76">
        <f t="shared" ref="Y52:Y59" si="79">SUM(U52:X52)</f>
        <v>0</v>
      </c>
      <c r="Z52" s="93"/>
      <c r="AA52" s="60">
        <f>AA53+AA54+AA55</f>
        <v>0</v>
      </c>
      <c r="AB52" s="60">
        <f t="shared" ref="AB52:AD52" si="80">AB53+AB54+AB55</f>
        <v>0</v>
      </c>
      <c r="AC52" s="60">
        <f t="shared" si="80"/>
        <v>0</v>
      </c>
      <c r="AD52" s="60">
        <f t="shared" si="80"/>
        <v>0</v>
      </c>
      <c r="AE52" s="61">
        <f t="shared" si="77"/>
        <v>0</v>
      </c>
    </row>
    <row r="53" spans="1:31" ht="26.25" customHeight="1">
      <c r="A53" s="52" t="s">
        <v>95</v>
      </c>
      <c r="B53" s="100" t="s">
        <v>88</v>
      </c>
      <c r="C53" s="101"/>
      <c r="D53" s="101"/>
      <c r="E53" s="101"/>
      <c r="F53" s="102"/>
      <c r="G53" s="16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87"/>
      <c r="U53" s="31">
        <f>SUM(H53:J53)</f>
        <v>0</v>
      </c>
      <c r="V53" s="31">
        <f t="shared" ref="V53" si="81">SUM(K53:M53)</f>
        <v>0</v>
      </c>
      <c r="W53" s="31">
        <f t="shared" ref="W53:W55" si="82">SUM(N53:P53)</f>
        <v>0</v>
      </c>
      <c r="X53" s="31">
        <f>SUM(Q53:S53)</f>
        <v>0</v>
      </c>
      <c r="Y53" s="91">
        <f t="shared" si="79"/>
        <v>0</v>
      </c>
      <c r="AA53" s="31">
        <f>SUM(G53:I53)</f>
        <v>0</v>
      </c>
      <c r="AB53" s="31">
        <f>SUM(J53:L53)</f>
        <v>0</v>
      </c>
      <c r="AC53" s="31">
        <f>SUM(M53:O53)</f>
        <v>0</v>
      </c>
      <c r="AD53" s="31">
        <f>SUM(P53:R53)</f>
        <v>0</v>
      </c>
      <c r="AE53" s="55">
        <f t="shared" ref="AE53:AE58" si="83">SUM(AA53:AD53)</f>
        <v>0</v>
      </c>
    </row>
    <row r="54" spans="1:31" ht="26.25" customHeight="1">
      <c r="A54" s="52" t="s">
        <v>96</v>
      </c>
      <c r="B54" s="100" t="s">
        <v>89</v>
      </c>
      <c r="C54" s="101"/>
      <c r="D54" s="101"/>
      <c r="E54" s="101"/>
      <c r="F54" s="102"/>
      <c r="G54" s="16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87"/>
      <c r="U54" s="31">
        <f>SUM(H54:J54)</f>
        <v>0</v>
      </c>
      <c r="V54" s="31">
        <f>SUM(K54:M54)</f>
        <v>0</v>
      </c>
      <c r="W54" s="31">
        <f t="shared" si="82"/>
        <v>0</v>
      </c>
      <c r="X54" s="31">
        <f t="shared" ref="X54:X55" si="84">SUM(Q54:S54)</f>
        <v>0</v>
      </c>
      <c r="Y54" s="91">
        <f t="shared" si="79"/>
        <v>0</v>
      </c>
      <c r="AA54" s="31">
        <f t="shared" ref="AA54:AA55" si="85">SUM(G54:I54)</f>
        <v>0</v>
      </c>
      <c r="AB54" s="31">
        <f>SUM(J54:L54)</f>
        <v>0</v>
      </c>
      <c r="AC54" s="31">
        <f>SUM(M54:O54)</f>
        <v>0</v>
      </c>
      <c r="AD54" s="31">
        <f>SUM(P54:R54)</f>
        <v>0</v>
      </c>
      <c r="AE54" s="55">
        <f t="shared" si="83"/>
        <v>0</v>
      </c>
    </row>
    <row r="55" spans="1:31" ht="26.25" customHeight="1">
      <c r="A55" s="52" t="s">
        <v>97</v>
      </c>
      <c r="B55" s="111" t="s">
        <v>184</v>
      </c>
      <c r="C55" s="101"/>
      <c r="D55" s="101"/>
      <c r="E55" s="101"/>
      <c r="F55" s="102"/>
      <c r="G55" s="18"/>
      <c r="H55" s="95"/>
      <c r="I55" s="95"/>
      <c r="J55" s="95"/>
      <c r="K55" s="95"/>
      <c r="L55" s="95"/>
      <c r="M55" s="33"/>
      <c r="N55" s="33"/>
      <c r="O55" s="33"/>
      <c r="P55" s="33"/>
      <c r="Q55" s="33"/>
      <c r="R55" s="33"/>
      <c r="S55" s="33"/>
      <c r="T55" s="87"/>
      <c r="U55" s="31">
        <f>SUM(H55:J55)</f>
        <v>0</v>
      </c>
      <c r="V55" s="31">
        <f>SUM(K55:M55)</f>
        <v>0</v>
      </c>
      <c r="W55" s="31">
        <f t="shared" si="82"/>
        <v>0</v>
      </c>
      <c r="X55" s="31">
        <f t="shared" si="84"/>
        <v>0</v>
      </c>
      <c r="Y55" s="91">
        <f t="shared" si="79"/>
        <v>0</v>
      </c>
      <c r="AA55" s="31">
        <f t="shared" si="85"/>
        <v>0</v>
      </c>
      <c r="AB55" s="31">
        <f>SUM(J55:L55)</f>
        <v>0</v>
      </c>
      <c r="AC55" s="31">
        <f>SUM(M55:O55)</f>
        <v>0</v>
      </c>
      <c r="AD55" s="31">
        <f>SUM(P55:R55)</f>
        <v>0</v>
      </c>
      <c r="AE55" s="55">
        <f t="shared" si="83"/>
        <v>0</v>
      </c>
    </row>
    <row r="56" spans="1:31" s="62" customFormat="1" ht="26.25" customHeight="1">
      <c r="A56" s="59">
        <v>7</v>
      </c>
      <c r="B56" s="117" t="s">
        <v>11</v>
      </c>
      <c r="C56" s="118"/>
      <c r="D56" s="118"/>
      <c r="E56" s="118"/>
      <c r="F56" s="119"/>
      <c r="G56" s="60">
        <f>G57+G58+G59</f>
        <v>0</v>
      </c>
      <c r="H56" s="60">
        <f t="shared" ref="H56:X56" si="86">H57+H58+H59</f>
        <v>0</v>
      </c>
      <c r="I56" s="60">
        <f t="shared" si="86"/>
        <v>0</v>
      </c>
      <c r="J56" s="60">
        <f t="shared" si="86"/>
        <v>0</v>
      </c>
      <c r="K56" s="60">
        <f t="shared" si="86"/>
        <v>0</v>
      </c>
      <c r="L56" s="60">
        <f t="shared" si="86"/>
        <v>0</v>
      </c>
      <c r="M56" s="60">
        <f t="shared" si="86"/>
        <v>0</v>
      </c>
      <c r="N56" s="60">
        <f t="shared" si="86"/>
        <v>0</v>
      </c>
      <c r="O56" s="60">
        <f t="shared" si="86"/>
        <v>0</v>
      </c>
      <c r="P56" s="60">
        <f t="shared" si="86"/>
        <v>0</v>
      </c>
      <c r="Q56" s="60">
        <f t="shared" si="86"/>
        <v>0</v>
      </c>
      <c r="R56" s="60">
        <f t="shared" si="86"/>
        <v>0</v>
      </c>
      <c r="S56" s="60">
        <f t="shared" si="86"/>
        <v>0</v>
      </c>
      <c r="T56" s="84"/>
      <c r="U56" s="60">
        <f t="shared" si="86"/>
        <v>0</v>
      </c>
      <c r="V56" s="60">
        <f t="shared" si="86"/>
        <v>0</v>
      </c>
      <c r="W56" s="60">
        <f t="shared" si="86"/>
        <v>0</v>
      </c>
      <c r="X56" s="60">
        <f t="shared" si="86"/>
        <v>0</v>
      </c>
      <c r="Y56" s="76">
        <f>SUM(U56:X56)</f>
        <v>0</v>
      </c>
      <c r="Z56" s="93"/>
      <c r="AA56" s="60">
        <f>AA57+AA58+AA59</f>
        <v>0</v>
      </c>
      <c r="AB56" s="60">
        <f t="shared" ref="AB56:AD56" si="87">AB57+AB58+AB59</f>
        <v>0</v>
      </c>
      <c r="AC56" s="60">
        <f t="shared" si="87"/>
        <v>0</v>
      </c>
      <c r="AD56" s="60">
        <f t="shared" si="87"/>
        <v>0</v>
      </c>
      <c r="AE56" s="61">
        <f t="shared" si="83"/>
        <v>0</v>
      </c>
    </row>
    <row r="57" spans="1:31" ht="26.25" customHeight="1">
      <c r="A57" s="52" t="s">
        <v>98</v>
      </c>
      <c r="B57" s="100" t="s">
        <v>90</v>
      </c>
      <c r="C57" s="101"/>
      <c r="D57" s="101"/>
      <c r="E57" s="101"/>
      <c r="F57" s="102"/>
      <c r="G57" s="71"/>
      <c r="H57" s="33"/>
      <c r="I57" s="33"/>
      <c r="J57" s="33"/>
      <c r="K57" s="33"/>
      <c r="L57" s="58"/>
      <c r="M57" s="33"/>
      <c r="N57" s="33"/>
      <c r="O57" s="33"/>
      <c r="P57" s="33"/>
      <c r="Q57" s="33"/>
      <c r="R57" s="33"/>
      <c r="S57" s="33"/>
      <c r="T57" s="87"/>
      <c r="U57" s="31">
        <f>SUM(H57:J57)</f>
        <v>0</v>
      </c>
      <c r="V57" s="31">
        <f>SUM(K57:M57)</f>
        <v>0</v>
      </c>
      <c r="W57" s="31">
        <f>SUM(N57:P57)</f>
        <v>0</v>
      </c>
      <c r="X57" s="31">
        <f t="shared" ref="X57:X59" si="88">SUM(Q57:S57)</f>
        <v>0</v>
      </c>
      <c r="Y57" s="91">
        <f>SUM(U57:X57)</f>
        <v>0</v>
      </c>
      <c r="AA57" s="31">
        <f>SUM(G57:I57)</f>
        <v>0</v>
      </c>
      <c r="AB57" s="31">
        <f t="shared" ref="AB57:AB59" si="89">SUM(J57:L57)</f>
        <v>0</v>
      </c>
      <c r="AC57" s="31">
        <f t="shared" ref="AC57:AC59" si="90">SUM(M57:O57)</f>
        <v>0</v>
      </c>
      <c r="AD57" s="31">
        <f t="shared" ref="AD57:AD59" si="91">SUM(P57:R57)</f>
        <v>0</v>
      </c>
      <c r="AE57" s="55">
        <f t="shared" si="83"/>
        <v>0</v>
      </c>
    </row>
    <row r="58" spans="1:31" ht="26.25" customHeight="1">
      <c r="A58" s="52" t="s">
        <v>99</v>
      </c>
      <c r="B58" s="100" t="s">
        <v>91</v>
      </c>
      <c r="C58" s="101"/>
      <c r="D58" s="101"/>
      <c r="E58" s="101"/>
      <c r="F58" s="102"/>
      <c r="G58" s="71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87"/>
      <c r="U58" s="31">
        <f>SUM(H58:J58)</f>
        <v>0</v>
      </c>
      <c r="V58" s="31">
        <f>SUM(K58:M58)</f>
        <v>0</v>
      </c>
      <c r="W58" s="31">
        <f t="shared" ref="W58:W59" si="92">SUM(N58:P58)</f>
        <v>0</v>
      </c>
      <c r="X58" s="31">
        <f t="shared" si="88"/>
        <v>0</v>
      </c>
      <c r="Y58" s="91">
        <f t="shared" si="79"/>
        <v>0</v>
      </c>
      <c r="AA58" s="31">
        <f t="shared" ref="AA58:AA59" si="93">SUM(G58:I58)</f>
        <v>0</v>
      </c>
      <c r="AB58" s="31">
        <f t="shared" si="89"/>
        <v>0</v>
      </c>
      <c r="AC58" s="31">
        <f t="shared" si="90"/>
        <v>0</v>
      </c>
      <c r="AD58" s="31">
        <f t="shared" si="91"/>
        <v>0</v>
      </c>
      <c r="AE58" s="55">
        <f t="shared" si="83"/>
        <v>0</v>
      </c>
    </row>
    <row r="59" spans="1:31" ht="26.25" customHeight="1">
      <c r="A59" s="52" t="s">
        <v>100</v>
      </c>
      <c r="B59" s="111" t="s">
        <v>183</v>
      </c>
      <c r="C59" s="101"/>
      <c r="D59" s="101"/>
      <c r="E59" s="101"/>
      <c r="F59" s="102"/>
      <c r="G59" s="71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87"/>
      <c r="U59" s="31">
        <f>SUM(H59:J59)</f>
        <v>0</v>
      </c>
      <c r="V59" s="31">
        <f>SUM(K59:M59)</f>
        <v>0</v>
      </c>
      <c r="W59" s="31">
        <f t="shared" si="92"/>
        <v>0</v>
      </c>
      <c r="X59" s="31">
        <f t="shared" si="88"/>
        <v>0</v>
      </c>
      <c r="Y59" s="91">
        <f t="shared" si="79"/>
        <v>0</v>
      </c>
      <c r="AA59" s="31">
        <f t="shared" si="93"/>
        <v>0</v>
      </c>
      <c r="AB59" s="31">
        <f t="shared" si="89"/>
        <v>0</v>
      </c>
      <c r="AC59" s="31">
        <f t="shared" si="90"/>
        <v>0</v>
      </c>
      <c r="AD59" s="31">
        <f t="shared" si="91"/>
        <v>0</v>
      </c>
      <c r="AE59" s="55">
        <f t="shared" ref="AE59" si="94">SUM(AA59:AD59)</f>
        <v>0</v>
      </c>
    </row>
    <row r="60" spans="1:31" s="62" customFormat="1" ht="26.25" customHeight="1">
      <c r="A60" s="59">
        <v>8</v>
      </c>
      <c r="B60" s="114" t="s">
        <v>60</v>
      </c>
      <c r="C60" s="115"/>
      <c r="D60" s="115"/>
      <c r="E60" s="115"/>
      <c r="F60" s="116"/>
      <c r="G60" s="60">
        <v>1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84"/>
      <c r="U60" s="60">
        <f>U61+U62+U63</f>
        <v>0</v>
      </c>
      <c r="V60" s="60">
        <f t="shared" ref="V60:X60" si="95">V61+V62+V63</f>
        <v>0</v>
      </c>
      <c r="W60" s="60">
        <f t="shared" si="95"/>
        <v>0</v>
      </c>
      <c r="X60" s="60">
        <f t="shared" si="95"/>
        <v>0</v>
      </c>
      <c r="Y60" s="76"/>
      <c r="Z60" s="93"/>
      <c r="AA60" s="60">
        <f>AA61+AA62+AA63</f>
        <v>0</v>
      </c>
      <c r="AB60" s="60">
        <f t="shared" ref="AB60:AD60" si="96">AB61+AB62+AB63</f>
        <v>0</v>
      </c>
      <c r="AC60" s="60">
        <f t="shared" si="96"/>
        <v>0</v>
      </c>
      <c r="AD60" s="60">
        <f t="shared" si="96"/>
        <v>0</v>
      </c>
      <c r="AE60" s="61"/>
    </row>
    <row r="61" spans="1:31" ht="26.25" customHeight="1">
      <c r="A61" s="52" t="s">
        <v>101</v>
      </c>
      <c r="B61" s="111" t="s">
        <v>92</v>
      </c>
      <c r="C61" s="112"/>
      <c r="D61" s="112"/>
      <c r="E61" s="112"/>
      <c r="F61" s="113"/>
      <c r="G61" s="16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88"/>
      <c r="U61" s="53">
        <f>J61</f>
        <v>0</v>
      </c>
      <c r="V61" s="53">
        <f>M61</f>
        <v>0</v>
      </c>
      <c r="W61" s="53">
        <f>P61</f>
        <v>0</v>
      </c>
      <c r="X61" s="53">
        <f>S61</f>
        <v>0</v>
      </c>
      <c r="Y61" s="91"/>
      <c r="AA61" s="53">
        <f>I61</f>
        <v>0</v>
      </c>
      <c r="AB61" s="53">
        <f>L61</f>
        <v>0</v>
      </c>
      <c r="AC61" s="53">
        <f>O61</f>
        <v>0</v>
      </c>
      <c r="AD61" s="53">
        <f>R61</f>
        <v>0</v>
      </c>
      <c r="AE61" s="55"/>
    </row>
    <row r="62" spans="1:31" ht="26.25" customHeight="1">
      <c r="A62" s="52" t="s">
        <v>102</v>
      </c>
      <c r="B62" s="111" t="s">
        <v>93</v>
      </c>
      <c r="C62" s="112"/>
      <c r="D62" s="112"/>
      <c r="E62" s="112"/>
      <c r="F62" s="113"/>
      <c r="G62" s="71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88"/>
      <c r="U62" s="53">
        <f t="shared" ref="U62:U63" si="97">J62</f>
        <v>0</v>
      </c>
      <c r="V62" s="53">
        <f t="shared" ref="V62:V63" si="98">M62</f>
        <v>0</v>
      </c>
      <c r="W62" s="53">
        <f t="shared" ref="W62:W63" si="99">P62</f>
        <v>0</v>
      </c>
      <c r="X62" s="53">
        <f t="shared" ref="X62:X63" si="100">S62</f>
        <v>0</v>
      </c>
      <c r="Y62" s="91"/>
      <c r="AA62" s="53">
        <f>I62</f>
        <v>0</v>
      </c>
      <c r="AB62" s="53">
        <f t="shared" ref="AB62:AB63" si="101">L62</f>
        <v>0</v>
      </c>
      <c r="AC62" s="53">
        <f t="shared" ref="AC62:AC63" si="102">O62</f>
        <v>0</v>
      </c>
      <c r="AD62" s="53">
        <f t="shared" ref="AD62:AD63" si="103">R62</f>
        <v>0</v>
      </c>
      <c r="AE62" s="55"/>
    </row>
    <row r="63" spans="1:31" ht="26.25" customHeight="1">
      <c r="A63" s="52" t="s">
        <v>103</v>
      </c>
      <c r="B63" s="111" t="s">
        <v>94</v>
      </c>
      <c r="C63" s="112"/>
      <c r="D63" s="112"/>
      <c r="E63" s="112"/>
      <c r="F63" s="113"/>
      <c r="G63" s="16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88"/>
      <c r="U63" s="53">
        <f t="shared" si="97"/>
        <v>0</v>
      </c>
      <c r="V63" s="53">
        <f t="shared" si="98"/>
        <v>0</v>
      </c>
      <c r="W63" s="53">
        <f t="shared" si="99"/>
        <v>0</v>
      </c>
      <c r="X63" s="53">
        <f t="shared" si="100"/>
        <v>0</v>
      </c>
      <c r="Y63" s="91"/>
      <c r="AA63" s="53">
        <f>I63</f>
        <v>0</v>
      </c>
      <c r="AB63" s="53">
        <f t="shared" si="101"/>
        <v>0</v>
      </c>
      <c r="AC63" s="53">
        <f t="shared" si="102"/>
        <v>0</v>
      </c>
      <c r="AD63" s="53">
        <f t="shared" si="103"/>
        <v>0</v>
      </c>
      <c r="AE63" s="55"/>
    </row>
    <row r="64" spans="1:31" ht="26.25" customHeight="1">
      <c r="A64" s="106" t="s">
        <v>176</v>
      </c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7"/>
    </row>
    <row r="65" spans="1:31" ht="26.25" customHeight="1">
      <c r="A65" s="42" t="s">
        <v>0</v>
      </c>
      <c r="B65" s="108" t="s">
        <v>1</v>
      </c>
      <c r="C65" s="109"/>
      <c r="D65" s="109"/>
      <c r="E65" s="109"/>
      <c r="F65" s="110"/>
      <c r="G65" s="43" t="s">
        <v>181</v>
      </c>
      <c r="H65" s="43" t="s">
        <v>162</v>
      </c>
      <c r="I65" s="43" t="s">
        <v>163</v>
      </c>
      <c r="J65" s="43" t="s">
        <v>164</v>
      </c>
      <c r="K65" s="43" t="s">
        <v>165</v>
      </c>
      <c r="L65" s="43" t="s">
        <v>166</v>
      </c>
      <c r="M65" s="43" t="s">
        <v>167</v>
      </c>
      <c r="N65" s="43" t="s">
        <v>168</v>
      </c>
      <c r="O65" s="43" t="s">
        <v>169</v>
      </c>
      <c r="P65" s="43" t="s">
        <v>170</v>
      </c>
      <c r="Q65" s="43" t="s">
        <v>171</v>
      </c>
      <c r="R65" s="43" t="s">
        <v>172</v>
      </c>
      <c r="S65" s="44" t="s">
        <v>173</v>
      </c>
      <c r="T65" s="81"/>
      <c r="U65" s="44" t="s">
        <v>174</v>
      </c>
      <c r="V65" s="44" t="s">
        <v>175</v>
      </c>
      <c r="W65" s="44" t="s">
        <v>179</v>
      </c>
      <c r="X65" s="44" t="s">
        <v>180</v>
      </c>
      <c r="Y65" s="90" t="s">
        <v>2</v>
      </c>
      <c r="AA65" s="44" t="s">
        <v>174</v>
      </c>
      <c r="AB65" s="44" t="s">
        <v>175</v>
      </c>
      <c r="AC65" s="44" t="s">
        <v>179</v>
      </c>
      <c r="AD65" s="44" t="s">
        <v>180</v>
      </c>
      <c r="AE65" s="68" t="s">
        <v>2</v>
      </c>
    </row>
    <row r="66" spans="1:31" ht="26.25" customHeight="1">
      <c r="A66" s="45">
        <v>1</v>
      </c>
      <c r="B66" s="111" t="s">
        <v>24</v>
      </c>
      <c r="C66" s="112"/>
      <c r="D66" s="112"/>
      <c r="E66" s="112"/>
      <c r="F66" s="113"/>
      <c r="G66" s="13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85"/>
      <c r="U66" s="31">
        <f t="shared" ref="U66:U69" si="104">SUM(H66:J66)</f>
        <v>0</v>
      </c>
      <c r="V66" s="31">
        <f t="shared" ref="V66:V69" si="105">SUM(K66:M66)</f>
        <v>0</v>
      </c>
      <c r="W66" s="31">
        <f t="shared" ref="W66:W69" si="106">SUM(N66:P66)</f>
        <v>0</v>
      </c>
      <c r="X66" s="31">
        <f t="shared" ref="X66:X69" si="107">SUM(Q66:S66)</f>
        <v>0</v>
      </c>
      <c r="Y66" s="91">
        <f t="shared" ref="Y66:Y69" si="108">SUM(U66:X66)</f>
        <v>0</v>
      </c>
      <c r="AA66" s="31">
        <f>SUM(G66:I66)</f>
        <v>0</v>
      </c>
      <c r="AB66" s="31">
        <f t="shared" ref="AB66:AB69" si="109">SUM(J66:L66)</f>
        <v>0</v>
      </c>
      <c r="AC66" s="31">
        <f t="shared" ref="AC66:AC69" si="110">SUM(M66:O66)</f>
        <v>0</v>
      </c>
      <c r="AD66" s="31">
        <f t="shared" ref="AD66:AD69" si="111">SUM(P66:R66)</f>
        <v>0</v>
      </c>
      <c r="AE66" s="55">
        <f>SUM(AA66:AD66)</f>
        <v>0</v>
      </c>
    </row>
    <row r="67" spans="1:31" ht="26.25" customHeight="1">
      <c r="A67" s="45">
        <v>2</v>
      </c>
      <c r="B67" s="100" t="s">
        <v>27</v>
      </c>
      <c r="C67" s="101"/>
      <c r="D67" s="101"/>
      <c r="E67" s="101"/>
      <c r="F67" s="102"/>
      <c r="G67" s="13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85"/>
      <c r="U67" s="31">
        <f t="shared" si="104"/>
        <v>0</v>
      </c>
      <c r="V67" s="31">
        <f t="shared" si="105"/>
        <v>0</v>
      </c>
      <c r="W67" s="31">
        <f t="shared" si="106"/>
        <v>0</v>
      </c>
      <c r="X67" s="31">
        <f t="shared" si="107"/>
        <v>0</v>
      </c>
      <c r="Y67" s="91">
        <f t="shared" si="108"/>
        <v>0</v>
      </c>
      <c r="AA67" s="31">
        <f t="shared" ref="AA67:AA69" si="112">SUM(G67:I67)</f>
        <v>0</v>
      </c>
      <c r="AB67" s="31">
        <f t="shared" si="109"/>
        <v>0</v>
      </c>
      <c r="AC67" s="31">
        <f t="shared" si="110"/>
        <v>0</v>
      </c>
      <c r="AD67" s="31">
        <f t="shared" si="111"/>
        <v>0</v>
      </c>
      <c r="AE67" s="55">
        <f t="shared" ref="AE67:AE69" si="113">SUM(AA67:AD67)</f>
        <v>0</v>
      </c>
    </row>
    <row r="68" spans="1:31" ht="26.25" customHeight="1">
      <c r="A68" s="45">
        <v>3</v>
      </c>
      <c r="B68" s="100" t="s">
        <v>19</v>
      </c>
      <c r="C68" s="101"/>
      <c r="D68" s="101"/>
      <c r="E68" s="101"/>
      <c r="F68" s="102"/>
      <c r="G68" s="13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85"/>
      <c r="U68" s="31">
        <f t="shared" si="104"/>
        <v>0</v>
      </c>
      <c r="V68" s="31">
        <f t="shared" si="105"/>
        <v>0</v>
      </c>
      <c r="W68" s="31">
        <f t="shared" si="106"/>
        <v>0</v>
      </c>
      <c r="X68" s="31">
        <f t="shared" si="107"/>
        <v>0</v>
      </c>
      <c r="Y68" s="91">
        <f t="shared" si="108"/>
        <v>0</v>
      </c>
      <c r="AA68" s="31">
        <f>SUM(G68:I68)</f>
        <v>0</v>
      </c>
      <c r="AB68" s="31">
        <f t="shared" si="109"/>
        <v>0</v>
      </c>
      <c r="AC68" s="31">
        <f t="shared" si="110"/>
        <v>0</v>
      </c>
      <c r="AD68" s="31">
        <f t="shared" si="111"/>
        <v>0</v>
      </c>
      <c r="AE68" s="55">
        <f t="shared" si="113"/>
        <v>0</v>
      </c>
    </row>
    <row r="69" spans="1:31" ht="26.25" customHeight="1">
      <c r="A69" s="45">
        <v>4</v>
      </c>
      <c r="B69" s="100" t="s">
        <v>12</v>
      </c>
      <c r="C69" s="101"/>
      <c r="D69" s="101"/>
      <c r="E69" s="101"/>
      <c r="F69" s="102"/>
      <c r="G69" s="13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85"/>
      <c r="U69" s="31">
        <f t="shared" si="104"/>
        <v>0</v>
      </c>
      <c r="V69" s="31">
        <f t="shared" si="105"/>
        <v>0</v>
      </c>
      <c r="W69" s="31">
        <f t="shared" si="106"/>
        <v>0</v>
      </c>
      <c r="X69" s="31">
        <f t="shared" si="107"/>
        <v>0</v>
      </c>
      <c r="Y69" s="91">
        <f t="shared" si="108"/>
        <v>0</v>
      </c>
      <c r="AA69" s="31">
        <f t="shared" si="112"/>
        <v>0</v>
      </c>
      <c r="AB69" s="31">
        <f t="shared" si="109"/>
        <v>0</v>
      </c>
      <c r="AC69" s="31">
        <f t="shared" si="110"/>
        <v>0</v>
      </c>
      <c r="AD69" s="31">
        <f t="shared" si="111"/>
        <v>0</v>
      </c>
      <c r="AE69" s="55">
        <f t="shared" si="113"/>
        <v>0</v>
      </c>
    </row>
    <row r="70" spans="1:31" ht="26.25" customHeight="1">
      <c r="A70" s="45">
        <v>5</v>
      </c>
      <c r="B70" s="100" t="s">
        <v>18</v>
      </c>
      <c r="C70" s="101"/>
      <c r="D70" s="101"/>
      <c r="E70" s="101"/>
      <c r="F70" s="102"/>
      <c r="G70" s="13"/>
      <c r="H70" s="57"/>
      <c r="I70" s="57"/>
      <c r="J70" s="57"/>
      <c r="K70" s="57"/>
      <c r="L70" s="57"/>
      <c r="M70" s="28"/>
      <c r="N70" s="28"/>
      <c r="O70" s="28"/>
      <c r="P70" s="28"/>
      <c r="Q70" s="28"/>
      <c r="R70" s="28"/>
      <c r="S70" s="28"/>
      <c r="T70" s="86"/>
      <c r="U70" s="94">
        <f>J70</f>
        <v>0</v>
      </c>
      <c r="V70" s="94">
        <f>M70</f>
        <v>0</v>
      </c>
      <c r="W70" s="94">
        <f>P70</f>
        <v>0</v>
      </c>
      <c r="X70" s="94">
        <f>S70</f>
        <v>0</v>
      </c>
      <c r="Y70" s="92">
        <f>S70</f>
        <v>0</v>
      </c>
      <c r="AA70" s="53">
        <f>I70</f>
        <v>0</v>
      </c>
      <c r="AB70" s="53">
        <f>L70</f>
        <v>0</v>
      </c>
      <c r="AC70" s="53">
        <f t="shared" ref="AC70" si="114">O70</f>
        <v>0</v>
      </c>
      <c r="AD70" s="53">
        <f t="shared" ref="AD70" si="115">R70</f>
        <v>0</v>
      </c>
      <c r="AE70" s="56">
        <f>Z70</f>
        <v>0</v>
      </c>
    </row>
    <row r="71" spans="1:31" ht="16.5">
      <c r="A71" s="41"/>
      <c r="B71" s="41"/>
      <c r="C71" s="41"/>
      <c r="D71" s="103"/>
      <c r="E71" s="103"/>
      <c r="F71" s="103"/>
      <c r="G71" s="103"/>
      <c r="H71" s="103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89"/>
      <c r="U71" s="41"/>
      <c r="V71" s="41"/>
      <c r="W71" s="41"/>
      <c r="X71" s="41"/>
      <c r="Y71" s="41"/>
    </row>
    <row r="72" spans="1:31" ht="16.5">
      <c r="A72" s="41"/>
      <c r="B72" s="54"/>
      <c r="C72" s="41"/>
      <c r="D72" s="104"/>
      <c r="E72" s="104"/>
      <c r="F72" s="104"/>
      <c r="G72" s="104"/>
      <c r="H72" s="104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89"/>
      <c r="U72" s="41"/>
      <c r="V72" s="41"/>
      <c r="W72" s="41"/>
      <c r="X72" s="41"/>
      <c r="Y72" s="41"/>
    </row>
    <row r="78" spans="1:31">
      <c r="D78" s="105"/>
      <c r="E78" s="105"/>
      <c r="F78" s="105"/>
      <c r="G78" s="105"/>
      <c r="H78" s="105"/>
    </row>
  </sheetData>
  <mergeCells count="77">
    <mergeCell ref="AA2:AE3"/>
    <mergeCell ref="A3:B3"/>
    <mergeCell ref="A1:F1"/>
    <mergeCell ref="M1:Q1"/>
    <mergeCell ref="A2:F2"/>
    <mergeCell ref="M2:Q2"/>
    <mergeCell ref="U2:Y3"/>
    <mergeCell ref="C15:F15"/>
    <mergeCell ref="A4:X4"/>
    <mergeCell ref="A5:AE5"/>
    <mergeCell ref="B6:F6"/>
    <mergeCell ref="B7:F7"/>
    <mergeCell ref="B8:F8"/>
    <mergeCell ref="B9:F9"/>
    <mergeCell ref="B10:F10"/>
    <mergeCell ref="B11:F11"/>
    <mergeCell ref="A12:AE12"/>
    <mergeCell ref="C13:F13"/>
    <mergeCell ref="C14:F14"/>
    <mergeCell ref="B27:F27"/>
    <mergeCell ref="A16:AE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39:F39"/>
    <mergeCell ref="B28:F28"/>
    <mergeCell ref="B29:F29"/>
    <mergeCell ref="B30:F30"/>
    <mergeCell ref="B31:F31"/>
    <mergeCell ref="B32:F32"/>
    <mergeCell ref="B33:F33"/>
    <mergeCell ref="B34:F34"/>
    <mergeCell ref="B35:F35"/>
    <mergeCell ref="A36:AE36"/>
    <mergeCell ref="B37:F37"/>
    <mergeCell ref="B38:F38"/>
    <mergeCell ref="B51:F51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63:F63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70:F70"/>
    <mergeCell ref="D71:H71"/>
    <mergeCell ref="D72:H72"/>
    <mergeCell ref="D78:H78"/>
    <mergeCell ref="A64:AE64"/>
    <mergeCell ref="B65:F65"/>
    <mergeCell ref="B66:F66"/>
    <mergeCell ref="B67:F67"/>
    <mergeCell ref="B68:F68"/>
    <mergeCell ref="B69:F69"/>
  </mergeCells>
  <pageMargins left="0.7" right="0.7" top="0.75" bottom="0.75" header="0.3" footer="0.3"/>
  <pageSetup paperSize="9" scale="3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E70"/>
  <sheetViews>
    <sheetView tabSelected="1" zoomScale="55" zoomScaleNormal="55" workbookViewId="0">
      <pane xSplit="6" ySplit="6" topLeftCell="G27" activePane="bottomRight" state="frozen"/>
      <selection pane="topRight" activeCell="G1" sqref="G1"/>
      <selection pane="bottomLeft" activeCell="A7" sqref="A7"/>
      <selection pane="bottomRight" activeCell="G27" sqref="G27:L27"/>
    </sheetView>
  </sheetViews>
  <sheetFormatPr defaultColWidth="9.140625" defaultRowHeight="15.75"/>
  <cols>
    <col min="1" max="1" width="4.85546875" style="29" customWidth="1"/>
    <col min="2" max="2" width="44.5703125" style="29" bestFit="1" customWidth="1"/>
    <col min="3" max="3" width="7.28515625" style="29" customWidth="1"/>
    <col min="4" max="4" width="6.7109375" style="29" customWidth="1"/>
    <col min="5" max="5" width="13.7109375" style="29" customWidth="1"/>
    <col min="6" max="6" width="19.42578125" style="29" customWidth="1"/>
    <col min="7" max="7" width="19.7109375" style="10" customWidth="1"/>
    <col min="8" max="19" width="14.42578125" style="29" customWidth="1"/>
    <col min="20" max="20" width="14.42578125" style="79" customWidth="1"/>
    <col min="21" max="25" width="14.85546875" style="29" customWidth="1"/>
    <col min="26" max="26" width="14.85546875" style="79" customWidth="1"/>
    <col min="27" max="31" width="14.85546875" style="29" customWidth="1"/>
    <col min="32" max="16384" width="9.140625" style="29"/>
  </cols>
  <sheetData>
    <row r="1" spans="1:31" ht="16.5">
      <c r="A1" s="140" t="s">
        <v>177</v>
      </c>
      <c r="B1" s="140"/>
      <c r="C1" s="140"/>
      <c r="D1" s="140"/>
      <c r="E1" s="140"/>
      <c r="F1" s="140"/>
      <c r="G1" s="39"/>
      <c r="I1" s="35"/>
      <c r="M1" s="141" t="s">
        <v>16</v>
      </c>
      <c r="N1" s="141"/>
      <c r="O1" s="141"/>
      <c r="P1" s="141"/>
      <c r="Q1" s="141"/>
    </row>
    <row r="2" spans="1:31" ht="18.75">
      <c r="A2" s="142" t="s">
        <v>132</v>
      </c>
      <c r="B2" s="142"/>
      <c r="C2" s="142"/>
      <c r="D2" s="142"/>
      <c r="E2" s="142"/>
      <c r="F2" s="142"/>
      <c r="G2" s="40"/>
      <c r="I2" s="36"/>
      <c r="M2" s="143" t="s">
        <v>28</v>
      </c>
      <c r="N2" s="143"/>
      <c r="O2" s="143"/>
      <c r="P2" s="143"/>
      <c r="Q2" s="143"/>
      <c r="U2" s="146" t="s">
        <v>185</v>
      </c>
      <c r="V2" s="146"/>
      <c r="W2" s="146"/>
      <c r="X2" s="146"/>
      <c r="Y2" s="146"/>
      <c r="AA2" s="146" t="s">
        <v>182</v>
      </c>
      <c r="AB2" s="146"/>
      <c r="AC2" s="146"/>
      <c r="AD2" s="146"/>
      <c r="AE2" s="146"/>
    </row>
    <row r="3" spans="1:31" ht="16.5">
      <c r="A3" s="142"/>
      <c r="B3" s="142"/>
      <c r="C3" s="37"/>
      <c r="D3" s="37"/>
      <c r="E3" s="38"/>
      <c r="F3" s="38"/>
      <c r="G3" s="6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80"/>
      <c r="U3" s="147"/>
      <c r="V3" s="147"/>
      <c r="W3" s="147"/>
      <c r="X3" s="147"/>
      <c r="Y3" s="147"/>
      <c r="AA3" s="147"/>
      <c r="AB3" s="147"/>
      <c r="AC3" s="147"/>
      <c r="AD3" s="147"/>
      <c r="AE3" s="147"/>
    </row>
    <row r="4" spans="1:31" ht="16.5" customHeight="1">
      <c r="A4" s="139" t="s">
        <v>178</v>
      </c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41"/>
    </row>
    <row r="5" spans="1:31" ht="26.25" customHeight="1">
      <c r="A5" s="106" t="s">
        <v>52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</row>
    <row r="6" spans="1:31" ht="26.25" customHeight="1">
      <c r="A6" s="42" t="s">
        <v>0</v>
      </c>
      <c r="B6" s="108" t="s">
        <v>1</v>
      </c>
      <c r="C6" s="109"/>
      <c r="D6" s="109"/>
      <c r="E6" s="109"/>
      <c r="F6" s="110"/>
      <c r="G6" s="43" t="s">
        <v>181</v>
      </c>
      <c r="H6" s="43" t="s">
        <v>162</v>
      </c>
      <c r="I6" s="43" t="s">
        <v>163</v>
      </c>
      <c r="J6" s="43" t="s">
        <v>164</v>
      </c>
      <c r="K6" s="43" t="s">
        <v>165</v>
      </c>
      <c r="L6" s="43" t="s">
        <v>166</v>
      </c>
      <c r="M6" s="43" t="s">
        <v>167</v>
      </c>
      <c r="N6" s="43" t="s">
        <v>168</v>
      </c>
      <c r="O6" s="43" t="s">
        <v>169</v>
      </c>
      <c r="P6" s="43" t="s">
        <v>170</v>
      </c>
      <c r="Q6" s="43" t="s">
        <v>171</v>
      </c>
      <c r="R6" s="43" t="s">
        <v>172</v>
      </c>
      <c r="S6" s="44" t="s">
        <v>173</v>
      </c>
      <c r="T6" s="81"/>
      <c r="U6" s="44" t="s">
        <v>174</v>
      </c>
      <c r="V6" s="44" t="s">
        <v>175</v>
      </c>
      <c r="W6" s="44" t="s">
        <v>179</v>
      </c>
      <c r="X6" s="44" t="s">
        <v>180</v>
      </c>
      <c r="Y6" s="90" t="s">
        <v>2</v>
      </c>
      <c r="AA6" s="44" t="s">
        <v>174</v>
      </c>
      <c r="AB6" s="44" t="s">
        <v>175</v>
      </c>
      <c r="AC6" s="44" t="s">
        <v>179</v>
      </c>
      <c r="AD6" s="44" t="s">
        <v>180</v>
      </c>
      <c r="AE6" s="68" t="s">
        <v>2</v>
      </c>
    </row>
    <row r="7" spans="1:31" ht="26.25" customHeight="1">
      <c r="A7" s="45">
        <v>1</v>
      </c>
      <c r="B7" s="111" t="s">
        <v>53</v>
      </c>
      <c r="C7" s="112"/>
      <c r="D7" s="112"/>
      <c r="E7" s="112"/>
      <c r="F7" s="113"/>
      <c r="G7" s="27">
        <v>140</v>
      </c>
      <c r="H7" s="30">
        <v>150</v>
      </c>
      <c r="I7" s="30">
        <v>200</v>
      </c>
      <c r="J7" s="30">
        <v>200</v>
      </c>
      <c r="K7" s="30">
        <v>400</v>
      </c>
      <c r="L7" s="30">
        <v>356</v>
      </c>
      <c r="M7" s="30"/>
      <c r="N7" s="30"/>
      <c r="O7" s="30"/>
      <c r="P7" s="30"/>
      <c r="Q7" s="30"/>
      <c r="R7" s="30"/>
      <c r="S7" s="30"/>
      <c r="T7" s="82"/>
      <c r="U7" s="31">
        <f>SUM(H7:J7)</f>
        <v>550</v>
      </c>
      <c r="V7" s="31">
        <f>SUM(K7:M7)</f>
        <v>756</v>
      </c>
      <c r="W7" s="31">
        <f>SUM(N7:P7)</f>
        <v>0</v>
      </c>
      <c r="X7" s="31">
        <f>SUM(Q7:S7)</f>
        <v>0</v>
      </c>
      <c r="Y7" s="91">
        <f>SUM(U7:X7)</f>
        <v>1306</v>
      </c>
      <c r="AA7" s="31">
        <f>SUM(G7:I7)</f>
        <v>490</v>
      </c>
      <c r="AB7" s="31">
        <f>SUM(J7:L7)</f>
        <v>956</v>
      </c>
      <c r="AC7" s="31">
        <f>SUM(M7:O7)</f>
        <v>0</v>
      </c>
      <c r="AD7" s="31">
        <f>SUM(P7:R7)</f>
        <v>0</v>
      </c>
      <c r="AE7" s="55">
        <f>SUM(AA7:AD7)</f>
        <v>1446</v>
      </c>
    </row>
    <row r="8" spans="1:31" ht="26.25" customHeight="1">
      <c r="A8" s="45">
        <v>2</v>
      </c>
      <c r="B8" s="100" t="s">
        <v>54</v>
      </c>
      <c r="C8" s="101"/>
      <c r="D8" s="101"/>
      <c r="E8" s="101"/>
      <c r="F8" s="102"/>
      <c r="G8" s="27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/>
      <c r="N8" s="30"/>
      <c r="O8" s="30"/>
      <c r="P8" s="30"/>
      <c r="Q8" s="30"/>
      <c r="R8" s="30"/>
      <c r="S8" s="30"/>
      <c r="T8" s="82"/>
      <c r="U8" s="31">
        <f>SUM(H8:J8)</f>
        <v>0</v>
      </c>
      <c r="V8" s="31">
        <f t="shared" ref="V8:V11" si="0">SUM(K8:M8)</f>
        <v>0</v>
      </c>
      <c r="W8" s="31">
        <f t="shared" ref="W8:W11" si="1">SUM(N8:P8)</f>
        <v>0</v>
      </c>
      <c r="X8" s="31">
        <f t="shared" ref="X8:X11" si="2">SUM(Q8:S8)</f>
        <v>0</v>
      </c>
      <c r="Y8" s="91">
        <f t="shared" ref="Y8:Y11" si="3">SUM(U8:X8)</f>
        <v>0</v>
      </c>
      <c r="AA8" s="31">
        <f t="shared" ref="AA8:AA11" si="4">SUM(G8:I8)</f>
        <v>0</v>
      </c>
      <c r="AB8" s="31">
        <f t="shared" ref="AB8:AB11" si="5">SUM(J8:L8)</f>
        <v>0</v>
      </c>
      <c r="AC8" s="31">
        <f t="shared" ref="AC8:AC11" si="6">SUM(M8:O8)</f>
        <v>0</v>
      </c>
      <c r="AD8" s="31">
        <f t="shared" ref="AD8:AD11" si="7">SUM(P8:R8)</f>
        <v>0</v>
      </c>
      <c r="AE8" s="55">
        <f t="shared" ref="AE8:AE11" si="8">SUM(AA8:AD8)</f>
        <v>0</v>
      </c>
    </row>
    <row r="9" spans="1:31" ht="26.25" customHeight="1">
      <c r="A9" s="45">
        <v>3</v>
      </c>
      <c r="B9" s="111" t="s">
        <v>55</v>
      </c>
      <c r="C9" s="112"/>
      <c r="D9" s="112"/>
      <c r="E9" s="112"/>
      <c r="F9" s="113"/>
      <c r="G9" s="27">
        <v>140</v>
      </c>
      <c r="H9" s="30">
        <v>150</v>
      </c>
      <c r="I9" s="30">
        <v>200</v>
      </c>
      <c r="J9" s="30">
        <v>200</v>
      </c>
      <c r="K9" s="30">
        <v>400</v>
      </c>
      <c r="L9" s="30">
        <v>356</v>
      </c>
      <c r="M9" s="30"/>
      <c r="N9" s="30"/>
      <c r="O9" s="30"/>
      <c r="P9" s="30"/>
      <c r="Q9" s="30"/>
      <c r="R9" s="30"/>
      <c r="S9" s="30"/>
      <c r="T9" s="82"/>
      <c r="U9" s="31">
        <f>SUM(H9:J9)</f>
        <v>550</v>
      </c>
      <c r="V9" s="31">
        <f t="shared" si="0"/>
        <v>756</v>
      </c>
      <c r="W9" s="31">
        <f t="shared" si="1"/>
        <v>0</v>
      </c>
      <c r="X9" s="31">
        <f t="shared" si="2"/>
        <v>0</v>
      </c>
      <c r="Y9" s="91">
        <f t="shared" si="3"/>
        <v>1306</v>
      </c>
      <c r="AA9" s="31">
        <f t="shared" si="4"/>
        <v>490</v>
      </c>
      <c r="AB9" s="31">
        <f t="shared" si="5"/>
        <v>956</v>
      </c>
      <c r="AC9" s="31">
        <f t="shared" si="6"/>
        <v>0</v>
      </c>
      <c r="AD9" s="31">
        <f t="shared" si="7"/>
        <v>0</v>
      </c>
      <c r="AE9" s="55">
        <f t="shared" si="8"/>
        <v>1446</v>
      </c>
    </row>
    <row r="10" spans="1:31" ht="26.25" customHeight="1">
      <c r="A10" s="45">
        <v>4</v>
      </c>
      <c r="B10" s="100" t="s">
        <v>9</v>
      </c>
      <c r="C10" s="101"/>
      <c r="D10" s="101"/>
      <c r="E10" s="101"/>
      <c r="F10" s="102"/>
      <c r="G10" s="12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/>
      <c r="N10" s="30"/>
      <c r="O10" s="30"/>
      <c r="P10" s="30"/>
      <c r="Q10" s="30"/>
      <c r="R10" s="30"/>
      <c r="S10" s="30"/>
      <c r="T10" s="82"/>
      <c r="U10" s="31">
        <f t="shared" ref="U10:U11" si="9">SUM(H10:J10)</f>
        <v>0</v>
      </c>
      <c r="V10" s="31">
        <f t="shared" si="0"/>
        <v>0</v>
      </c>
      <c r="W10" s="31">
        <f t="shared" si="1"/>
        <v>0</v>
      </c>
      <c r="X10" s="31">
        <f t="shared" si="2"/>
        <v>0</v>
      </c>
      <c r="Y10" s="91">
        <f t="shared" si="3"/>
        <v>0</v>
      </c>
      <c r="AA10" s="31">
        <f t="shared" si="4"/>
        <v>0</v>
      </c>
      <c r="AB10" s="31">
        <f t="shared" si="5"/>
        <v>0</v>
      </c>
      <c r="AC10" s="31">
        <f t="shared" si="6"/>
        <v>0</v>
      </c>
      <c r="AD10" s="31">
        <f t="shared" si="7"/>
        <v>0</v>
      </c>
      <c r="AE10" s="55">
        <f t="shared" si="8"/>
        <v>0</v>
      </c>
    </row>
    <row r="11" spans="1:31" ht="26.25" customHeight="1">
      <c r="A11" s="45">
        <v>5</v>
      </c>
      <c r="B11" s="100" t="s">
        <v>10</v>
      </c>
      <c r="C11" s="101"/>
      <c r="D11" s="101"/>
      <c r="E11" s="101"/>
      <c r="F11" s="102"/>
      <c r="G11" s="12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/>
      <c r="N11" s="30"/>
      <c r="O11" s="30"/>
      <c r="P11" s="30"/>
      <c r="Q11" s="30"/>
      <c r="R11" s="30"/>
      <c r="S11" s="30"/>
      <c r="T11" s="82"/>
      <c r="U11" s="31">
        <f t="shared" si="9"/>
        <v>0</v>
      </c>
      <c r="V11" s="31">
        <f t="shared" si="0"/>
        <v>0</v>
      </c>
      <c r="W11" s="31">
        <f t="shared" si="1"/>
        <v>0</v>
      </c>
      <c r="X11" s="31">
        <f t="shared" si="2"/>
        <v>0</v>
      </c>
      <c r="Y11" s="91">
        <f t="shared" si="3"/>
        <v>0</v>
      </c>
      <c r="AA11" s="31">
        <f t="shared" si="4"/>
        <v>0</v>
      </c>
      <c r="AB11" s="31">
        <f t="shared" si="5"/>
        <v>0</v>
      </c>
      <c r="AC11" s="31">
        <f t="shared" si="6"/>
        <v>0</v>
      </c>
      <c r="AD11" s="31">
        <f t="shared" si="7"/>
        <v>0</v>
      </c>
      <c r="AE11" s="55">
        <f t="shared" si="8"/>
        <v>0</v>
      </c>
    </row>
    <row r="12" spans="1:31" ht="26.25" customHeight="1">
      <c r="A12" s="106" t="s">
        <v>13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7"/>
    </row>
    <row r="13" spans="1:31" ht="26.25" customHeight="1">
      <c r="A13" s="42" t="s">
        <v>0</v>
      </c>
      <c r="B13" s="46" t="s">
        <v>61</v>
      </c>
      <c r="C13" s="108" t="s">
        <v>62</v>
      </c>
      <c r="D13" s="109"/>
      <c r="E13" s="109"/>
      <c r="F13" s="110"/>
      <c r="G13" s="43" t="s">
        <v>181</v>
      </c>
      <c r="H13" s="42" t="s">
        <v>14</v>
      </c>
      <c r="I13" s="42" t="s">
        <v>14</v>
      </c>
      <c r="J13" s="42" t="s">
        <v>14</v>
      </c>
      <c r="K13" s="42" t="s">
        <v>14</v>
      </c>
      <c r="L13" s="42" t="s">
        <v>14</v>
      </c>
      <c r="M13" s="42" t="s">
        <v>14</v>
      </c>
      <c r="N13" s="42" t="s">
        <v>14</v>
      </c>
      <c r="O13" s="42" t="s">
        <v>14</v>
      </c>
      <c r="P13" s="42" t="s">
        <v>14</v>
      </c>
      <c r="Q13" s="42" t="s">
        <v>14</v>
      </c>
      <c r="R13" s="42" t="s">
        <v>14</v>
      </c>
      <c r="S13" s="42" t="s">
        <v>14</v>
      </c>
      <c r="T13" s="83"/>
      <c r="U13" s="44" t="s">
        <v>174</v>
      </c>
      <c r="V13" s="44" t="s">
        <v>175</v>
      </c>
      <c r="W13" s="44" t="s">
        <v>179</v>
      </c>
      <c r="X13" s="44" t="s">
        <v>180</v>
      </c>
      <c r="Y13" s="90" t="s">
        <v>2</v>
      </c>
      <c r="AA13" s="44" t="s">
        <v>174</v>
      </c>
      <c r="AB13" s="44" t="s">
        <v>175</v>
      </c>
      <c r="AC13" s="44" t="s">
        <v>179</v>
      </c>
      <c r="AD13" s="44" t="s">
        <v>180</v>
      </c>
      <c r="AE13" s="68" t="s">
        <v>2</v>
      </c>
    </row>
    <row r="14" spans="1:31" ht="26.25" customHeight="1">
      <c r="A14" s="45">
        <v>1</v>
      </c>
      <c r="B14" s="47" t="s">
        <v>134</v>
      </c>
      <c r="C14" s="136" t="s">
        <v>135</v>
      </c>
      <c r="D14" s="137"/>
      <c r="E14" s="137"/>
      <c r="F14" s="138"/>
      <c r="G14" s="72">
        <v>24</v>
      </c>
      <c r="H14" s="48">
        <v>24</v>
      </c>
      <c r="I14" s="48">
        <v>24</v>
      </c>
      <c r="J14" s="48">
        <v>24</v>
      </c>
      <c r="K14" s="48">
        <v>24</v>
      </c>
      <c r="L14" s="48">
        <v>24</v>
      </c>
      <c r="M14" s="48"/>
      <c r="N14" s="48"/>
      <c r="O14" s="48"/>
      <c r="P14" s="48"/>
      <c r="Q14" s="48"/>
      <c r="R14" s="48"/>
      <c r="S14" s="48"/>
      <c r="T14" s="83"/>
      <c r="U14" s="31">
        <f>SUM(H14:J14)</f>
        <v>72</v>
      </c>
      <c r="V14" s="31">
        <f t="shared" ref="V14:V15" si="10">SUM(K14:M14)</f>
        <v>48</v>
      </c>
      <c r="W14" s="31">
        <f t="shared" ref="W14:W15" si="11">SUM(N14:P14)</f>
        <v>0</v>
      </c>
      <c r="X14" s="31">
        <f t="shared" ref="X14:X15" si="12">SUM(Q14:S14)</f>
        <v>0</v>
      </c>
      <c r="Y14" s="91">
        <f>SUM(U14:X14)</f>
        <v>120</v>
      </c>
      <c r="AA14" s="31">
        <f>SUM(G14:I14)</f>
        <v>72</v>
      </c>
      <c r="AB14" s="31">
        <f>SUM(J14:L14)</f>
        <v>72</v>
      </c>
      <c r="AC14" s="31">
        <f>SUM(M14:O14)</f>
        <v>0</v>
      </c>
      <c r="AD14" s="31">
        <f>SUM(P14:R14)</f>
        <v>0</v>
      </c>
      <c r="AE14" s="55">
        <f>SUM(AA14:AD14)</f>
        <v>144</v>
      </c>
    </row>
    <row r="15" spans="1:31" ht="26.25" customHeight="1">
      <c r="A15" s="45">
        <v>2</v>
      </c>
      <c r="B15" s="47" t="s">
        <v>134</v>
      </c>
      <c r="C15" s="136" t="s">
        <v>136</v>
      </c>
      <c r="D15" s="137"/>
      <c r="E15" s="137"/>
      <c r="F15" s="138"/>
      <c r="G15" s="72">
        <v>24</v>
      </c>
      <c r="H15" s="48">
        <v>24</v>
      </c>
      <c r="I15" s="48">
        <v>24</v>
      </c>
      <c r="J15" s="48">
        <v>24</v>
      </c>
      <c r="K15" s="48">
        <v>24</v>
      </c>
      <c r="L15" s="48">
        <v>24</v>
      </c>
      <c r="M15" s="48"/>
      <c r="N15" s="48"/>
      <c r="O15" s="48"/>
      <c r="P15" s="48"/>
      <c r="Q15" s="48"/>
      <c r="R15" s="48"/>
      <c r="S15" s="48"/>
      <c r="T15" s="83"/>
      <c r="U15" s="31">
        <f>SUM(H15:J15)</f>
        <v>72</v>
      </c>
      <c r="V15" s="31">
        <f t="shared" si="10"/>
        <v>48</v>
      </c>
      <c r="W15" s="31">
        <f t="shared" si="11"/>
        <v>0</v>
      </c>
      <c r="X15" s="31">
        <f t="shared" si="12"/>
        <v>0</v>
      </c>
      <c r="Y15" s="91">
        <f>SUM(U15:X15)</f>
        <v>120</v>
      </c>
      <c r="AA15" s="31">
        <f>SUM(G15:I15)</f>
        <v>72</v>
      </c>
      <c r="AB15" s="31">
        <f>SUM(J15:L15)</f>
        <v>72</v>
      </c>
      <c r="AC15" s="31">
        <f>SUM(M15:O15)</f>
        <v>0</v>
      </c>
      <c r="AD15" s="31">
        <f>SUM(P15:R15)</f>
        <v>0</v>
      </c>
      <c r="AE15" s="55">
        <f>SUM(AA15:AD15)</f>
        <v>144</v>
      </c>
    </row>
    <row r="16" spans="1:31" ht="26.25" customHeight="1">
      <c r="A16" s="106" t="s">
        <v>15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7"/>
    </row>
    <row r="17" spans="1:31" ht="26.25" customHeight="1">
      <c r="A17" s="42" t="s">
        <v>0</v>
      </c>
      <c r="B17" s="108" t="s">
        <v>1</v>
      </c>
      <c r="C17" s="109"/>
      <c r="D17" s="109"/>
      <c r="E17" s="109"/>
      <c r="F17" s="110"/>
      <c r="G17" s="43" t="s">
        <v>181</v>
      </c>
      <c r="H17" s="43" t="s">
        <v>162</v>
      </c>
      <c r="I17" s="43" t="s">
        <v>163</v>
      </c>
      <c r="J17" s="43" t="s">
        <v>164</v>
      </c>
      <c r="K17" s="43" t="s">
        <v>165</v>
      </c>
      <c r="L17" s="43" t="s">
        <v>166</v>
      </c>
      <c r="M17" s="43" t="s">
        <v>167</v>
      </c>
      <c r="N17" s="43" t="s">
        <v>168</v>
      </c>
      <c r="O17" s="43" t="s">
        <v>169</v>
      </c>
      <c r="P17" s="43" t="s">
        <v>170</v>
      </c>
      <c r="Q17" s="43" t="s">
        <v>171</v>
      </c>
      <c r="R17" s="43" t="s">
        <v>172</v>
      </c>
      <c r="S17" s="44" t="s">
        <v>173</v>
      </c>
      <c r="T17" s="81"/>
      <c r="U17" s="44" t="s">
        <v>174</v>
      </c>
      <c r="V17" s="44" t="s">
        <v>175</v>
      </c>
      <c r="W17" s="44" t="s">
        <v>179</v>
      </c>
      <c r="X17" s="44" t="s">
        <v>180</v>
      </c>
      <c r="Y17" s="68" t="s">
        <v>2</v>
      </c>
      <c r="AA17" s="44" t="s">
        <v>174</v>
      </c>
      <c r="AB17" s="44" t="s">
        <v>175</v>
      </c>
      <c r="AC17" s="44" t="s">
        <v>179</v>
      </c>
      <c r="AD17" s="44" t="s">
        <v>180</v>
      </c>
      <c r="AE17" s="68" t="s">
        <v>2</v>
      </c>
    </row>
    <row r="18" spans="1:31" s="62" customFormat="1" ht="26.25" customHeight="1">
      <c r="A18" s="67">
        <v>1</v>
      </c>
      <c r="B18" s="117" t="s">
        <v>22</v>
      </c>
      <c r="C18" s="118"/>
      <c r="D18" s="118"/>
      <c r="E18" s="118"/>
      <c r="F18" s="119"/>
      <c r="G18" s="60">
        <f>G19+G20+G21</f>
        <v>108</v>
      </c>
      <c r="H18" s="60">
        <f t="shared" ref="H18:S18" si="13">H19+H20+H21</f>
        <v>103</v>
      </c>
      <c r="I18" s="60">
        <f t="shared" si="13"/>
        <v>123</v>
      </c>
      <c r="J18" s="60">
        <f t="shared" si="13"/>
        <v>94</v>
      </c>
      <c r="K18" s="60">
        <f t="shared" si="13"/>
        <v>94</v>
      </c>
      <c r="L18" s="60">
        <f t="shared" si="13"/>
        <v>55</v>
      </c>
      <c r="M18" s="60">
        <f t="shared" si="13"/>
        <v>0</v>
      </c>
      <c r="N18" s="60">
        <f t="shared" si="13"/>
        <v>0</v>
      </c>
      <c r="O18" s="60">
        <f t="shared" si="13"/>
        <v>0</v>
      </c>
      <c r="P18" s="60">
        <f t="shared" si="13"/>
        <v>0</v>
      </c>
      <c r="Q18" s="60">
        <f t="shared" si="13"/>
        <v>0</v>
      </c>
      <c r="R18" s="60">
        <f t="shared" si="13"/>
        <v>0</v>
      </c>
      <c r="S18" s="60">
        <f t="shared" si="13"/>
        <v>0</v>
      </c>
      <c r="T18" s="84"/>
      <c r="U18" s="60">
        <f>SUM(U19:U21)</f>
        <v>320</v>
      </c>
      <c r="V18" s="60">
        <f>SUM(V19:V21)</f>
        <v>149</v>
      </c>
      <c r="W18" s="60">
        <f>SUM(W19:W21)</f>
        <v>0</v>
      </c>
      <c r="X18" s="60">
        <f>SUM(X19:X21)</f>
        <v>0</v>
      </c>
      <c r="Y18" s="61">
        <f>SUM(U18:X18)</f>
        <v>469</v>
      </c>
      <c r="Z18" s="93"/>
      <c r="AA18" s="55">
        <f>SUM(G18:I18)</f>
        <v>334</v>
      </c>
      <c r="AB18" s="55">
        <f>SUM(J18:L18)</f>
        <v>243</v>
      </c>
      <c r="AC18" s="55">
        <f>SUM(M18:O18)</f>
        <v>0</v>
      </c>
      <c r="AD18" s="55">
        <f>SUM(P18:R18)</f>
        <v>0</v>
      </c>
      <c r="AE18" s="61">
        <f>SUM(AA18:AD18)</f>
        <v>577</v>
      </c>
    </row>
    <row r="19" spans="1:31" ht="26.25" customHeight="1">
      <c r="A19" s="50" t="s">
        <v>5</v>
      </c>
      <c r="B19" s="111" t="s">
        <v>142</v>
      </c>
      <c r="C19" s="101"/>
      <c r="D19" s="101"/>
      <c r="E19" s="101"/>
      <c r="F19" s="102"/>
      <c r="G19" s="13">
        <v>31</v>
      </c>
      <c r="H19" s="31">
        <v>23</v>
      </c>
      <c r="I19" s="31">
        <v>37</v>
      </c>
      <c r="J19" s="31">
        <v>21</v>
      </c>
      <c r="K19" s="31">
        <v>33</v>
      </c>
      <c r="L19" s="31">
        <v>39</v>
      </c>
      <c r="M19" s="31"/>
      <c r="N19" s="31"/>
      <c r="O19" s="31"/>
      <c r="P19" s="31"/>
      <c r="Q19" s="31"/>
      <c r="R19" s="31"/>
      <c r="S19" s="31"/>
      <c r="T19" s="85"/>
      <c r="U19" s="31">
        <f>SUM(H19:J19)</f>
        <v>81</v>
      </c>
      <c r="V19" s="31">
        <f t="shared" ref="V19" si="14">SUM(K19:M19)</f>
        <v>72</v>
      </c>
      <c r="W19" s="31">
        <f t="shared" ref="W19" si="15">SUM(N19:P19)</f>
        <v>0</v>
      </c>
      <c r="X19" s="31">
        <f t="shared" ref="X19" si="16">SUM(Q19:S19)</f>
        <v>0</v>
      </c>
      <c r="Y19" s="55">
        <f t="shared" ref="Y19:Y30" si="17">SUM(U19:X19)</f>
        <v>153</v>
      </c>
      <c r="AA19" s="31">
        <f t="shared" ref="AA19:AA30" si="18">SUM(G19:I19)</f>
        <v>91</v>
      </c>
      <c r="AB19" s="31">
        <f t="shared" ref="AB19:AB30" si="19">SUM(J19:L19)</f>
        <v>93</v>
      </c>
      <c r="AC19" s="31">
        <f t="shared" ref="AC19:AC30" si="20">SUM(M19:O19)</f>
        <v>0</v>
      </c>
      <c r="AD19" s="31">
        <f t="shared" ref="AD19:AD30" si="21">SUM(P19:R19)</f>
        <v>0</v>
      </c>
      <c r="AE19" s="55">
        <f t="shared" ref="AE19:AE30" si="22">SUM(AA19:AD19)</f>
        <v>184</v>
      </c>
    </row>
    <row r="20" spans="1:31" ht="26.25" customHeight="1">
      <c r="A20" s="50" t="s">
        <v>6</v>
      </c>
      <c r="B20" s="111" t="s">
        <v>143</v>
      </c>
      <c r="C20" s="101"/>
      <c r="D20" s="101"/>
      <c r="E20" s="101"/>
      <c r="F20" s="102"/>
      <c r="G20" s="14">
        <v>60</v>
      </c>
      <c r="H20" s="31">
        <v>60</v>
      </c>
      <c r="I20" s="31">
        <v>70</v>
      </c>
      <c r="J20" s="31">
        <v>60</v>
      </c>
      <c r="K20" s="31">
        <v>42</v>
      </c>
      <c r="L20" s="31">
        <v>0</v>
      </c>
      <c r="M20" s="31"/>
      <c r="N20" s="31"/>
      <c r="O20" s="31"/>
      <c r="P20" s="31"/>
      <c r="Q20" s="31"/>
      <c r="R20" s="31"/>
      <c r="S20" s="31"/>
      <c r="T20" s="85"/>
      <c r="U20" s="31">
        <f t="shared" ref="U20:U30" si="23">SUM(H20:J20)</f>
        <v>190</v>
      </c>
      <c r="V20" s="31">
        <f t="shared" ref="V20:V21" si="24">SUM(K20:M20)</f>
        <v>42</v>
      </c>
      <c r="W20" s="31">
        <f t="shared" ref="W20:W21" si="25">SUM(N20:P20)</f>
        <v>0</v>
      </c>
      <c r="X20" s="31">
        <f t="shared" ref="X20:X21" si="26">SUM(Q20:S20)</f>
        <v>0</v>
      </c>
      <c r="Y20" s="55">
        <f t="shared" si="17"/>
        <v>232</v>
      </c>
      <c r="AA20" s="31">
        <f t="shared" si="18"/>
        <v>190</v>
      </c>
      <c r="AB20" s="31">
        <f t="shared" si="19"/>
        <v>102</v>
      </c>
      <c r="AC20" s="31">
        <f t="shared" si="20"/>
        <v>0</v>
      </c>
      <c r="AD20" s="31">
        <f t="shared" si="21"/>
        <v>0</v>
      </c>
      <c r="AE20" s="55">
        <f t="shared" si="22"/>
        <v>292</v>
      </c>
    </row>
    <row r="21" spans="1:31" ht="26.25" customHeight="1">
      <c r="A21" s="51" t="s">
        <v>67</v>
      </c>
      <c r="B21" s="111" t="s">
        <v>144</v>
      </c>
      <c r="C21" s="101"/>
      <c r="D21" s="101"/>
      <c r="E21" s="101"/>
      <c r="F21" s="102"/>
      <c r="G21" s="13">
        <v>17</v>
      </c>
      <c r="H21" s="31">
        <v>20</v>
      </c>
      <c r="I21" s="31">
        <v>16</v>
      </c>
      <c r="J21" s="31">
        <v>13</v>
      </c>
      <c r="K21" s="31">
        <v>19</v>
      </c>
      <c r="L21" s="31">
        <v>16</v>
      </c>
      <c r="M21" s="31"/>
      <c r="N21" s="31"/>
      <c r="O21" s="31"/>
      <c r="P21" s="31"/>
      <c r="Q21" s="31"/>
      <c r="R21" s="31"/>
      <c r="S21" s="31"/>
      <c r="T21" s="85"/>
      <c r="U21" s="31">
        <f t="shared" si="23"/>
        <v>49</v>
      </c>
      <c r="V21" s="31">
        <f t="shared" si="24"/>
        <v>35</v>
      </c>
      <c r="W21" s="31">
        <f t="shared" si="25"/>
        <v>0</v>
      </c>
      <c r="X21" s="31">
        <f t="shared" si="26"/>
        <v>0</v>
      </c>
      <c r="Y21" s="55">
        <f t="shared" si="17"/>
        <v>84</v>
      </c>
      <c r="AA21" s="31">
        <f t="shared" si="18"/>
        <v>53</v>
      </c>
      <c r="AB21" s="31">
        <f t="shared" si="19"/>
        <v>48</v>
      </c>
      <c r="AC21" s="31">
        <f t="shared" si="20"/>
        <v>0</v>
      </c>
      <c r="AD21" s="31">
        <f t="shared" si="21"/>
        <v>0</v>
      </c>
      <c r="AE21" s="55">
        <f t="shared" si="22"/>
        <v>101</v>
      </c>
    </row>
    <row r="22" spans="1:31" s="62" customFormat="1" ht="26.25" customHeight="1">
      <c r="A22" s="67">
        <v>2</v>
      </c>
      <c r="B22" s="117" t="s">
        <v>25</v>
      </c>
      <c r="C22" s="118"/>
      <c r="D22" s="118"/>
      <c r="E22" s="118"/>
      <c r="F22" s="119"/>
      <c r="G22" s="60">
        <f>G23+G24+G25</f>
        <v>54</v>
      </c>
      <c r="H22" s="60">
        <f t="shared" ref="H22:X22" si="27">H23+H24+H25</f>
        <v>54</v>
      </c>
      <c r="I22" s="60">
        <f t="shared" si="27"/>
        <v>53</v>
      </c>
      <c r="J22" s="60">
        <f t="shared" si="27"/>
        <v>58</v>
      </c>
      <c r="K22" s="60">
        <f t="shared" si="27"/>
        <v>81</v>
      </c>
      <c r="L22" s="60">
        <f t="shared" si="27"/>
        <v>37</v>
      </c>
      <c r="M22" s="60">
        <f t="shared" si="27"/>
        <v>0</v>
      </c>
      <c r="N22" s="60">
        <f t="shared" si="27"/>
        <v>0</v>
      </c>
      <c r="O22" s="60">
        <f t="shared" si="27"/>
        <v>0</v>
      </c>
      <c r="P22" s="60">
        <f t="shared" si="27"/>
        <v>0</v>
      </c>
      <c r="Q22" s="60">
        <f t="shared" si="27"/>
        <v>0</v>
      </c>
      <c r="R22" s="60">
        <f t="shared" si="27"/>
        <v>0</v>
      </c>
      <c r="S22" s="60">
        <f t="shared" si="27"/>
        <v>0</v>
      </c>
      <c r="T22" s="84"/>
      <c r="U22" s="60">
        <f t="shared" si="27"/>
        <v>165</v>
      </c>
      <c r="V22" s="60">
        <f t="shared" si="27"/>
        <v>118</v>
      </c>
      <c r="W22" s="60">
        <f t="shared" si="27"/>
        <v>0</v>
      </c>
      <c r="X22" s="60">
        <f t="shared" si="27"/>
        <v>0</v>
      </c>
      <c r="Y22" s="61">
        <f t="shared" si="17"/>
        <v>283</v>
      </c>
      <c r="Z22" s="93"/>
      <c r="AA22" s="55">
        <f t="shared" si="18"/>
        <v>161</v>
      </c>
      <c r="AB22" s="55">
        <f t="shared" si="19"/>
        <v>176</v>
      </c>
      <c r="AC22" s="55">
        <f t="shared" si="20"/>
        <v>0</v>
      </c>
      <c r="AD22" s="55">
        <f t="shared" si="21"/>
        <v>0</v>
      </c>
      <c r="AE22" s="61">
        <f t="shared" si="22"/>
        <v>337</v>
      </c>
    </row>
    <row r="23" spans="1:31" ht="26.25" customHeight="1">
      <c r="A23" s="50" t="s">
        <v>68</v>
      </c>
      <c r="B23" s="100" t="s">
        <v>63</v>
      </c>
      <c r="C23" s="101"/>
      <c r="D23" s="101"/>
      <c r="E23" s="101"/>
      <c r="F23" s="102"/>
      <c r="G23" s="13">
        <v>19</v>
      </c>
      <c r="H23" s="31">
        <v>7</v>
      </c>
      <c r="I23" s="31">
        <v>10</v>
      </c>
      <c r="J23" s="31">
        <v>18</v>
      </c>
      <c r="K23" s="31">
        <v>38</v>
      </c>
      <c r="L23" s="31">
        <v>22</v>
      </c>
      <c r="M23" s="31"/>
      <c r="N23" s="31"/>
      <c r="O23" s="31"/>
      <c r="P23" s="31"/>
      <c r="Q23" s="31"/>
      <c r="R23" s="31"/>
      <c r="S23" s="31"/>
      <c r="T23" s="85"/>
      <c r="U23" s="31">
        <f t="shared" si="23"/>
        <v>35</v>
      </c>
      <c r="V23" s="31">
        <f t="shared" ref="V23" si="28">SUM(K23:M23)</f>
        <v>60</v>
      </c>
      <c r="W23" s="31">
        <f t="shared" ref="W23" si="29">SUM(N23:P23)</f>
        <v>0</v>
      </c>
      <c r="X23" s="31">
        <f t="shared" ref="X23" si="30">SUM(Q23:S23)</f>
        <v>0</v>
      </c>
      <c r="Y23" s="55">
        <f t="shared" si="17"/>
        <v>95</v>
      </c>
      <c r="AA23" s="31">
        <f t="shared" si="18"/>
        <v>36</v>
      </c>
      <c r="AB23" s="31">
        <f t="shared" si="19"/>
        <v>78</v>
      </c>
      <c r="AC23" s="31">
        <f t="shared" si="20"/>
        <v>0</v>
      </c>
      <c r="AD23" s="31">
        <f t="shared" si="21"/>
        <v>0</v>
      </c>
      <c r="AE23" s="55">
        <f t="shared" si="22"/>
        <v>114</v>
      </c>
    </row>
    <row r="24" spans="1:31" ht="26.25" customHeight="1">
      <c r="A24" s="50" t="s">
        <v>69</v>
      </c>
      <c r="B24" s="100" t="s">
        <v>64</v>
      </c>
      <c r="C24" s="101"/>
      <c r="D24" s="101"/>
      <c r="E24" s="101"/>
      <c r="F24" s="102"/>
      <c r="G24" s="13">
        <v>25</v>
      </c>
      <c r="H24" s="31">
        <v>35</v>
      </c>
      <c r="I24" s="31">
        <v>36</v>
      </c>
      <c r="J24" s="31">
        <v>35</v>
      </c>
      <c r="K24" s="31">
        <v>29</v>
      </c>
      <c r="L24" s="31">
        <v>0</v>
      </c>
      <c r="M24" s="31"/>
      <c r="N24" s="31"/>
      <c r="O24" s="31"/>
      <c r="P24" s="31"/>
      <c r="Q24" s="31"/>
      <c r="R24" s="31"/>
      <c r="S24" s="31"/>
      <c r="T24" s="85"/>
      <c r="U24" s="31">
        <f t="shared" si="23"/>
        <v>106</v>
      </c>
      <c r="V24" s="31">
        <f t="shared" ref="V24:V26" si="31">SUM(K24:M24)</f>
        <v>29</v>
      </c>
      <c r="W24" s="31">
        <f>SUM(N24:P24)</f>
        <v>0</v>
      </c>
      <c r="X24" s="31">
        <f t="shared" ref="X24:X26" si="32">SUM(Q24:S24)</f>
        <v>0</v>
      </c>
      <c r="Y24" s="55">
        <f t="shared" si="17"/>
        <v>135</v>
      </c>
      <c r="AA24" s="31">
        <f t="shared" si="18"/>
        <v>96</v>
      </c>
      <c r="AB24" s="31">
        <f t="shared" si="19"/>
        <v>64</v>
      </c>
      <c r="AC24" s="31">
        <f t="shared" si="20"/>
        <v>0</v>
      </c>
      <c r="AD24" s="31">
        <f t="shared" si="21"/>
        <v>0</v>
      </c>
      <c r="AE24" s="55">
        <f t="shared" si="22"/>
        <v>160</v>
      </c>
    </row>
    <row r="25" spans="1:31" ht="26.25" customHeight="1">
      <c r="A25" s="51" t="s">
        <v>70</v>
      </c>
      <c r="B25" s="100" t="s">
        <v>65</v>
      </c>
      <c r="C25" s="101"/>
      <c r="D25" s="101"/>
      <c r="E25" s="101"/>
      <c r="F25" s="102"/>
      <c r="G25" s="13">
        <v>10</v>
      </c>
      <c r="H25" s="31">
        <v>12</v>
      </c>
      <c r="I25" s="31">
        <v>7</v>
      </c>
      <c r="J25" s="31">
        <v>5</v>
      </c>
      <c r="K25" s="31">
        <v>14</v>
      </c>
      <c r="L25" s="31">
        <v>15</v>
      </c>
      <c r="M25" s="31"/>
      <c r="N25" s="31"/>
      <c r="O25" s="31"/>
      <c r="P25" s="31"/>
      <c r="Q25" s="31"/>
      <c r="R25" s="31"/>
      <c r="S25" s="31"/>
      <c r="T25" s="85"/>
      <c r="U25" s="31">
        <f>SUM(H25:J25)</f>
        <v>24</v>
      </c>
      <c r="V25" s="31">
        <f t="shared" si="31"/>
        <v>29</v>
      </c>
      <c r="W25" s="31">
        <f t="shared" ref="W25:W26" si="33">SUM(N25:P25)</f>
        <v>0</v>
      </c>
      <c r="X25" s="31">
        <f t="shared" si="32"/>
        <v>0</v>
      </c>
      <c r="Y25" s="55">
        <f t="shared" si="17"/>
        <v>53</v>
      </c>
      <c r="AA25" s="31">
        <f t="shared" si="18"/>
        <v>29</v>
      </c>
      <c r="AB25" s="31">
        <f t="shared" si="19"/>
        <v>34</v>
      </c>
      <c r="AC25" s="31">
        <f t="shared" si="20"/>
        <v>0</v>
      </c>
      <c r="AD25" s="31">
        <f t="shared" si="21"/>
        <v>0</v>
      </c>
      <c r="AE25" s="55">
        <f t="shared" si="22"/>
        <v>63</v>
      </c>
    </row>
    <row r="26" spans="1:31" s="74" customFormat="1" ht="26.25" customHeight="1">
      <c r="A26" s="96">
        <v>3</v>
      </c>
      <c r="B26" s="126" t="s">
        <v>21</v>
      </c>
      <c r="C26" s="127"/>
      <c r="D26" s="127"/>
      <c r="E26" s="127"/>
      <c r="F26" s="128"/>
      <c r="G26" s="28">
        <v>0</v>
      </c>
      <c r="H26" s="28">
        <v>0</v>
      </c>
      <c r="I26" s="28">
        <v>0</v>
      </c>
      <c r="J26" s="28">
        <v>3</v>
      </c>
      <c r="K26" s="28">
        <v>0</v>
      </c>
      <c r="L26" s="28">
        <v>0</v>
      </c>
      <c r="M26" s="28"/>
      <c r="N26" s="28"/>
      <c r="O26" s="28"/>
      <c r="P26" s="28"/>
      <c r="Q26" s="28"/>
      <c r="R26" s="28"/>
      <c r="S26" s="28"/>
      <c r="T26" s="86"/>
      <c r="U26" s="28">
        <f t="shared" si="23"/>
        <v>3</v>
      </c>
      <c r="V26" s="28">
        <f t="shared" si="31"/>
        <v>0</v>
      </c>
      <c r="W26" s="28">
        <f t="shared" si="33"/>
        <v>0</v>
      </c>
      <c r="X26" s="28">
        <f t="shared" si="32"/>
        <v>0</v>
      </c>
      <c r="Y26" s="61">
        <f t="shared" si="17"/>
        <v>3</v>
      </c>
      <c r="Z26" s="93"/>
      <c r="AA26" s="28">
        <f t="shared" si="18"/>
        <v>0</v>
      </c>
      <c r="AB26" s="28">
        <f t="shared" si="19"/>
        <v>3</v>
      </c>
      <c r="AC26" s="28">
        <f t="shared" si="20"/>
        <v>0</v>
      </c>
      <c r="AD26" s="28">
        <f t="shared" si="21"/>
        <v>0</v>
      </c>
      <c r="AE26" s="61">
        <f t="shared" si="22"/>
        <v>3</v>
      </c>
    </row>
    <row r="27" spans="1:31" s="74" customFormat="1" ht="26.25" customHeight="1">
      <c r="A27" s="67">
        <v>4</v>
      </c>
      <c r="B27" s="117" t="s">
        <v>3</v>
      </c>
      <c r="C27" s="118"/>
      <c r="D27" s="118"/>
      <c r="E27" s="118"/>
      <c r="F27" s="119"/>
      <c r="G27" s="60">
        <f>G28+G29+G30</f>
        <v>131</v>
      </c>
      <c r="H27" s="60">
        <f t="shared" ref="H27:X27" si="34">H28+H29+H30</f>
        <v>151</v>
      </c>
      <c r="I27" s="60">
        <f t="shared" si="34"/>
        <v>154</v>
      </c>
      <c r="J27" s="60">
        <f t="shared" si="34"/>
        <v>140</v>
      </c>
      <c r="K27" s="60">
        <f t="shared" si="34"/>
        <v>144</v>
      </c>
      <c r="L27" s="60">
        <f t="shared" si="34"/>
        <v>211</v>
      </c>
      <c r="M27" s="60">
        <f t="shared" si="34"/>
        <v>0</v>
      </c>
      <c r="N27" s="60">
        <f t="shared" si="34"/>
        <v>0</v>
      </c>
      <c r="O27" s="60">
        <f t="shared" si="34"/>
        <v>0</v>
      </c>
      <c r="P27" s="60">
        <f t="shared" si="34"/>
        <v>0</v>
      </c>
      <c r="Q27" s="60">
        <f t="shared" si="34"/>
        <v>0</v>
      </c>
      <c r="R27" s="60">
        <f t="shared" si="34"/>
        <v>0</v>
      </c>
      <c r="S27" s="60">
        <f t="shared" si="34"/>
        <v>0</v>
      </c>
      <c r="T27" s="84"/>
      <c r="U27" s="60">
        <f t="shared" si="34"/>
        <v>445</v>
      </c>
      <c r="V27" s="60">
        <f t="shared" si="34"/>
        <v>355</v>
      </c>
      <c r="W27" s="60">
        <f t="shared" si="34"/>
        <v>0</v>
      </c>
      <c r="X27" s="60">
        <f t="shared" si="34"/>
        <v>0</v>
      </c>
      <c r="Y27" s="61">
        <f t="shared" si="17"/>
        <v>800</v>
      </c>
      <c r="Z27" s="93"/>
      <c r="AA27" s="61">
        <f t="shared" si="18"/>
        <v>436</v>
      </c>
      <c r="AB27" s="61">
        <f t="shared" si="19"/>
        <v>495</v>
      </c>
      <c r="AC27" s="61">
        <f t="shared" si="20"/>
        <v>0</v>
      </c>
      <c r="AD27" s="61">
        <f t="shared" si="21"/>
        <v>0</v>
      </c>
      <c r="AE27" s="61">
        <f t="shared" si="22"/>
        <v>931</v>
      </c>
    </row>
    <row r="28" spans="1:31" ht="26.25" customHeight="1">
      <c r="A28" s="50" t="s">
        <v>71</v>
      </c>
      <c r="B28" s="100" t="s">
        <v>66</v>
      </c>
      <c r="C28" s="101"/>
      <c r="D28" s="101"/>
      <c r="E28" s="101"/>
      <c r="F28" s="102"/>
      <c r="G28" s="13">
        <v>40</v>
      </c>
      <c r="H28" s="31">
        <v>39</v>
      </c>
      <c r="I28" s="31">
        <v>59</v>
      </c>
      <c r="J28" s="31">
        <v>48</v>
      </c>
      <c r="K28" s="31">
        <v>38</v>
      </c>
      <c r="L28" s="31">
        <v>54</v>
      </c>
      <c r="M28" s="31"/>
      <c r="N28" s="31"/>
      <c r="O28" s="31"/>
      <c r="P28" s="31"/>
      <c r="Q28" s="31"/>
      <c r="R28" s="31"/>
      <c r="S28" s="31"/>
      <c r="T28" s="85"/>
      <c r="U28" s="31">
        <f t="shared" si="23"/>
        <v>146</v>
      </c>
      <c r="V28" s="31">
        <f t="shared" ref="V28" si="35">SUM(K28:M28)</f>
        <v>92</v>
      </c>
      <c r="W28" s="31">
        <f t="shared" ref="W28" si="36">SUM(N28:P28)</f>
        <v>0</v>
      </c>
      <c r="X28" s="31">
        <f t="shared" ref="X28" si="37">SUM(Q28:S28)</f>
        <v>0</v>
      </c>
      <c r="Y28" s="55">
        <f t="shared" si="17"/>
        <v>238</v>
      </c>
      <c r="AA28" s="31">
        <f t="shared" si="18"/>
        <v>138</v>
      </c>
      <c r="AB28" s="31">
        <f t="shared" si="19"/>
        <v>140</v>
      </c>
      <c r="AC28" s="31">
        <f t="shared" si="20"/>
        <v>0</v>
      </c>
      <c r="AD28" s="31">
        <f t="shared" si="21"/>
        <v>0</v>
      </c>
      <c r="AE28" s="55">
        <f t="shared" si="22"/>
        <v>278</v>
      </c>
    </row>
    <row r="29" spans="1:31" ht="26.25" customHeight="1">
      <c r="A29" s="50" t="s">
        <v>72</v>
      </c>
      <c r="B29" s="111" t="s">
        <v>139</v>
      </c>
      <c r="C29" s="101"/>
      <c r="D29" s="101"/>
      <c r="E29" s="101"/>
      <c r="F29" s="102"/>
      <c r="G29" s="13">
        <v>70</v>
      </c>
      <c r="H29" s="31">
        <v>88</v>
      </c>
      <c r="I29" s="31">
        <v>82</v>
      </c>
      <c r="J29" s="31">
        <v>60</v>
      </c>
      <c r="K29" s="31">
        <v>77</v>
      </c>
      <c r="L29" s="31">
        <v>126</v>
      </c>
      <c r="M29" s="31"/>
      <c r="N29" s="31"/>
      <c r="O29" s="31"/>
      <c r="P29" s="31"/>
      <c r="Q29" s="31"/>
      <c r="R29" s="31"/>
      <c r="S29" s="31"/>
      <c r="T29" s="85"/>
      <c r="U29" s="31">
        <f t="shared" si="23"/>
        <v>230</v>
      </c>
      <c r="V29" s="31">
        <f t="shared" ref="V29:V30" si="38">SUM(K29:M29)</f>
        <v>203</v>
      </c>
      <c r="W29" s="31">
        <f t="shared" ref="W29:W30" si="39">SUM(N29:P29)</f>
        <v>0</v>
      </c>
      <c r="X29" s="31">
        <f t="shared" ref="X29:X30" si="40">SUM(Q29:S29)</f>
        <v>0</v>
      </c>
      <c r="Y29" s="55">
        <f t="shared" si="17"/>
        <v>433</v>
      </c>
      <c r="AA29" s="31">
        <f t="shared" si="18"/>
        <v>240</v>
      </c>
      <c r="AB29" s="31">
        <f t="shared" si="19"/>
        <v>263</v>
      </c>
      <c r="AC29" s="31">
        <f t="shared" si="20"/>
        <v>0</v>
      </c>
      <c r="AD29" s="31">
        <f t="shared" si="21"/>
        <v>0</v>
      </c>
      <c r="AE29" s="55">
        <f t="shared" si="22"/>
        <v>503</v>
      </c>
    </row>
    <row r="30" spans="1:31" ht="26.25" customHeight="1">
      <c r="A30" s="50" t="s">
        <v>73</v>
      </c>
      <c r="B30" s="152" t="s">
        <v>140</v>
      </c>
      <c r="C30" s="153"/>
      <c r="D30" s="153"/>
      <c r="E30" s="153"/>
      <c r="F30" s="154"/>
      <c r="G30" s="15">
        <v>21</v>
      </c>
      <c r="H30" s="32">
        <v>24</v>
      </c>
      <c r="I30" s="32">
        <v>13</v>
      </c>
      <c r="J30" s="32">
        <v>32</v>
      </c>
      <c r="K30" s="32">
        <v>29</v>
      </c>
      <c r="L30" s="32">
        <v>31</v>
      </c>
      <c r="M30" s="32"/>
      <c r="N30" s="32"/>
      <c r="O30" s="32"/>
      <c r="P30" s="32"/>
      <c r="Q30" s="32"/>
      <c r="R30" s="32"/>
      <c r="S30" s="32"/>
      <c r="T30" s="85"/>
      <c r="U30" s="31">
        <f t="shared" si="23"/>
        <v>69</v>
      </c>
      <c r="V30" s="31">
        <f t="shared" si="38"/>
        <v>60</v>
      </c>
      <c r="W30" s="31">
        <f t="shared" si="39"/>
        <v>0</v>
      </c>
      <c r="X30" s="31">
        <f t="shared" si="40"/>
        <v>0</v>
      </c>
      <c r="Y30" s="55">
        <f t="shared" si="17"/>
        <v>129</v>
      </c>
      <c r="AA30" s="31">
        <f t="shared" si="18"/>
        <v>58</v>
      </c>
      <c r="AB30" s="31">
        <f t="shared" si="19"/>
        <v>92</v>
      </c>
      <c r="AC30" s="31">
        <f t="shared" si="20"/>
        <v>0</v>
      </c>
      <c r="AD30" s="31">
        <f t="shared" si="21"/>
        <v>0</v>
      </c>
      <c r="AE30" s="55">
        <f t="shared" si="22"/>
        <v>150</v>
      </c>
    </row>
    <row r="31" spans="1:31" s="62" customFormat="1" ht="26.25" customHeight="1">
      <c r="A31" s="59">
        <v>5</v>
      </c>
      <c r="B31" s="148" t="s">
        <v>56</v>
      </c>
      <c r="C31" s="148"/>
      <c r="D31" s="148"/>
      <c r="E31" s="148"/>
      <c r="F31" s="148"/>
      <c r="G31" s="60">
        <f>G32+G33+G34</f>
        <v>1467</v>
      </c>
      <c r="H31" s="60">
        <f t="shared" ref="H31:S31" si="41">H32+H33+H34</f>
        <v>1473</v>
      </c>
      <c r="I31" s="60">
        <f t="shared" si="41"/>
        <v>1495</v>
      </c>
      <c r="J31" s="60">
        <f t="shared" si="41"/>
        <v>1507</v>
      </c>
      <c r="K31" s="60">
        <f t="shared" si="41"/>
        <v>1538</v>
      </c>
      <c r="L31" s="60">
        <f t="shared" si="41"/>
        <v>1419</v>
      </c>
      <c r="M31" s="60">
        <f t="shared" si="41"/>
        <v>0</v>
      </c>
      <c r="N31" s="60">
        <f t="shared" si="41"/>
        <v>0</v>
      </c>
      <c r="O31" s="60">
        <f t="shared" si="41"/>
        <v>0</v>
      </c>
      <c r="P31" s="60">
        <f>P32+P33+P34</f>
        <v>0</v>
      </c>
      <c r="Q31" s="60">
        <f t="shared" si="41"/>
        <v>0</v>
      </c>
      <c r="R31" s="60">
        <f t="shared" si="41"/>
        <v>0</v>
      </c>
      <c r="S31" s="60">
        <f t="shared" si="41"/>
        <v>0</v>
      </c>
      <c r="T31" s="84"/>
      <c r="U31" s="60">
        <f>SUM(U32:U34)</f>
        <v>1507</v>
      </c>
      <c r="V31" s="60">
        <f t="shared" ref="V31:W31" si="42">SUM(V32:V34)</f>
        <v>0</v>
      </c>
      <c r="W31" s="60">
        <f t="shared" si="42"/>
        <v>0</v>
      </c>
      <c r="X31" s="60">
        <f>SUM(X32:X34)</f>
        <v>0</v>
      </c>
      <c r="Y31" s="60"/>
      <c r="Z31" s="93"/>
      <c r="AA31" s="60">
        <f>SUM(AA32:AA34)</f>
        <v>1495</v>
      </c>
      <c r="AB31" s="60">
        <f>SUM(AB32:AB34)</f>
        <v>1419</v>
      </c>
      <c r="AC31" s="60">
        <f t="shared" ref="AC31" si="43">SUM(AC32:AC34)</f>
        <v>0</v>
      </c>
      <c r="AD31" s="60">
        <f>SUM(AD32:AD34)</f>
        <v>0</v>
      </c>
      <c r="AE31" s="60"/>
    </row>
    <row r="32" spans="1:31" ht="26.25" customHeight="1">
      <c r="A32" s="52" t="s">
        <v>7</v>
      </c>
      <c r="B32" s="111" t="s">
        <v>77</v>
      </c>
      <c r="C32" s="112"/>
      <c r="D32" s="112"/>
      <c r="E32" s="112"/>
      <c r="F32" s="113"/>
      <c r="G32" s="13">
        <v>497</v>
      </c>
      <c r="H32" s="31">
        <v>488</v>
      </c>
      <c r="I32" s="31">
        <v>476</v>
      </c>
      <c r="J32" s="31">
        <v>467</v>
      </c>
      <c r="K32" s="31">
        <v>500</v>
      </c>
      <c r="L32" s="31">
        <v>507</v>
      </c>
      <c r="M32" s="31"/>
      <c r="N32" s="31"/>
      <c r="O32" s="31"/>
      <c r="P32" s="31"/>
      <c r="Q32" s="31"/>
      <c r="R32" s="31"/>
      <c r="S32" s="31"/>
      <c r="T32" s="85"/>
      <c r="U32" s="53">
        <f>J32</f>
        <v>467</v>
      </c>
      <c r="V32" s="53">
        <f>M32</f>
        <v>0</v>
      </c>
      <c r="W32" s="53">
        <f>P32</f>
        <v>0</v>
      </c>
      <c r="X32" s="53">
        <f>S32</f>
        <v>0</v>
      </c>
      <c r="Y32" s="60"/>
      <c r="AA32" s="53">
        <f>I32</f>
        <v>476</v>
      </c>
      <c r="AB32" s="53">
        <f>L32</f>
        <v>507</v>
      </c>
      <c r="AC32" s="53">
        <f>O32</f>
        <v>0</v>
      </c>
      <c r="AD32" s="53">
        <f>R32</f>
        <v>0</v>
      </c>
      <c r="AE32" s="55"/>
    </row>
    <row r="33" spans="1:31" ht="26.25" customHeight="1">
      <c r="A33" s="52" t="s">
        <v>8</v>
      </c>
      <c r="B33" s="111" t="s">
        <v>78</v>
      </c>
      <c r="C33" s="112"/>
      <c r="D33" s="112"/>
      <c r="E33" s="112"/>
      <c r="F33" s="113"/>
      <c r="G33" s="13">
        <v>794</v>
      </c>
      <c r="H33" s="31">
        <v>801</v>
      </c>
      <c r="I33" s="31">
        <v>825</v>
      </c>
      <c r="J33" s="31">
        <v>860</v>
      </c>
      <c r="K33" s="31">
        <v>854</v>
      </c>
      <c r="L33" s="31">
        <v>728</v>
      </c>
      <c r="M33" s="31"/>
      <c r="N33" s="31"/>
      <c r="O33" s="31"/>
      <c r="P33" s="31"/>
      <c r="Q33" s="31"/>
      <c r="R33" s="31"/>
      <c r="S33" s="31"/>
      <c r="T33" s="85"/>
      <c r="U33" s="53">
        <f t="shared" ref="U33:U35" si="44">J33</f>
        <v>860</v>
      </c>
      <c r="V33" s="53">
        <f t="shared" ref="V33:V35" si="45">M33</f>
        <v>0</v>
      </c>
      <c r="W33" s="53">
        <f t="shared" ref="W33:W35" si="46">P33</f>
        <v>0</v>
      </c>
      <c r="X33" s="53">
        <f t="shared" ref="X33:X35" si="47">S33</f>
        <v>0</v>
      </c>
      <c r="Y33" s="60"/>
      <c r="AA33" s="53">
        <f>I33</f>
        <v>825</v>
      </c>
      <c r="AB33" s="53">
        <f t="shared" ref="AB33:AB35" si="48">L33</f>
        <v>728</v>
      </c>
      <c r="AC33" s="53">
        <f t="shared" ref="AC33:AC35" si="49">O33</f>
        <v>0</v>
      </c>
      <c r="AD33" s="53">
        <f t="shared" ref="AD33:AD35" si="50">R33</f>
        <v>0</v>
      </c>
      <c r="AE33" s="55"/>
    </row>
    <row r="34" spans="1:31" ht="26.25" customHeight="1">
      <c r="A34" s="52" t="s">
        <v>79</v>
      </c>
      <c r="B34" s="111" t="s">
        <v>141</v>
      </c>
      <c r="C34" s="112"/>
      <c r="D34" s="112"/>
      <c r="E34" s="112"/>
      <c r="F34" s="113"/>
      <c r="G34" s="13">
        <v>176</v>
      </c>
      <c r="H34" s="31">
        <v>184</v>
      </c>
      <c r="I34" s="31">
        <v>194</v>
      </c>
      <c r="J34" s="31">
        <v>180</v>
      </c>
      <c r="K34" s="31">
        <v>184</v>
      </c>
      <c r="L34" s="31">
        <v>184</v>
      </c>
      <c r="M34" s="31"/>
      <c r="N34" s="31"/>
      <c r="O34" s="31"/>
      <c r="P34" s="31"/>
      <c r="Q34" s="31"/>
      <c r="R34" s="31"/>
      <c r="S34" s="31"/>
      <c r="T34" s="85"/>
      <c r="U34" s="53">
        <f t="shared" si="44"/>
        <v>180</v>
      </c>
      <c r="V34" s="53">
        <f t="shared" si="45"/>
        <v>0</v>
      </c>
      <c r="W34" s="53">
        <f t="shared" si="46"/>
        <v>0</v>
      </c>
      <c r="X34" s="53">
        <f t="shared" si="47"/>
        <v>0</v>
      </c>
      <c r="Y34" s="60"/>
      <c r="AA34" s="53">
        <f>I34</f>
        <v>194</v>
      </c>
      <c r="AB34" s="53">
        <f t="shared" si="48"/>
        <v>184</v>
      </c>
      <c r="AC34" s="53">
        <f t="shared" si="49"/>
        <v>0</v>
      </c>
      <c r="AD34" s="53">
        <f t="shared" si="50"/>
        <v>0</v>
      </c>
      <c r="AE34" s="55"/>
    </row>
    <row r="35" spans="1:31" ht="26.25" customHeight="1">
      <c r="A35" s="52">
        <v>6</v>
      </c>
      <c r="B35" s="111" t="s">
        <v>57</v>
      </c>
      <c r="C35" s="112"/>
      <c r="D35" s="112"/>
      <c r="E35" s="112"/>
      <c r="F35" s="113"/>
      <c r="G35" s="28">
        <v>149</v>
      </c>
      <c r="H35" s="28">
        <v>212</v>
      </c>
      <c r="I35" s="28">
        <v>298</v>
      </c>
      <c r="J35" s="28">
        <v>138</v>
      </c>
      <c r="K35" s="28">
        <v>181</v>
      </c>
      <c r="L35" s="28">
        <v>205</v>
      </c>
      <c r="M35" s="28"/>
      <c r="N35" s="28"/>
      <c r="O35" s="28"/>
      <c r="P35" s="28"/>
      <c r="Q35" s="28"/>
      <c r="R35" s="28"/>
      <c r="S35" s="28"/>
      <c r="T35" s="86"/>
      <c r="U35" s="53">
        <f t="shared" si="44"/>
        <v>138</v>
      </c>
      <c r="V35" s="53">
        <f t="shared" si="45"/>
        <v>0</v>
      </c>
      <c r="W35" s="53">
        <f t="shared" si="46"/>
        <v>0</v>
      </c>
      <c r="X35" s="53">
        <f t="shared" si="47"/>
        <v>0</v>
      </c>
      <c r="Y35" s="60"/>
      <c r="AA35" s="53">
        <f>I35</f>
        <v>298</v>
      </c>
      <c r="AB35" s="53">
        <f t="shared" si="48"/>
        <v>205</v>
      </c>
      <c r="AC35" s="53">
        <f t="shared" si="49"/>
        <v>0</v>
      </c>
      <c r="AD35" s="53">
        <f t="shared" si="50"/>
        <v>0</v>
      </c>
      <c r="AE35" s="56"/>
    </row>
    <row r="36" spans="1:31" ht="26.25" customHeight="1">
      <c r="A36" s="106" t="s">
        <v>51</v>
      </c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7"/>
    </row>
    <row r="37" spans="1:31" ht="26.25" customHeight="1">
      <c r="A37" s="42" t="s">
        <v>0</v>
      </c>
      <c r="B37" s="132" t="s">
        <v>4</v>
      </c>
      <c r="C37" s="133"/>
      <c r="D37" s="133"/>
      <c r="E37" s="133"/>
      <c r="F37" s="134"/>
      <c r="G37" s="43" t="s">
        <v>181</v>
      </c>
      <c r="H37" s="43" t="s">
        <v>162</v>
      </c>
      <c r="I37" s="43" t="s">
        <v>163</v>
      </c>
      <c r="J37" s="43" t="s">
        <v>164</v>
      </c>
      <c r="K37" s="43" t="s">
        <v>165</v>
      </c>
      <c r="L37" s="43" t="s">
        <v>166</v>
      </c>
      <c r="M37" s="43" t="s">
        <v>167</v>
      </c>
      <c r="N37" s="43" t="s">
        <v>168</v>
      </c>
      <c r="O37" s="43" t="s">
        <v>169</v>
      </c>
      <c r="P37" s="43" t="s">
        <v>170</v>
      </c>
      <c r="Q37" s="43" t="s">
        <v>171</v>
      </c>
      <c r="R37" s="43" t="s">
        <v>172</v>
      </c>
      <c r="S37" s="44" t="s">
        <v>173</v>
      </c>
      <c r="T37" s="81"/>
      <c r="U37" s="44" t="s">
        <v>174</v>
      </c>
      <c r="V37" s="44" t="s">
        <v>175</v>
      </c>
      <c r="W37" s="44" t="s">
        <v>179</v>
      </c>
      <c r="X37" s="44" t="s">
        <v>180</v>
      </c>
      <c r="Y37" s="68" t="s">
        <v>2</v>
      </c>
      <c r="AA37" s="44" t="s">
        <v>174</v>
      </c>
      <c r="AB37" s="44" t="s">
        <v>175</v>
      </c>
      <c r="AC37" s="44" t="s">
        <v>179</v>
      </c>
      <c r="AD37" s="44" t="s">
        <v>180</v>
      </c>
      <c r="AE37" s="68" t="s">
        <v>2</v>
      </c>
    </row>
    <row r="38" spans="1:31" s="62" customFormat="1" ht="26.25" customHeight="1">
      <c r="A38" s="59">
        <v>1</v>
      </c>
      <c r="B38" s="117" t="s">
        <v>23</v>
      </c>
      <c r="C38" s="118"/>
      <c r="D38" s="118"/>
      <c r="E38" s="118"/>
      <c r="F38" s="119"/>
      <c r="G38" s="60">
        <f>G39+G40+G41</f>
        <v>33</v>
      </c>
      <c r="H38" s="60">
        <f t="shared" ref="H38:X38" si="51">H39+H40+H41</f>
        <v>35</v>
      </c>
      <c r="I38" s="60">
        <f t="shared" si="51"/>
        <v>29</v>
      </c>
      <c r="J38" s="60">
        <f t="shared" si="51"/>
        <v>43</v>
      </c>
      <c r="K38" s="60">
        <f t="shared" si="51"/>
        <v>39</v>
      </c>
      <c r="L38" s="60">
        <f t="shared" si="51"/>
        <v>9</v>
      </c>
      <c r="M38" s="60">
        <f t="shared" si="51"/>
        <v>0</v>
      </c>
      <c r="N38" s="60">
        <f t="shared" si="51"/>
        <v>0</v>
      </c>
      <c r="O38" s="60">
        <f t="shared" si="51"/>
        <v>0</v>
      </c>
      <c r="P38" s="60">
        <f t="shared" si="51"/>
        <v>0</v>
      </c>
      <c r="Q38" s="60">
        <f t="shared" si="51"/>
        <v>0</v>
      </c>
      <c r="R38" s="60">
        <f t="shared" si="51"/>
        <v>0</v>
      </c>
      <c r="S38" s="60">
        <f t="shared" si="51"/>
        <v>0</v>
      </c>
      <c r="T38" s="84"/>
      <c r="U38" s="60">
        <f t="shared" si="51"/>
        <v>107</v>
      </c>
      <c r="V38" s="60">
        <f t="shared" si="51"/>
        <v>48</v>
      </c>
      <c r="W38" s="60">
        <f t="shared" si="51"/>
        <v>0</v>
      </c>
      <c r="X38" s="60">
        <f t="shared" si="51"/>
        <v>0</v>
      </c>
      <c r="Y38" s="61">
        <f t="shared" ref="Y38:Y45" si="52">SUM(U38:X38)</f>
        <v>155</v>
      </c>
      <c r="Z38" s="93"/>
      <c r="AA38" s="60">
        <f>AA39+AA40+AA41</f>
        <v>97</v>
      </c>
      <c r="AB38" s="60">
        <f>AB39+AB40+AB41</f>
        <v>91</v>
      </c>
      <c r="AC38" s="60">
        <f>AC39+AC40+AC41</f>
        <v>0</v>
      </c>
      <c r="AD38" s="60">
        <f>AD39+AD40+AD41</f>
        <v>0</v>
      </c>
      <c r="AE38" s="61">
        <f>SUM(AA38:AD38)</f>
        <v>188</v>
      </c>
    </row>
    <row r="39" spans="1:31" ht="26.25" customHeight="1">
      <c r="A39" s="52" t="s">
        <v>5</v>
      </c>
      <c r="B39" s="100" t="s">
        <v>80</v>
      </c>
      <c r="C39" s="101"/>
      <c r="D39" s="101"/>
      <c r="E39" s="101"/>
      <c r="F39" s="102"/>
      <c r="G39" s="16">
        <v>10</v>
      </c>
      <c r="H39" s="33">
        <v>4</v>
      </c>
      <c r="I39" s="33">
        <v>2</v>
      </c>
      <c r="J39" s="33">
        <v>11</v>
      </c>
      <c r="K39" s="33">
        <v>14</v>
      </c>
      <c r="L39" s="33">
        <v>6</v>
      </c>
      <c r="M39" s="33"/>
      <c r="N39" s="33"/>
      <c r="O39" s="33"/>
      <c r="P39" s="33"/>
      <c r="Q39" s="33"/>
      <c r="R39" s="33"/>
      <c r="S39" s="33"/>
      <c r="T39" s="87"/>
      <c r="U39" s="31">
        <f t="shared" ref="U39" si="53">SUM(H39:J39)</f>
        <v>17</v>
      </c>
      <c r="V39" s="31">
        <f t="shared" ref="V39" si="54">SUM(K39:M39)</f>
        <v>20</v>
      </c>
      <c r="W39" s="31">
        <f t="shared" ref="W39" si="55">SUM(N39:P39)</f>
        <v>0</v>
      </c>
      <c r="X39" s="31">
        <f t="shared" ref="X39" si="56">SUM(Q39:S39)</f>
        <v>0</v>
      </c>
      <c r="Y39" s="55">
        <f t="shared" si="52"/>
        <v>37</v>
      </c>
      <c r="AA39" s="31">
        <f t="shared" ref="AA39" si="57">SUM(G39:I39)</f>
        <v>16</v>
      </c>
      <c r="AB39" s="31">
        <f t="shared" ref="AB39" si="58">SUM(J39:L39)</f>
        <v>31</v>
      </c>
      <c r="AC39" s="31">
        <f t="shared" ref="AC39" si="59">SUM(M39:O39)</f>
        <v>0</v>
      </c>
      <c r="AD39" s="31">
        <f t="shared" ref="AD39" si="60">SUM(P39:R39)</f>
        <v>0</v>
      </c>
      <c r="AE39" s="55">
        <f>SUM(AA39:AD39)</f>
        <v>47</v>
      </c>
    </row>
    <row r="40" spans="1:31" ht="26.25" customHeight="1">
      <c r="A40" s="52" t="s">
        <v>6</v>
      </c>
      <c r="B40" s="100" t="s">
        <v>81</v>
      </c>
      <c r="C40" s="101"/>
      <c r="D40" s="101"/>
      <c r="E40" s="101"/>
      <c r="F40" s="102"/>
      <c r="G40" s="16">
        <v>22</v>
      </c>
      <c r="H40" s="33">
        <v>26</v>
      </c>
      <c r="I40" s="33">
        <v>23</v>
      </c>
      <c r="J40" s="33">
        <v>26</v>
      </c>
      <c r="K40" s="33">
        <v>21</v>
      </c>
      <c r="L40" s="33">
        <v>0</v>
      </c>
      <c r="M40" s="33"/>
      <c r="N40" s="33"/>
      <c r="O40" s="33"/>
      <c r="P40" s="33"/>
      <c r="Q40" s="33"/>
      <c r="R40" s="33"/>
      <c r="S40" s="33"/>
      <c r="T40" s="87"/>
      <c r="U40" s="31">
        <f t="shared" ref="U40:U42" si="61">SUM(H40:J40)</f>
        <v>75</v>
      </c>
      <c r="V40" s="31">
        <f t="shared" ref="V40:V42" si="62">SUM(K40:M40)</f>
        <v>21</v>
      </c>
      <c r="W40" s="31">
        <f t="shared" ref="W40:W42" si="63">SUM(N40:P40)</f>
        <v>0</v>
      </c>
      <c r="X40" s="31">
        <f t="shared" ref="X40:X42" si="64">SUM(Q40:S40)</f>
        <v>0</v>
      </c>
      <c r="Y40" s="55">
        <f t="shared" si="52"/>
        <v>96</v>
      </c>
      <c r="AA40" s="31">
        <f t="shared" ref="AA40:AA41" si="65">SUM(G40:I40)</f>
        <v>71</v>
      </c>
      <c r="AB40" s="31">
        <f t="shared" ref="AB40:AB41" si="66">SUM(J40:L40)</f>
        <v>47</v>
      </c>
      <c r="AC40" s="31">
        <f t="shared" ref="AC40:AC41" si="67">SUM(M40:O40)</f>
        <v>0</v>
      </c>
      <c r="AD40" s="31">
        <f t="shared" ref="AD40:AD41" si="68">SUM(P40:R40)</f>
        <v>0</v>
      </c>
      <c r="AE40" s="55">
        <f>SUM(AA40:AD40)</f>
        <v>118</v>
      </c>
    </row>
    <row r="41" spans="1:31" ht="26.25" customHeight="1">
      <c r="A41" s="52" t="s">
        <v>67</v>
      </c>
      <c r="B41" s="111" t="s">
        <v>145</v>
      </c>
      <c r="C41" s="101"/>
      <c r="D41" s="101"/>
      <c r="E41" s="101"/>
      <c r="F41" s="102"/>
      <c r="G41" s="16">
        <v>1</v>
      </c>
      <c r="H41" s="33">
        <v>5</v>
      </c>
      <c r="I41" s="33">
        <v>4</v>
      </c>
      <c r="J41" s="33">
        <v>6</v>
      </c>
      <c r="K41" s="33">
        <v>4</v>
      </c>
      <c r="L41" s="33">
        <v>3</v>
      </c>
      <c r="M41" s="33"/>
      <c r="N41" s="33"/>
      <c r="O41" s="33"/>
      <c r="P41" s="33"/>
      <c r="Q41" s="33"/>
      <c r="R41" s="33"/>
      <c r="S41" s="33"/>
      <c r="T41" s="87"/>
      <c r="U41" s="31">
        <f t="shared" si="61"/>
        <v>15</v>
      </c>
      <c r="V41" s="31">
        <f t="shared" si="62"/>
        <v>7</v>
      </c>
      <c r="W41" s="31">
        <f t="shared" si="63"/>
        <v>0</v>
      </c>
      <c r="X41" s="31">
        <f t="shared" si="64"/>
        <v>0</v>
      </c>
      <c r="Y41" s="55">
        <f t="shared" si="52"/>
        <v>22</v>
      </c>
      <c r="AA41" s="31">
        <f t="shared" si="65"/>
        <v>10</v>
      </c>
      <c r="AB41" s="31">
        <f t="shared" si="66"/>
        <v>13</v>
      </c>
      <c r="AC41" s="31">
        <f t="shared" si="67"/>
        <v>0</v>
      </c>
      <c r="AD41" s="31">
        <f t="shared" si="68"/>
        <v>0</v>
      </c>
      <c r="AE41" s="55">
        <f>SUM(AA41:AD41)</f>
        <v>23</v>
      </c>
    </row>
    <row r="42" spans="1:31" s="62" customFormat="1" ht="26.25" customHeight="1">
      <c r="A42" s="59">
        <v>2</v>
      </c>
      <c r="B42" s="150" t="s">
        <v>26</v>
      </c>
      <c r="C42" s="150"/>
      <c r="D42" s="150"/>
      <c r="E42" s="150"/>
      <c r="F42" s="150"/>
      <c r="G42" s="60">
        <f>G43+G44+G45</f>
        <v>12</v>
      </c>
      <c r="H42" s="60">
        <f t="shared" ref="H42:S42" si="69">H43+H44+H45</f>
        <v>14</v>
      </c>
      <c r="I42" s="60">
        <f t="shared" si="69"/>
        <v>13</v>
      </c>
      <c r="J42" s="60">
        <f t="shared" si="69"/>
        <v>21</v>
      </c>
      <c r="K42" s="60">
        <f t="shared" si="69"/>
        <v>31</v>
      </c>
      <c r="L42" s="60">
        <f t="shared" si="69"/>
        <v>8</v>
      </c>
      <c r="M42" s="60">
        <f t="shared" si="69"/>
        <v>0</v>
      </c>
      <c r="N42" s="60">
        <f t="shared" si="69"/>
        <v>0</v>
      </c>
      <c r="O42" s="60">
        <f t="shared" si="69"/>
        <v>0</v>
      </c>
      <c r="P42" s="60">
        <f t="shared" si="69"/>
        <v>0</v>
      </c>
      <c r="Q42" s="60">
        <f t="shared" si="69"/>
        <v>0</v>
      </c>
      <c r="R42" s="60">
        <f t="shared" si="69"/>
        <v>0</v>
      </c>
      <c r="S42" s="60">
        <f t="shared" si="69"/>
        <v>0</v>
      </c>
      <c r="T42" s="84"/>
      <c r="U42" s="61">
        <f t="shared" si="61"/>
        <v>48</v>
      </c>
      <c r="V42" s="61">
        <f t="shared" si="62"/>
        <v>39</v>
      </c>
      <c r="W42" s="61">
        <f t="shared" si="63"/>
        <v>0</v>
      </c>
      <c r="X42" s="61">
        <f t="shared" si="64"/>
        <v>0</v>
      </c>
      <c r="Y42" s="61">
        <f t="shared" si="52"/>
        <v>87</v>
      </c>
      <c r="Z42" s="93"/>
      <c r="AA42" s="61">
        <f>SUM(N42:P42)</f>
        <v>0</v>
      </c>
      <c r="AB42" s="61">
        <f>SUM(Q42:S42)</f>
        <v>0</v>
      </c>
      <c r="AC42" s="61">
        <f t="shared" ref="AC42" si="70">SUM(U42:W42)</f>
        <v>87</v>
      </c>
      <c r="AD42" s="61">
        <f t="shared" ref="AD42" si="71">SUM(X42:Z42)</f>
        <v>87</v>
      </c>
      <c r="AE42" s="61">
        <f t="shared" ref="AE42:AE45" si="72">SUM(AA42:AD42)</f>
        <v>174</v>
      </c>
    </row>
    <row r="43" spans="1:31" ht="26.25" customHeight="1">
      <c r="A43" s="52" t="s">
        <v>68</v>
      </c>
      <c r="B43" s="151" t="s">
        <v>82</v>
      </c>
      <c r="C43" s="151"/>
      <c r="D43" s="151"/>
      <c r="E43" s="151"/>
      <c r="F43" s="151"/>
      <c r="G43" s="16">
        <v>6</v>
      </c>
      <c r="H43" s="33">
        <v>0</v>
      </c>
      <c r="I43" s="33">
        <v>2</v>
      </c>
      <c r="J43" s="33">
        <v>6</v>
      </c>
      <c r="K43" s="33">
        <v>12</v>
      </c>
      <c r="L43" s="33">
        <v>5</v>
      </c>
      <c r="M43" s="33"/>
      <c r="N43" s="33"/>
      <c r="O43" s="33"/>
      <c r="P43" s="33"/>
      <c r="Q43" s="33"/>
      <c r="R43" s="33"/>
      <c r="S43" s="33"/>
      <c r="T43" s="87"/>
      <c r="U43" s="31">
        <f>SUM(H43:J43)</f>
        <v>8</v>
      </c>
      <c r="V43" s="31">
        <f t="shared" ref="V43:V45" si="73">SUM(K43:M43)</f>
        <v>17</v>
      </c>
      <c r="W43" s="31">
        <f t="shared" ref="W43:W45" si="74">SUM(N43:P43)</f>
        <v>0</v>
      </c>
      <c r="X43" s="31">
        <f t="shared" ref="X43:X45" si="75">SUM(Q43:S43)</f>
        <v>0</v>
      </c>
      <c r="Y43" s="55">
        <f t="shared" si="52"/>
        <v>25</v>
      </c>
      <c r="AA43" s="31">
        <f>SUM(G43:I43)</f>
        <v>8</v>
      </c>
      <c r="AB43" s="31">
        <f t="shared" ref="AB43" si="76">SUM(J43:L43)</f>
        <v>23</v>
      </c>
      <c r="AC43" s="31">
        <f t="shared" ref="AC43" si="77">SUM(M43:O43)</f>
        <v>0</v>
      </c>
      <c r="AD43" s="31">
        <f t="shared" ref="AD43" si="78">SUM(P43:R43)</f>
        <v>0</v>
      </c>
      <c r="AE43" s="55">
        <f t="shared" si="72"/>
        <v>31</v>
      </c>
    </row>
    <row r="44" spans="1:31" ht="26.25" customHeight="1">
      <c r="A44" s="52" t="s">
        <v>69</v>
      </c>
      <c r="B44" s="151" t="s">
        <v>83</v>
      </c>
      <c r="C44" s="151"/>
      <c r="D44" s="151"/>
      <c r="E44" s="151"/>
      <c r="F44" s="151"/>
      <c r="G44" s="16">
        <v>5</v>
      </c>
      <c r="H44" s="33">
        <v>9</v>
      </c>
      <c r="I44" s="33">
        <v>5</v>
      </c>
      <c r="J44" s="33">
        <v>14</v>
      </c>
      <c r="K44" s="33">
        <v>12</v>
      </c>
      <c r="L44" s="33">
        <v>0</v>
      </c>
      <c r="M44" s="33"/>
      <c r="N44" s="33"/>
      <c r="O44" s="33"/>
      <c r="P44" s="33"/>
      <c r="Q44" s="33"/>
      <c r="R44" s="33"/>
      <c r="S44" s="33"/>
      <c r="T44" s="87"/>
      <c r="U44" s="31">
        <f>SUM(H44:J44)</f>
        <v>28</v>
      </c>
      <c r="V44" s="31">
        <f t="shared" si="73"/>
        <v>12</v>
      </c>
      <c r="W44" s="31">
        <f t="shared" si="74"/>
        <v>0</v>
      </c>
      <c r="X44" s="31">
        <f t="shared" si="75"/>
        <v>0</v>
      </c>
      <c r="Y44" s="55">
        <f t="shared" si="52"/>
        <v>40</v>
      </c>
      <c r="AA44" s="31">
        <f t="shared" ref="AA44:AA45" si="79">SUM(G44:I44)</f>
        <v>19</v>
      </c>
      <c r="AB44" s="31">
        <f t="shared" ref="AB44:AB45" si="80">SUM(J44:L44)</f>
        <v>26</v>
      </c>
      <c r="AC44" s="31">
        <f t="shared" ref="AC44:AC45" si="81">SUM(M44:O44)</f>
        <v>0</v>
      </c>
      <c r="AD44" s="31">
        <f t="shared" ref="AD44:AD45" si="82">SUM(P44:R44)</f>
        <v>0</v>
      </c>
      <c r="AE44" s="55">
        <f t="shared" si="72"/>
        <v>45</v>
      </c>
    </row>
    <row r="45" spans="1:31" ht="26.25" customHeight="1">
      <c r="A45" s="52" t="s">
        <v>70</v>
      </c>
      <c r="B45" s="151" t="s">
        <v>84</v>
      </c>
      <c r="C45" s="151"/>
      <c r="D45" s="151"/>
      <c r="E45" s="151"/>
      <c r="F45" s="151"/>
      <c r="G45" s="16">
        <v>1</v>
      </c>
      <c r="H45" s="33">
        <v>5</v>
      </c>
      <c r="I45" s="33">
        <v>6</v>
      </c>
      <c r="J45" s="33">
        <v>1</v>
      </c>
      <c r="K45" s="33">
        <v>7</v>
      </c>
      <c r="L45" s="33">
        <v>3</v>
      </c>
      <c r="M45" s="33"/>
      <c r="N45" s="33"/>
      <c r="O45" s="33"/>
      <c r="P45" s="33"/>
      <c r="Q45" s="33"/>
      <c r="R45" s="33"/>
      <c r="S45" s="33"/>
      <c r="T45" s="87"/>
      <c r="U45" s="31">
        <f>SUM(H45:J45)</f>
        <v>12</v>
      </c>
      <c r="V45" s="31">
        <f t="shared" si="73"/>
        <v>10</v>
      </c>
      <c r="W45" s="31">
        <f t="shared" si="74"/>
        <v>0</v>
      </c>
      <c r="X45" s="31">
        <f t="shared" si="75"/>
        <v>0</v>
      </c>
      <c r="Y45" s="55">
        <f t="shared" si="52"/>
        <v>22</v>
      </c>
      <c r="AA45" s="31">
        <f t="shared" si="79"/>
        <v>12</v>
      </c>
      <c r="AB45" s="31">
        <f t="shared" si="80"/>
        <v>11</v>
      </c>
      <c r="AC45" s="31">
        <f t="shared" si="81"/>
        <v>0</v>
      </c>
      <c r="AD45" s="31">
        <f t="shared" si="82"/>
        <v>0</v>
      </c>
      <c r="AE45" s="55">
        <f t="shared" si="72"/>
        <v>23</v>
      </c>
    </row>
    <row r="46" spans="1:31" s="62" customFormat="1" ht="26.25" customHeight="1">
      <c r="A46" s="59">
        <v>3</v>
      </c>
      <c r="B46" s="148" t="s">
        <v>58</v>
      </c>
      <c r="C46" s="148"/>
      <c r="D46" s="148"/>
      <c r="E46" s="148"/>
      <c r="F46" s="148"/>
      <c r="G46" s="60">
        <f>G47+G48+G49</f>
        <v>803</v>
      </c>
      <c r="H46" s="60">
        <f t="shared" ref="H46:R46" si="83">H47+H48+H49</f>
        <v>811</v>
      </c>
      <c r="I46" s="60">
        <f t="shared" si="83"/>
        <v>812</v>
      </c>
      <c r="J46" s="60">
        <f t="shared" si="83"/>
        <v>829</v>
      </c>
      <c r="K46" s="60">
        <f t="shared" si="83"/>
        <v>854</v>
      </c>
      <c r="L46" s="60">
        <f t="shared" si="83"/>
        <v>818</v>
      </c>
      <c r="M46" s="60">
        <f t="shared" si="83"/>
        <v>0</v>
      </c>
      <c r="N46" s="60">
        <f t="shared" si="83"/>
        <v>0</v>
      </c>
      <c r="O46" s="60">
        <f t="shared" si="83"/>
        <v>0</v>
      </c>
      <c r="P46" s="60">
        <f t="shared" si="83"/>
        <v>0</v>
      </c>
      <c r="Q46" s="60">
        <f t="shared" si="83"/>
        <v>0</v>
      </c>
      <c r="R46" s="60">
        <f t="shared" si="83"/>
        <v>0</v>
      </c>
      <c r="S46" s="60">
        <f>S47+S48+S49</f>
        <v>0</v>
      </c>
      <c r="T46" s="84"/>
      <c r="U46" s="60">
        <f>U47+U48+U49</f>
        <v>829</v>
      </c>
      <c r="V46" s="60">
        <f>V47+V48+V49</f>
        <v>0</v>
      </c>
      <c r="W46" s="60">
        <f>W47+W48+W49</f>
        <v>0</v>
      </c>
      <c r="X46" s="60">
        <f>X47+X48+X49</f>
        <v>0</v>
      </c>
      <c r="Y46" s="60"/>
      <c r="Z46" s="93"/>
      <c r="AA46" s="60"/>
      <c r="AB46" s="60"/>
      <c r="AC46" s="60"/>
      <c r="AD46" s="60"/>
      <c r="AE46" s="60"/>
    </row>
    <row r="47" spans="1:31" ht="26.25" customHeight="1">
      <c r="A47" s="52" t="s">
        <v>74</v>
      </c>
      <c r="B47" s="149" t="s">
        <v>85</v>
      </c>
      <c r="C47" s="149"/>
      <c r="D47" s="149"/>
      <c r="E47" s="149"/>
      <c r="F47" s="149"/>
      <c r="G47" s="16">
        <v>203</v>
      </c>
      <c r="H47" s="33">
        <v>204</v>
      </c>
      <c r="I47" s="33">
        <v>191</v>
      </c>
      <c r="J47" s="33">
        <v>186</v>
      </c>
      <c r="K47" s="33">
        <v>200</v>
      </c>
      <c r="L47" s="33">
        <v>211</v>
      </c>
      <c r="M47" s="33"/>
      <c r="N47" s="33"/>
      <c r="O47" s="33"/>
      <c r="P47" s="33"/>
      <c r="Q47" s="33"/>
      <c r="R47" s="33"/>
      <c r="S47" s="33"/>
      <c r="T47" s="87"/>
      <c r="U47" s="53">
        <f>J47</f>
        <v>186</v>
      </c>
      <c r="V47" s="53">
        <f>M47</f>
        <v>0</v>
      </c>
      <c r="W47" s="53">
        <f>P47</f>
        <v>0</v>
      </c>
      <c r="X47" s="53">
        <f>S47</f>
        <v>0</v>
      </c>
      <c r="Y47" s="55"/>
      <c r="AA47" s="53">
        <f>I47</f>
        <v>191</v>
      </c>
      <c r="AB47" s="53">
        <f>L47</f>
        <v>211</v>
      </c>
      <c r="AC47" s="53">
        <f>O47</f>
        <v>0</v>
      </c>
      <c r="AD47" s="53">
        <f>R47</f>
        <v>0</v>
      </c>
      <c r="AE47" s="55"/>
    </row>
    <row r="48" spans="1:31" ht="26.25" customHeight="1">
      <c r="A48" s="52" t="s">
        <v>75</v>
      </c>
      <c r="B48" s="149" t="s">
        <v>86</v>
      </c>
      <c r="C48" s="149"/>
      <c r="D48" s="149"/>
      <c r="E48" s="149"/>
      <c r="F48" s="149"/>
      <c r="G48" s="18">
        <v>512</v>
      </c>
      <c r="H48" s="33">
        <v>519</v>
      </c>
      <c r="I48" s="33">
        <v>530</v>
      </c>
      <c r="J48" s="33">
        <v>550</v>
      </c>
      <c r="K48" s="33">
        <v>555</v>
      </c>
      <c r="L48" s="33">
        <v>505</v>
      </c>
      <c r="M48" s="33"/>
      <c r="N48" s="33"/>
      <c r="O48" s="33"/>
      <c r="P48" s="33"/>
      <c r="Q48" s="33"/>
      <c r="R48" s="33"/>
      <c r="S48" s="33"/>
      <c r="T48" s="87"/>
      <c r="U48" s="53">
        <f t="shared" ref="U48:U49" si="84">J48</f>
        <v>550</v>
      </c>
      <c r="V48" s="53">
        <f t="shared" ref="V48" si="85">M48</f>
        <v>0</v>
      </c>
      <c r="W48" s="53">
        <f t="shared" ref="W48:W49" si="86">P48</f>
        <v>0</v>
      </c>
      <c r="X48" s="53">
        <f t="shared" ref="X48:X49" si="87">S48</f>
        <v>0</v>
      </c>
      <c r="Y48" s="55"/>
      <c r="AA48" s="53">
        <f t="shared" ref="AA48:AA49" si="88">I48</f>
        <v>530</v>
      </c>
      <c r="AB48" s="53">
        <f>L48</f>
        <v>505</v>
      </c>
      <c r="AC48" s="53">
        <f t="shared" ref="AC48:AC50" si="89">O48</f>
        <v>0</v>
      </c>
      <c r="AD48" s="53">
        <f t="shared" ref="AD48:AD50" si="90">R48</f>
        <v>0</v>
      </c>
      <c r="AE48" s="55"/>
    </row>
    <row r="49" spans="1:31" ht="26.25" customHeight="1">
      <c r="A49" s="52" t="s">
        <v>76</v>
      </c>
      <c r="B49" s="149" t="s">
        <v>87</v>
      </c>
      <c r="C49" s="149"/>
      <c r="D49" s="149"/>
      <c r="E49" s="149"/>
      <c r="F49" s="149"/>
      <c r="G49" s="16">
        <v>88</v>
      </c>
      <c r="H49" s="33">
        <v>88</v>
      </c>
      <c r="I49" s="33">
        <v>91</v>
      </c>
      <c r="J49" s="33">
        <v>93</v>
      </c>
      <c r="K49" s="33">
        <v>99</v>
      </c>
      <c r="L49" s="33">
        <v>102</v>
      </c>
      <c r="M49" s="33"/>
      <c r="N49" s="33"/>
      <c r="O49" s="33"/>
      <c r="P49" s="33"/>
      <c r="Q49" s="33"/>
      <c r="R49" s="33"/>
      <c r="S49" s="33"/>
      <c r="T49" s="87"/>
      <c r="U49" s="53">
        <f t="shared" si="84"/>
        <v>93</v>
      </c>
      <c r="V49" s="53">
        <f>M49</f>
        <v>0</v>
      </c>
      <c r="W49" s="53">
        <f t="shared" si="86"/>
        <v>0</v>
      </c>
      <c r="X49" s="53">
        <f t="shared" si="87"/>
        <v>0</v>
      </c>
      <c r="Y49" s="55"/>
      <c r="AA49" s="53">
        <f t="shared" si="88"/>
        <v>91</v>
      </c>
      <c r="AB49" s="53">
        <f>L49</f>
        <v>102</v>
      </c>
      <c r="AC49" s="53">
        <f>O49</f>
        <v>0</v>
      </c>
      <c r="AD49" s="53">
        <f t="shared" si="90"/>
        <v>0</v>
      </c>
      <c r="AE49" s="55"/>
    </row>
    <row r="50" spans="1:31" s="62" customFormat="1" ht="26.25" customHeight="1">
      <c r="A50" s="59">
        <v>4</v>
      </c>
      <c r="B50" s="148" t="s">
        <v>59</v>
      </c>
      <c r="C50" s="148"/>
      <c r="D50" s="148"/>
      <c r="E50" s="148"/>
      <c r="F50" s="148"/>
      <c r="G50" s="63">
        <v>157</v>
      </c>
      <c r="H50" s="63">
        <v>60</v>
      </c>
      <c r="I50" s="63">
        <v>29</v>
      </c>
      <c r="J50" s="63">
        <v>117</v>
      </c>
      <c r="K50" s="63">
        <v>156</v>
      </c>
      <c r="L50" s="63">
        <v>147</v>
      </c>
      <c r="M50" s="63"/>
      <c r="N50" s="63"/>
      <c r="O50" s="63"/>
      <c r="P50" s="63"/>
      <c r="Q50" s="63"/>
      <c r="R50" s="63"/>
      <c r="S50" s="63"/>
      <c r="T50" s="88"/>
      <c r="U50" s="61">
        <f>J50</f>
        <v>117</v>
      </c>
      <c r="V50" s="64">
        <f>M50</f>
        <v>0</v>
      </c>
      <c r="W50" s="64">
        <f>P50</f>
        <v>0</v>
      </c>
      <c r="X50" s="64">
        <f>S50</f>
        <v>0</v>
      </c>
      <c r="Y50" s="64"/>
      <c r="Z50" s="93"/>
      <c r="AA50" s="53">
        <f>I50</f>
        <v>29</v>
      </c>
      <c r="AB50" s="53">
        <f>L50</f>
        <v>147</v>
      </c>
      <c r="AC50" s="53">
        <f t="shared" si="89"/>
        <v>0</v>
      </c>
      <c r="AD50" s="53">
        <f t="shared" si="90"/>
        <v>0</v>
      </c>
      <c r="AE50" s="64"/>
    </row>
    <row r="51" spans="1:31" s="62" customFormat="1" ht="26.25" customHeight="1">
      <c r="A51" s="59">
        <v>5</v>
      </c>
      <c r="B51" s="117" t="s">
        <v>20</v>
      </c>
      <c r="C51" s="118"/>
      <c r="D51" s="118"/>
      <c r="E51" s="118"/>
      <c r="F51" s="119"/>
      <c r="G51" s="63">
        <v>0</v>
      </c>
      <c r="H51" s="63">
        <v>0</v>
      </c>
      <c r="I51" s="63">
        <v>0</v>
      </c>
      <c r="J51" s="63">
        <v>2</v>
      </c>
      <c r="K51" s="63">
        <v>0</v>
      </c>
      <c r="L51" s="63">
        <v>0</v>
      </c>
      <c r="M51" s="63"/>
      <c r="N51" s="63"/>
      <c r="O51" s="63"/>
      <c r="P51" s="63"/>
      <c r="Q51" s="63"/>
      <c r="R51" s="63"/>
      <c r="S51" s="63"/>
      <c r="T51" s="88"/>
      <c r="U51" s="61">
        <f>SUM(H51:J51)</f>
        <v>2</v>
      </c>
      <c r="V51" s="61">
        <f t="shared" ref="V51" si="91">SUM(K51:M51)</f>
        <v>0</v>
      </c>
      <c r="W51" s="61">
        <f t="shared" ref="W51" si="92">SUM(N51:P51)</f>
        <v>0</v>
      </c>
      <c r="X51" s="61">
        <f t="shared" ref="X51" si="93">SUM(Q51:S51)</f>
        <v>0</v>
      </c>
      <c r="Y51" s="61">
        <f>SUM(U51:X51)</f>
        <v>2</v>
      </c>
      <c r="Z51" s="93"/>
      <c r="AA51" s="31">
        <f t="shared" ref="AA51" si="94">SUM(G51:I51)</f>
        <v>0</v>
      </c>
      <c r="AB51" s="31">
        <f>SUM(J51:L51)</f>
        <v>2</v>
      </c>
      <c r="AC51" s="31">
        <f t="shared" ref="AC51" si="95">SUM(M51:O51)</f>
        <v>0</v>
      </c>
      <c r="AD51" s="31">
        <f t="shared" ref="AD51" si="96">SUM(P51:R51)</f>
        <v>0</v>
      </c>
      <c r="AE51" s="61">
        <f t="shared" ref="AE51:AE52" si="97">SUM(AA51:AD51)</f>
        <v>2</v>
      </c>
    </row>
    <row r="52" spans="1:31" s="62" customFormat="1" ht="26.25" customHeight="1">
      <c r="A52" s="59">
        <v>6</v>
      </c>
      <c r="B52" s="117" t="s">
        <v>17</v>
      </c>
      <c r="C52" s="118"/>
      <c r="D52" s="118"/>
      <c r="E52" s="118"/>
      <c r="F52" s="119"/>
      <c r="G52" s="60">
        <f>G53+G54+G55</f>
        <v>52</v>
      </c>
      <c r="H52" s="60">
        <f t="shared" ref="H52:X52" si="98">H53+H54+H55</f>
        <v>41</v>
      </c>
      <c r="I52" s="60">
        <f t="shared" si="98"/>
        <v>41</v>
      </c>
      <c r="J52" s="60">
        <f t="shared" si="98"/>
        <v>47</v>
      </c>
      <c r="K52" s="60">
        <f t="shared" si="98"/>
        <v>45</v>
      </c>
      <c r="L52" s="60">
        <f t="shared" si="98"/>
        <v>53</v>
      </c>
      <c r="M52" s="60">
        <f t="shared" si="98"/>
        <v>0</v>
      </c>
      <c r="N52" s="60">
        <f t="shared" si="98"/>
        <v>0</v>
      </c>
      <c r="O52" s="60">
        <f t="shared" si="98"/>
        <v>0</v>
      </c>
      <c r="P52" s="60">
        <f t="shared" si="98"/>
        <v>0</v>
      </c>
      <c r="Q52" s="60">
        <f t="shared" si="98"/>
        <v>0</v>
      </c>
      <c r="R52" s="60">
        <f t="shared" si="98"/>
        <v>0</v>
      </c>
      <c r="S52" s="60">
        <f t="shared" si="98"/>
        <v>0</v>
      </c>
      <c r="T52" s="84"/>
      <c r="U52" s="60">
        <f>U53+U54+U55</f>
        <v>129</v>
      </c>
      <c r="V52" s="60">
        <f t="shared" si="98"/>
        <v>98</v>
      </c>
      <c r="W52" s="60">
        <f t="shared" si="98"/>
        <v>0</v>
      </c>
      <c r="X52" s="60">
        <f t="shared" si="98"/>
        <v>0</v>
      </c>
      <c r="Y52" s="61">
        <f t="shared" ref="Y52:Y59" si="99">SUM(U52:X52)</f>
        <v>227</v>
      </c>
      <c r="Z52" s="93"/>
      <c r="AA52" s="60">
        <f>AA53+AA54+AA55</f>
        <v>134</v>
      </c>
      <c r="AB52" s="60">
        <f t="shared" ref="AB52" si="100">AB53+AB54+AB55</f>
        <v>145</v>
      </c>
      <c r="AC52" s="60">
        <f t="shared" ref="AC52" si="101">AC53+AC54+AC55</f>
        <v>0</v>
      </c>
      <c r="AD52" s="60">
        <f t="shared" ref="AD52" si="102">AD53+AD54+AD55</f>
        <v>0</v>
      </c>
      <c r="AE52" s="61">
        <f t="shared" si="97"/>
        <v>279</v>
      </c>
    </row>
    <row r="53" spans="1:31" ht="26.25" customHeight="1">
      <c r="A53" s="52" t="s">
        <v>95</v>
      </c>
      <c r="B53" s="100" t="s">
        <v>88</v>
      </c>
      <c r="C53" s="101"/>
      <c r="D53" s="101"/>
      <c r="E53" s="101"/>
      <c r="F53" s="102"/>
      <c r="G53" s="16">
        <v>1</v>
      </c>
      <c r="H53" s="33">
        <v>3</v>
      </c>
      <c r="I53" s="33">
        <v>17</v>
      </c>
      <c r="J53" s="33">
        <v>22</v>
      </c>
      <c r="K53" s="33">
        <v>12</v>
      </c>
      <c r="L53" s="33">
        <v>0</v>
      </c>
      <c r="M53" s="33"/>
      <c r="N53" s="33"/>
      <c r="O53" s="33"/>
      <c r="P53" s="33"/>
      <c r="Q53" s="33"/>
      <c r="R53" s="33"/>
      <c r="S53" s="33"/>
      <c r="T53" s="87"/>
      <c r="U53" s="31">
        <f>SUM(H53:J53)</f>
        <v>42</v>
      </c>
      <c r="V53" s="31">
        <f t="shared" ref="V53" si="103">SUM(K53:M53)</f>
        <v>12</v>
      </c>
      <c r="W53" s="31">
        <f t="shared" ref="W53" si="104">SUM(N53:P53)</f>
        <v>0</v>
      </c>
      <c r="X53" s="31">
        <f>SUM(Q53:S53)</f>
        <v>0</v>
      </c>
      <c r="Y53" s="55">
        <f t="shared" si="99"/>
        <v>54</v>
      </c>
      <c r="AA53" s="31">
        <f>SUM(G53:I53)</f>
        <v>21</v>
      </c>
      <c r="AB53" s="31">
        <f>SUM(J53:L53)</f>
        <v>34</v>
      </c>
      <c r="AC53" s="31">
        <f>SUM(M53:O53)</f>
        <v>0</v>
      </c>
      <c r="AD53" s="31">
        <f>SUM(P53:R53)</f>
        <v>0</v>
      </c>
      <c r="AE53" s="55">
        <f t="shared" ref="AE53:AE58" si="105">SUM(AA53:AD53)</f>
        <v>55</v>
      </c>
    </row>
    <row r="54" spans="1:31" ht="26.25" customHeight="1">
      <c r="A54" s="52" t="s">
        <v>96</v>
      </c>
      <c r="B54" s="100" t="s">
        <v>89</v>
      </c>
      <c r="C54" s="101"/>
      <c r="D54" s="101"/>
      <c r="E54" s="101"/>
      <c r="F54" s="102"/>
      <c r="G54" s="16">
        <v>37</v>
      </c>
      <c r="H54" s="33">
        <v>28</v>
      </c>
      <c r="I54" s="33">
        <v>17</v>
      </c>
      <c r="J54" s="33">
        <v>20</v>
      </c>
      <c r="K54" s="33">
        <v>28</v>
      </c>
      <c r="L54" s="33">
        <v>50</v>
      </c>
      <c r="M54" s="33"/>
      <c r="N54" s="33"/>
      <c r="O54" s="33"/>
      <c r="P54" s="33"/>
      <c r="Q54" s="33"/>
      <c r="R54" s="33"/>
      <c r="S54" s="33"/>
      <c r="T54" s="87"/>
      <c r="U54" s="31">
        <f>SUM(H54:J54)</f>
        <v>65</v>
      </c>
      <c r="V54" s="31">
        <f>SUM(K54:M54)</f>
        <v>78</v>
      </c>
      <c r="W54" s="31">
        <f t="shared" ref="W54:W55" si="106">SUM(N54:P54)</f>
        <v>0</v>
      </c>
      <c r="X54" s="31">
        <f t="shared" ref="X54:X55" si="107">SUM(Q54:S54)</f>
        <v>0</v>
      </c>
      <c r="Y54" s="55">
        <f t="shared" si="99"/>
        <v>143</v>
      </c>
      <c r="AA54" s="31">
        <f t="shared" ref="AA54:AA55" si="108">SUM(G54:I54)</f>
        <v>82</v>
      </c>
      <c r="AB54" s="31">
        <f>SUM(J54:L54)</f>
        <v>98</v>
      </c>
      <c r="AC54" s="31">
        <f>SUM(M54:O54)</f>
        <v>0</v>
      </c>
      <c r="AD54" s="31">
        <f>SUM(P54:R54)</f>
        <v>0</v>
      </c>
      <c r="AE54" s="55">
        <f t="shared" si="105"/>
        <v>180</v>
      </c>
    </row>
    <row r="55" spans="1:31" ht="26.25" customHeight="1">
      <c r="A55" s="52" t="s">
        <v>97</v>
      </c>
      <c r="B55" s="111" t="s">
        <v>184</v>
      </c>
      <c r="C55" s="101"/>
      <c r="D55" s="101"/>
      <c r="E55" s="101"/>
      <c r="F55" s="102"/>
      <c r="G55" s="18">
        <v>14</v>
      </c>
      <c r="H55" s="95">
        <v>10</v>
      </c>
      <c r="I55" s="95">
        <v>7</v>
      </c>
      <c r="J55" s="95">
        <v>5</v>
      </c>
      <c r="K55" s="95">
        <v>5</v>
      </c>
      <c r="L55" s="95">
        <v>3</v>
      </c>
      <c r="M55" s="33"/>
      <c r="N55" s="33"/>
      <c r="O55" s="33"/>
      <c r="P55" s="33"/>
      <c r="Q55" s="33"/>
      <c r="R55" s="33"/>
      <c r="S55" s="33"/>
      <c r="T55" s="87"/>
      <c r="U55" s="31">
        <f>SUM(H55:J55)</f>
        <v>22</v>
      </c>
      <c r="V55" s="31">
        <f>SUM(K55:M55)</f>
        <v>8</v>
      </c>
      <c r="W55" s="31">
        <f t="shared" si="106"/>
        <v>0</v>
      </c>
      <c r="X55" s="31">
        <f t="shared" si="107"/>
        <v>0</v>
      </c>
      <c r="Y55" s="55">
        <f t="shared" si="99"/>
        <v>30</v>
      </c>
      <c r="AA55" s="31">
        <f t="shared" si="108"/>
        <v>31</v>
      </c>
      <c r="AB55" s="31">
        <f>SUM(J55:L55)</f>
        <v>13</v>
      </c>
      <c r="AC55" s="31">
        <f>SUM(M55:O55)</f>
        <v>0</v>
      </c>
      <c r="AD55" s="31">
        <f>SUM(P55:R55)</f>
        <v>0</v>
      </c>
      <c r="AE55" s="55">
        <f t="shared" si="105"/>
        <v>44</v>
      </c>
    </row>
    <row r="56" spans="1:31" s="62" customFormat="1" ht="26.25" customHeight="1">
      <c r="A56" s="59">
        <v>7</v>
      </c>
      <c r="B56" s="117" t="s">
        <v>11</v>
      </c>
      <c r="C56" s="118"/>
      <c r="D56" s="118"/>
      <c r="E56" s="118"/>
      <c r="F56" s="119"/>
      <c r="G56" s="60">
        <f>G57+G58+G59</f>
        <v>0</v>
      </c>
      <c r="H56" s="60">
        <f t="shared" ref="H56:X56" si="109">H57+H58+H59</f>
        <v>0</v>
      </c>
      <c r="I56" s="60">
        <f t="shared" si="109"/>
        <v>0</v>
      </c>
      <c r="J56" s="60">
        <f t="shared" si="109"/>
        <v>0</v>
      </c>
      <c r="K56" s="60">
        <f t="shared" si="109"/>
        <v>0</v>
      </c>
      <c r="L56" s="60">
        <f t="shared" si="109"/>
        <v>0</v>
      </c>
      <c r="M56" s="60">
        <f t="shared" si="109"/>
        <v>0</v>
      </c>
      <c r="N56" s="60">
        <f t="shared" si="109"/>
        <v>0</v>
      </c>
      <c r="O56" s="60">
        <f t="shared" si="109"/>
        <v>0</v>
      </c>
      <c r="P56" s="60">
        <f t="shared" si="109"/>
        <v>0</v>
      </c>
      <c r="Q56" s="60">
        <f t="shared" si="109"/>
        <v>0</v>
      </c>
      <c r="R56" s="60">
        <f t="shared" si="109"/>
        <v>0</v>
      </c>
      <c r="S56" s="60">
        <f t="shared" si="109"/>
        <v>0</v>
      </c>
      <c r="T56" s="84"/>
      <c r="U56" s="60">
        <f t="shared" si="109"/>
        <v>0</v>
      </c>
      <c r="V56" s="60">
        <f t="shared" si="109"/>
        <v>0</v>
      </c>
      <c r="W56" s="60">
        <f t="shared" si="109"/>
        <v>0</v>
      </c>
      <c r="X56" s="60">
        <f t="shared" si="109"/>
        <v>0</v>
      </c>
      <c r="Y56" s="61">
        <f>SUM(U56:X56)</f>
        <v>0</v>
      </c>
      <c r="Z56" s="93"/>
      <c r="AA56" s="60">
        <f>AA57+AA58+AA59</f>
        <v>0</v>
      </c>
      <c r="AB56" s="60">
        <f t="shared" ref="AB56:AD56" si="110">AB57+AB58+AB59</f>
        <v>0</v>
      </c>
      <c r="AC56" s="60">
        <f t="shared" si="110"/>
        <v>0</v>
      </c>
      <c r="AD56" s="60">
        <f t="shared" si="110"/>
        <v>0</v>
      </c>
      <c r="AE56" s="61">
        <f t="shared" si="105"/>
        <v>0</v>
      </c>
    </row>
    <row r="57" spans="1:31" ht="26.25" customHeight="1">
      <c r="A57" s="52" t="s">
        <v>98</v>
      </c>
      <c r="B57" s="100" t="s">
        <v>90</v>
      </c>
      <c r="C57" s="101"/>
      <c r="D57" s="101"/>
      <c r="E57" s="101"/>
      <c r="F57" s="102"/>
      <c r="G57" s="71">
        <v>0</v>
      </c>
      <c r="H57" s="33">
        <v>0</v>
      </c>
      <c r="I57" s="33">
        <v>0</v>
      </c>
      <c r="J57" s="33">
        <v>0</v>
      </c>
      <c r="K57" s="33">
        <v>0</v>
      </c>
      <c r="L57" s="58">
        <v>0</v>
      </c>
      <c r="M57" s="33"/>
      <c r="N57" s="33"/>
      <c r="O57" s="33"/>
      <c r="P57" s="33"/>
      <c r="Q57" s="33"/>
      <c r="R57" s="33"/>
      <c r="S57" s="33"/>
      <c r="T57" s="87"/>
      <c r="U57" s="31">
        <f>SUM(H57:J57)</f>
        <v>0</v>
      </c>
      <c r="V57" s="31">
        <f>SUM(K57:M57)</f>
        <v>0</v>
      </c>
      <c r="W57" s="31">
        <f>SUM(N57:P57)</f>
        <v>0</v>
      </c>
      <c r="X57" s="31">
        <f t="shared" ref="X57" si="111">SUM(Q57:S57)</f>
        <v>0</v>
      </c>
      <c r="Y57" s="55">
        <f>SUM(U57:X57)</f>
        <v>0</v>
      </c>
      <c r="AA57" s="31">
        <f>SUM(G57:I57)</f>
        <v>0</v>
      </c>
      <c r="AB57" s="31">
        <f t="shared" ref="AB57" si="112">SUM(J57:L57)</f>
        <v>0</v>
      </c>
      <c r="AC57" s="31">
        <f t="shared" ref="AC57" si="113">SUM(M57:O57)</f>
        <v>0</v>
      </c>
      <c r="AD57" s="31">
        <f t="shared" ref="AD57" si="114">SUM(P57:R57)</f>
        <v>0</v>
      </c>
      <c r="AE57" s="55">
        <f t="shared" si="105"/>
        <v>0</v>
      </c>
    </row>
    <row r="58" spans="1:31" ht="26.25" customHeight="1">
      <c r="A58" s="52" t="s">
        <v>99</v>
      </c>
      <c r="B58" s="100" t="s">
        <v>91</v>
      </c>
      <c r="C58" s="101"/>
      <c r="D58" s="101"/>
      <c r="E58" s="101"/>
      <c r="F58" s="102"/>
      <c r="G58" s="71">
        <v>0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/>
      <c r="N58" s="33"/>
      <c r="O58" s="33"/>
      <c r="P58" s="33"/>
      <c r="Q58" s="33"/>
      <c r="R58" s="33"/>
      <c r="S58" s="33"/>
      <c r="T58" s="87"/>
      <c r="U58" s="31">
        <f>SUM(H58:J58)</f>
        <v>0</v>
      </c>
      <c r="V58" s="31">
        <f>SUM(K58:M58)</f>
        <v>0</v>
      </c>
      <c r="W58" s="31">
        <f t="shared" ref="W58:W59" si="115">SUM(N58:P58)</f>
        <v>0</v>
      </c>
      <c r="X58" s="31">
        <f t="shared" ref="X58:X59" si="116">SUM(Q58:S58)</f>
        <v>0</v>
      </c>
      <c r="Y58" s="55">
        <f t="shared" si="99"/>
        <v>0</v>
      </c>
      <c r="AA58" s="31">
        <f t="shared" ref="AA58:AA59" si="117">SUM(G58:I58)</f>
        <v>0</v>
      </c>
      <c r="AB58" s="31">
        <f t="shared" ref="AB58:AB59" si="118">SUM(J58:L58)</f>
        <v>0</v>
      </c>
      <c r="AC58" s="31">
        <f t="shared" ref="AC58:AC59" si="119">SUM(M58:O58)</f>
        <v>0</v>
      </c>
      <c r="AD58" s="31">
        <f t="shared" ref="AD58:AD59" si="120">SUM(P58:R58)</f>
        <v>0</v>
      </c>
      <c r="AE58" s="55">
        <f t="shared" si="105"/>
        <v>0</v>
      </c>
    </row>
    <row r="59" spans="1:31" ht="26.25" customHeight="1">
      <c r="A59" s="52" t="s">
        <v>100</v>
      </c>
      <c r="B59" s="111" t="s">
        <v>183</v>
      </c>
      <c r="C59" s="101"/>
      <c r="D59" s="101"/>
      <c r="E59" s="101"/>
      <c r="F59" s="102"/>
      <c r="G59" s="71">
        <v>0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/>
      <c r="N59" s="33"/>
      <c r="O59" s="33"/>
      <c r="P59" s="33"/>
      <c r="Q59" s="33"/>
      <c r="R59" s="33"/>
      <c r="S59" s="33"/>
      <c r="T59" s="87"/>
      <c r="U59" s="31">
        <f>SUM(H59:J59)</f>
        <v>0</v>
      </c>
      <c r="V59" s="31">
        <f>SUM(K59:M59)</f>
        <v>0</v>
      </c>
      <c r="W59" s="31">
        <f t="shared" si="115"/>
        <v>0</v>
      </c>
      <c r="X59" s="31">
        <f t="shared" si="116"/>
        <v>0</v>
      </c>
      <c r="Y59" s="55">
        <f t="shared" si="99"/>
        <v>0</v>
      </c>
      <c r="AA59" s="31">
        <f t="shared" si="117"/>
        <v>0</v>
      </c>
      <c r="AB59" s="31">
        <f t="shared" si="118"/>
        <v>0</v>
      </c>
      <c r="AC59" s="31">
        <f t="shared" si="119"/>
        <v>0</v>
      </c>
      <c r="AD59" s="31">
        <f t="shared" si="120"/>
        <v>0</v>
      </c>
      <c r="AE59" s="55">
        <f t="shared" ref="AE59" si="121">SUM(AA59:AD59)</f>
        <v>0</v>
      </c>
    </row>
    <row r="60" spans="1:31" s="62" customFormat="1" ht="26.25" customHeight="1">
      <c r="A60" s="59">
        <v>8</v>
      </c>
      <c r="B60" s="114" t="s">
        <v>60</v>
      </c>
      <c r="C60" s="115"/>
      <c r="D60" s="115"/>
      <c r="E60" s="115"/>
      <c r="F60" s="116"/>
      <c r="G60" s="60">
        <v>1</v>
      </c>
      <c r="H60" s="60">
        <v>0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0</v>
      </c>
      <c r="O60" s="60">
        <v>0</v>
      </c>
      <c r="P60" s="60">
        <v>0</v>
      </c>
      <c r="Q60" s="60">
        <v>0</v>
      </c>
      <c r="R60" s="60">
        <v>0</v>
      </c>
      <c r="S60" s="60">
        <v>0</v>
      </c>
      <c r="T60" s="84"/>
      <c r="U60" s="60">
        <f>U61+U62+U63</f>
        <v>0</v>
      </c>
      <c r="V60" s="60">
        <f t="shared" ref="V60:X60" si="122">V61+V62+V63</f>
        <v>0</v>
      </c>
      <c r="W60" s="60">
        <f t="shared" si="122"/>
        <v>0</v>
      </c>
      <c r="X60" s="60">
        <f t="shared" si="122"/>
        <v>0</v>
      </c>
      <c r="Y60" s="61"/>
      <c r="Z60" s="93"/>
      <c r="AA60" s="60">
        <f>AA61+AA62+AA63</f>
        <v>0</v>
      </c>
      <c r="AB60" s="60">
        <f t="shared" ref="AB60" si="123">AB61+AB62+AB63</f>
        <v>0</v>
      </c>
      <c r="AC60" s="60">
        <f t="shared" ref="AC60" si="124">AC61+AC62+AC63</f>
        <v>0</v>
      </c>
      <c r="AD60" s="60">
        <f t="shared" ref="AD60" si="125">AD61+AD62+AD63</f>
        <v>0</v>
      </c>
      <c r="AE60" s="61"/>
    </row>
    <row r="61" spans="1:31" ht="26.25" customHeight="1">
      <c r="A61" s="52" t="s">
        <v>101</v>
      </c>
      <c r="B61" s="111" t="s">
        <v>92</v>
      </c>
      <c r="C61" s="112"/>
      <c r="D61" s="112"/>
      <c r="E61" s="112"/>
      <c r="F61" s="113"/>
      <c r="G61" s="16">
        <v>0</v>
      </c>
      <c r="H61" s="58">
        <v>0</v>
      </c>
      <c r="I61" s="58">
        <v>0</v>
      </c>
      <c r="J61" s="58">
        <v>0</v>
      </c>
      <c r="K61" s="58">
        <v>0</v>
      </c>
      <c r="L61" s="58">
        <v>0</v>
      </c>
      <c r="M61" s="58"/>
      <c r="N61" s="58"/>
      <c r="O61" s="58"/>
      <c r="P61" s="58"/>
      <c r="Q61" s="58"/>
      <c r="R61" s="58"/>
      <c r="S61" s="58"/>
      <c r="T61" s="88"/>
      <c r="U61" s="53">
        <f>J61</f>
        <v>0</v>
      </c>
      <c r="V61" s="53">
        <f>M61</f>
        <v>0</v>
      </c>
      <c r="W61" s="53">
        <f>P61</f>
        <v>0</v>
      </c>
      <c r="X61" s="53">
        <f>S61</f>
        <v>0</v>
      </c>
      <c r="Y61" s="55"/>
      <c r="AA61" s="53">
        <f>I61</f>
        <v>0</v>
      </c>
      <c r="AB61" s="53">
        <f>L61</f>
        <v>0</v>
      </c>
      <c r="AC61" s="53">
        <f>O61</f>
        <v>0</v>
      </c>
      <c r="AD61" s="53">
        <f>R61</f>
        <v>0</v>
      </c>
      <c r="AE61" s="55"/>
    </row>
    <row r="62" spans="1:31" ht="26.25" customHeight="1">
      <c r="A62" s="52" t="s">
        <v>102</v>
      </c>
      <c r="B62" s="111" t="s">
        <v>93</v>
      </c>
      <c r="C62" s="112"/>
      <c r="D62" s="112"/>
      <c r="E62" s="112"/>
      <c r="F62" s="113"/>
      <c r="G62" s="71">
        <v>1</v>
      </c>
      <c r="H62" s="58">
        <v>0</v>
      </c>
      <c r="I62" s="58">
        <v>0</v>
      </c>
      <c r="J62" s="58">
        <v>0</v>
      </c>
      <c r="K62" s="58">
        <v>0</v>
      </c>
      <c r="L62" s="58">
        <v>0</v>
      </c>
      <c r="M62" s="58"/>
      <c r="N62" s="58"/>
      <c r="O62" s="58"/>
      <c r="P62" s="58"/>
      <c r="Q62" s="58"/>
      <c r="R62" s="58"/>
      <c r="S62" s="58"/>
      <c r="T62" s="88"/>
      <c r="U62" s="53">
        <f t="shared" ref="U62:U63" si="126">J62</f>
        <v>0</v>
      </c>
      <c r="V62" s="53">
        <f t="shared" ref="V62:V63" si="127">M62</f>
        <v>0</v>
      </c>
      <c r="W62" s="53">
        <f t="shared" ref="W62:W63" si="128">P62</f>
        <v>0</v>
      </c>
      <c r="X62" s="53">
        <f t="shared" ref="X62:X63" si="129">S62</f>
        <v>0</v>
      </c>
      <c r="Y62" s="55"/>
      <c r="AA62" s="53">
        <f>I62</f>
        <v>0</v>
      </c>
      <c r="AB62" s="53">
        <f t="shared" ref="AB62:AB63" si="130">L62</f>
        <v>0</v>
      </c>
      <c r="AC62" s="53">
        <f t="shared" ref="AC62:AC63" si="131">O62</f>
        <v>0</v>
      </c>
      <c r="AD62" s="53">
        <f t="shared" ref="AD62:AD63" si="132">R62</f>
        <v>0</v>
      </c>
      <c r="AE62" s="55"/>
    </row>
    <row r="63" spans="1:31" ht="26.25" customHeight="1">
      <c r="A63" s="52" t="s">
        <v>103</v>
      </c>
      <c r="B63" s="111" t="s">
        <v>94</v>
      </c>
      <c r="C63" s="112"/>
      <c r="D63" s="112"/>
      <c r="E63" s="112"/>
      <c r="F63" s="113"/>
      <c r="G63" s="16">
        <v>0</v>
      </c>
      <c r="H63" s="58">
        <v>0</v>
      </c>
      <c r="I63" s="58">
        <v>0</v>
      </c>
      <c r="J63" s="58">
        <v>0</v>
      </c>
      <c r="K63" s="58">
        <v>0</v>
      </c>
      <c r="L63" s="58">
        <v>0</v>
      </c>
      <c r="M63" s="58"/>
      <c r="N63" s="58"/>
      <c r="O63" s="58"/>
      <c r="P63" s="58"/>
      <c r="Q63" s="58"/>
      <c r="R63" s="58"/>
      <c r="S63" s="58"/>
      <c r="T63" s="88"/>
      <c r="U63" s="53">
        <f t="shared" si="126"/>
        <v>0</v>
      </c>
      <c r="V63" s="53">
        <f t="shared" si="127"/>
        <v>0</v>
      </c>
      <c r="W63" s="53">
        <f t="shared" si="128"/>
        <v>0</v>
      </c>
      <c r="X63" s="53">
        <f t="shared" si="129"/>
        <v>0</v>
      </c>
      <c r="Y63" s="55"/>
      <c r="AA63" s="53">
        <f>I63</f>
        <v>0</v>
      </c>
      <c r="AB63" s="53">
        <f t="shared" si="130"/>
        <v>0</v>
      </c>
      <c r="AC63" s="53">
        <f t="shared" si="131"/>
        <v>0</v>
      </c>
      <c r="AD63" s="53">
        <f t="shared" si="132"/>
        <v>0</v>
      </c>
      <c r="AE63" s="55"/>
    </row>
    <row r="64" spans="1:31" ht="26.25" customHeight="1">
      <c r="A64" s="106" t="s">
        <v>176</v>
      </c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7"/>
    </row>
    <row r="65" spans="1:31" ht="26.25" customHeight="1">
      <c r="A65" s="42" t="s">
        <v>0</v>
      </c>
      <c r="B65" s="108" t="s">
        <v>1</v>
      </c>
      <c r="C65" s="109"/>
      <c r="D65" s="109"/>
      <c r="E65" s="109"/>
      <c r="F65" s="110"/>
      <c r="G65" s="43" t="s">
        <v>181</v>
      </c>
      <c r="H65" s="43" t="s">
        <v>162</v>
      </c>
      <c r="I65" s="43" t="s">
        <v>163</v>
      </c>
      <c r="J65" s="43" t="s">
        <v>164</v>
      </c>
      <c r="K65" s="43" t="s">
        <v>165</v>
      </c>
      <c r="L65" s="43" t="s">
        <v>166</v>
      </c>
      <c r="M65" s="43" t="s">
        <v>167</v>
      </c>
      <c r="N65" s="43" t="s">
        <v>168</v>
      </c>
      <c r="O65" s="43" t="s">
        <v>169</v>
      </c>
      <c r="P65" s="43" t="s">
        <v>170</v>
      </c>
      <c r="Q65" s="43" t="s">
        <v>171</v>
      </c>
      <c r="R65" s="43" t="s">
        <v>172</v>
      </c>
      <c r="S65" s="44" t="s">
        <v>173</v>
      </c>
      <c r="T65" s="81"/>
      <c r="U65" s="44" t="s">
        <v>174</v>
      </c>
      <c r="V65" s="44" t="s">
        <v>175</v>
      </c>
      <c r="W65" s="44" t="s">
        <v>179</v>
      </c>
      <c r="X65" s="44" t="s">
        <v>180</v>
      </c>
      <c r="Y65" s="68" t="s">
        <v>2</v>
      </c>
      <c r="AA65" s="44" t="s">
        <v>174</v>
      </c>
      <c r="AB65" s="44" t="s">
        <v>175</v>
      </c>
      <c r="AC65" s="44" t="s">
        <v>179</v>
      </c>
      <c r="AD65" s="44" t="s">
        <v>180</v>
      </c>
      <c r="AE65" s="68" t="s">
        <v>2</v>
      </c>
    </row>
    <row r="66" spans="1:31" ht="26.25" customHeight="1">
      <c r="A66" s="45">
        <v>1</v>
      </c>
      <c r="B66" s="111" t="s">
        <v>24</v>
      </c>
      <c r="C66" s="112"/>
      <c r="D66" s="112"/>
      <c r="E66" s="112"/>
      <c r="F66" s="113"/>
      <c r="G66" s="13">
        <v>5</v>
      </c>
      <c r="H66" s="31">
        <v>5</v>
      </c>
      <c r="I66" s="31">
        <v>16</v>
      </c>
      <c r="J66" s="31">
        <v>7</v>
      </c>
      <c r="K66" s="31">
        <v>7</v>
      </c>
      <c r="L66" s="31">
        <v>8</v>
      </c>
      <c r="M66" s="31"/>
      <c r="N66" s="31"/>
      <c r="O66" s="31"/>
      <c r="P66" s="31"/>
      <c r="Q66" s="31"/>
      <c r="R66" s="31"/>
      <c r="S66" s="31"/>
      <c r="T66" s="85"/>
      <c r="U66" s="31">
        <f>SUM(H66:J66)</f>
        <v>28</v>
      </c>
      <c r="V66" s="31">
        <f>SUM(K66:M66)</f>
        <v>15</v>
      </c>
      <c r="W66" s="31">
        <f t="shared" ref="W66" si="133">SUM(N66:P66)</f>
        <v>0</v>
      </c>
      <c r="X66" s="31">
        <f t="shared" ref="X66" si="134">SUM(Q66:S66)</f>
        <v>0</v>
      </c>
      <c r="Y66" s="55">
        <f t="shared" ref="Y66:Y69" si="135">SUM(U66:X66)</f>
        <v>43</v>
      </c>
      <c r="AA66" s="31">
        <f>SUM(G66:I66)</f>
        <v>26</v>
      </c>
      <c r="AB66" s="31">
        <f t="shared" ref="AB66" si="136">SUM(J66:L66)</f>
        <v>22</v>
      </c>
      <c r="AC66" s="31">
        <f t="shared" ref="AC66" si="137">SUM(M66:O66)</f>
        <v>0</v>
      </c>
      <c r="AD66" s="31">
        <f t="shared" ref="AD66" si="138">SUM(P66:R66)</f>
        <v>0</v>
      </c>
      <c r="AE66" s="55">
        <f>SUM(AA66:AD66)</f>
        <v>48</v>
      </c>
    </row>
    <row r="67" spans="1:31" ht="26.25" customHeight="1">
      <c r="A67" s="45">
        <v>2</v>
      </c>
      <c r="B67" s="100" t="s">
        <v>27</v>
      </c>
      <c r="C67" s="101"/>
      <c r="D67" s="101"/>
      <c r="E67" s="101"/>
      <c r="F67" s="102"/>
      <c r="G67" s="13">
        <v>0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/>
      <c r="N67" s="31"/>
      <c r="O67" s="31"/>
      <c r="P67" s="31"/>
      <c r="Q67" s="31"/>
      <c r="R67" s="31"/>
      <c r="S67" s="31"/>
      <c r="T67" s="85"/>
      <c r="U67" s="31">
        <f t="shared" ref="U67:U69" si="139">SUM(H67:J67)</f>
        <v>0</v>
      </c>
      <c r="V67" s="31">
        <f t="shared" ref="V67:V69" si="140">SUM(K67:M67)</f>
        <v>0</v>
      </c>
      <c r="W67" s="31">
        <f t="shared" ref="W67:W69" si="141">SUM(N67:P67)</f>
        <v>0</v>
      </c>
      <c r="X67" s="31">
        <f t="shared" ref="X67:X69" si="142">SUM(Q67:S67)</f>
        <v>0</v>
      </c>
      <c r="Y67" s="55">
        <f t="shared" si="135"/>
        <v>0</v>
      </c>
      <c r="AA67" s="31">
        <f t="shared" ref="AA67:AA69" si="143">SUM(G67:I67)</f>
        <v>0</v>
      </c>
      <c r="AB67" s="31">
        <f t="shared" ref="AB67:AB69" si="144">SUM(J67:L67)</f>
        <v>0</v>
      </c>
      <c r="AC67" s="31">
        <f t="shared" ref="AC67:AC69" si="145">SUM(M67:O67)</f>
        <v>0</v>
      </c>
      <c r="AD67" s="31">
        <f t="shared" ref="AD67:AD69" si="146">SUM(P67:R67)</f>
        <v>0</v>
      </c>
      <c r="AE67" s="55">
        <f t="shared" ref="AE67:AE69" si="147">SUM(AA67:AD67)</f>
        <v>0</v>
      </c>
    </row>
    <row r="68" spans="1:31" ht="26.25" customHeight="1">
      <c r="A68" s="45">
        <v>3</v>
      </c>
      <c r="B68" s="100" t="s">
        <v>19</v>
      </c>
      <c r="C68" s="101"/>
      <c r="D68" s="101"/>
      <c r="E68" s="101"/>
      <c r="F68" s="102"/>
      <c r="G68" s="13">
        <v>4</v>
      </c>
      <c r="H68" s="31">
        <v>0</v>
      </c>
      <c r="I68" s="31">
        <v>0</v>
      </c>
      <c r="J68" s="31">
        <v>5</v>
      </c>
      <c r="K68" s="31">
        <v>0</v>
      </c>
      <c r="L68" s="31">
        <v>0</v>
      </c>
      <c r="M68" s="31"/>
      <c r="N68" s="31"/>
      <c r="O68" s="31"/>
      <c r="P68" s="31"/>
      <c r="Q68" s="31"/>
      <c r="R68" s="31"/>
      <c r="S68" s="31"/>
      <c r="T68" s="85"/>
      <c r="U68" s="31">
        <f t="shared" si="139"/>
        <v>5</v>
      </c>
      <c r="V68" s="31">
        <f t="shared" si="140"/>
        <v>0</v>
      </c>
      <c r="W68" s="31">
        <f t="shared" si="141"/>
        <v>0</v>
      </c>
      <c r="X68" s="31">
        <f t="shared" si="142"/>
        <v>0</v>
      </c>
      <c r="Y68" s="55">
        <f t="shared" si="135"/>
        <v>5</v>
      </c>
      <c r="AA68" s="31">
        <f>SUM(G68:I68)</f>
        <v>4</v>
      </c>
      <c r="AB68" s="31">
        <f t="shared" si="144"/>
        <v>5</v>
      </c>
      <c r="AC68" s="31">
        <f t="shared" si="145"/>
        <v>0</v>
      </c>
      <c r="AD68" s="31">
        <f t="shared" si="146"/>
        <v>0</v>
      </c>
      <c r="AE68" s="55">
        <f t="shared" si="147"/>
        <v>9</v>
      </c>
    </row>
    <row r="69" spans="1:31" ht="26.25" customHeight="1">
      <c r="A69" s="45">
        <v>4</v>
      </c>
      <c r="B69" s="100" t="s">
        <v>12</v>
      </c>
      <c r="C69" s="101"/>
      <c r="D69" s="101"/>
      <c r="E69" s="101"/>
      <c r="F69" s="102"/>
      <c r="G69" s="13">
        <v>4</v>
      </c>
      <c r="H69" s="31">
        <v>0</v>
      </c>
      <c r="I69" s="31">
        <v>0</v>
      </c>
      <c r="J69" s="31">
        <v>5</v>
      </c>
      <c r="K69" s="31">
        <v>0</v>
      </c>
      <c r="L69" s="31">
        <v>0</v>
      </c>
      <c r="M69" s="31"/>
      <c r="N69" s="31"/>
      <c r="O69" s="31"/>
      <c r="P69" s="31"/>
      <c r="Q69" s="31"/>
      <c r="R69" s="31"/>
      <c r="S69" s="31"/>
      <c r="T69" s="85"/>
      <c r="U69" s="31">
        <f t="shared" si="139"/>
        <v>5</v>
      </c>
      <c r="V69" s="31">
        <f t="shared" si="140"/>
        <v>0</v>
      </c>
      <c r="W69" s="31">
        <f t="shared" si="141"/>
        <v>0</v>
      </c>
      <c r="X69" s="31">
        <f t="shared" si="142"/>
        <v>0</v>
      </c>
      <c r="Y69" s="55">
        <f t="shared" si="135"/>
        <v>5</v>
      </c>
      <c r="AA69" s="31">
        <f t="shared" si="143"/>
        <v>4</v>
      </c>
      <c r="AB69" s="31">
        <f t="shared" si="144"/>
        <v>5</v>
      </c>
      <c r="AC69" s="31">
        <f t="shared" si="145"/>
        <v>0</v>
      </c>
      <c r="AD69" s="31">
        <f t="shared" si="146"/>
        <v>0</v>
      </c>
      <c r="AE69" s="55">
        <f t="shared" si="147"/>
        <v>9</v>
      </c>
    </row>
    <row r="70" spans="1:31" s="74" customFormat="1" ht="26.25" customHeight="1">
      <c r="A70" s="99">
        <v>5</v>
      </c>
      <c r="B70" s="126" t="s">
        <v>18</v>
      </c>
      <c r="C70" s="127"/>
      <c r="D70" s="127"/>
      <c r="E70" s="127"/>
      <c r="F70" s="128"/>
      <c r="G70" s="98">
        <v>172</v>
      </c>
      <c r="H70" s="57">
        <v>177</v>
      </c>
      <c r="I70" s="57">
        <v>193</v>
      </c>
      <c r="J70" s="57">
        <v>195</v>
      </c>
      <c r="K70" s="57">
        <v>202</v>
      </c>
      <c r="L70" s="57">
        <v>210</v>
      </c>
      <c r="M70" s="31"/>
      <c r="N70" s="28"/>
      <c r="O70" s="28"/>
      <c r="P70" s="28"/>
      <c r="Q70" s="28"/>
      <c r="R70" s="28"/>
      <c r="S70" s="28"/>
      <c r="T70" s="86"/>
      <c r="U70" s="70">
        <f>J70</f>
        <v>195</v>
      </c>
      <c r="V70" s="70">
        <f>M70</f>
        <v>0</v>
      </c>
      <c r="W70" s="70">
        <f>P70</f>
        <v>0</v>
      </c>
      <c r="X70" s="70">
        <f>S70</f>
        <v>0</v>
      </c>
      <c r="Y70" s="64">
        <f>S70</f>
        <v>0</v>
      </c>
      <c r="Z70" s="93"/>
      <c r="AA70" s="69">
        <f>I70</f>
        <v>193</v>
      </c>
      <c r="AB70" s="69">
        <f>L70</f>
        <v>210</v>
      </c>
      <c r="AC70" s="69">
        <f t="shared" ref="AC70" si="148">O70</f>
        <v>0</v>
      </c>
      <c r="AD70" s="69">
        <f t="shared" ref="AD70" si="149">R70</f>
        <v>0</v>
      </c>
      <c r="AE70" s="64">
        <f>Z70</f>
        <v>0</v>
      </c>
    </row>
  </sheetData>
  <mergeCells count="74">
    <mergeCell ref="B24:F24"/>
    <mergeCell ref="C13:F13"/>
    <mergeCell ref="A1:F1"/>
    <mergeCell ref="A2:F2"/>
    <mergeCell ref="A4:X4"/>
    <mergeCell ref="B6:F6"/>
    <mergeCell ref="B7:F7"/>
    <mergeCell ref="M1:Q1"/>
    <mergeCell ref="M2:Q2"/>
    <mergeCell ref="A3:B3"/>
    <mergeCell ref="B8:F8"/>
    <mergeCell ref="B9:F9"/>
    <mergeCell ref="B10:F10"/>
    <mergeCell ref="B11:F11"/>
    <mergeCell ref="B19:F19"/>
    <mergeCell ref="B20:F20"/>
    <mergeCell ref="B21:F21"/>
    <mergeCell ref="B22:F22"/>
    <mergeCell ref="B23:F23"/>
    <mergeCell ref="C15:F15"/>
    <mergeCell ref="C14:F14"/>
    <mergeCell ref="B37:F37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25:F25"/>
    <mergeCell ref="B17:F17"/>
    <mergeCell ref="B18:F18"/>
    <mergeCell ref="B44:F44"/>
    <mergeCell ref="B45:F45"/>
    <mergeCell ref="B46:F46"/>
    <mergeCell ref="B47:F47"/>
    <mergeCell ref="B48:F48"/>
    <mergeCell ref="B70:F70"/>
    <mergeCell ref="B61:F61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5:F65"/>
    <mergeCell ref="B66:F66"/>
    <mergeCell ref="B67:F67"/>
    <mergeCell ref="B68:F68"/>
    <mergeCell ref="B69:F69"/>
    <mergeCell ref="AA2:AE3"/>
    <mergeCell ref="A64:AE64"/>
    <mergeCell ref="A36:AE36"/>
    <mergeCell ref="A16:AE16"/>
    <mergeCell ref="A12:AE12"/>
    <mergeCell ref="A5:AE5"/>
    <mergeCell ref="U2:Y3"/>
    <mergeCell ref="B62:F62"/>
    <mergeCell ref="B63:F63"/>
    <mergeCell ref="B49:F49"/>
    <mergeCell ref="B38:F38"/>
    <mergeCell ref="B39:F39"/>
    <mergeCell ref="B40:F40"/>
    <mergeCell ref="B41:F41"/>
    <mergeCell ref="B42:F42"/>
    <mergeCell ref="B43:F43"/>
  </mergeCells>
  <pageMargins left="0.7" right="0.7" top="0.75" bottom="0.75" header="0.3" footer="0.3"/>
  <pageSetup paperSize="9" scale="3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I60"/>
  <sheetViews>
    <sheetView topLeftCell="A13" zoomScale="70" zoomScaleNormal="70" workbookViewId="0">
      <selection activeCell="B47" sqref="B47"/>
    </sheetView>
  </sheetViews>
  <sheetFormatPr defaultRowHeight="15"/>
  <cols>
    <col min="1" max="1" width="5.28515625" style="8" bestFit="1" customWidth="1"/>
    <col min="2" max="2" width="27.7109375" style="8" bestFit="1" customWidth="1"/>
    <col min="3" max="8" width="9.140625" style="8"/>
    <col min="9" max="9" width="20.85546875" style="8" customWidth="1"/>
    <col min="10" max="16384" width="9.140625" style="8"/>
  </cols>
  <sheetData>
    <row r="1" spans="1:9" s="5" customFormat="1" ht="16.5">
      <c r="A1" s="160" t="s">
        <v>160</v>
      </c>
      <c r="B1" s="160"/>
      <c r="C1" s="160"/>
      <c r="D1" s="160"/>
      <c r="E1" s="161" t="s">
        <v>16</v>
      </c>
      <c r="F1" s="161"/>
      <c r="G1" s="161"/>
      <c r="H1" s="161"/>
      <c r="I1" s="161"/>
    </row>
    <row r="2" spans="1:9" s="5" customFormat="1" ht="18.75">
      <c r="A2" s="162" t="s">
        <v>137</v>
      </c>
      <c r="B2" s="162"/>
      <c r="C2" s="162"/>
      <c r="D2" s="162"/>
      <c r="E2" s="163" t="s">
        <v>28</v>
      </c>
      <c r="F2" s="163"/>
      <c r="G2" s="163"/>
      <c r="H2" s="163"/>
      <c r="I2" s="163"/>
    </row>
    <row r="3" spans="1:9" s="7" customFormat="1" ht="16.5">
      <c r="A3" s="162"/>
      <c r="B3" s="162"/>
      <c r="C3" s="162"/>
      <c r="D3" s="162"/>
      <c r="E3" s="6"/>
      <c r="F3" s="6"/>
      <c r="G3" s="6"/>
      <c r="H3" s="6"/>
    </row>
    <row r="4" spans="1:9" s="7" customFormat="1" ht="34.5" customHeight="1">
      <c r="A4" s="155" t="s">
        <v>29</v>
      </c>
      <c r="B4" s="156"/>
      <c r="C4" s="156"/>
      <c r="D4" s="156"/>
      <c r="E4" s="156"/>
      <c r="F4" s="156"/>
      <c r="G4" s="156"/>
      <c r="H4" s="156"/>
      <c r="I4" s="156"/>
    </row>
    <row r="5" spans="1:9" s="7" customFormat="1" ht="15.75">
      <c r="A5" s="157" t="s">
        <v>159</v>
      </c>
      <c r="B5" s="158"/>
      <c r="C5" s="158"/>
      <c r="D5" s="158"/>
      <c r="E5" s="158"/>
      <c r="F5" s="158"/>
      <c r="G5" s="158"/>
      <c r="H5" s="158"/>
      <c r="I5" s="158"/>
    </row>
    <row r="6" spans="1:9" s="5" customFormat="1" ht="18" customHeight="1">
      <c r="A6" s="159" t="s">
        <v>50</v>
      </c>
      <c r="B6" s="159" t="s">
        <v>30</v>
      </c>
      <c r="C6" s="159" t="s">
        <v>31</v>
      </c>
      <c r="D6" s="159"/>
      <c r="E6" s="159"/>
      <c r="F6" s="159"/>
      <c r="G6" s="159" t="s">
        <v>32</v>
      </c>
      <c r="H6" s="159"/>
      <c r="I6" s="159" t="s">
        <v>33</v>
      </c>
    </row>
    <row r="7" spans="1:9" s="5" customFormat="1" ht="78" customHeight="1">
      <c r="A7" s="159"/>
      <c r="B7" s="159"/>
      <c r="C7" s="19" t="s">
        <v>34</v>
      </c>
      <c r="D7" s="20" t="s">
        <v>35</v>
      </c>
      <c r="E7" s="19" t="s">
        <v>36</v>
      </c>
      <c r="F7" s="20" t="s">
        <v>37</v>
      </c>
      <c r="G7" s="20" t="s">
        <v>38</v>
      </c>
      <c r="H7" s="20" t="s">
        <v>39</v>
      </c>
      <c r="I7" s="159"/>
    </row>
    <row r="8" spans="1:9" s="5" customFormat="1" ht="18" customHeight="1">
      <c r="A8" s="21">
        <v>1</v>
      </c>
      <c r="B8" s="11" t="s">
        <v>46</v>
      </c>
      <c r="C8" s="25"/>
      <c r="D8" s="25"/>
      <c r="E8" s="25"/>
      <c r="F8" s="25"/>
      <c r="G8" s="25"/>
      <c r="H8" s="25">
        <v>2</v>
      </c>
      <c r="I8" s="26"/>
    </row>
    <row r="9" spans="1:9" s="5" customFormat="1" ht="18" customHeight="1">
      <c r="A9" s="21">
        <v>2</v>
      </c>
      <c r="B9" s="11" t="s">
        <v>124</v>
      </c>
      <c r="C9" s="27"/>
      <c r="D9" s="27"/>
      <c r="E9" s="27"/>
      <c r="F9" s="27"/>
      <c r="G9" s="27"/>
      <c r="H9" s="25">
        <v>1</v>
      </c>
      <c r="I9" s="26"/>
    </row>
    <row r="10" spans="1:9" s="5" customFormat="1" ht="18" customHeight="1">
      <c r="A10" s="21">
        <v>3</v>
      </c>
      <c r="B10" s="11" t="s">
        <v>113</v>
      </c>
      <c r="C10" s="27"/>
      <c r="D10" s="27"/>
      <c r="E10" s="27"/>
      <c r="F10" s="27"/>
      <c r="G10" s="27"/>
      <c r="H10" s="25">
        <v>4</v>
      </c>
      <c r="I10" s="26"/>
    </row>
    <row r="11" spans="1:9" s="5" customFormat="1" ht="18" customHeight="1">
      <c r="A11" s="21">
        <v>4</v>
      </c>
      <c r="B11" s="11" t="s">
        <v>107</v>
      </c>
      <c r="C11" s="27">
        <v>2</v>
      </c>
      <c r="D11" s="27">
        <v>2</v>
      </c>
      <c r="E11" s="27"/>
      <c r="F11" s="27"/>
      <c r="G11" s="27"/>
      <c r="H11" s="25">
        <v>10</v>
      </c>
      <c r="I11" s="26"/>
    </row>
    <row r="12" spans="1:9" s="5" customFormat="1" ht="18" customHeight="1">
      <c r="A12" s="21">
        <v>5</v>
      </c>
      <c r="B12" s="11" t="s">
        <v>119</v>
      </c>
      <c r="C12" s="27"/>
      <c r="D12" s="27"/>
      <c r="E12" s="27"/>
      <c r="F12" s="27"/>
      <c r="G12" s="27"/>
      <c r="H12" s="25">
        <v>2</v>
      </c>
      <c r="I12" s="26"/>
    </row>
    <row r="13" spans="1:9" s="5" customFormat="1" ht="18" customHeight="1">
      <c r="A13" s="21">
        <v>6</v>
      </c>
      <c r="B13" s="11" t="s">
        <v>43</v>
      </c>
      <c r="C13" s="27"/>
      <c r="D13" s="27"/>
      <c r="E13" s="27"/>
      <c r="F13" s="27"/>
      <c r="G13" s="27"/>
      <c r="H13" s="25">
        <v>3</v>
      </c>
      <c r="I13" s="26"/>
    </row>
    <row r="14" spans="1:9" s="5" customFormat="1" ht="18" customHeight="1">
      <c r="A14" s="21">
        <v>7</v>
      </c>
      <c r="B14" s="11" t="s">
        <v>128</v>
      </c>
      <c r="C14" s="27"/>
      <c r="D14" s="27"/>
      <c r="E14" s="27"/>
      <c r="F14" s="27"/>
      <c r="G14" s="27"/>
      <c r="H14" s="25">
        <v>11</v>
      </c>
      <c r="I14" s="26"/>
    </row>
    <row r="15" spans="1:9" s="5" customFormat="1" ht="18" customHeight="1">
      <c r="A15" s="21">
        <v>8</v>
      </c>
      <c r="B15" s="11" t="s">
        <v>104</v>
      </c>
      <c r="C15" s="27"/>
      <c r="D15" s="27"/>
      <c r="E15" s="27"/>
      <c r="F15" s="27"/>
      <c r="G15" s="27"/>
      <c r="H15" s="25">
        <v>2</v>
      </c>
      <c r="I15" s="26"/>
    </row>
    <row r="16" spans="1:9" s="5" customFormat="1" ht="18" customHeight="1">
      <c r="A16" s="21">
        <v>9</v>
      </c>
      <c r="B16" s="11" t="s">
        <v>129</v>
      </c>
      <c r="C16" s="27"/>
      <c r="D16" s="27"/>
      <c r="E16" s="27"/>
      <c r="F16" s="27"/>
      <c r="G16" s="27"/>
      <c r="H16" s="25">
        <v>1</v>
      </c>
      <c r="I16" s="26"/>
    </row>
    <row r="17" spans="1:9" s="5" customFormat="1" ht="18" customHeight="1">
      <c r="A17" s="21">
        <v>10</v>
      </c>
      <c r="B17" s="11" t="s">
        <v>42</v>
      </c>
      <c r="C17" s="27"/>
      <c r="D17" s="27"/>
      <c r="E17" s="27"/>
      <c r="F17" s="27"/>
      <c r="G17" s="27"/>
      <c r="H17" s="25">
        <v>20</v>
      </c>
      <c r="I17" s="26"/>
    </row>
    <row r="18" spans="1:9" s="5" customFormat="1" ht="18" customHeight="1">
      <c r="A18" s="21">
        <v>11</v>
      </c>
      <c r="B18" s="11" t="s">
        <v>44</v>
      </c>
      <c r="C18" s="27"/>
      <c r="D18" s="27"/>
      <c r="E18" s="27"/>
      <c r="F18" s="27"/>
      <c r="G18" s="27"/>
      <c r="H18" s="25">
        <v>1</v>
      </c>
      <c r="I18" s="26"/>
    </row>
    <row r="19" spans="1:9" s="5" customFormat="1" ht="18" customHeight="1">
      <c r="A19" s="21">
        <v>12</v>
      </c>
      <c r="B19" s="11" t="s">
        <v>110</v>
      </c>
      <c r="C19" s="27"/>
      <c r="D19" s="27"/>
      <c r="E19" s="27"/>
      <c r="F19" s="27"/>
      <c r="G19" s="27"/>
      <c r="H19" s="25">
        <v>3</v>
      </c>
      <c r="I19" s="26"/>
    </row>
    <row r="20" spans="1:9" s="5" customFormat="1" ht="18" customHeight="1">
      <c r="A20" s="21">
        <v>13</v>
      </c>
      <c r="B20" s="11" t="s">
        <v>122</v>
      </c>
      <c r="C20" s="27"/>
      <c r="D20" s="27"/>
      <c r="E20" s="27"/>
      <c r="F20" s="27"/>
      <c r="G20" s="27"/>
      <c r="H20" s="25">
        <v>1</v>
      </c>
      <c r="I20" s="26"/>
    </row>
    <row r="21" spans="1:9" s="5" customFormat="1" ht="18" customHeight="1">
      <c r="A21" s="21">
        <v>14</v>
      </c>
      <c r="B21" s="11" t="s">
        <v>126</v>
      </c>
      <c r="C21" s="27"/>
      <c r="D21" s="27"/>
      <c r="E21" s="27"/>
      <c r="F21" s="27"/>
      <c r="G21" s="27"/>
      <c r="H21" s="25">
        <v>0</v>
      </c>
      <c r="I21" s="26"/>
    </row>
    <row r="22" spans="1:9" s="5" customFormat="1" ht="18" customHeight="1">
      <c r="A22" s="21">
        <v>15</v>
      </c>
      <c r="B22" s="11" t="s">
        <v>130</v>
      </c>
      <c r="C22" s="27"/>
      <c r="D22" s="27"/>
      <c r="E22" s="27"/>
      <c r="F22" s="27"/>
      <c r="G22" s="27"/>
      <c r="H22" s="25">
        <v>2</v>
      </c>
      <c r="I22" s="26"/>
    </row>
    <row r="23" spans="1:9" s="5" customFormat="1" ht="18" customHeight="1">
      <c r="A23" s="21">
        <v>16</v>
      </c>
      <c r="B23" s="11" t="s">
        <v>121</v>
      </c>
      <c r="C23" s="27"/>
      <c r="D23" s="27"/>
      <c r="E23" s="27"/>
      <c r="F23" s="27"/>
      <c r="G23" s="27"/>
      <c r="H23" s="25">
        <v>0</v>
      </c>
      <c r="I23" s="26"/>
    </row>
    <row r="24" spans="1:9" s="5" customFormat="1" ht="18" customHeight="1">
      <c r="A24" s="21">
        <v>17</v>
      </c>
      <c r="B24" s="11" t="s">
        <v>45</v>
      </c>
      <c r="C24" s="27"/>
      <c r="D24" s="27"/>
      <c r="E24" s="27"/>
      <c r="F24" s="27"/>
      <c r="G24" s="27"/>
      <c r="H24" s="25">
        <v>0</v>
      </c>
      <c r="I24" s="26"/>
    </row>
    <row r="25" spans="1:9" s="5" customFormat="1" ht="18" customHeight="1">
      <c r="A25" s="21">
        <v>18</v>
      </c>
      <c r="B25" s="11" t="s">
        <v>120</v>
      </c>
      <c r="C25" s="27">
        <v>1</v>
      </c>
      <c r="D25" s="27">
        <v>1</v>
      </c>
      <c r="E25" s="27"/>
      <c r="F25" s="27"/>
      <c r="G25" s="27"/>
      <c r="H25" s="25">
        <v>3</v>
      </c>
      <c r="I25" s="26"/>
    </row>
    <row r="26" spans="1:9" s="5" customFormat="1" ht="18" customHeight="1">
      <c r="A26" s="21">
        <v>19</v>
      </c>
      <c r="B26" s="11" t="s">
        <v>114</v>
      </c>
      <c r="C26" s="27"/>
      <c r="D26" s="27"/>
      <c r="E26" s="27"/>
      <c r="F26" s="27"/>
      <c r="G26" s="27"/>
      <c r="H26" s="25">
        <v>2</v>
      </c>
      <c r="I26" s="26"/>
    </row>
    <row r="27" spans="1:9" s="5" customFormat="1" ht="18" customHeight="1">
      <c r="A27" s="21">
        <v>20</v>
      </c>
      <c r="B27" s="11" t="s">
        <v>41</v>
      </c>
      <c r="C27" s="27"/>
      <c r="D27" s="27"/>
      <c r="E27" s="27"/>
      <c r="F27" s="27"/>
      <c r="G27" s="27"/>
      <c r="H27" s="25">
        <v>14</v>
      </c>
      <c r="I27" s="26"/>
    </row>
    <row r="28" spans="1:9" s="5" customFormat="1" ht="18" customHeight="1">
      <c r="A28" s="21">
        <v>21</v>
      </c>
      <c r="B28" s="11" t="s">
        <v>112</v>
      </c>
      <c r="C28" s="27"/>
      <c r="D28" s="27"/>
      <c r="E28" s="27"/>
      <c r="F28" s="27"/>
      <c r="G28" s="27"/>
      <c r="H28" s="25">
        <v>0</v>
      </c>
      <c r="I28" s="26"/>
    </row>
    <row r="29" spans="1:9" s="5" customFormat="1" ht="18" customHeight="1">
      <c r="A29" s="21">
        <v>22</v>
      </c>
      <c r="B29" s="11" t="s">
        <v>125</v>
      </c>
      <c r="C29" s="25"/>
      <c r="D29" s="25"/>
      <c r="E29" s="25"/>
      <c r="F29" s="25"/>
      <c r="G29" s="25"/>
      <c r="H29" s="25">
        <v>1</v>
      </c>
      <c r="I29" s="26"/>
    </row>
    <row r="30" spans="1:9" s="5" customFormat="1" ht="18" customHeight="1">
      <c r="A30" s="21">
        <v>23</v>
      </c>
      <c r="B30" s="11" t="s">
        <v>47</v>
      </c>
      <c r="C30" s="25"/>
      <c r="D30" s="25"/>
      <c r="E30" s="25"/>
      <c r="F30" s="25"/>
      <c r="G30" s="25"/>
      <c r="H30" s="25">
        <v>0</v>
      </c>
      <c r="I30" s="26"/>
    </row>
    <row r="31" spans="1:9" s="5" customFormat="1" ht="18" customHeight="1">
      <c r="A31" s="21">
        <v>24</v>
      </c>
      <c r="B31" s="11" t="s">
        <v>123</v>
      </c>
      <c r="C31" s="25"/>
      <c r="D31" s="25"/>
      <c r="E31" s="25"/>
      <c r="F31" s="25"/>
      <c r="G31" s="25"/>
      <c r="H31" s="25">
        <v>4</v>
      </c>
      <c r="I31" s="26"/>
    </row>
    <row r="32" spans="1:9" s="5" customFormat="1" ht="18" customHeight="1">
      <c r="A32" s="21">
        <v>25</v>
      </c>
      <c r="B32" s="11" t="s">
        <v>105</v>
      </c>
      <c r="C32" s="25"/>
      <c r="D32" s="25"/>
      <c r="E32" s="25"/>
      <c r="F32" s="25"/>
      <c r="G32" s="25"/>
      <c r="H32" s="25">
        <v>1</v>
      </c>
      <c r="I32" s="26"/>
    </row>
    <row r="33" spans="1:9" s="5" customFormat="1" ht="18" customHeight="1">
      <c r="A33" s="21">
        <v>26</v>
      </c>
      <c r="B33" s="11" t="s">
        <v>127</v>
      </c>
      <c r="C33" s="25"/>
      <c r="D33" s="25"/>
      <c r="E33" s="25"/>
      <c r="F33" s="25"/>
      <c r="G33" s="25"/>
      <c r="H33" s="25">
        <v>0</v>
      </c>
      <c r="I33" s="26"/>
    </row>
    <row r="34" spans="1:9" s="5" customFormat="1" ht="18" customHeight="1">
      <c r="A34" s="21">
        <v>27</v>
      </c>
      <c r="B34" s="11" t="s">
        <v>108</v>
      </c>
      <c r="C34" s="25">
        <v>1</v>
      </c>
      <c r="D34" s="25">
        <v>1</v>
      </c>
      <c r="E34" s="25"/>
      <c r="F34" s="25"/>
      <c r="G34" s="25"/>
      <c r="H34" s="25">
        <v>12</v>
      </c>
      <c r="I34" s="26"/>
    </row>
    <row r="35" spans="1:9" s="5" customFormat="1" ht="18" customHeight="1">
      <c r="A35" s="21">
        <v>28</v>
      </c>
      <c r="B35" s="11" t="s">
        <v>111</v>
      </c>
      <c r="C35" s="25"/>
      <c r="D35" s="25"/>
      <c r="E35" s="25"/>
      <c r="F35" s="25"/>
      <c r="G35" s="25"/>
      <c r="H35" s="25">
        <v>20</v>
      </c>
      <c r="I35" s="26"/>
    </row>
    <row r="36" spans="1:9" s="5" customFormat="1" ht="18" customHeight="1">
      <c r="A36" s="21">
        <v>29</v>
      </c>
      <c r="B36" s="11" t="s">
        <v>117</v>
      </c>
      <c r="C36" s="25"/>
      <c r="D36" s="25"/>
      <c r="E36" s="25"/>
      <c r="F36" s="25"/>
      <c r="G36" s="25"/>
      <c r="H36" s="25">
        <v>2</v>
      </c>
      <c r="I36" s="26"/>
    </row>
    <row r="37" spans="1:9" s="5" customFormat="1" ht="18" customHeight="1">
      <c r="A37" s="21">
        <v>30</v>
      </c>
      <c r="B37" s="11" t="s">
        <v>118</v>
      </c>
      <c r="C37" s="25"/>
      <c r="D37" s="25"/>
      <c r="E37" s="25"/>
      <c r="F37" s="25"/>
      <c r="G37" s="25"/>
      <c r="H37" s="25">
        <v>3</v>
      </c>
      <c r="I37" s="26"/>
    </row>
    <row r="38" spans="1:9" s="5" customFormat="1" ht="18" customHeight="1">
      <c r="A38" s="21">
        <v>31</v>
      </c>
      <c r="B38" s="11" t="s">
        <v>109</v>
      </c>
      <c r="C38" s="25"/>
      <c r="D38" s="25"/>
      <c r="E38" s="25"/>
      <c r="F38" s="25"/>
      <c r="G38" s="25"/>
      <c r="H38" s="25">
        <v>3</v>
      </c>
      <c r="I38" s="26"/>
    </row>
    <row r="39" spans="1:9" s="5" customFormat="1" ht="18" customHeight="1">
      <c r="A39" s="21">
        <v>32</v>
      </c>
      <c r="B39" s="11" t="s">
        <v>116</v>
      </c>
      <c r="C39" s="25"/>
      <c r="D39" s="25"/>
      <c r="E39" s="25"/>
      <c r="F39" s="25"/>
      <c r="G39" s="25"/>
      <c r="H39" s="25">
        <v>1</v>
      </c>
      <c r="I39" s="26"/>
    </row>
    <row r="40" spans="1:9" s="5" customFormat="1" ht="18" customHeight="1">
      <c r="A40" s="21">
        <v>33</v>
      </c>
      <c r="B40" s="11" t="s">
        <v>40</v>
      </c>
      <c r="C40" s="25"/>
      <c r="D40" s="25"/>
      <c r="E40" s="25"/>
      <c r="F40" s="25"/>
      <c r="G40" s="25"/>
      <c r="H40" s="25">
        <v>41</v>
      </c>
      <c r="I40" s="26"/>
    </row>
    <row r="41" spans="1:9" s="5" customFormat="1" ht="18" customHeight="1">
      <c r="A41" s="21">
        <v>34</v>
      </c>
      <c r="B41" s="11" t="s">
        <v>115</v>
      </c>
      <c r="C41" s="25"/>
      <c r="D41" s="25"/>
      <c r="E41" s="25"/>
      <c r="F41" s="25"/>
      <c r="G41" s="25"/>
      <c r="H41" s="25">
        <v>2</v>
      </c>
      <c r="I41" s="26"/>
    </row>
    <row r="42" spans="1:9" s="5" customFormat="1" ht="18" customHeight="1">
      <c r="A42" s="21">
        <v>35</v>
      </c>
      <c r="B42" s="11" t="s">
        <v>106</v>
      </c>
      <c r="C42" s="25"/>
      <c r="D42" s="25"/>
      <c r="E42" s="25"/>
      <c r="F42" s="25"/>
      <c r="G42" s="25"/>
      <c r="H42" s="25">
        <v>0</v>
      </c>
      <c r="I42" s="26"/>
    </row>
    <row r="43" spans="1:9" s="5" customFormat="1" ht="18" customHeight="1">
      <c r="A43" s="21">
        <v>36</v>
      </c>
      <c r="B43" s="11" t="s">
        <v>133</v>
      </c>
      <c r="C43" s="25"/>
      <c r="D43" s="25"/>
      <c r="E43" s="25"/>
      <c r="F43" s="25"/>
      <c r="G43" s="25"/>
      <c r="H43" s="25">
        <v>0</v>
      </c>
      <c r="I43" s="26"/>
    </row>
    <row r="44" spans="1:9" s="5" customFormat="1" ht="18" customHeight="1">
      <c r="A44" s="21">
        <v>37</v>
      </c>
      <c r="B44" s="11" t="s">
        <v>146</v>
      </c>
      <c r="C44" s="25"/>
      <c r="D44" s="25"/>
      <c r="E44" s="25"/>
      <c r="F44" s="25"/>
      <c r="G44" s="25"/>
      <c r="H44" s="25">
        <v>0</v>
      </c>
      <c r="I44" s="26"/>
    </row>
    <row r="45" spans="1:9" s="5" customFormat="1" ht="18" customHeight="1">
      <c r="A45" s="21">
        <v>38</v>
      </c>
      <c r="B45" s="11" t="s">
        <v>147</v>
      </c>
      <c r="C45" s="25"/>
      <c r="D45" s="25"/>
      <c r="E45" s="25"/>
      <c r="F45" s="25"/>
      <c r="G45" s="25"/>
      <c r="H45" s="25">
        <v>0</v>
      </c>
      <c r="I45" s="26"/>
    </row>
    <row r="46" spans="1:9" s="5" customFormat="1" ht="18" customHeight="1">
      <c r="A46" s="21">
        <v>39</v>
      </c>
      <c r="B46" s="11" t="s">
        <v>148</v>
      </c>
      <c r="C46" s="25"/>
      <c r="D46" s="25"/>
      <c r="E46" s="25"/>
      <c r="F46" s="25"/>
      <c r="G46" s="25"/>
      <c r="H46" s="25">
        <v>1</v>
      </c>
      <c r="I46" s="26"/>
    </row>
    <row r="47" spans="1:9" s="5" customFormat="1" ht="18" customHeight="1">
      <c r="A47" s="21">
        <v>40</v>
      </c>
      <c r="B47" s="11" t="s">
        <v>149</v>
      </c>
      <c r="C47" s="25"/>
      <c r="D47" s="25"/>
      <c r="E47" s="25"/>
      <c r="F47" s="25"/>
      <c r="G47" s="25"/>
      <c r="H47" s="25">
        <v>0</v>
      </c>
      <c r="I47" s="26"/>
    </row>
    <row r="48" spans="1:9" s="5" customFormat="1" ht="18" customHeight="1">
      <c r="A48" s="21">
        <v>41</v>
      </c>
      <c r="B48" s="11" t="s">
        <v>150</v>
      </c>
      <c r="C48" s="25"/>
      <c r="D48" s="25"/>
      <c r="E48" s="25"/>
      <c r="F48" s="25"/>
      <c r="G48" s="25"/>
      <c r="H48" s="25">
        <v>0</v>
      </c>
      <c r="I48" s="26"/>
    </row>
    <row r="49" spans="1:9" s="5" customFormat="1" ht="18" customHeight="1">
      <c r="A49" s="21">
        <v>42</v>
      </c>
      <c r="B49" s="11" t="s">
        <v>151</v>
      </c>
      <c r="C49" s="25"/>
      <c r="D49" s="25"/>
      <c r="E49" s="25"/>
      <c r="F49" s="25"/>
      <c r="G49" s="25"/>
      <c r="H49" s="25">
        <v>0</v>
      </c>
      <c r="I49" s="26"/>
    </row>
    <row r="50" spans="1:9" s="5" customFormat="1" ht="18" customHeight="1">
      <c r="A50" s="21">
        <v>43</v>
      </c>
      <c r="B50" s="11" t="s">
        <v>152</v>
      </c>
      <c r="C50" s="25"/>
      <c r="D50" s="25"/>
      <c r="E50" s="25"/>
      <c r="F50" s="25"/>
      <c r="G50" s="25"/>
      <c r="H50" s="25">
        <v>1</v>
      </c>
      <c r="I50" s="26"/>
    </row>
    <row r="51" spans="1:9" s="5" customFormat="1" ht="18" customHeight="1">
      <c r="A51" s="21">
        <v>44</v>
      </c>
      <c r="B51" s="11" t="s">
        <v>153</v>
      </c>
      <c r="C51" s="25"/>
      <c r="D51" s="25"/>
      <c r="E51" s="25"/>
      <c r="F51" s="25"/>
      <c r="G51" s="25"/>
      <c r="H51" s="25">
        <v>0</v>
      </c>
      <c r="I51" s="26"/>
    </row>
    <row r="52" spans="1:9" s="5" customFormat="1" ht="18" customHeight="1">
      <c r="A52" s="21">
        <v>45</v>
      </c>
      <c r="B52" s="11" t="s">
        <v>154</v>
      </c>
      <c r="C52" s="25"/>
      <c r="D52" s="25"/>
      <c r="E52" s="25"/>
      <c r="F52" s="25"/>
      <c r="G52" s="25"/>
      <c r="H52" s="25">
        <v>0</v>
      </c>
      <c r="I52" s="26"/>
    </row>
    <row r="53" spans="1:9" s="5" customFormat="1" ht="18" customHeight="1">
      <c r="A53" s="21">
        <v>46</v>
      </c>
      <c r="B53" s="11" t="s">
        <v>155</v>
      </c>
      <c r="C53" s="25">
        <v>1</v>
      </c>
      <c r="D53" s="25">
        <v>1</v>
      </c>
      <c r="E53" s="25"/>
      <c r="F53" s="25"/>
      <c r="G53" s="25"/>
      <c r="H53" s="25">
        <v>1</v>
      </c>
      <c r="I53" s="26"/>
    </row>
    <row r="54" spans="1:9" s="5" customFormat="1" ht="18" customHeight="1">
      <c r="A54" s="21">
        <v>47</v>
      </c>
      <c r="B54" s="11" t="s">
        <v>156</v>
      </c>
      <c r="C54" s="25"/>
      <c r="D54" s="25"/>
      <c r="E54" s="25"/>
      <c r="F54" s="25"/>
      <c r="G54" s="25"/>
      <c r="H54" s="25">
        <v>0</v>
      </c>
      <c r="I54" s="26"/>
    </row>
    <row r="55" spans="1:9" s="5" customFormat="1" ht="18" customHeight="1">
      <c r="A55" s="21">
        <v>48</v>
      </c>
      <c r="B55" s="11" t="s">
        <v>157</v>
      </c>
      <c r="C55" s="25"/>
      <c r="D55" s="25"/>
      <c r="E55" s="25"/>
      <c r="F55" s="25"/>
      <c r="G55" s="25"/>
      <c r="H55" s="25">
        <v>0</v>
      </c>
      <c r="I55" s="26"/>
    </row>
    <row r="56" spans="1:9" s="5" customFormat="1" ht="99">
      <c r="A56" s="23">
        <v>49</v>
      </c>
      <c r="B56" s="22" t="s">
        <v>158</v>
      </c>
      <c r="C56" s="25"/>
      <c r="D56" s="25"/>
      <c r="E56" s="25"/>
      <c r="F56" s="25"/>
      <c r="G56" s="25"/>
      <c r="H56" s="25">
        <v>2</v>
      </c>
      <c r="I56" s="24" t="s">
        <v>138</v>
      </c>
    </row>
    <row r="57" spans="1:9" s="5" customFormat="1" ht="18" customHeight="1">
      <c r="A57" s="165" t="s">
        <v>48</v>
      </c>
      <c r="B57" s="165"/>
      <c r="C57" s="19">
        <f>SUM(C8:C56)</f>
        <v>5</v>
      </c>
      <c r="D57" s="19">
        <f t="shared" ref="D57:H57" si="0">SUM(D8:D56)</f>
        <v>5</v>
      </c>
      <c r="E57" s="19">
        <f t="shared" si="0"/>
        <v>0</v>
      </c>
      <c r="F57" s="19">
        <f t="shared" si="0"/>
        <v>0</v>
      </c>
      <c r="G57" s="19">
        <f t="shared" si="0"/>
        <v>0</v>
      </c>
      <c r="H57" s="19">
        <f t="shared" si="0"/>
        <v>177</v>
      </c>
      <c r="I57" s="26"/>
    </row>
    <row r="58" spans="1:9" s="7" customFormat="1" ht="15.75">
      <c r="A58" s="2"/>
      <c r="B58" s="2"/>
      <c r="C58" s="6"/>
      <c r="D58" s="3"/>
      <c r="E58" s="3"/>
      <c r="F58" s="6"/>
      <c r="G58" s="6"/>
      <c r="H58" s="6"/>
    </row>
    <row r="59" spans="1:9" s="7" customFormat="1" ht="15.75">
      <c r="A59" s="4"/>
      <c r="B59" s="4" t="s">
        <v>49</v>
      </c>
      <c r="C59" s="4"/>
      <c r="D59" s="6"/>
      <c r="E59" s="166" t="s">
        <v>161</v>
      </c>
      <c r="F59" s="157"/>
      <c r="G59" s="157"/>
      <c r="H59" s="157"/>
      <c r="I59" s="157"/>
    </row>
    <row r="60" spans="1:9" s="7" customFormat="1" ht="20.25" customHeight="1">
      <c r="A60" s="6"/>
      <c r="B60" s="1" t="s">
        <v>132</v>
      </c>
      <c r="C60" s="6"/>
      <c r="D60" s="9"/>
      <c r="E60" s="164" t="s">
        <v>131</v>
      </c>
      <c r="F60" s="164"/>
      <c r="G60" s="164"/>
      <c r="H60" s="164"/>
      <c r="I60" s="164"/>
    </row>
  </sheetData>
  <mergeCells count="15">
    <mergeCell ref="E60:I60"/>
    <mergeCell ref="B6:B7"/>
    <mergeCell ref="C6:F6"/>
    <mergeCell ref="G6:H6"/>
    <mergeCell ref="I6:I7"/>
    <mergeCell ref="A57:B57"/>
    <mergeCell ref="E59:I59"/>
    <mergeCell ref="A4:I4"/>
    <mergeCell ref="A5:I5"/>
    <mergeCell ref="A6:A7"/>
    <mergeCell ref="A1:D1"/>
    <mergeCell ref="E1:I1"/>
    <mergeCell ref="A2:D2"/>
    <mergeCell ref="E2:I2"/>
    <mergeCell ref="A3:D3"/>
  </mergeCells>
  <pageMargins left="0.7" right="0.7" top="0.75" bottom="0.75" header="0.3" footer="0.3"/>
  <pageSetup paperSize="9" scale="8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Mẫu</vt:lpstr>
      <vt:lpstr>BC BKL</vt:lpstr>
      <vt:lpstr>Ung Thư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Đức Hồng</cp:lastModifiedBy>
  <cp:lastPrinted>2026-06-09T01:57:40Z</cp:lastPrinted>
  <dcterms:created xsi:type="dcterms:W3CDTF">2006-09-16T00:00:00Z</dcterms:created>
  <dcterms:modified xsi:type="dcterms:W3CDTF">2026-06-10T05:07:04Z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E6B9B0FB044E435E83F548F3F443CCCB</vt:lpwstr>
  </property>
  <property fmtid="{D5CDD505-2E9C-101B-9397-08002B2CF9AE}" pid="3" name="KSOProductBuildVer">
    <vt:lpwstr>1033-11.2.0.11537</vt:lpwstr>
  </property>
</Properties>
</file>