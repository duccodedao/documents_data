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390" windowHeight="7380"/>
  </bookViews>
  <sheets>
    <sheet name="BC BKL" sheetId="10" r:id="rId1"/>
    <sheet name="Ung Thư" sheetId="7" r:id="rId2"/>
  </sheets>
  <calcPr calcId="145621"/>
</workbook>
</file>

<file path=xl/calcChain.xml><?xml version="1.0" encoding="utf-8"?>
<calcChain xmlns="http://schemas.openxmlformats.org/spreadsheetml/2006/main">
  <c r="W57" i="10" l="1"/>
  <c r="W70" i="10"/>
  <c r="V70" i="10"/>
  <c r="U70" i="10"/>
  <c r="T70" i="10"/>
  <c r="S70" i="10"/>
  <c r="V63" i="10"/>
  <c r="V62" i="10"/>
  <c r="V61" i="10"/>
  <c r="V49" i="10"/>
  <c r="V48" i="10"/>
  <c r="V47" i="10"/>
  <c r="V33" i="10"/>
  <c r="V34" i="10"/>
  <c r="V35" i="10"/>
  <c r="V32" i="10"/>
  <c r="U63" i="10"/>
  <c r="U62" i="10"/>
  <c r="U61" i="10"/>
  <c r="U49" i="10"/>
  <c r="U48" i="10"/>
  <c r="U47" i="10"/>
  <c r="U33" i="10"/>
  <c r="U34" i="10"/>
  <c r="U35" i="10"/>
  <c r="T32" i="10"/>
  <c r="U32" i="10"/>
  <c r="U24" i="10"/>
  <c r="W14" i="10"/>
  <c r="T63" i="10"/>
  <c r="T62" i="10"/>
  <c r="T61" i="10"/>
  <c r="T49" i="10"/>
  <c r="T48" i="10"/>
  <c r="T47" i="10"/>
  <c r="T33" i="10"/>
  <c r="T34" i="10"/>
  <c r="T35" i="10"/>
  <c r="S33" i="10"/>
  <c r="S34" i="10"/>
  <c r="S35" i="10"/>
  <c r="S32" i="10"/>
  <c r="S63" i="10"/>
  <c r="S62" i="10"/>
  <c r="S61" i="10"/>
  <c r="S48" i="10"/>
  <c r="S49" i="10"/>
  <c r="S47" i="10"/>
  <c r="W67" i="10"/>
  <c r="W68" i="10"/>
  <c r="W69" i="10"/>
  <c r="W66" i="10"/>
  <c r="W52" i="10"/>
  <c r="W53" i="10"/>
  <c r="W54" i="10"/>
  <c r="W55" i="10"/>
  <c r="W56" i="10"/>
  <c r="W58" i="10"/>
  <c r="W59" i="10"/>
  <c r="W51" i="10"/>
  <c r="W39" i="10"/>
  <c r="W40" i="10"/>
  <c r="W41" i="10"/>
  <c r="W42" i="10"/>
  <c r="W43" i="10"/>
  <c r="W44" i="10"/>
  <c r="W45" i="10"/>
  <c r="W3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18" i="10"/>
  <c r="W7" i="10"/>
  <c r="W8" i="10"/>
  <c r="W9" i="10"/>
  <c r="W10" i="10"/>
  <c r="W11" i="10"/>
  <c r="S67" i="10"/>
  <c r="T67" i="10"/>
  <c r="U67" i="10"/>
  <c r="V67" i="10"/>
  <c r="S68" i="10"/>
  <c r="T68" i="10"/>
  <c r="U68" i="10"/>
  <c r="V68" i="10"/>
  <c r="S69" i="10"/>
  <c r="T69" i="10"/>
  <c r="U69" i="10"/>
  <c r="V69" i="10"/>
  <c r="V66" i="10"/>
  <c r="U66" i="10"/>
  <c r="T66" i="10"/>
  <c r="S66" i="10"/>
  <c r="T58" i="10"/>
  <c r="U58" i="10"/>
  <c r="V58" i="10"/>
  <c r="T59" i="10"/>
  <c r="U59" i="10"/>
  <c r="V59" i="10"/>
  <c r="V57" i="10"/>
  <c r="U57" i="10"/>
  <c r="T57" i="10"/>
  <c r="T54" i="10"/>
  <c r="U54" i="10"/>
  <c r="V54" i="10"/>
  <c r="T55" i="10"/>
  <c r="U55" i="10"/>
  <c r="V55" i="10"/>
  <c r="V53" i="10"/>
  <c r="U53" i="10"/>
  <c r="T53" i="10"/>
  <c r="V51" i="10"/>
  <c r="U51" i="10"/>
  <c r="T51" i="10"/>
  <c r="T43" i="10"/>
  <c r="U43" i="10"/>
  <c r="V43" i="10"/>
  <c r="T44" i="10"/>
  <c r="U44" i="10"/>
  <c r="V44" i="10"/>
  <c r="T45" i="10"/>
  <c r="U45" i="10"/>
  <c r="V45" i="10"/>
  <c r="S40" i="10"/>
  <c r="T40" i="10"/>
  <c r="U40" i="10"/>
  <c r="V40" i="10"/>
  <c r="S41" i="10"/>
  <c r="T41" i="10"/>
  <c r="U41" i="10"/>
  <c r="V41" i="10"/>
  <c r="S42" i="10"/>
  <c r="T42" i="10"/>
  <c r="U42" i="10"/>
  <c r="V42" i="10"/>
  <c r="V39" i="10"/>
  <c r="U39" i="10"/>
  <c r="T39" i="10"/>
  <c r="S39" i="10"/>
  <c r="T29" i="10"/>
  <c r="U29" i="10"/>
  <c r="V29" i="10"/>
  <c r="T30" i="10"/>
  <c r="U30" i="10"/>
  <c r="V30" i="10"/>
  <c r="V28" i="10"/>
  <c r="U28" i="10"/>
  <c r="T28" i="10"/>
  <c r="T24" i="10"/>
  <c r="V24" i="10"/>
  <c r="T25" i="10"/>
  <c r="U25" i="10"/>
  <c r="V25" i="10"/>
  <c r="T26" i="10"/>
  <c r="U26" i="10"/>
  <c r="V26" i="10"/>
  <c r="V23" i="10"/>
  <c r="U23" i="10"/>
  <c r="T23" i="10"/>
  <c r="T20" i="10"/>
  <c r="U20" i="10"/>
  <c r="V20" i="10"/>
  <c r="T21" i="10"/>
  <c r="U21" i="10"/>
  <c r="V21" i="10"/>
  <c r="V19" i="10"/>
  <c r="U19" i="10"/>
  <c r="T19" i="10"/>
  <c r="V15" i="10"/>
  <c r="U15" i="10"/>
  <c r="T15" i="10"/>
  <c r="W15" i="10" s="1"/>
  <c r="V14" i="10"/>
  <c r="U14" i="10"/>
  <c r="T14" i="10"/>
  <c r="T8" i="10"/>
  <c r="U8" i="10"/>
  <c r="V8" i="10"/>
  <c r="T9" i="10"/>
  <c r="U9" i="10"/>
  <c r="V9" i="10"/>
  <c r="T10" i="10"/>
  <c r="U10" i="10"/>
  <c r="V10" i="10"/>
  <c r="T11" i="10"/>
  <c r="U11" i="10"/>
  <c r="V11" i="10"/>
  <c r="V7" i="10"/>
  <c r="U7" i="10"/>
  <c r="T7" i="10"/>
  <c r="S7" i="10"/>
  <c r="S58" i="10"/>
  <c r="S59" i="10"/>
  <c r="S57" i="10"/>
  <c r="S54" i="10"/>
  <c r="S55" i="10"/>
  <c r="S53" i="10"/>
  <c r="S51" i="10"/>
  <c r="S44" i="10"/>
  <c r="S45" i="10"/>
  <c r="S43" i="10"/>
  <c r="S29" i="10"/>
  <c r="S30" i="10"/>
  <c r="S28" i="10"/>
  <c r="S24" i="10"/>
  <c r="S25" i="10"/>
  <c r="S26" i="10"/>
  <c r="S23" i="10"/>
  <c r="S20" i="10"/>
  <c r="S21" i="10"/>
  <c r="S19" i="10"/>
  <c r="S15" i="10"/>
  <c r="S14" i="10"/>
  <c r="S8" i="10"/>
  <c r="S9" i="10"/>
  <c r="S10" i="10"/>
  <c r="S11" i="10"/>
  <c r="K52" i="10"/>
  <c r="K46" i="10"/>
  <c r="K42" i="10"/>
  <c r="K38" i="10"/>
  <c r="K31" i="10"/>
  <c r="K27" i="10"/>
  <c r="K22" i="10"/>
  <c r="K18" i="10"/>
  <c r="J52" i="10" l="1"/>
  <c r="J46" i="10"/>
  <c r="J42" i="10"/>
  <c r="J38" i="10"/>
  <c r="J31" i="10"/>
  <c r="J27" i="10"/>
  <c r="J22" i="10"/>
  <c r="J18" i="10"/>
  <c r="I52" i="10" l="1"/>
  <c r="I46" i="10"/>
  <c r="I42" i="10"/>
  <c r="I38" i="10"/>
  <c r="I31" i="10"/>
  <c r="I27" i="10"/>
  <c r="I22" i="10"/>
  <c r="I18" i="10"/>
  <c r="H52" i="10" l="1"/>
  <c r="H46" i="10"/>
  <c r="H42" i="10"/>
  <c r="H38" i="10"/>
  <c r="H31" i="10"/>
  <c r="H27" i="10"/>
  <c r="H22" i="10"/>
  <c r="H18" i="10"/>
  <c r="V52" i="10" l="1"/>
  <c r="V38" i="10"/>
  <c r="V27" i="10"/>
  <c r="V22" i="10"/>
  <c r="V18" i="10"/>
  <c r="U52" i="10"/>
  <c r="U38" i="10"/>
  <c r="U27" i="10"/>
  <c r="U22" i="10"/>
  <c r="U18" i="10"/>
  <c r="T52" i="10"/>
  <c r="T38" i="10"/>
  <c r="T27" i="10"/>
  <c r="T22" i="10"/>
  <c r="T18" i="10"/>
  <c r="R52" i="10"/>
  <c r="R46" i="10"/>
  <c r="R42" i="10"/>
  <c r="R38" i="10"/>
  <c r="R31" i="10"/>
  <c r="R27" i="10"/>
  <c r="R22" i="10"/>
  <c r="R18" i="10"/>
  <c r="Q52" i="10"/>
  <c r="Q46" i="10"/>
  <c r="Q42" i="10"/>
  <c r="Q38" i="10"/>
  <c r="Q31" i="10"/>
  <c r="Q27" i="10"/>
  <c r="Q22" i="10"/>
  <c r="Q18" i="10"/>
  <c r="P52" i="10"/>
  <c r="P46" i="10"/>
  <c r="P42" i="10"/>
  <c r="P38" i="10"/>
  <c r="P31" i="10"/>
  <c r="P27" i="10"/>
  <c r="P22" i="10"/>
  <c r="P18" i="10"/>
  <c r="O52" i="10"/>
  <c r="O46" i="10"/>
  <c r="O42" i="10"/>
  <c r="O38" i="10"/>
  <c r="O31" i="10"/>
  <c r="O27" i="10"/>
  <c r="O22" i="10"/>
  <c r="O18" i="10"/>
  <c r="N52" i="10"/>
  <c r="N46" i="10"/>
  <c r="N42" i="10"/>
  <c r="N38" i="10"/>
  <c r="N31" i="10"/>
  <c r="N27" i="10"/>
  <c r="N22" i="10"/>
  <c r="N18" i="10"/>
  <c r="M52" i="10"/>
  <c r="M46" i="10"/>
  <c r="M42" i="10"/>
  <c r="M38" i="10"/>
  <c r="M31" i="10"/>
  <c r="M27" i="10"/>
  <c r="M22" i="10"/>
  <c r="M18" i="10"/>
  <c r="L52" i="10"/>
  <c r="L46" i="10"/>
  <c r="L42" i="10"/>
  <c r="L38" i="10"/>
  <c r="L31" i="10"/>
  <c r="L27" i="10"/>
  <c r="L22" i="10"/>
  <c r="L18" i="10"/>
  <c r="S52" i="10"/>
  <c r="S38" i="10"/>
  <c r="S27" i="10"/>
  <c r="S22" i="10"/>
  <c r="S18" i="10"/>
  <c r="D57" i="7" l="1"/>
  <c r="E57" i="7"/>
  <c r="F57" i="7"/>
  <c r="G57" i="7"/>
  <c r="H57" i="7"/>
  <c r="C57" i="7"/>
  <c r="G52" i="10" l="1"/>
  <c r="G46" i="10"/>
  <c r="G42" i="10"/>
  <c r="G38" i="10"/>
  <c r="G31" i="10"/>
  <c r="G27" i="10"/>
  <c r="G22" i="10"/>
  <c r="G18" i="10"/>
</calcChain>
</file>

<file path=xl/sharedStrings.xml><?xml version="1.0" encoding="utf-8"?>
<sst xmlns="http://schemas.openxmlformats.org/spreadsheetml/2006/main" count="266" uniqueCount="183">
  <si>
    <t>TT</t>
  </si>
  <si>
    <t>Nội Dung</t>
  </si>
  <si>
    <t>Cộng dồn</t>
  </si>
  <si>
    <t>Số bệnh nhân THA không tiếp tục tham gia điều trị</t>
  </si>
  <si>
    <t>Nội dung</t>
  </si>
  <si>
    <t>1.1</t>
  </si>
  <si>
    <t>1.2</t>
  </si>
  <si>
    <t>5.1</t>
  </si>
  <si>
    <t>5.2</t>
  </si>
  <si>
    <t>Số người được sàng lọc các bệnh ung thư</t>
  </si>
  <si>
    <t>Số người được kiểm tra sức khỏe định kỳ</t>
  </si>
  <si>
    <t>Tổng số BN tiền ĐTĐ được phát hiện trong tháng</t>
  </si>
  <si>
    <t>Số bệnh nhân Ung thư không tiếp tục tham gia điều trị</t>
  </si>
  <si>
    <t>2. Hoạt động truyền thông về bệnh không lây nhiễm:</t>
  </si>
  <si>
    <t>Số lượng</t>
  </si>
  <si>
    <t>3. Phòng, chống Tăng huyết áp (THA):</t>
  </si>
  <si>
    <t>CỘNG HÒA XÃ HỘI CHỦ NGHĨA VIỆT NAM</t>
  </si>
  <si>
    <t>Tổng số BN ĐTĐ không tiếp tục tham gia điều trị</t>
  </si>
  <si>
    <t>Tổng số bệnh nhân Ung thư được quản lý hiện tại</t>
  </si>
  <si>
    <t>Số ca tử vong do Ung thư</t>
  </si>
  <si>
    <t>Số ca tử vong do bệnh ĐTĐ</t>
  </si>
  <si>
    <t>Số ca tử vong do bệnh THA</t>
  </si>
  <si>
    <t>Tổng số bệnh nhân THA được phát hiện mới trong tháng</t>
  </si>
  <si>
    <t>Tổng số BN ĐTĐ được phát hiện mới trong tháng</t>
  </si>
  <si>
    <t>Tổng số bệnh nhân Ung thư được phát hiện mới trong tháng</t>
  </si>
  <si>
    <t>Tổng số bệnh nhân THA cũ quay lại điều trị</t>
  </si>
  <si>
    <t>Tổng số bệnh nhân ĐTĐ cũ quay lại điều trị</t>
  </si>
  <si>
    <t>Tổng số bệnh nhân Ung thư cũ quay lại điều trị</t>
  </si>
  <si>
    <t xml:space="preserve">     Độc lập - Tự do - Hạnh phúc</t>
  </si>
  <si>
    <t>BÁO CÁO 
CHƯƠNG TRÌNH PHÒNG CHỐNG BỆNH UNG THƯ</t>
  </si>
  <si>
    <t>Tên Bệnh</t>
  </si>
  <si>
    <t>Kết quả thực hiện trong năm</t>
  </si>
  <si>
    <t>Quản lý BN</t>
  </si>
  <si>
    <t>Ghi Chú</t>
  </si>
  <si>
    <t>Số Mắc</t>
  </si>
  <si>
    <t>Mắc 
Tích Lũy</t>
  </si>
  <si>
    <t>Số Chết</t>
  </si>
  <si>
    <t>Chết 
Tích Lũy</t>
  </si>
  <si>
    <t>Không tiếp tục điều trị</t>
  </si>
  <si>
    <t>Quản lý 
hiện tại</t>
  </si>
  <si>
    <t>K Vú</t>
  </si>
  <si>
    <t>K Phổi</t>
  </si>
  <si>
    <t>K Gan</t>
  </si>
  <si>
    <t>K Dạ Dày</t>
  </si>
  <si>
    <t>K Hạch</t>
  </si>
  <si>
    <t>K Máu</t>
  </si>
  <si>
    <t>K Bàng Quang</t>
  </si>
  <si>
    <t>K Thận</t>
  </si>
  <si>
    <t>TỔNG CỘNG</t>
  </si>
  <si>
    <t xml:space="preserve">               </t>
  </si>
  <si>
    <t>STT</t>
  </si>
  <si>
    <t>4. Phòng, chống Đái tháo đường (ĐTĐ):</t>
  </si>
  <si>
    <t>1. Hoạt động sàng lọc, kiểm tra sức khỏe một số bệnh không lây nhiễm:</t>
  </si>
  <si>
    <t>Số người ≥ 40 tuổi được đo huyết áp</t>
  </si>
  <si>
    <t>Số người ≥ 40 tuổi được xét nghiệm đường máu</t>
  </si>
  <si>
    <t>Số người ≥ 40 tuổi được sàng lọc đái tháo đường bằng bộ câu hỏi</t>
  </si>
  <si>
    <t>Tổng số bệnh nhân THA được quản lý hiện tại</t>
  </si>
  <si>
    <t>Số bệnh nhân THA điều trị đạt huyết áp mục tiêu</t>
  </si>
  <si>
    <t>Tổng số BN ĐTĐ được quản lý hiện tại</t>
  </si>
  <si>
    <t>Số BN ĐTĐ điều trị duy trì ổn định</t>
  </si>
  <si>
    <t>Tổng số BN tiền ĐTĐ được quản lý hiện tại</t>
  </si>
  <si>
    <t>Loại tài liệu/hình thức truyền thông</t>
  </si>
  <si>
    <t>Nội dung/chủ đề</t>
  </si>
  <si>
    <t>Tổng số bệnh nhân THA cũ quay lại điều trị tại TYT</t>
  </si>
  <si>
    <t>Tổng số bệnh nhân THA cũ quay lại điều trị tại TTYT</t>
  </si>
  <si>
    <t>Tổng số bệnh nhân THA cũ quay lại điều trị tại CSYT khác</t>
  </si>
  <si>
    <t>Số bệnh nhân THA không tiếp tục tham gia điều trị tại TYT</t>
  </si>
  <si>
    <t>1.3</t>
  </si>
  <si>
    <t>2.1</t>
  </si>
  <si>
    <t>2.2</t>
  </si>
  <si>
    <t>2.3</t>
  </si>
  <si>
    <t>4.1</t>
  </si>
  <si>
    <t>4.2</t>
  </si>
  <si>
    <t>4.3</t>
  </si>
  <si>
    <t>3.1</t>
  </si>
  <si>
    <t>3.2</t>
  </si>
  <si>
    <t>3.3</t>
  </si>
  <si>
    <t>Tổng số bệnh nhân THA được quản lý hiện tại ở TYT</t>
  </si>
  <si>
    <t>Tổng số bệnh nhân THA được quản lý hiện tại ở TTYT</t>
  </si>
  <si>
    <t>5.3</t>
  </si>
  <si>
    <t>Tổng số BN ĐTĐ được phát hiện mới trong tháng tại TYT</t>
  </si>
  <si>
    <t>Tổng số BN ĐTĐ được phát hiện mới trong tháng tại TTYT</t>
  </si>
  <si>
    <t>Tổng số bệnh nhân ĐTĐ cũ quay lại điều trị tại TYT</t>
  </si>
  <si>
    <t>Tổng số bệnh nhân ĐTĐ cũ quay lại điều trị tại TTYT</t>
  </si>
  <si>
    <t>Tổng số bệnh nhân ĐTĐ cũ quay lại điều trị tại CSYT khác</t>
  </si>
  <si>
    <t>Tổng số BN ĐTĐ được quản lý hiện tại ở TYT</t>
  </si>
  <si>
    <t>Tổng số BN ĐTĐ được quản lý hiện tại ở TTYT</t>
  </si>
  <si>
    <t>Tổng số BN ĐTĐ được quản lý hiện tại ở CSYT khác</t>
  </si>
  <si>
    <t>Tổng số BN ĐTĐ không tiếp tục tham gia điều trị tại TYT</t>
  </si>
  <si>
    <t>Tổng số BN ĐTĐ không tiếp tục tham gia điều trị tại TTYT</t>
  </si>
  <si>
    <t>Tổng số BN ĐTĐ không tiếp tục tham gia điều trị tại 
CSYT khác</t>
  </si>
  <si>
    <t>Tổng số BN tiền ĐTĐ được phát hiện trong tháng tại TYT</t>
  </si>
  <si>
    <t>Tổng số BN tiền ĐTĐ được phát hiện trong tháng tại TTYT</t>
  </si>
  <si>
    <t>Tổng số BN tiền ĐTĐ được phát hiện trong tháng tại 
CSYT khác</t>
  </si>
  <si>
    <t>Tổng số BN tiền ĐTĐ được quản lý hiện tại ở TYT</t>
  </si>
  <si>
    <t>Tổng số BN tiền ĐTĐ được quản lý hiện tại ở TTYT</t>
  </si>
  <si>
    <t>Tổng số BN tiền ĐTĐ được quản lý hiện tại ở CSYT khác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</si>
  <si>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</si>
  <si>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</si>
  <si>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</si>
  <si>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</si>
  <si>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</si>
  <si>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</si>
  <si>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</si>
  <si>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</si>
  <si>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</si>
  <si>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K Đầu tụy</t>
  </si>
  <si>
    <t>K Thực quản</t>
  </si>
  <si>
    <t>K Xương</t>
  </si>
  <si>
    <t>K Cổ tử cung</t>
  </si>
  <si>
    <t>K Trực tràng</t>
  </si>
  <si>
    <t>K Vòm họng</t>
  </si>
  <si>
    <t xml:space="preserve">K Hầu họng </t>
  </si>
  <si>
    <t>K Tuyến giáp</t>
  </si>
  <si>
    <t>K Ruột</t>
  </si>
  <si>
    <t>K Buồng trứng</t>
  </si>
  <si>
    <t>K Não</t>
  </si>
  <si>
    <t>K Xoang hàm</t>
  </si>
  <si>
    <t>K Võng mạc</t>
  </si>
  <si>
    <t>K Tuyến mang tai</t>
  </si>
  <si>
    <t>K Tuyến tiền liệt</t>
  </si>
  <si>
    <t>K Da</t>
  </si>
  <si>
    <t>K Mũi</t>
  </si>
  <si>
    <t>K Manh tràng</t>
  </si>
  <si>
    <t>K Hầu mũi</t>
  </si>
  <si>
    <t>K Thanh quản</t>
  </si>
  <si>
    <t>K Bóng vater</t>
  </si>
  <si>
    <t>K Tá tràng</t>
  </si>
  <si>
    <t>K Hồi tràng</t>
  </si>
  <si>
    <t>K Tinh hoàn</t>
  </si>
  <si>
    <t>K Đại tràng</t>
  </si>
  <si>
    <t>K Dương vật</t>
  </si>
  <si>
    <t>K Lưỡi</t>
  </si>
  <si>
    <t>NGƯỜI BÁO CÁO</t>
  </si>
  <si>
    <t>TRẠM Y TẾ</t>
  </si>
  <si>
    <t>K Túi mật</t>
  </si>
  <si>
    <t xml:space="preserve"> Phát loa</t>
  </si>
  <si>
    <t>Phòng chống bệnh tăng huyết áp</t>
  </si>
  <si>
    <t>Phòng chống bệnh đái tháo đường</t>
  </si>
  <si>
    <t>TYT PHƯỜNG HIỆP THÀNH</t>
  </si>
  <si>
    <t xml:space="preserve">- TD Ung thư mô liên kết Kaposi của vòm khẩu cái bội 
- U ác của mô liên kết và mềm của đầu, mặt và cổ </t>
  </si>
  <si>
    <t>Số bệnh nhân THA không tiếp tục tham gia điều trị tại TTYT</t>
  </si>
  <si>
    <t>Số bệnh nhân THA không tiếp tục tham gia điều trị tại CSYT khác</t>
  </si>
  <si>
    <t>Tổng số bệnh nhân THA được quản lý hiện tại ở CSYT khác</t>
  </si>
  <si>
    <t>Tổng số bệnh nhân THA được phát hiện mới trong tháng tại TYT</t>
  </si>
  <si>
    <t>Tổng số bệnh nhân THA được phát hiện mới trong tháng tại TTYT</t>
  </si>
  <si>
    <t>Tổng số bệnh nhân THA được phát hiện mới trong tháng tại CSYT khác</t>
  </si>
  <si>
    <t>Tổng số BN ĐTĐ được phát hiện mới trong tháng tại CSYT khác</t>
  </si>
  <si>
    <t>K âm hộ</t>
  </si>
  <si>
    <t>K hậu môn</t>
  </si>
  <si>
    <t>K tuyến ức</t>
  </si>
  <si>
    <t>K khâủ cái</t>
  </si>
  <si>
    <t>K phúc mạc</t>
  </si>
  <si>
    <t>K nướu hàm dưới</t>
  </si>
  <si>
    <t>K hỗng tràng</t>
  </si>
  <si>
    <t>K đường mật</t>
  </si>
  <si>
    <t>K mô liên kết Đầu-mặt-cổ</t>
  </si>
  <si>
    <t>K màng phổi</t>
  </si>
  <si>
    <t>K thanh môn</t>
  </si>
  <si>
    <t>k niệu quản</t>
  </si>
  <si>
    <t xml:space="preserve">K khác </t>
  </si>
  <si>
    <t>Báo cáo tháng 01 năm 2026</t>
  </si>
  <si>
    <t>UBND PHƯƠNG HIỆP THÀNH</t>
  </si>
  <si>
    <t>Phường Hiệp Thành, ngày 28 tháng 01 năm 2026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</si>
  <si>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</si>
  <si>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</si>
  <si>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</si>
  <si>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</si>
  <si>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</si>
  <si>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</si>
  <si>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</si>
  <si>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</si>
  <si>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</si>
  <si>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</si>
  <si>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</si>
  <si>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</si>
  <si>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Qúy I</t>
  </si>
  <si>
    <t>Qúy II</t>
  </si>
  <si>
    <r>
      <t xml:space="preserve">5. Phòng, chống Ung thư: </t>
    </r>
    <r>
      <rPr>
        <b/>
        <i/>
        <sz val="13"/>
        <color theme="1" tint="4.9989318521683403E-2"/>
        <rFont val="Times New Roman"/>
        <family val="1"/>
      </rPr>
      <t>(phụ lục báo cáo từng loại bệnh kèm theo)</t>
    </r>
  </si>
  <si>
    <t>UBND PHƯỜNG HIỆP THÀNH</t>
  </si>
  <si>
    <t>BÁO CÁO THÔNG KẾ HOẠT ĐỘNG BỆNH KHÔNG LÂY NHIỄM THÁNG NĂM 2026</t>
  </si>
  <si>
    <t>Qúy III</t>
  </si>
  <si>
    <t>Qúy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</si>
</sst>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VNI-Times"/>
    </font>
    <font>
      <b/>
      <sz val="13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2"/>
      <color indexed="8"/>
      <name val="Times New Roman"/>
      <family val="1"/>
    </font>
    <font>
      <sz val="13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12"/>
      <color rgb="FFFF0000"/>
      <name val="Times New Roman"/>
      <family val="1"/>
    </font>
    <font>
      <sz val="13"/>
      <color rgb="FFFF0000"/>
      <name val="Times New Roman"/>
      <family val="1"/>
    </font>
    <font>
      <sz val="12"/>
      <color theme="1" tint="4.9989318521683403E-2"/>
      <name val="Times New Roman"/>
      <family val="1"/>
    </font>
    <font>
      <sz val="13"/>
      <color theme="1" tint="4.9989318521683403E-2"/>
      <name val="Times New Roman"/>
      <family val="1"/>
    </font>
    <font>
      <b/>
      <i/>
      <sz val="12"/>
      <color theme="1" tint="4.9989318521683403E-2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b/>
      <i/>
      <sz val="13"/>
      <color theme="1" tint="4.9989318521683403E-2"/>
      <name val="Times New Roman"/>
      <family val="1"/>
    </font>
    <font>
      <i/>
      <sz val="13"/>
      <color theme="1" tint="4.9989318521683403E-2"/>
      <name val="Times New Roman"/>
      <family val="1"/>
    </font>
    <font>
      <b/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 style="thin">
        <color auto="1"/>
      </right>
      <top style="thin">
        <color indexed="64"/>
      </top>
      <bottom style="thick">
        <color auto="1"/>
      </bottom>
      <diagonal/>
    </border>
  </borders>
  <cellStyleXfs count="7">
    <xf numFmtId="0" fontId="0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4" fillId="0" borderId="0"/>
  </cellStyleXfs>
  <cellXfs count="111">
    <xf numFmtId="0" fontId="0" fillId="0" borderId="0" xfId="0"/>
    <xf numFmtId="0" fontId="1" fillId="0" borderId="0" xfId="2" applyFont="1" applyAlignment="1">
      <alignment horizontal="center" vertical="center"/>
    </xf>
    <xf numFmtId="0" fontId="9" fillId="0" borderId="0" xfId="2" applyFont="1"/>
    <xf numFmtId="0" fontId="10" fillId="0" borderId="0" xfId="2" applyFont="1"/>
    <xf numFmtId="0" fontId="1" fillId="0" borderId="0" xfId="2" applyFont="1"/>
    <xf numFmtId="0" fontId="11" fillId="0" borderId="0" xfId="0" applyFont="1"/>
    <xf numFmtId="0" fontId="2" fillId="0" borderId="0" xfId="2" applyFont="1"/>
    <xf numFmtId="0" fontId="3" fillId="0" borderId="0" xfId="0" applyFont="1"/>
    <xf numFmtId="0" fontId="13" fillId="0" borderId="0" xfId="0" applyFont="1"/>
    <xf numFmtId="0" fontId="1" fillId="0" borderId="0" xfId="2" applyFont="1" applyAlignment="1"/>
    <xf numFmtId="0" fontId="11" fillId="0" borderId="2" xfId="0" applyFont="1" applyBorder="1"/>
    <xf numFmtId="0" fontId="6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4" fillId="0" borderId="2" xfId="2" applyFont="1" applyBorder="1" applyAlignment="1">
      <alignment horizontal="center" vertical="center"/>
    </xf>
    <xf numFmtId="0" fontId="11" fillId="0" borderId="2" xfId="0" quotePrefix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1" fillId="0" borderId="0" xfId="2" applyFont="1" applyAlignment="1">
      <alignment horizontal="center" wrapText="1"/>
    </xf>
    <xf numFmtId="0" fontId="1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6" fillId="0" borderId="2" xfId="2" applyFont="1" applyBorder="1" applyAlignment="1">
      <alignment horizontal="center" vertical="center"/>
    </xf>
    <xf numFmtId="0" fontId="1" fillId="0" borderId="0" xfId="2" applyFont="1" applyAlignment="1">
      <alignment horizontal="center" vertical="top"/>
    </xf>
    <xf numFmtId="0" fontId="6" fillId="0" borderId="2" xfId="2" applyFont="1" applyBorder="1" applyAlignment="1">
      <alignment horizontal="center"/>
    </xf>
    <xf numFmtId="0" fontId="7" fillId="0" borderId="0" xfId="2" applyFont="1" applyAlignment="1">
      <alignment horizontal="center"/>
    </xf>
    <xf numFmtId="1" fontId="16" fillId="0" borderId="2" xfId="1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1" fontId="18" fillId="0" borderId="2" xfId="1" applyNumberFormat="1" applyFont="1" applyFill="1" applyBorder="1" applyAlignment="1">
      <alignment horizontal="center" vertical="center"/>
    </xf>
    <xf numFmtId="1" fontId="18" fillId="0" borderId="8" xfId="1" applyNumberFormat="1" applyFont="1" applyFill="1" applyBorder="1" applyAlignment="1">
      <alignment horizontal="center" vertical="center"/>
    </xf>
    <xf numFmtId="1" fontId="18" fillId="0" borderId="2" xfId="0" applyNumberFormat="1" applyFont="1" applyFill="1" applyBorder="1" applyAlignment="1">
      <alignment horizontal="center" vertical="center"/>
    </xf>
    <xf numFmtId="1" fontId="18" fillId="0" borderId="8" xfId="0" applyNumberFormat="1" applyFont="1" applyFill="1" applyBorder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20" fillId="0" borderId="0" xfId="2" applyFont="1" applyFill="1" applyAlignment="1">
      <alignment horizontal="center"/>
    </xf>
    <xf numFmtId="0" fontId="20" fillId="0" borderId="0" xfId="2" applyFont="1" applyFill="1" applyAlignment="1"/>
    <xf numFmtId="0" fontId="20" fillId="0" borderId="0" xfId="2" applyFont="1" applyFill="1" applyAlignment="1">
      <alignment horizontal="center" vertical="center"/>
    </xf>
    <xf numFmtId="0" fontId="21" fillId="0" borderId="0" xfId="2" applyFont="1" applyFill="1" applyAlignment="1">
      <alignment horizontal="center"/>
    </xf>
    <xf numFmtId="0" fontId="21" fillId="0" borderId="0" xfId="2" applyFont="1" applyFill="1" applyAlignment="1"/>
    <xf numFmtId="0" fontId="20" fillId="0" borderId="0" xfId="2" applyFont="1" applyFill="1" applyAlignment="1">
      <alignment vertical="center"/>
    </xf>
    <xf numFmtId="0" fontId="17" fillId="0" borderId="0" xfId="2" applyFont="1" applyFill="1"/>
    <xf numFmtId="0" fontId="19" fillId="0" borderId="0" xfId="0" applyFont="1" applyFill="1" applyAlignment="1">
      <alignment horizontal="center" vertical="center"/>
    </xf>
    <xf numFmtId="0" fontId="20" fillId="0" borderId="0" xfId="5" applyFont="1" applyFill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20" fillId="0" borderId="1" xfId="3" applyFont="1" applyFill="1" applyBorder="1" applyAlignment="1">
      <alignment horizontal="left" vertical="center"/>
    </xf>
    <xf numFmtId="0" fontId="20" fillId="2" borderId="2" xfId="3" applyFont="1" applyFill="1" applyBorder="1" applyAlignment="1">
      <alignment horizontal="center" vertical="center"/>
    </xf>
    <xf numFmtId="0" fontId="20" fillId="2" borderId="3" xfId="3" applyFont="1" applyFill="1" applyBorder="1" applyAlignment="1">
      <alignment horizontal="center" vertical="center"/>
    </xf>
    <xf numFmtId="0" fontId="20" fillId="2" borderId="4" xfId="3" applyFont="1" applyFill="1" applyBorder="1" applyAlignment="1">
      <alignment horizontal="center" vertical="center"/>
    </xf>
    <xf numFmtId="0" fontId="20" fillId="2" borderId="5" xfId="3" applyFont="1" applyFill="1" applyBorder="1" applyAlignment="1">
      <alignment horizontal="center" vertical="center"/>
    </xf>
    <xf numFmtId="0" fontId="20" fillId="2" borderId="3" xfId="3" applyFont="1" applyFill="1" applyBorder="1" applyAlignment="1">
      <alignment horizontal="center" vertical="center" wrapText="1"/>
    </xf>
    <xf numFmtId="0" fontId="20" fillId="2" borderId="2" xfId="3" applyFont="1" applyFill="1" applyBorder="1" applyAlignment="1">
      <alignment horizontal="center" vertical="center" wrapText="1"/>
    </xf>
    <xf numFmtId="0" fontId="18" fillId="0" borderId="2" xfId="3" applyFont="1" applyFill="1" applyBorder="1" applyAlignment="1">
      <alignment horizontal="center" vertical="center"/>
    </xf>
    <xf numFmtId="0" fontId="18" fillId="0" borderId="3" xfId="3" applyFont="1" applyFill="1" applyBorder="1" applyAlignment="1">
      <alignment horizontal="left" vertical="center" wrapText="1"/>
    </xf>
    <xf numFmtId="0" fontId="18" fillId="0" borderId="4" xfId="3" applyFont="1" applyFill="1" applyBorder="1" applyAlignment="1">
      <alignment horizontal="left" vertical="center" wrapText="1"/>
    </xf>
    <xf numFmtId="0" fontId="18" fillId="0" borderId="5" xfId="3" applyFont="1" applyFill="1" applyBorder="1" applyAlignment="1">
      <alignment horizontal="left" vertical="center" wrapText="1"/>
    </xf>
    <xf numFmtId="0" fontId="18" fillId="0" borderId="3" xfId="3" applyFont="1" applyFill="1" applyBorder="1" applyAlignment="1">
      <alignment horizontal="left" vertical="center"/>
    </xf>
    <xf numFmtId="0" fontId="18" fillId="0" borderId="4" xfId="3" applyFont="1" applyFill="1" applyBorder="1" applyAlignment="1">
      <alignment horizontal="left" vertical="center"/>
    </xf>
    <xf numFmtId="0" fontId="18" fillId="0" borderId="5" xfId="3" applyFont="1" applyFill="1" applyBorder="1" applyAlignment="1">
      <alignment horizontal="left" vertical="center"/>
    </xf>
    <xf numFmtId="0" fontId="20" fillId="0" borderId="4" xfId="3" applyFont="1" applyFill="1" applyBorder="1" applyAlignment="1">
      <alignment horizontal="left" vertical="center"/>
    </xf>
    <xf numFmtId="0" fontId="20" fillId="2" borderId="5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/>
    </xf>
    <xf numFmtId="0" fontId="18" fillId="0" borderId="3" xfId="3" applyFont="1" applyFill="1" applyBorder="1" applyAlignment="1">
      <alignment horizontal="center" vertical="center"/>
    </xf>
    <xf numFmtId="0" fontId="18" fillId="0" borderId="4" xfId="3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0" fontId="20" fillId="0" borderId="2" xfId="3" applyFont="1" applyFill="1" applyBorder="1" applyAlignment="1">
      <alignment horizontal="center" vertical="center"/>
    </xf>
    <xf numFmtId="0" fontId="18" fillId="0" borderId="8" xfId="3" applyFont="1" applyFill="1" applyBorder="1" applyAlignment="1">
      <alignment horizontal="right" vertical="center"/>
    </xf>
    <xf numFmtId="0" fontId="18" fillId="0" borderId="9" xfId="3" applyFont="1" applyFill="1" applyBorder="1" applyAlignment="1">
      <alignment horizontal="right" vertical="center"/>
    </xf>
    <xf numFmtId="0" fontId="18" fillId="0" borderId="6" xfId="3" applyFont="1" applyFill="1" applyBorder="1" applyAlignment="1">
      <alignment horizontal="right" vertical="center"/>
    </xf>
    <xf numFmtId="0" fontId="18" fillId="0" borderId="2" xfId="3" applyFont="1" applyFill="1" applyBorder="1" applyAlignment="1">
      <alignment horizontal="right" vertical="center"/>
    </xf>
    <xf numFmtId="0" fontId="18" fillId="0" borderId="14" xfId="3" applyFont="1" applyFill="1" applyBorder="1" applyAlignment="1">
      <alignment horizontal="left" vertical="center" wrapText="1"/>
    </xf>
    <xf numFmtId="0" fontId="18" fillId="0" borderId="15" xfId="3" applyFont="1" applyFill="1" applyBorder="1" applyAlignment="1">
      <alignment horizontal="left" vertical="center"/>
    </xf>
    <xf numFmtId="0" fontId="18" fillId="0" borderId="16" xfId="3" applyFont="1" applyFill="1" applyBorder="1" applyAlignment="1">
      <alignment horizontal="left" vertical="center"/>
    </xf>
    <xf numFmtId="1" fontId="18" fillId="2" borderId="2" xfId="1" applyNumberFormat="1" applyFont="1" applyFill="1" applyBorder="1" applyAlignment="1">
      <alignment horizontal="center" vertical="center"/>
    </xf>
    <xf numFmtId="0" fontId="18" fillId="0" borderId="14" xfId="3" applyFont="1" applyFill="1" applyBorder="1" applyAlignment="1">
      <alignment horizontal="left" vertical="center"/>
    </xf>
    <xf numFmtId="1" fontId="18" fillId="0" borderId="2" xfId="3" applyNumberFormat="1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" fontId="18" fillId="3" borderId="2" xfId="1" applyNumberFormat="1" applyFont="1" applyFill="1" applyBorder="1" applyAlignment="1">
      <alignment horizontal="center" vertical="center"/>
    </xf>
    <xf numFmtId="1" fontId="18" fillId="3" borderId="2" xfId="3" applyNumberFormat="1" applyFont="1" applyFill="1" applyBorder="1" applyAlignment="1">
      <alignment horizontal="center" vertical="center"/>
    </xf>
    <xf numFmtId="1" fontId="24" fillId="0" borderId="2" xfId="1" applyNumberFormat="1" applyFont="1" applyFill="1" applyBorder="1" applyAlignment="1">
      <alignment horizontal="center" vertical="center"/>
    </xf>
    <xf numFmtId="1" fontId="16" fillId="0" borderId="2" xfId="0" applyNumberFormat="1" applyFont="1" applyFill="1" applyBorder="1" applyAlignment="1">
      <alignment horizontal="center" vertical="center"/>
    </xf>
    <xf numFmtId="0" fontId="16" fillId="3" borderId="2" xfId="3" applyFont="1" applyFill="1" applyBorder="1" applyAlignment="1">
      <alignment horizontal="right" vertical="center"/>
    </xf>
    <xf numFmtId="0" fontId="16" fillId="3" borderId="3" xfId="3" applyFont="1" applyFill="1" applyBorder="1" applyAlignment="1">
      <alignment horizontal="left" vertical="center" wrapText="1"/>
    </xf>
    <xf numFmtId="0" fontId="16" fillId="3" borderId="4" xfId="3" applyFont="1" applyFill="1" applyBorder="1" applyAlignment="1">
      <alignment horizontal="left" vertical="center" wrapText="1"/>
    </xf>
    <xf numFmtId="0" fontId="16" fillId="3" borderId="5" xfId="3" applyFont="1" applyFill="1" applyBorder="1" applyAlignment="1">
      <alignment horizontal="left" vertical="center" wrapText="1"/>
    </xf>
    <xf numFmtId="1" fontId="24" fillId="3" borderId="2" xfId="1" applyNumberFormat="1" applyFont="1" applyFill="1" applyBorder="1" applyAlignment="1">
      <alignment horizontal="center" vertical="center"/>
    </xf>
    <xf numFmtId="1" fontId="16" fillId="3" borderId="2" xfId="1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6" fillId="3" borderId="3" xfId="3" applyFont="1" applyFill="1" applyBorder="1" applyAlignment="1">
      <alignment horizontal="left" vertical="center"/>
    </xf>
    <xf numFmtId="0" fontId="16" fillId="3" borderId="4" xfId="3" applyFont="1" applyFill="1" applyBorder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1" fontId="16" fillId="3" borderId="2" xfId="0" applyNumberFormat="1" applyFont="1" applyFill="1" applyBorder="1" applyAlignment="1">
      <alignment horizontal="center" vertical="center"/>
    </xf>
    <xf numFmtId="1" fontId="16" fillId="3" borderId="2" xfId="3" applyNumberFormat="1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right" vertical="center"/>
    </xf>
    <xf numFmtId="0" fontId="16" fillId="3" borderId="11" xfId="3" applyFont="1" applyFill="1" applyBorder="1" applyAlignment="1">
      <alignment horizontal="left" vertical="center" wrapText="1"/>
    </xf>
    <xf numFmtId="0" fontId="16" fillId="3" borderId="12" xfId="3" applyFont="1" applyFill="1" applyBorder="1" applyAlignment="1">
      <alignment horizontal="left" vertical="center" wrapText="1"/>
    </xf>
    <xf numFmtId="0" fontId="16" fillId="3" borderId="13" xfId="3" applyFont="1" applyFill="1" applyBorder="1" applyAlignment="1">
      <alignment horizontal="left" vertical="center" wrapText="1"/>
    </xf>
    <xf numFmtId="1" fontId="24" fillId="3" borderId="10" xfId="1" applyNumberFormat="1" applyFont="1" applyFill="1" applyBorder="1" applyAlignment="1">
      <alignment horizontal="center" vertical="center"/>
    </xf>
    <xf numFmtId="0" fontId="24" fillId="2" borderId="3" xfId="3" applyFont="1" applyFill="1" applyBorder="1" applyAlignment="1">
      <alignment horizontal="center" vertical="center"/>
    </xf>
    <xf numFmtId="0" fontId="24" fillId="2" borderId="4" xfId="3" applyFont="1" applyFill="1" applyBorder="1" applyAlignment="1">
      <alignment horizontal="center" vertical="center"/>
    </xf>
    <xf numFmtId="0" fontId="24" fillId="2" borderId="5" xfId="3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right" vertical="center"/>
    </xf>
    <xf numFmtId="0" fontId="20" fillId="3" borderId="2" xfId="3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</cellXfs>
  <cellStyles count="7">
    <cellStyle name="Bình thường 2" xfId="1"/>
    <cellStyle name="Normal" xfId="0" builtinId="0"/>
    <cellStyle name="Normal 16" xfId="3"/>
    <cellStyle name="Normal 17" xfId="4"/>
    <cellStyle name="Normal 2" xfId="2"/>
    <cellStyle name="Normal 23" xfId="5"/>
    <cellStyle name="Normal 3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1698964</xdr:colOff>
      <xdr:row>1</xdr:row>
      <xdr:rowOff>241435</xdr:rowOff>
    </xdr:from>
    <xdr:to>
      <xdr:col>3</xdr:col>
      <xdr:colOff>33820</xdr:colOff>
      <xdr:row>1</xdr:row>
      <xdr:rowOff>241435</xdr:rowOff>
    </xdr:to>
    <xdr:cxnSp macro="">
      <xdr:nvCxnSpPr>
        <xdr:cNvPr id="2" name="Straight Connector 1"/>
        <xdr:cNvCxnSpPr/>
      </xdr:nvCxnSpPr>
      <xdr:spPr>
        <a:xfrm>
          <a:off x="2028009" y="449253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674172</xdr:colOff>
      <xdr:row>2</xdr:row>
      <xdr:rowOff>82880</xdr:rowOff>
    </xdr:from>
    <xdr:to>
      <xdr:col>14</xdr:col>
      <xdr:colOff>406978</xdr:colOff>
      <xdr:row>2</xdr:row>
      <xdr:rowOff>96487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AE11E25-F033-4DC0-8598-10FC50D2BF90}"/>
            </a:ext>
          </a:extLst>
        </xdr:cNvPr>
        <xdr:cNvCxnSpPr/>
      </xdr:nvCxnSpPr>
      <xdr:spPr>
        <a:xfrm>
          <a:off x="11411445" y="533153"/>
          <a:ext cx="1672442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659947</xdr:colOff>
      <xdr:row>1</xdr:row>
      <xdr:rowOff>240846</xdr:rowOff>
    </xdr:from>
    <xdr:to>
      <xdr:col>2</xdr:col>
      <xdr:colOff>206829</xdr:colOff>
      <xdr:row>1</xdr:row>
      <xdr:rowOff>240847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405AABE8-B71D-4FDB-AB0C-79E7FD136165}"/>
            </a:ext>
          </a:extLst>
        </xdr:cNvPr>
        <xdr:cNvCxnSpPr/>
      </xdr:nvCxnSpPr>
      <xdr:spPr>
        <a:xfrm flipV="1">
          <a:off x="1272268" y="444953"/>
          <a:ext cx="825954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108858</xdr:colOff>
      <xdr:row>2</xdr:row>
      <xdr:rowOff>54428</xdr:rowOff>
    </xdr:from>
    <xdr:to>
      <xdr:col>8</xdr:col>
      <xdr:colOff>176893</xdr:colOff>
      <xdr:row>2</xdr:row>
      <xdr:rowOff>68035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6AE11E25-F033-4DC0-8598-10FC50D2BF90}"/>
            </a:ext>
          </a:extLst>
        </xdr:cNvPr>
        <xdr:cNvCxnSpPr/>
      </xdr:nvCxnSpPr>
      <xdr:spPr>
        <a:xfrm>
          <a:off x="4191001" y="503464"/>
          <a:ext cx="1292678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659947</xdr:colOff>
      <xdr:row>1</xdr:row>
      <xdr:rowOff>240846</xdr:rowOff>
    </xdr:from>
    <xdr:to>
      <xdr:col>2</xdr:col>
      <xdr:colOff>206829</xdr:colOff>
      <xdr:row>1</xdr:row>
      <xdr:rowOff>240847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405AABE8-B71D-4FDB-AB0C-79E7FD136165}"/>
            </a:ext>
          </a:extLst>
        </xdr:cNvPr>
        <xdr:cNvCxnSpPr/>
      </xdr:nvCxnSpPr>
      <xdr:spPr>
        <a:xfrm flipV="1">
          <a:off x="1012372" y="450396"/>
          <a:ext cx="823232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108858</xdr:colOff>
      <xdr:row>2</xdr:row>
      <xdr:rowOff>54428</xdr:rowOff>
    </xdr:from>
    <xdr:to>
      <xdr:col>8</xdr:col>
      <xdr:colOff>176893</xdr:colOff>
      <xdr:row>2</xdr:row>
      <xdr:rowOff>68035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6AE11E25-F033-4DC0-8598-10FC50D2BF90}"/>
            </a:ext>
          </a:extLst>
        </xdr:cNvPr>
        <xdr:cNvCxnSpPr/>
      </xdr:nvCxnSpPr>
      <xdr:spPr>
        <a:xfrm>
          <a:off x="4176033" y="502103"/>
          <a:ext cx="1287235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W78"/>
  <sheetViews>
    <sheetView tabSelected="1" zoomScale="70" zoomScaleNormal="70" workbookViewId="0">
      <pane xSplit="6" ySplit="6" topLeftCell="G46" activePane="bottomRight" state="frozen"/>
      <selection pane="topRight" activeCell="G1" sqref="G1"/>
      <selection pane="bottomLeft" activeCell="A7" sqref="A7"/>
      <selection pane="bottomRight" activeCell="J60" sqref="J60"/>
    </sheetView>
  </sheetViews>
  <sheetFormatPr defaultColWidth="9.140625" defaultRowHeight="15.75"/>
  <cols>
    <col min="1" max="1" width="4.85546875" style="33" customWidth="1"/>
    <col min="2" max="2" width="27.28515625" style="33" customWidth="1"/>
    <col min="3" max="3" width="7.28515625" style="33" customWidth="1"/>
    <col min="4" max="4" width="6.7109375" style="33" customWidth="1"/>
    <col min="5" max="5" width="13.7109375" style="33" customWidth="1"/>
    <col min="6" max="6" width="13.85546875" style="33" customWidth="1"/>
    <col min="7" max="23" width="14.42578125" style="33" customWidth="1"/>
    <col min="24" max="16384" width="9.140625" style="33"/>
  </cols>
  <sheetData>
    <row r="1" spans="1:23" ht="16.5">
      <c r="A1" s="39" t="s">
        <v>179</v>
      </c>
      <c r="B1" s="39"/>
      <c r="C1" s="39"/>
      <c r="D1" s="39"/>
      <c r="E1" s="39"/>
      <c r="F1" s="39"/>
      <c r="H1" s="41"/>
      <c r="L1" s="40" t="s">
        <v>16</v>
      </c>
      <c r="M1" s="40"/>
      <c r="N1" s="40"/>
      <c r="O1" s="40"/>
      <c r="P1" s="40"/>
    </row>
    <row r="2" spans="1:23" ht="18.75">
      <c r="A2" s="42" t="s">
        <v>134</v>
      </c>
      <c r="B2" s="42"/>
      <c r="C2" s="42"/>
      <c r="D2" s="42"/>
      <c r="E2" s="42"/>
      <c r="F2" s="42"/>
      <c r="H2" s="44"/>
      <c r="L2" s="43" t="s">
        <v>28</v>
      </c>
      <c r="M2" s="43"/>
      <c r="N2" s="43"/>
      <c r="O2" s="43"/>
      <c r="P2" s="43"/>
    </row>
    <row r="3" spans="1:23" ht="16.5">
      <c r="A3" s="42"/>
      <c r="B3" s="42"/>
      <c r="C3" s="45"/>
      <c r="D3" s="45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3" ht="16.5" customHeight="1">
      <c r="A4" s="48" t="s">
        <v>180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5" spans="1:23" ht="16.5">
      <c r="A5" s="50" t="s">
        <v>52</v>
      </c>
      <c r="B5" s="50"/>
      <c r="C5" s="50"/>
      <c r="D5" s="50"/>
      <c r="E5" s="50"/>
      <c r="F5" s="50"/>
      <c r="G5" s="50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spans="1:23" ht="28.5" customHeight="1">
      <c r="A6" s="51" t="s">
        <v>0</v>
      </c>
      <c r="B6" s="52" t="s">
        <v>1</v>
      </c>
      <c r="C6" s="53"/>
      <c r="D6" s="53"/>
      <c r="E6" s="53"/>
      <c r="F6" s="54"/>
      <c r="G6" s="55" t="s">
        <v>164</v>
      </c>
      <c r="H6" s="55" t="s">
        <v>165</v>
      </c>
      <c r="I6" s="55" t="s">
        <v>166</v>
      </c>
      <c r="J6" s="55" t="s">
        <v>167</v>
      </c>
      <c r="K6" s="55" t="s">
        <v>168</v>
      </c>
      <c r="L6" s="55" t="s">
        <v>169</v>
      </c>
      <c r="M6" s="55" t="s">
        <v>170</v>
      </c>
      <c r="N6" s="55" t="s">
        <v>171</v>
      </c>
      <c r="O6" s="55" t="s">
        <v>172</v>
      </c>
      <c r="P6" s="55" t="s">
        <v>173</v>
      </c>
      <c r="Q6" s="55" t="s">
        <v>174</v>
      </c>
      <c r="R6" s="55" t="s">
        <v>175</v>
      </c>
      <c r="S6" s="56" t="s">
        <v>176</v>
      </c>
      <c r="T6" s="56" t="s">
        <v>177</v>
      </c>
      <c r="U6" s="56" t="s">
        <v>181</v>
      </c>
      <c r="V6" s="56" t="s">
        <v>182</v>
      </c>
      <c r="W6" s="109" t="s">
        <v>2</v>
      </c>
    </row>
    <row r="7" spans="1:23" ht="16.5">
      <c r="A7" s="57">
        <v>1</v>
      </c>
      <c r="B7" s="58" t="s">
        <v>53</v>
      </c>
      <c r="C7" s="59"/>
      <c r="D7" s="59"/>
      <c r="E7" s="59"/>
      <c r="F7" s="60"/>
      <c r="G7" s="34">
        <v>150</v>
      </c>
      <c r="H7" s="34">
        <v>200</v>
      </c>
      <c r="I7" s="34">
        <v>200</v>
      </c>
      <c r="J7" s="34">
        <v>400</v>
      </c>
      <c r="K7" s="34">
        <v>356</v>
      </c>
      <c r="L7" s="34"/>
      <c r="M7" s="34"/>
      <c r="N7" s="34"/>
      <c r="O7" s="34"/>
      <c r="P7" s="34"/>
      <c r="Q7" s="34"/>
      <c r="R7" s="34"/>
      <c r="S7" s="35">
        <f>SUM(G7:I7)</f>
        <v>550</v>
      </c>
      <c r="T7" s="35">
        <f>SUM(J7:L7)</f>
        <v>756</v>
      </c>
      <c r="U7" s="35">
        <f>SUM(M7:O7)</f>
        <v>0</v>
      </c>
      <c r="V7" s="35">
        <f>SUM(P7:R7)</f>
        <v>0</v>
      </c>
      <c r="W7" s="84">
        <f>SUM(S7:V7)</f>
        <v>1306</v>
      </c>
    </row>
    <row r="8" spans="1:23" ht="16.5">
      <c r="A8" s="57">
        <v>2</v>
      </c>
      <c r="B8" s="61" t="s">
        <v>54</v>
      </c>
      <c r="C8" s="62"/>
      <c r="D8" s="62"/>
      <c r="E8" s="62"/>
      <c r="F8" s="63"/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/>
      <c r="M8" s="34"/>
      <c r="N8" s="34"/>
      <c r="O8" s="34"/>
      <c r="P8" s="34"/>
      <c r="Q8" s="34"/>
      <c r="R8" s="34"/>
      <c r="S8" s="35">
        <f t="shared" ref="S8:S11" si="0">SUM(G8:I8)</f>
        <v>0</v>
      </c>
      <c r="T8" s="35">
        <f t="shared" ref="T8:T11" si="1">SUM(J8:L8)</f>
        <v>0</v>
      </c>
      <c r="U8" s="35">
        <f t="shared" ref="U8:U11" si="2">SUM(M8:O8)</f>
        <v>0</v>
      </c>
      <c r="V8" s="35">
        <f t="shared" ref="V8:W11" si="3">SUM(P8:R8)</f>
        <v>0</v>
      </c>
      <c r="W8" s="84">
        <f t="shared" ref="W8:W11" si="4">SUM(S8:V8)</f>
        <v>0</v>
      </c>
    </row>
    <row r="9" spans="1:23" ht="16.5">
      <c r="A9" s="57">
        <v>3</v>
      </c>
      <c r="B9" s="58" t="s">
        <v>55</v>
      </c>
      <c r="C9" s="59"/>
      <c r="D9" s="59"/>
      <c r="E9" s="59"/>
      <c r="F9" s="60"/>
      <c r="G9" s="34">
        <v>150</v>
      </c>
      <c r="H9" s="34">
        <v>200</v>
      </c>
      <c r="I9" s="34">
        <v>200</v>
      </c>
      <c r="J9" s="34">
        <v>400</v>
      </c>
      <c r="K9" s="34">
        <v>356</v>
      </c>
      <c r="L9" s="34"/>
      <c r="M9" s="34"/>
      <c r="N9" s="34"/>
      <c r="O9" s="34"/>
      <c r="P9" s="34"/>
      <c r="Q9" s="34"/>
      <c r="R9" s="34"/>
      <c r="S9" s="35">
        <f t="shared" si="0"/>
        <v>550</v>
      </c>
      <c r="T9" s="35">
        <f t="shared" si="1"/>
        <v>756</v>
      </c>
      <c r="U9" s="35">
        <f t="shared" si="2"/>
        <v>0</v>
      </c>
      <c r="V9" s="35">
        <f t="shared" si="3"/>
        <v>0</v>
      </c>
      <c r="W9" s="84">
        <f t="shared" si="4"/>
        <v>1306</v>
      </c>
    </row>
    <row r="10" spans="1:23" ht="16.5">
      <c r="A10" s="57">
        <v>4</v>
      </c>
      <c r="B10" s="61" t="s">
        <v>9</v>
      </c>
      <c r="C10" s="62"/>
      <c r="D10" s="62"/>
      <c r="E10" s="62"/>
      <c r="F10" s="63"/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/>
      <c r="M10" s="34"/>
      <c r="N10" s="34"/>
      <c r="O10" s="34"/>
      <c r="P10" s="34"/>
      <c r="Q10" s="34"/>
      <c r="R10" s="34"/>
      <c r="S10" s="35">
        <f t="shared" si="0"/>
        <v>0</v>
      </c>
      <c r="T10" s="35">
        <f t="shared" si="1"/>
        <v>0</v>
      </c>
      <c r="U10" s="35">
        <f t="shared" si="2"/>
        <v>0</v>
      </c>
      <c r="V10" s="35">
        <f t="shared" si="3"/>
        <v>0</v>
      </c>
      <c r="W10" s="84">
        <f t="shared" si="4"/>
        <v>0</v>
      </c>
    </row>
    <row r="11" spans="1:23" ht="16.5">
      <c r="A11" s="57">
        <v>5</v>
      </c>
      <c r="B11" s="61" t="s">
        <v>10</v>
      </c>
      <c r="C11" s="62"/>
      <c r="D11" s="62"/>
      <c r="E11" s="62"/>
      <c r="F11" s="63"/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/>
      <c r="M11" s="34"/>
      <c r="N11" s="34"/>
      <c r="O11" s="34"/>
      <c r="P11" s="34"/>
      <c r="Q11" s="34"/>
      <c r="R11" s="34"/>
      <c r="S11" s="35">
        <f t="shared" si="0"/>
        <v>0</v>
      </c>
      <c r="T11" s="35">
        <f t="shared" si="1"/>
        <v>0</v>
      </c>
      <c r="U11" s="35">
        <f t="shared" si="2"/>
        <v>0</v>
      </c>
      <c r="V11" s="35">
        <f t="shared" si="3"/>
        <v>0</v>
      </c>
      <c r="W11" s="84">
        <f t="shared" si="4"/>
        <v>0</v>
      </c>
    </row>
    <row r="12" spans="1:23" ht="16.5">
      <c r="A12" s="64" t="s">
        <v>13</v>
      </c>
      <c r="B12" s="64"/>
      <c r="C12" s="64"/>
      <c r="D12" s="64"/>
      <c r="E12" s="64"/>
      <c r="F12" s="64"/>
      <c r="G12" s="64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110"/>
    </row>
    <row r="13" spans="1:23" ht="33">
      <c r="A13" s="51" t="s">
        <v>0</v>
      </c>
      <c r="B13" s="65" t="s">
        <v>61</v>
      </c>
      <c r="C13" s="52" t="s">
        <v>62</v>
      </c>
      <c r="D13" s="53"/>
      <c r="E13" s="53"/>
      <c r="F13" s="54"/>
      <c r="G13" s="51" t="s">
        <v>14</v>
      </c>
      <c r="H13" s="51" t="s">
        <v>14</v>
      </c>
      <c r="I13" s="51" t="s">
        <v>14</v>
      </c>
      <c r="J13" s="51" t="s">
        <v>14</v>
      </c>
      <c r="K13" s="51" t="s">
        <v>14</v>
      </c>
      <c r="L13" s="51" t="s">
        <v>14</v>
      </c>
      <c r="M13" s="51" t="s">
        <v>14</v>
      </c>
      <c r="N13" s="51" t="s">
        <v>14</v>
      </c>
      <c r="O13" s="51" t="s">
        <v>14</v>
      </c>
      <c r="P13" s="51" t="s">
        <v>14</v>
      </c>
      <c r="Q13" s="51" t="s">
        <v>14</v>
      </c>
      <c r="R13" s="51" t="s">
        <v>14</v>
      </c>
      <c r="S13" s="56" t="s">
        <v>176</v>
      </c>
      <c r="T13" s="56" t="s">
        <v>177</v>
      </c>
      <c r="U13" s="56" t="s">
        <v>181</v>
      </c>
      <c r="V13" s="56" t="s">
        <v>182</v>
      </c>
      <c r="W13" s="109" t="s">
        <v>2</v>
      </c>
    </row>
    <row r="14" spans="1:23" ht="16.5">
      <c r="A14" s="57">
        <v>1</v>
      </c>
      <c r="B14" s="66" t="s">
        <v>136</v>
      </c>
      <c r="C14" s="67" t="s">
        <v>137</v>
      </c>
      <c r="D14" s="68"/>
      <c r="E14" s="68"/>
      <c r="F14" s="69"/>
      <c r="G14" s="70">
        <v>24</v>
      </c>
      <c r="H14" s="70">
        <v>24</v>
      </c>
      <c r="I14" s="70">
        <v>24</v>
      </c>
      <c r="J14" s="70">
        <v>24</v>
      </c>
      <c r="K14" s="70">
        <v>24</v>
      </c>
      <c r="L14" s="70"/>
      <c r="M14" s="70"/>
      <c r="N14" s="70"/>
      <c r="O14" s="70"/>
      <c r="P14" s="70"/>
      <c r="Q14" s="70"/>
      <c r="R14" s="70"/>
      <c r="S14" s="35">
        <f>SUM(G14:I14)</f>
        <v>72</v>
      </c>
      <c r="T14" s="35">
        <f t="shared" ref="T14:T15" si="5">SUM(J14:L14)</f>
        <v>48</v>
      </c>
      <c r="U14" s="35">
        <f t="shared" ref="U14:U15" si="6">SUM(M14:O14)</f>
        <v>0</v>
      </c>
      <c r="V14" s="35">
        <f t="shared" ref="V14:W15" si="7">SUM(P14:R14)</f>
        <v>0</v>
      </c>
      <c r="W14" s="84">
        <f>SUM(S14:V14)</f>
        <v>120</v>
      </c>
    </row>
    <row r="15" spans="1:23" ht="16.5">
      <c r="A15" s="57">
        <v>2</v>
      </c>
      <c r="B15" s="66" t="s">
        <v>136</v>
      </c>
      <c r="C15" s="67" t="s">
        <v>138</v>
      </c>
      <c r="D15" s="68"/>
      <c r="E15" s="68"/>
      <c r="F15" s="69"/>
      <c r="G15" s="70">
        <v>24</v>
      </c>
      <c r="H15" s="70">
        <v>24</v>
      </c>
      <c r="I15" s="70">
        <v>24</v>
      </c>
      <c r="J15" s="70">
        <v>24</v>
      </c>
      <c r="K15" s="70">
        <v>24</v>
      </c>
      <c r="L15" s="70"/>
      <c r="M15" s="70"/>
      <c r="N15" s="70"/>
      <c r="O15" s="70"/>
      <c r="P15" s="70"/>
      <c r="Q15" s="70"/>
      <c r="R15" s="70"/>
      <c r="S15" s="35">
        <f>SUM(G15:I15)</f>
        <v>72</v>
      </c>
      <c r="T15" s="35">
        <f t="shared" si="5"/>
        <v>48</v>
      </c>
      <c r="U15" s="35">
        <f t="shared" si="6"/>
        <v>0</v>
      </c>
      <c r="V15" s="35">
        <f t="shared" si="7"/>
        <v>0</v>
      </c>
      <c r="W15" s="84">
        <f>SUM(S15:V15)</f>
        <v>120</v>
      </c>
    </row>
    <row r="16" spans="1:23" ht="16.5">
      <c r="A16" s="64" t="s">
        <v>15</v>
      </c>
      <c r="B16" s="64"/>
      <c r="C16" s="64"/>
      <c r="D16" s="64"/>
      <c r="E16" s="64"/>
      <c r="F16" s="64"/>
      <c r="G16" s="64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110"/>
    </row>
    <row r="17" spans="1:23" ht="31.5" customHeight="1">
      <c r="A17" s="51" t="s">
        <v>0</v>
      </c>
      <c r="B17" s="52" t="s">
        <v>1</v>
      </c>
      <c r="C17" s="53"/>
      <c r="D17" s="53"/>
      <c r="E17" s="53"/>
      <c r="F17" s="54"/>
      <c r="G17" s="55" t="s">
        <v>164</v>
      </c>
      <c r="H17" s="55" t="s">
        <v>165</v>
      </c>
      <c r="I17" s="55" t="s">
        <v>166</v>
      </c>
      <c r="J17" s="55" t="s">
        <v>167</v>
      </c>
      <c r="K17" s="55" t="s">
        <v>168</v>
      </c>
      <c r="L17" s="55" t="s">
        <v>169</v>
      </c>
      <c r="M17" s="55" t="s">
        <v>170</v>
      </c>
      <c r="N17" s="55" t="s">
        <v>171</v>
      </c>
      <c r="O17" s="55" t="s">
        <v>172</v>
      </c>
      <c r="P17" s="55" t="s">
        <v>173</v>
      </c>
      <c r="Q17" s="55" t="s">
        <v>174</v>
      </c>
      <c r="R17" s="55" t="s">
        <v>175</v>
      </c>
      <c r="S17" s="56" t="s">
        <v>176</v>
      </c>
      <c r="T17" s="56" t="s">
        <v>177</v>
      </c>
      <c r="U17" s="56" t="s">
        <v>181</v>
      </c>
      <c r="V17" s="56" t="s">
        <v>182</v>
      </c>
      <c r="W17" s="109" t="s">
        <v>2</v>
      </c>
    </row>
    <row r="18" spans="1:23" s="94" customFormat="1" ht="32.25" customHeight="1">
      <c r="A18" s="108">
        <v>1</v>
      </c>
      <c r="B18" s="95" t="s">
        <v>22</v>
      </c>
      <c r="C18" s="96"/>
      <c r="D18" s="96"/>
      <c r="E18" s="96"/>
      <c r="F18" s="97"/>
      <c r="G18" s="92">
        <f>SUM(F19:G21)</f>
        <v>103</v>
      </c>
      <c r="H18" s="92">
        <f>SUM(G19:H21)</f>
        <v>226</v>
      </c>
      <c r="I18" s="92">
        <f>SUM(H19:I21)</f>
        <v>217</v>
      </c>
      <c r="J18" s="92">
        <f>SUM(I19:J21)</f>
        <v>188</v>
      </c>
      <c r="K18" s="92">
        <f>SUM(J19:K21)</f>
        <v>149</v>
      </c>
      <c r="L18" s="92">
        <f>SUM(K19:L21)</f>
        <v>55</v>
      </c>
      <c r="M18" s="92">
        <f>SUM(L19:M21)</f>
        <v>0</v>
      </c>
      <c r="N18" s="92">
        <f>SUM(M19:N21)</f>
        <v>0</v>
      </c>
      <c r="O18" s="92">
        <f>SUM(N19:O21)</f>
        <v>0</v>
      </c>
      <c r="P18" s="92">
        <f>SUM(O19:P21)</f>
        <v>0</v>
      </c>
      <c r="Q18" s="92">
        <f>SUM(P19:Q21)</f>
        <v>0</v>
      </c>
      <c r="R18" s="92">
        <f>SUM(Q19:R21)</f>
        <v>0</v>
      </c>
      <c r="S18" s="92">
        <f>SUM(S19:S21)</f>
        <v>320</v>
      </c>
      <c r="T18" s="92">
        <f>SUM(T19:T21)</f>
        <v>149</v>
      </c>
      <c r="U18" s="92">
        <f>SUM(U19:U21)</f>
        <v>0</v>
      </c>
      <c r="V18" s="92">
        <f>SUM(V19:V21)</f>
        <v>0</v>
      </c>
      <c r="W18" s="93">
        <f>SUM(S18:V18)</f>
        <v>469</v>
      </c>
    </row>
    <row r="19" spans="1:23" ht="16.5">
      <c r="A19" s="72" t="s">
        <v>5</v>
      </c>
      <c r="B19" s="58" t="s">
        <v>144</v>
      </c>
      <c r="C19" s="62"/>
      <c r="D19" s="62"/>
      <c r="E19" s="62"/>
      <c r="F19" s="63"/>
      <c r="G19" s="35">
        <v>23</v>
      </c>
      <c r="H19" s="35">
        <v>37</v>
      </c>
      <c r="I19" s="35">
        <v>21</v>
      </c>
      <c r="J19" s="35">
        <v>33</v>
      </c>
      <c r="K19" s="35">
        <v>39</v>
      </c>
      <c r="L19" s="35"/>
      <c r="M19" s="35"/>
      <c r="N19" s="35"/>
      <c r="O19" s="35"/>
      <c r="P19" s="35"/>
      <c r="Q19" s="35"/>
      <c r="R19" s="35"/>
      <c r="S19" s="35">
        <f>SUM(G19:I19)</f>
        <v>81</v>
      </c>
      <c r="T19" s="35">
        <f t="shared" ref="T19" si="8">SUM(J19:L19)</f>
        <v>72</v>
      </c>
      <c r="U19" s="35">
        <f t="shared" ref="U19" si="9">SUM(M19:O19)</f>
        <v>0</v>
      </c>
      <c r="V19" s="35">
        <f t="shared" ref="V19:W30" si="10">SUM(P19:R19)</f>
        <v>0</v>
      </c>
      <c r="W19" s="84">
        <f t="shared" ref="W19:W30" si="11">SUM(S19:V19)</f>
        <v>153</v>
      </c>
    </row>
    <row r="20" spans="1:23" ht="16.5">
      <c r="A20" s="72" t="s">
        <v>6</v>
      </c>
      <c r="B20" s="58" t="s">
        <v>145</v>
      </c>
      <c r="C20" s="62"/>
      <c r="D20" s="62"/>
      <c r="E20" s="62"/>
      <c r="F20" s="63"/>
      <c r="G20" s="35">
        <v>60</v>
      </c>
      <c r="H20" s="35">
        <v>70</v>
      </c>
      <c r="I20" s="35">
        <v>60</v>
      </c>
      <c r="J20" s="35">
        <v>42</v>
      </c>
      <c r="K20" s="35">
        <v>0</v>
      </c>
      <c r="L20" s="35"/>
      <c r="M20" s="35"/>
      <c r="N20" s="35"/>
      <c r="O20" s="35"/>
      <c r="P20" s="35"/>
      <c r="Q20" s="35"/>
      <c r="R20" s="35"/>
      <c r="S20" s="35">
        <f t="shared" ref="S20:S35" si="12">SUM(G20:I20)</f>
        <v>190</v>
      </c>
      <c r="T20" s="35">
        <f t="shared" ref="T20:T21" si="13">SUM(J20:L20)</f>
        <v>42</v>
      </c>
      <c r="U20" s="35">
        <f t="shared" ref="U20:U21" si="14">SUM(M20:O20)</f>
        <v>0</v>
      </c>
      <c r="V20" s="35">
        <f t="shared" ref="V20:W21" si="15">SUM(P20:R20)</f>
        <v>0</v>
      </c>
      <c r="W20" s="84">
        <f t="shared" si="11"/>
        <v>232</v>
      </c>
    </row>
    <row r="21" spans="1:23" ht="16.5">
      <c r="A21" s="73" t="s">
        <v>67</v>
      </c>
      <c r="B21" s="58" t="s">
        <v>146</v>
      </c>
      <c r="C21" s="62"/>
      <c r="D21" s="62"/>
      <c r="E21" s="62"/>
      <c r="F21" s="63"/>
      <c r="G21" s="35">
        <v>20</v>
      </c>
      <c r="H21" s="35">
        <v>16</v>
      </c>
      <c r="I21" s="35">
        <v>13</v>
      </c>
      <c r="J21" s="35">
        <v>19</v>
      </c>
      <c r="K21" s="35">
        <v>16</v>
      </c>
      <c r="L21" s="35"/>
      <c r="M21" s="35"/>
      <c r="N21" s="35"/>
      <c r="O21" s="35"/>
      <c r="P21" s="35"/>
      <c r="Q21" s="35"/>
      <c r="R21" s="35"/>
      <c r="S21" s="35">
        <f t="shared" si="12"/>
        <v>49</v>
      </c>
      <c r="T21" s="35">
        <f t="shared" si="13"/>
        <v>35</v>
      </c>
      <c r="U21" s="35">
        <f t="shared" si="14"/>
        <v>0</v>
      </c>
      <c r="V21" s="35">
        <f t="shared" si="15"/>
        <v>0</v>
      </c>
      <c r="W21" s="84">
        <f t="shared" si="11"/>
        <v>84</v>
      </c>
    </row>
    <row r="22" spans="1:23" s="94" customFormat="1" ht="16.5">
      <c r="A22" s="108">
        <v>2</v>
      </c>
      <c r="B22" s="95" t="s">
        <v>25</v>
      </c>
      <c r="C22" s="96"/>
      <c r="D22" s="96"/>
      <c r="E22" s="96"/>
      <c r="F22" s="97"/>
      <c r="G22" s="92">
        <f>G23+G24+G25</f>
        <v>54</v>
      </c>
      <c r="H22" s="92">
        <f>H23+H24+H25</f>
        <v>53</v>
      </c>
      <c r="I22" s="92">
        <f>I23+I24+I25</f>
        <v>58</v>
      </c>
      <c r="J22" s="92">
        <f>J23+J24+J25</f>
        <v>81</v>
      </c>
      <c r="K22" s="92">
        <f>K23+K24+K25</f>
        <v>37</v>
      </c>
      <c r="L22" s="92">
        <f>L23+L24+L25</f>
        <v>0</v>
      </c>
      <c r="M22" s="92">
        <f>M23+M24+M25</f>
        <v>0</v>
      </c>
      <c r="N22" s="92">
        <f>N23+N24+N25</f>
        <v>0</v>
      </c>
      <c r="O22" s="92">
        <f>O23+O24+O25</f>
        <v>0</v>
      </c>
      <c r="P22" s="92">
        <f>P23+P24+P25</f>
        <v>0</v>
      </c>
      <c r="Q22" s="92">
        <f>Q23+Q24+Q25</f>
        <v>0</v>
      </c>
      <c r="R22" s="92">
        <f>R23+R24+R25</f>
        <v>0</v>
      </c>
      <c r="S22" s="92">
        <f>S23+S24+S25</f>
        <v>165</v>
      </c>
      <c r="T22" s="92">
        <f>T23+T24+T25</f>
        <v>118</v>
      </c>
      <c r="U22" s="92">
        <f>U23+U24+U25</f>
        <v>0</v>
      </c>
      <c r="V22" s="92">
        <f>V23+V24+V25</f>
        <v>0</v>
      </c>
      <c r="W22" s="93">
        <f t="shared" si="11"/>
        <v>283</v>
      </c>
    </row>
    <row r="23" spans="1:23" ht="16.5">
      <c r="A23" s="72" t="s">
        <v>68</v>
      </c>
      <c r="B23" s="61" t="s">
        <v>63</v>
      </c>
      <c r="C23" s="62"/>
      <c r="D23" s="62"/>
      <c r="E23" s="62"/>
      <c r="F23" s="63"/>
      <c r="G23" s="35">
        <v>7</v>
      </c>
      <c r="H23" s="35">
        <v>10</v>
      </c>
      <c r="I23" s="35">
        <v>18</v>
      </c>
      <c r="J23" s="35">
        <v>38</v>
      </c>
      <c r="K23" s="35">
        <v>22</v>
      </c>
      <c r="L23" s="35"/>
      <c r="M23" s="35"/>
      <c r="N23" s="35"/>
      <c r="O23" s="35"/>
      <c r="P23" s="35"/>
      <c r="Q23" s="35"/>
      <c r="R23" s="35"/>
      <c r="S23" s="35">
        <f t="shared" si="12"/>
        <v>35</v>
      </c>
      <c r="T23" s="35">
        <f t="shared" ref="T23" si="16">SUM(J23:L23)</f>
        <v>60</v>
      </c>
      <c r="U23" s="35">
        <f t="shared" ref="U23" si="17">SUM(M23:O23)</f>
        <v>0</v>
      </c>
      <c r="V23" s="35">
        <f t="shared" ref="V23:W23" si="18">SUM(P23:R23)</f>
        <v>0</v>
      </c>
      <c r="W23" s="84">
        <f t="shared" si="11"/>
        <v>95</v>
      </c>
    </row>
    <row r="24" spans="1:23" ht="16.5">
      <c r="A24" s="72" t="s">
        <v>69</v>
      </c>
      <c r="B24" s="61" t="s">
        <v>64</v>
      </c>
      <c r="C24" s="62"/>
      <c r="D24" s="62"/>
      <c r="E24" s="62"/>
      <c r="F24" s="63"/>
      <c r="G24" s="35">
        <v>35</v>
      </c>
      <c r="H24" s="35">
        <v>36</v>
      </c>
      <c r="I24" s="35">
        <v>35</v>
      </c>
      <c r="J24" s="35">
        <v>29</v>
      </c>
      <c r="K24" s="35">
        <v>0</v>
      </c>
      <c r="L24" s="35"/>
      <c r="M24" s="35"/>
      <c r="N24" s="35"/>
      <c r="O24" s="35"/>
      <c r="P24" s="35"/>
      <c r="Q24" s="35"/>
      <c r="R24" s="35"/>
      <c r="S24" s="35">
        <f t="shared" si="12"/>
        <v>106</v>
      </c>
      <c r="T24" s="35">
        <f t="shared" ref="T24:T26" si="19">SUM(J24:L24)</f>
        <v>29</v>
      </c>
      <c r="U24" s="35">
        <f>SUM(M24:O24)</f>
        <v>0</v>
      </c>
      <c r="V24" s="35">
        <f t="shared" ref="V24:W26" si="20">SUM(P24:R24)</f>
        <v>0</v>
      </c>
      <c r="W24" s="84">
        <f t="shared" si="11"/>
        <v>135</v>
      </c>
    </row>
    <row r="25" spans="1:23" ht="16.5">
      <c r="A25" s="73" t="s">
        <v>70</v>
      </c>
      <c r="B25" s="61" t="s">
        <v>65</v>
      </c>
      <c r="C25" s="62"/>
      <c r="D25" s="62"/>
      <c r="E25" s="62"/>
      <c r="F25" s="63"/>
      <c r="G25" s="35">
        <v>12</v>
      </c>
      <c r="H25" s="35">
        <v>7</v>
      </c>
      <c r="I25" s="35">
        <v>5</v>
      </c>
      <c r="J25" s="35">
        <v>14</v>
      </c>
      <c r="K25" s="35">
        <v>15</v>
      </c>
      <c r="L25" s="35"/>
      <c r="M25" s="35"/>
      <c r="N25" s="35"/>
      <c r="O25" s="35"/>
      <c r="P25" s="35"/>
      <c r="Q25" s="35"/>
      <c r="R25" s="35"/>
      <c r="S25" s="35">
        <f t="shared" si="12"/>
        <v>24</v>
      </c>
      <c r="T25" s="35">
        <f t="shared" si="19"/>
        <v>29</v>
      </c>
      <c r="U25" s="35">
        <f t="shared" ref="U24:U26" si="21">SUM(M25:O25)</f>
        <v>0</v>
      </c>
      <c r="V25" s="35">
        <f t="shared" si="20"/>
        <v>0</v>
      </c>
      <c r="W25" s="84">
        <f t="shared" si="11"/>
        <v>53</v>
      </c>
    </row>
    <row r="26" spans="1:23" s="94" customFormat="1" ht="30" customHeight="1">
      <c r="A26" s="88">
        <v>3</v>
      </c>
      <c r="B26" s="95" t="s">
        <v>21</v>
      </c>
      <c r="C26" s="96"/>
      <c r="D26" s="96"/>
      <c r="E26" s="96"/>
      <c r="F26" s="97"/>
      <c r="G26" s="93">
        <v>0</v>
      </c>
      <c r="H26" s="93">
        <v>0</v>
      </c>
      <c r="I26" s="93">
        <v>3</v>
      </c>
      <c r="J26" s="93">
        <v>0</v>
      </c>
      <c r="K26" s="93">
        <v>0</v>
      </c>
      <c r="L26" s="93"/>
      <c r="M26" s="93"/>
      <c r="N26" s="93"/>
      <c r="O26" s="93"/>
      <c r="P26" s="93"/>
      <c r="Q26" s="93"/>
      <c r="R26" s="93"/>
      <c r="S26" s="93">
        <f t="shared" si="12"/>
        <v>3</v>
      </c>
      <c r="T26" s="93">
        <f t="shared" si="19"/>
        <v>0</v>
      </c>
      <c r="U26" s="93">
        <f t="shared" si="21"/>
        <v>0</v>
      </c>
      <c r="V26" s="93">
        <f t="shared" si="20"/>
        <v>0</v>
      </c>
      <c r="W26" s="93">
        <f t="shared" si="11"/>
        <v>3</v>
      </c>
    </row>
    <row r="27" spans="1:23" s="94" customFormat="1" ht="30" customHeight="1">
      <c r="A27" s="108">
        <v>4</v>
      </c>
      <c r="B27" s="95" t="s">
        <v>3</v>
      </c>
      <c r="C27" s="96"/>
      <c r="D27" s="96"/>
      <c r="E27" s="96"/>
      <c r="F27" s="97"/>
      <c r="G27" s="92">
        <f>G28+G29+G30</f>
        <v>151</v>
      </c>
      <c r="H27" s="92">
        <f>H28+H29+H30</f>
        <v>154</v>
      </c>
      <c r="I27" s="92">
        <f>I28+I29+I30</f>
        <v>140</v>
      </c>
      <c r="J27" s="92">
        <f>J28+J29+J30</f>
        <v>144</v>
      </c>
      <c r="K27" s="92">
        <f>K28+K29+K30</f>
        <v>211</v>
      </c>
      <c r="L27" s="92">
        <f>L28+L29+L30</f>
        <v>0</v>
      </c>
      <c r="M27" s="92">
        <f>M28+M29+M30</f>
        <v>0</v>
      </c>
      <c r="N27" s="92">
        <f>N28+N29+N30</f>
        <v>0</v>
      </c>
      <c r="O27" s="92">
        <f>O28+O29+O30</f>
        <v>0</v>
      </c>
      <c r="P27" s="92">
        <f>P28+P29+P30</f>
        <v>0</v>
      </c>
      <c r="Q27" s="92">
        <f>Q28+Q29+Q30</f>
        <v>0</v>
      </c>
      <c r="R27" s="92">
        <f>R28+R29+R30</f>
        <v>0</v>
      </c>
      <c r="S27" s="92">
        <f>S28+S29+S30</f>
        <v>445</v>
      </c>
      <c r="T27" s="92">
        <f>T28+T29+T30</f>
        <v>355</v>
      </c>
      <c r="U27" s="92">
        <f>U28+U29+U30</f>
        <v>0</v>
      </c>
      <c r="V27" s="92">
        <f>V28+V29+V30</f>
        <v>0</v>
      </c>
      <c r="W27" s="93">
        <f t="shared" si="11"/>
        <v>800</v>
      </c>
    </row>
    <row r="28" spans="1:23" ht="16.5">
      <c r="A28" s="72" t="s">
        <v>71</v>
      </c>
      <c r="B28" s="61" t="s">
        <v>66</v>
      </c>
      <c r="C28" s="62"/>
      <c r="D28" s="62"/>
      <c r="E28" s="62"/>
      <c r="F28" s="63"/>
      <c r="G28" s="35">
        <v>39</v>
      </c>
      <c r="H28" s="35">
        <v>59</v>
      </c>
      <c r="I28" s="35">
        <v>48</v>
      </c>
      <c r="J28" s="35">
        <v>38</v>
      </c>
      <c r="K28" s="35">
        <v>54</v>
      </c>
      <c r="L28" s="35"/>
      <c r="M28" s="35"/>
      <c r="N28" s="35"/>
      <c r="O28" s="35"/>
      <c r="P28" s="35"/>
      <c r="Q28" s="35"/>
      <c r="R28" s="35"/>
      <c r="S28" s="35">
        <f t="shared" si="12"/>
        <v>146</v>
      </c>
      <c r="T28" s="35">
        <f t="shared" ref="T28" si="22">SUM(J28:L28)</f>
        <v>92</v>
      </c>
      <c r="U28" s="35">
        <f t="shared" ref="U28" si="23">SUM(M28:O28)</f>
        <v>0</v>
      </c>
      <c r="V28" s="35">
        <f t="shared" ref="V28:W28" si="24">SUM(P28:R28)</f>
        <v>0</v>
      </c>
      <c r="W28" s="84">
        <f t="shared" si="11"/>
        <v>238</v>
      </c>
    </row>
    <row r="29" spans="1:23" ht="16.5">
      <c r="A29" s="72" t="s">
        <v>72</v>
      </c>
      <c r="B29" s="58" t="s">
        <v>141</v>
      </c>
      <c r="C29" s="62"/>
      <c r="D29" s="62"/>
      <c r="E29" s="62"/>
      <c r="F29" s="63"/>
      <c r="G29" s="35">
        <v>88</v>
      </c>
      <c r="H29" s="35">
        <v>82</v>
      </c>
      <c r="I29" s="35">
        <v>60</v>
      </c>
      <c r="J29" s="35">
        <v>77</v>
      </c>
      <c r="K29" s="35">
        <v>126</v>
      </c>
      <c r="L29" s="35"/>
      <c r="M29" s="35"/>
      <c r="N29" s="35"/>
      <c r="O29" s="35"/>
      <c r="P29" s="35"/>
      <c r="Q29" s="35"/>
      <c r="R29" s="35"/>
      <c r="S29" s="35">
        <f t="shared" si="12"/>
        <v>230</v>
      </c>
      <c r="T29" s="35">
        <f t="shared" ref="T29:T30" si="25">SUM(J29:L29)</f>
        <v>203</v>
      </c>
      <c r="U29" s="35">
        <f t="shared" ref="U29:U30" si="26">SUM(M29:O29)</f>
        <v>0</v>
      </c>
      <c r="V29" s="35">
        <f t="shared" ref="V29:W30" si="27">SUM(P29:R29)</f>
        <v>0</v>
      </c>
      <c r="W29" s="84">
        <f t="shared" si="11"/>
        <v>433</v>
      </c>
    </row>
    <row r="30" spans="1:23" ht="17.25" thickBot="1">
      <c r="A30" s="72" t="s">
        <v>73</v>
      </c>
      <c r="B30" s="75" t="s">
        <v>142</v>
      </c>
      <c r="C30" s="76"/>
      <c r="D30" s="76"/>
      <c r="E30" s="76"/>
      <c r="F30" s="77"/>
      <c r="G30" s="36">
        <v>24</v>
      </c>
      <c r="H30" s="36">
        <v>13</v>
      </c>
      <c r="I30" s="36">
        <v>32</v>
      </c>
      <c r="J30" s="36">
        <v>29</v>
      </c>
      <c r="K30" s="36">
        <v>31</v>
      </c>
      <c r="L30" s="36"/>
      <c r="M30" s="36"/>
      <c r="N30" s="36"/>
      <c r="O30" s="36"/>
      <c r="P30" s="36"/>
      <c r="Q30" s="36"/>
      <c r="R30" s="36"/>
      <c r="S30" s="35">
        <f t="shared" si="12"/>
        <v>69</v>
      </c>
      <c r="T30" s="35">
        <f t="shared" si="25"/>
        <v>60</v>
      </c>
      <c r="U30" s="35">
        <f t="shared" si="26"/>
        <v>0</v>
      </c>
      <c r="V30" s="35">
        <f t="shared" si="27"/>
        <v>0</v>
      </c>
      <c r="W30" s="84">
        <f t="shared" si="11"/>
        <v>129</v>
      </c>
    </row>
    <row r="31" spans="1:23" s="94" customFormat="1" ht="17.25" thickTop="1">
      <c r="A31" s="100">
        <v>5</v>
      </c>
      <c r="B31" s="101" t="s">
        <v>56</v>
      </c>
      <c r="C31" s="102"/>
      <c r="D31" s="102"/>
      <c r="E31" s="102"/>
      <c r="F31" s="103"/>
      <c r="G31" s="104">
        <f>G32+G33+G34</f>
        <v>1473</v>
      </c>
      <c r="H31" s="104">
        <f>H32+H33+H34</f>
        <v>1495</v>
      </c>
      <c r="I31" s="104">
        <f>I32+I33+I34</f>
        <v>1507</v>
      </c>
      <c r="J31" s="104">
        <f>J32+J33+J34</f>
        <v>1538</v>
      </c>
      <c r="K31" s="104">
        <f>K32+K33+K34</f>
        <v>1419</v>
      </c>
      <c r="L31" s="104">
        <f>L32+L33+L34</f>
        <v>0</v>
      </c>
      <c r="M31" s="104">
        <f>M32+M33+M34</f>
        <v>0</v>
      </c>
      <c r="N31" s="104">
        <f>N32+N33+N34</f>
        <v>0</v>
      </c>
      <c r="O31" s="104">
        <f>O32+O33+O34</f>
        <v>0</v>
      </c>
      <c r="P31" s="104">
        <f>P32+P33+P34</f>
        <v>0</v>
      </c>
      <c r="Q31" s="104">
        <f>Q32+Q33+Q34</f>
        <v>0</v>
      </c>
      <c r="R31" s="104">
        <f>R32+R33+R34</f>
        <v>0</v>
      </c>
      <c r="S31" s="104"/>
      <c r="T31" s="104"/>
      <c r="U31" s="104"/>
      <c r="V31" s="104"/>
      <c r="W31" s="104"/>
    </row>
    <row r="32" spans="1:23" ht="16.5">
      <c r="A32" s="74" t="s">
        <v>7</v>
      </c>
      <c r="B32" s="58" t="s">
        <v>77</v>
      </c>
      <c r="C32" s="59"/>
      <c r="D32" s="59"/>
      <c r="E32" s="59"/>
      <c r="F32" s="60"/>
      <c r="G32" s="35">
        <v>488</v>
      </c>
      <c r="H32" s="35">
        <v>476</v>
      </c>
      <c r="I32" s="35">
        <v>467</v>
      </c>
      <c r="J32" s="35">
        <v>500</v>
      </c>
      <c r="K32" s="35">
        <v>507</v>
      </c>
      <c r="L32" s="35"/>
      <c r="M32" s="35"/>
      <c r="N32" s="35"/>
      <c r="O32" s="35"/>
      <c r="P32" s="35"/>
      <c r="Q32" s="35"/>
      <c r="R32" s="35"/>
      <c r="S32" s="78">
        <f>I32</f>
        <v>467</v>
      </c>
      <c r="T32" s="78">
        <f>L32</f>
        <v>0</v>
      </c>
      <c r="U32" s="78">
        <f>O32</f>
        <v>0</v>
      </c>
      <c r="V32" s="78">
        <f>R32</f>
        <v>0</v>
      </c>
      <c r="W32" s="84"/>
    </row>
    <row r="33" spans="1:23" ht="16.5">
      <c r="A33" s="74" t="s">
        <v>8</v>
      </c>
      <c r="B33" s="58" t="s">
        <v>78</v>
      </c>
      <c r="C33" s="59"/>
      <c r="D33" s="59"/>
      <c r="E33" s="59"/>
      <c r="F33" s="60"/>
      <c r="G33" s="35">
        <v>801</v>
      </c>
      <c r="H33" s="35">
        <v>825</v>
      </c>
      <c r="I33" s="35">
        <v>860</v>
      </c>
      <c r="J33" s="35">
        <v>854</v>
      </c>
      <c r="K33" s="35">
        <v>728</v>
      </c>
      <c r="L33" s="35"/>
      <c r="M33" s="35"/>
      <c r="N33" s="35"/>
      <c r="O33" s="35"/>
      <c r="P33" s="35"/>
      <c r="Q33" s="35"/>
      <c r="R33" s="35"/>
      <c r="S33" s="78">
        <f t="shared" ref="S33:S35" si="28">I33</f>
        <v>860</v>
      </c>
      <c r="T33" s="78">
        <f t="shared" ref="T33:T35" si="29">L33</f>
        <v>0</v>
      </c>
      <c r="U33" s="78">
        <f t="shared" ref="U33:U35" si="30">O33</f>
        <v>0</v>
      </c>
      <c r="V33" s="78">
        <f t="shared" ref="V33:V35" si="31">R33</f>
        <v>0</v>
      </c>
      <c r="W33" s="84"/>
    </row>
    <row r="34" spans="1:23" ht="16.5">
      <c r="A34" s="74" t="s">
        <v>79</v>
      </c>
      <c r="B34" s="58" t="s">
        <v>143</v>
      </c>
      <c r="C34" s="59"/>
      <c r="D34" s="59"/>
      <c r="E34" s="59"/>
      <c r="F34" s="60"/>
      <c r="G34" s="35">
        <v>184</v>
      </c>
      <c r="H34" s="35">
        <v>194</v>
      </c>
      <c r="I34" s="35">
        <v>180</v>
      </c>
      <c r="J34" s="35">
        <v>184</v>
      </c>
      <c r="K34" s="35">
        <v>184</v>
      </c>
      <c r="L34" s="35"/>
      <c r="M34" s="35"/>
      <c r="N34" s="35"/>
      <c r="O34" s="35"/>
      <c r="P34" s="35"/>
      <c r="Q34" s="35"/>
      <c r="R34" s="35"/>
      <c r="S34" s="78">
        <f t="shared" si="28"/>
        <v>180</v>
      </c>
      <c r="T34" s="78">
        <f t="shared" si="29"/>
        <v>0</v>
      </c>
      <c r="U34" s="78">
        <f t="shared" si="30"/>
        <v>0</v>
      </c>
      <c r="V34" s="78">
        <f t="shared" si="31"/>
        <v>0</v>
      </c>
      <c r="W34" s="84"/>
    </row>
    <row r="35" spans="1:23" ht="16.5">
      <c r="A35" s="74">
        <v>6</v>
      </c>
      <c r="B35" s="58" t="s">
        <v>57</v>
      </c>
      <c r="C35" s="59"/>
      <c r="D35" s="59"/>
      <c r="E35" s="59"/>
      <c r="F35" s="60"/>
      <c r="G35" s="35">
        <v>212</v>
      </c>
      <c r="H35" s="35">
        <v>298</v>
      </c>
      <c r="I35" s="35">
        <v>138</v>
      </c>
      <c r="J35" s="35">
        <v>181</v>
      </c>
      <c r="K35" s="35">
        <v>205</v>
      </c>
      <c r="L35" s="35"/>
      <c r="M35" s="35"/>
      <c r="N35" s="35"/>
      <c r="O35" s="35"/>
      <c r="P35" s="35"/>
      <c r="Q35" s="35"/>
      <c r="R35" s="35"/>
      <c r="S35" s="78">
        <f t="shared" si="28"/>
        <v>138</v>
      </c>
      <c r="T35" s="78">
        <f t="shared" si="29"/>
        <v>0</v>
      </c>
      <c r="U35" s="78">
        <f t="shared" si="30"/>
        <v>0</v>
      </c>
      <c r="V35" s="78">
        <f t="shared" si="31"/>
        <v>0</v>
      </c>
      <c r="W35" s="85"/>
    </row>
    <row r="36" spans="1:23" ht="16.5">
      <c r="A36" s="64" t="s">
        <v>51</v>
      </c>
      <c r="B36" s="64"/>
      <c r="C36" s="64"/>
      <c r="D36" s="64"/>
      <c r="E36" s="64"/>
      <c r="F36" s="64"/>
      <c r="G36" s="64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110"/>
    </row>
    <row r="37" spans="1:23" ht="33" customHeight="1">
      <c r="A37" s="51" t="s">
        <v>0</v>
      </c>
      <c r="B37" s="105" t="s">
        <v>4</v>
      </c>
      <c r="C37" s="106"/>
      <c r="D37" s="106"/>
      <c r="E37" s="106"/>
      <c r="F37" s="107"/>
      <c r="G37" s="55" t="s">
        <v>164</v>
      </c>
      <c r="H37" s="55" t="s">
        <v>165</v>
      </c>
      <c r="I37" s="55" t="s">
        <v>166</v>
      </c>
      <c r="J37" s="55" t="s">
        <v>167</v>
      </c>
      <c r="K37" s="55" t="s">
        <v>168</v>
      </c>
      <c r="L37" s="55" t="s">
        <v>169</v>
      </c>
      <c r="M37" s="55" t="s">
        <v>170</v>
      </c>
      <c r="N37" s="55" t="s">
        <v>171</v>
      </c>
      <c r="O37" s="55" t="s">
        <v>172</v>
      </c>
      <c r="P37" s="55" t="s">
        <v>173</v>
      </c>
      <c r="Q37" s="55" t="s">
        <v>174</v>
      </c>
      <c r="R37" s="55" t="s">
        <v>175</v>
      </c>
      <c r="S37" s="56" t="s">
        <v>176</v>
      </c>
      <c r="T37" s="56" t="s">
        <v>177</v>
      </c>
      <c r="U37" s="56" t="s">
        <v>181</v>
      </c>
      <c r="V37" s="56" t="s">
        <v>182</v>
      </c>
      <c r="W37" s="109" t="s">
        <v>2</v>
      </c>
    </row>
    <row r="38" spans="1:23" s="94" customFormat="1" ht="30" customHeight="1">
      <c r="A38" s="88">
        <v>1</v>
      </c>
      <c r="B38" s="95" t="s">
        <v>23</v>
      </c>
      <c r="C38" s="96"/>
      <c r="D38" s="96"/>
      <c r="E38" s="96"/>
      <c r="F38" s="97"/>
      <c r="G38" s="92">
        <f>G39+G40+G41</f>
        <v>35</v>
      </c>
      <c r="H38" s="92">
        <f>H39+H40+H41</f>
        <v>29</v>
      </c>
      <c r="I38" s="92">
        <f>I39+I40+I41</f>
        <v>43</v>
      </c>
      <c r="J38" s="92">
        <f>J39+J40+J41</f>
        <v>39</v>
      </c>
      <c r="K38" s="92">
        <f>K39+K40+K41</f>
        <v>9</v>
      </c>
      <c r="L38" s="92">
        <f>L39+L40+L41</f>
        <v>0</v>
      </c>
      <c r="M38" s="92">
        <f>M39+M40+M41</f>
        <v>0</v>
      </c>
      <c r="N38" s="92">
        <f>N39+N40+N41</f>
        <v>0</v>
      </c>
      <c r="O38" s="92">
        <f>O39+O40+O41</f>
        <v>0</v>
      </c>
      <c r="P38" s="92">
        <f>P39+P40+P41</f>
        <v>0</v>
      </c>
      <c r="Q38" s="92">
        <f>Q39+Q40+Q41</f>
        <v>0</v>
      </c>
      <c r="R38" s="92">
        <f>R39+R40+R41</f>
        <v>0</v>
      </c>
      <c r="S38" s="92">
        <f>S39+S40+S41</f>
        <v>107</v>
      </c>
      <c r="T38" s="92">
        <f>T39+T40+T41</f>
        <v>48</v>
      </c>
      <c r="U38" s="92">
        <f>U39+U40+U41</f>
        <v>0</v>
      </c>
      <c r="V38" s="92">
        <f>V39+V40+V41</f>
        <v>0</v>
      </c>
      <c r="W38" s="93">
        <f t="shared" ref="W38:W45" si="32">SUM(S38:V38)</f>
        <v>155</v>
      </c>
    </row>
    <row r="39" spans="1:23" ht="16.5">
      <c r="A39" s="74" t="s">
        <v>5</v>
      </c>
      <c r="B39" s="61" t="s">
        <v>80</v>
      </c>
      <c r="C39" s="62"/>
      <c r="D39" s="62"/>
      <c r="E39" s="62"/>
      <c r="F39" s="63"/>
      <c r="G39" s="37">
        <v>4</v>
      </c>
      <c r="H39" s="37">
        <v>2</v>
      </c>
      <c r="I39" s="37">
        <v>11</v>
      </c>
      <c r="J39" s="37">
        <v>14</v>
      </c>
      <c r="K39" s="37">
        <v>6</v>
      </c>
      <c r="L39" s="37"/>
      <c r="M39" s="37"/>
      <c r="N39" s="37"/>
      <c r="O39" s="37"/>
      <c r="P39" s="37"/>
      <c r="Q39" s="37"/>
      <c r="R39" s="37"/>
      <c r="S39" s="35">
        <f t="shared" ref="S39" si="33">SUM(G39:I39)</f>
        <v>17</v>
      </c>
      <c r="T39" s="35">
        <f t="shared" ref="T39" si="34">SUM(J39:L39)</f>
        <v>20</v>
      </c>
      <c r="U39" s="35">
        <f t="shared" ref="U39" si="35">SUM(M39:O39)</f>
        <v>0</v>
      </c>
      <c r="V39" s="35">
        <f t="shared" ref="V39:W39" si="36">SUM(P39:R39)</f>
        <v>0</v>
      </c>
      <c r="W39" s="84">
        <f t="shared" si="32"/>
        <v>37</v>
      </c>
    </row>
    <row r="40" spans="1:23" ht="16.5">
      <c r="A40" s="74" t="s">
        <v>6</v>
      </c>
      <c r="B40" s="61" t="s">
        <v>81</v>
      </c>
      <c r="C40" s="62"/>
      <c r="D40" s="62"/>
      <c r="E40" s="62"/>
      <c r="F40" s="63"/>
      <c r="G40" s="37">
        <v>26</v>
      </c>
      <c r="H40" s="37">
        <v>23</v>
      </c>
      <c r="I40" s="37">
        <v>26</v>
      </c>
      <c r="J40" s="37">
        <v>21</v>
      </c>
      <c r="K40" s="37">
        <v>0</v>
      </c>
      <c r="L40" s="37"/>
      <c r="M40" s="37"/>
      <c r="N40" s="37"/>
      <c r="O40" s="37"/>
      <c r="P40" s="37"/>
      <c r="Q40" s="37"/>
      <c r="R40" s="37"/>
      <c r="S40" s="35">
        <f t="shared" ref="S40:S42" si="37">SUM(G40:I40)</f>
        <v>75</v>
      </c>
      <c r="T40" s="35">
        <f t="shared" ref="T40:T42" si="38">SUM(J40:L40)</f>
        <v>21</v>
      </c>
      <c r="U40" s="35">
        <f t="shared" ref="U40:U42" si="39">SUM(M40:O40)</f>
        <v>0</v>
      </c>
      <c r="V40" s="35">
        <f t="shared" ref="V40:W42" si="40">SUM(P40:R40)</f>
        <v>0</v>
      </c>
      <c r="W40" s="84">
        <f t="shared" si="32"/>
        <v>96</v>
      </c>
    </row>
    <row r="41" spans="1:23" ht="16.5">
      <c r="A41" s="74" t="s">
        <v>67</v>
      </c>
      <c r="B41" s="58" t="s">
        <v>147</v>
      </c>
      <c r="C41" s="62"/>
      <c r="D41" s="62"/>
      <c r="E41" s="62"/>
      <c r="F41" s="63"/>
      <c r="G41" s="37">
        <v>5</v>
      </c>
      <c r="H41" s="37">
        <v>4</v>
      </c>
      <c r="I41" s="37">
        <v>6</v>
      </c>
      <c r="J41" s="37">
        <v>4</v>
      </c>
      <c r="K41" s="37">
        <v>3</v>
      </c>
      <c r="L41" s="37"/>
      <c r="M41" s="37"/>
      <c r="N41" s="37"/>
      <c r="O41" s="37"/>
      <c r="P41" s="37"/>
      <c r="Q41" s="37"/>
      <c r="R41" s="37"/>
      <c r="S41" s="35">
        <f t="shared" si="37"/>
        <v>15</v>
      </c>
      <c r="T41" s="35">
        <f t="shared" si="38"/>
        <v>7</v>
      </c>
      <c r="U41" s="35">
        <f t="shared" si="39"/>
        <v>0</v>
      </c>
      <c r="V41" s="35">
        <f t="shared" si="40"/>
        <v>0</v>
      </c>
      <c r="W41" s="84">
        <f t="shared" si="32"/>
        <v>22</v>
      </c>
    </row>
    <row r="42" spans="1:23" s="94" customFormat="1" ht="16.5">
      <c r="A42" s="88">
        <v>2</v>
      </c>
      <c r="B42" s="95" t="s">
        <v>26</v>
      </c>
      <c r="C42" s="96"/>
      <c r="D42" s="96"/>
      <c r="E42" s="96"/>
      <c r="F42" s="97"/>
      <c r="G42" s="92">
        <f>G43+G44+G45</f>
        <v>14</v>
      </c>
      <c r="H42" s="92">
        <f>H43+H44+H45</f>
        <v>13</v>
      </c>
      <c r="I42" s="92">
        <f>I43+I44+I45</f>
        <v>21</v>
      </c>
      <c r="J42" s="92">
        <f>J43+J44+J45</f>
        <v>31</v>
      </c>
      <c r="K42" s="92">
        <f>K43+K44+K45</f>
        <v>8</v>
      </c>
      <c r="L42" s="92">
        <f>L43+L44+L45</f>
        <v>0</v>
      </c>
      <c r="M42" s="92">
        <f>M43+M44+M45</f>
        <v>0</v>
      </c>
      <c r="N42" s="92">
        <f>N43+N44+N45</f>
        <v>0</v>
      </c>
      <c r="O42" s="92">
        <f>O43+O44+O45</f>
        <v>0</v>
      </c>
      <c r="P42" s="92">
        <f>P43+P44+P45</f>
        <v>0</v>
      </c>
      <c r="Q42" s="92">
        <f>Q43+Q44+Q45</f>
        <v>0</v>
      </c>
      <c r="R42" s="92">
        <f>R43+R44+R45</f>
        <v>0</v>
      </c>
      <c r="S42" s="93">
        <f t="shared" si="37"/>
        <v>48</v>
      </c>
      <c r="T42" s="93">
        <f t="shared" si="38"/>
        <v>39</v>
      </c>
      <c r="U42" s="93">
        <f t="shared" si="39"/>
        <v>0</v>
      </c>
      <c r="V42" s="93">
        <f t="shared" si="40"/>
        <v>0</v>
      </c>
      <c r="W42" s="93">
        <f t="shared" si="32"/>
        <v>87</v>
      </c>
    </row>
    <row r="43" spans="1:23" ht="16.5">
      <c r="A43" s="74" t="s">
        <v>68</v>
      </c>
      <c r="B43" s="61" t="s">
        <v>82</v>
      </c>
      <c r="C43" s="62"/>
      <c r="D43" s="62"/>
      <c r="E43" s="62"/>
      <c r="F43" s="63"/>
      <c r="G43" s="37">
        <v>0</v>
      </c>
      <c r="H43" s="37">
        <v>2</v>
      </c>
      <c r="I43" s="37">
        <v>6</v>
      </c>
      <c r="J43" s="37">
        <v>12</v>
      </c>
      <c r="K43" s="37">
        <v>5</v>
      </c>
      <c r="L43" s="37"/>
      <c r="M43" s="37"/>
      <c r="N43" s="37"/>
      <c r="O43" s="37"/>
      <c r="P43" s="37"/>
      <c r="Q43" s="37"/>
      <c r="R43" s="37"/>
      <c r="S43" s="35">
        <f t="shared" ref="S39:S63" si="41">SUM(G43:I43)</f>
        <v>8</v>
      </c>
      <c r="T43" s="35">
        <f t="shared" ref="T43:T45" si="42">SUM(J43:L43)</f>
        <v>17</v>
      </c>
      <c r="U43" s="35">
        <f t="shared" ref="U43:U45" si="43">SUM(M43:O43)</f>
        <v>0</v>
      </c>
      <c r="V43" s="35">
        <f t="shared" ref="V43:W45" si="44">SUM(P43:R43)</f>
        <v>0</v>
      </c>
      <c r="W43" s="84">
        <f t="shared" si="32"/>
        <v>25</v>
      </c>
    </row>
    <row r="44" spans="1:23" ht="16.5">
      <c r="A44" s="74" t="s">
        <v>69</v>
      </c>
      <c r="B44" s="61" t="s">
        <v>83</v>
      </c>
      <c r="C44" s="62"/>
      <c r="D44" s="62"/>
      <c r="E44" s="62"/>
      <c r="F44" s="63"/>
      <c r="G44" s="37">
        <v>9</v>
      </c>
      <c r="H44" s="37">
        <v>5</v>
      </c>
      <c r="I44" s="37">
        <v>14</v>
      </c>
      <c r="J44" s="37">
        <v>12</v>
      </c>
      <c r="K44" s="37">
        <v>0</v>
      </c>
      <c r="L44" s="37"/>
      <c r="M44" s="37"/>
      <c r="N44" s="37"/>
      <c r="O44" s="37"/>
      <c r="P44" s="37"/>
      <c r="Q44" s="37"/>
      <c r="R44" s="37"/>
      <c r="S44" s="35">
        <f t="shared" si="41"/>
        <v>28</v>
      </c>
      <c r="T44" s="35">
        <f t="shared" si="42"/>
        <v>12</v>
      </c>
      <c r="U44" s="35">
        <f t="shared" si="43"/>
        <v>0</v>
      </c>
      <c r="V44" s="35">
        <f t="shared" si="44"/>
        <v>0</v>
      </c>
      <c r="W44" s="84">
        <f t="shared" si="32"/>
        <v>40</v>
      </c>
    </row>
    <row r="45" spans="1:23" ht="17.25" thickBot="1">
      <c r="A45" s="71" t="s">
        <v>70</v>
      </c>
      <c r="B45" s="79" t="s">
        <v>84</v>
      </c>
      <c r="C45" s="76"/>
      <c r="D45" s="76"/>
      <c r="E45" s="76"/>
      <c r="F45" s="77"/>
      <c r="G45" s="38">
        <v>5</v>
      </c>
      <c r="H45" s="38">
        <v>6</v>
      </c>
      <c r="I45" s="38">
        <v>1</v>
      </c>
      <c r="J45" s="38">
        <v>7</v>
      </c>
      <c r="K45" s="38">
        <v>3</v>
      </c>
      <c r="L45" s="38"/>
      <c r="M45" s="38"/>
      <c r="N45" s="38"/>
      <c r="O45" s="38"/>
      <c r="P45" s="38"/>
      <c r="Q45" s="38"/>
      <c r="R45" s="38"/>
      <c r="S45" s="35">
        <f t="shared" si="41"/>
        <v>12</v>
      </c>
      <c r="T45" s="35">
        <f t="shared" si="42"/>
        <v>10</v>
      </c>
      <c r="U45" s="35">
        <f t="shared" si="43"/>
        <v>0</v>
      </c>
      <c r="V45" s="35">
        <f t="shared" si="44"/>
        <v>0</v>
      </c>
      <c r="W45" s="84">
        <f t="shared" si="32"/>
        <v>22</v>
      </c>
    </row>
    <row r="46" spans="1:23" s="94" customFormat="1" ht="17.25" thickTop="1">
      <c r="A46" s="100">
        <v>3</v>
      </c>
      <c r="B46" s="101" t="s">
        <v>58</v>
      </c>
      <c r="C46" s="102"/>
      <c r="D46" s="102"/>
      <c r="E46" s="102"/>
      <c r="F46" s="103"/>
      <c r="G46" s="104">
        <f>G47+G48+G49</f>
        <v>811</v>
      </c>
      <c r="H46" s="104">
        <f>H47+H48+H49</f>
        <v>812</v>
      </c>
      <c r="I46" s="104">
        <f>I47+I48+I49</f>
        <v>829</v>
      </c>
      <c r="J46" s="104">
        <f>J47+J48+J49</f>
        <v>854</v>
      </c>
      <c r="K46" s="104">
        <f>K47+K48+K49</f>
        <v>818</v>
      </c>
      <c r="L46" s="104">
        <f>L47+L48+L49</f>
        <v>0</v>
      </c>
      <c r="M46" s="104">
        <f>M47+M48+M49</f>
        <v>0</v>
      </c>
      <c r="N46" s="104">
        <f>N47+N48+N49</f>
        <v>0</v>
      </c>
      <c r="O46" s="104">
        <f>O47+O48+O49</f>
        <v>0</v>
      </c>
      <c r="P46" s="104">
        <f>P47+P48+P49</f>
        <v>0</v>
      </c>
      <c r="Q46" s="104">
        <f>Q47+Q48+Q49</f>
        <v>0</v>
      </c>
      <c r="R46" s="104">
        <f>R47+R48+R49</f>
        <v>0</v>
      </c>
      <c r="S46" s="104"/>
      <c r="T46" s="104"/>
      <c r="U46" s="104"/>
      <c r="V46" s="104"/>
      <c r="W46" s="104"/>
    </row>
    <row r="47" spans="1:23" ht="16.5">
      <c r="A47" s="74" t="s">
        <v>74</v>
      </c>
      <c r="B47" s="58" t="s">
        <v>85</v>
      </c>
      <c r="C47" s="59"/>
      <c r="D47" s="59"/>
      <c r="E47" s="59"/>
      <c r="F47" s="60"/>
      <c r="G47" s="37">
        <v>204</v>
      </c>
      <c r="H47" s="37">
        <v>191</v>
      </c>
      <c r="I47" s="37">
        <v>186</v>
      </c>
      <c r="J47" s="37">
        <v>200</v>
      </c>
      <c r="K47" s="37">
        <v>211</v>
      </c>
      <c r="L47" s="37"/>
      <c r="M47" s="37"/>
      <c r="N47" s="37"/>
      <c r="O47" s="37"/>
      <c r="P47" s="37"/>
      <c r="Q47" s="37"/>
      <c r="R47" s="37"/>
      <c r="S47" s="78">
        <f>I47</f>
        <v>186</v>
      </c>
      <c r="T47" s="78">
        <f>L47</f>
        <v>0</v>
      </c>
      <c r="U47" s="78">
        <f>O47</f>
        <v>0</v>
      </c>
      <c r="V47" s="78">
        <f>R47</f>
        <v>0</v>
      </c>
      <c r="W47" s="84"/>
    </row>
    <row r="48" spans="1:23" ht="16.5">
      <c r="A48" s="74" t="s">
        <v>75</v>
      </c>
      <c r="B48" s="58" t="s">
        <v>86</v>
      </c>
      <c r="C48" s="59"/>
      <c r="D48" s="59"/>
      <c r="E48" s="59"/>
      <c r="F48" s="60"/>
      <c r="G48" s="37">
        <v>519</v>
      </c>
      <c r="H48" s="37">
        <v>530</v>
      </c>
      <c r="I48" s="37">
        <v>550</v>
      </c>
      <c r="J48" s="37">
        <v>555</v>
      </c>
      <c r="K48" s="37">
        <v>505</v>
      </c>
      <c r="L48" s="37"/>
      <c r="M48" s="37"/>
      <c r="N48" s="37"/>
      <c r="O48" s="37"/>
      <c r="P48" s="37"/>
      <c r="Q48" s="37"/>
      <c r="R48" s="37"/>
      <c r="S48" s="78">
        <f t="shared" ref="S48:S49" si="45">I48</f>
        <v>550</v>
      </c>
      <c r="T48" s="78">
        <f t="shared" ref="T48:T49" si="46">L48</f>
        <v>0</v>
      </c>
      <c r="U48" s="78">
        <f t="shared" ref="U48:U49" si="47">O48</f>
        <v>0</v>
      </c>
      <c r="V48" s="78">
        <f t="shared" ref="V48:V49" si="48">R48</f>
        <v>0</v>
      </c>
      <c r="W48" s="84"/>
    </row>
    <row r="49" spans="1:23" ht="16.5">
      <c r="A49" s="74" t="s">
        <v>76</v>
      </c>
      <c r="B49" s="58" t="s">
        <v>87</v>
      </c>
      <c r="C49" s="59"/>
      <c r="D49" s="59"/>
      <c r="E49" s="59"/>
      <c r="F49" s="60"/>
      <c r="G49" s="37">
        <v>88</v>
      </c>
      <c r="H49" s="37">
        <v>91</v>
      </c>
      <c r="I49" s="37">
        <v>93</v>
      </c>
      <c r="J49" s="37">
        <v>99</v>
      </c>
      <c r="K49" s="37">
        <v>102</v>
      </c>
      <c r="L49" s="37"/>
      <c r="M49" s="37"/>
      <c r="N49" s="37"/>
      <c r="O49" s="37"/>
      <c r="P49" s="37"/>
      <c r="Q49" s="37"/>
      <c r="R49" s="37"/>
      <c r="S49" s="78">
        <f t="shared" si="45"/>
        <v>93</v>
      </c>
      <c r="T49" s="78">
        <f t="shared" si="46"/>
        <v>0</v>
      </c>
      <c r="U49" s="78">
        <f t="shared" si="47"/>
        <v>0</v>
      </c>
      <c r="V49" s="78">
        <f t="shared" si="48"/>
        <v>0</v>
      </c>
      <c r="W49" s="84"/>
    </row>
    <row r="50" spans="1:23" s="94" customFormat="1" ht="16.5">
      <c r="A50" s="88">
        <v>4</v>
      </c>
      <c r="B50" s="89" t="s">
        <v>59</v>
      </c>
      <c r="C50" s="90"/>
      <c r="D50" s="90"/>
      <c r="E50" s="90"/>
      <c r="F50" s="91"/>
      <c r="G50" s="98">
        <v>60</v>
      </c>
      <c r="H50" s="98">
        <v>29</v>
      </c>
      <c r="I50" s="98">
        <v>117</v>
      </c>
      <c r="J50" s="98">
        <v>156</v>
      </c>
      <c r="K50" s="98"/>
      <c r="L50" s="98"/>
      <c r="M50" s="98"/>
      <c r="N50" s="98"/>
      <c r="O50" s="98"/>
      <c r="P50" s="98"/>
      <c r="Q50" s="98"/>
      <c r="R50" s="98"/>
      <c r="S50" s="93"/>
      <c r="T50" s="99"/>
      <c r="U50" s="99"/>
      <c r="V50" s="99"/>
      <c r="W50" s="99"/>
    </row>
    <row r="51" spans="1:23" s="94" customFormat="1" ht="16.5">
      <c r="A51" s="88">
        <v>5</v>
      </c>
      <c r="B51" s="95" t="s">
        <v>20</v>
      </c>
      <c r="C51" s="96"/>
      <c r="D51" s="96"/>
      <c r="E51" s="96"/>
      <c r="F51" s="97"/>
      <c r="G51" s="98">
        <v>0</v>
      </c>
      <c r="H51" s="98">
        <v>0</v>
      </c>
      <c r="I51" s="98">
        <v>2</v>
      </c>
      <c r="J51" s="98">
        <v>0</v>
      </c>
      <c r="K51" s="98">
        <v>0</v>
      </c>
      <c r="L51" s="98"/>
      <c r="M51" s="98"/>
      <c r="N51" s="98"/>
      <c r="O51" s="98"/>
      <c r="P51" s="98"/>
      <c r="Q51" s="98"/>
      <c r="R51" s="98"/>
      <c r="S51" s="93">
        <f t="shared" si="41"/>
        <v>2</v>
      </c>
      <c r="T51" s="93">
        <f t="shared" ref="T51" si="49">SUM(J51:L51)</f>
        <v>0</v>
      </c>
      <c r="U51" s="93">
        <f t="shared" ref="U51" si="50">SUM(M51:O51)</f>
        <v>0</v>
      </c>
      <c r="V51" s="93">
        <f t="shared" ref="V51:W51" si="51">SUM(P51:R51)</f>
        <v>0</v>
      </c>
      <c r="W51" s="93">
        <f t="shared" ref="W51:W59" si="52">SUM(S51:V51)</f>
        <v>2</v>
      </c>
    </row>
    <row r="52" spans="1:23" s="94" customFormat="1" ht="32.25" customHeight="1">
      <c r="A52" s="88">
        <v>6</v>
      </c>
      <c r="B52" s="95" t="s">
        <v>17</v>
      </c>
      <c r="C52" s="96"/>
      <c r="D52" s="96"/>
      <c r="E52" s="96"/>
      <c r="F52" s="97"/>
      <c r="G52" s="92">
        <f>G53+G54+G55</f>
        <v>41</v>
      </c>
      <c r="H52" s="92">
        <f>H53+H54+H55</f>
        <v>41</v>
      </c>
      <c r="I52" s="92">
        <f>I53+I54+I55</f>
        <v>47</v>
      </c>
      <c r="J52" s="92">
        <f>J53+J54+J55</f>
        <v>45</v>
      </c>
      <c r="K52" s="92">
        <f>K53+K54+K55</f>
        <v>53</v>
      </c>
      <c r="L52" s="92">
        <f>L53+L54+L55</f>
        <v>0</v>
      </c>
      <c r="M52" s="92">
        <f>M53+M54+M55</f>
        <v>0</v>
      </c>
      <c r="N52" s="92">
        <f>N53+N54+N55</f>
        <v>0</v>
      </c>
      <c r="O52" s="92">
        <f>O53+O54+O55</f>
        <v>0</v>
      </c>
      <c r="P52" s="92">
        <f>P53+P54+P55</f>
        <v>0</v>
      </c>
      <c r="Q52" s="92">
        <f>Q53+Q54+Q55</f>
        <v>0</v>
      </c>
      <c r="R52" s="92">
        <f>R53+R54+R55</f>
        <v>0</v>
      </c>
      <c r="S52" s="92">
        <f>S53+S54+S55</f>
        <v>129</v>
      </c>
      <c r="T52" s="92">
        <f>T53+T54+T55</f>
        <v>98</v>
      </c>
      <c r="U52" s="92">
        <f>U53+U54+U55</f>
        <v>0</v>
      </c>
      <c r="V52" s="92">
        <f>V53+V54+V55</f>
        <v>0</v>
      </c>
      <c r="W52" s="93">
        <f t="shared" si="52"/>
        <v>227</v>
      </c>
    </row>
    <row r="53" spans="1:23" ht="16.5">
      <c r="A53" s="74" t="s">
        <v>97</v>
      </c>
      <c r="B53" s="61" t="s">
        <v>88</v>
      </c>
      <c r="C53" s="62"/>
      <c r="D53" s="62"/>
      <c r="E53" s="62"/>
      <c r="F53" s="63"/>
      <c r="G53" s="37">
        <v>3</v>
      </c>
      <c r="H53" s="37">
        <v>17</v>
      </c>
      <c r="I53" s="37">
        <v>22</v>
      </c>
      <c r="J53" s="37">
        <v>12</v>
      </c>
      <c r="K53" s="37">
        <v>0</v>
      </c>
      <c r="L53" s="37"/>
      <c r="M53" s="37"/>
      <c r="N53" s="37"/>
      <c r="O53" s="37"/>
      <c r="P53" s="37"/>
      <c r="Q53" s="37"/>
      <c r="R53" s="37"/>
      <c r="S53" s="35">
        <f t="shared" si="41"/>
        <v>42</v>
      </c>
      <c r="T53" s="35">
        <f t="shared" ref="T53" si="53">SUM(J53:L53)</f>
        <v>12</v>
      </c>
      <c r="U53" s="35">
        <f t="shared" ref="U53" si="54">SUM(M53:O53)</f>
        <v>0</v>
      </c>
      <c r="V53" s="35">
        <f t="shared" ref="V53:W53" si="55">SUM(P53:R53)</f>
        <v>0</v>
      </c>
      <c r="W53" s="84">
        <f t="shared" si="52"/>
        <v>54</v>
      </c>
    </row>
    <row r="54" spans="1:23" ht="16.5">
      <c r="A54" s="74" t="s">
        <v>98</v>
      </c>
      <c r="B54" s="61" t="s">
        <v>89</v>
      </c>
      <c r="C54" s="62"/>
      <c r="D54" s="62"/>
      <c r="E54" s="62"/>
      <c r="F54" s="63"/>
      <c r="G54" s="37">
        <v>28</v>
      </c>
      <c r="H54" s="37">
        <v>17</v>
      </c>
      <c r="I54" s="37">
        <v>20</v>
      </c>
      <c r="J54" s="37">
        <v>28</v>
      </c>
      <c r="K54" s="37">
        <v>50</v>
      </c>
      <c r="L54" s="37"/>
      <c r="M54" s="37"/>
      <c r="N54" s="37"/>
      <c r="O54" s="37"/>
      <c r="P54" s="37"/>
      <c r="Q54" s="37"/>
      <c r="R54" s="37"/>
      <c r="S54" s="35">
        <f t="shared" si="41"/>
        <v>65</v>
      </c>
      <c r="T54" s="35">
        <f>SUM(J54:L54)</f>
        <v>78</v>
      </c>
      <c r="U54" s="35">
        <f t="shared" ref="U54:U55" si="56">SUM(M54:O54)</f>
        <v>0</v>
      </c>
      <c r="V54" s="35">
        <f t="shared" ref="V54:W55" si="57">SUM(P54:R54)</f>
        <v>0</v>
      </c>
      <c r="W54" s="84">
        <f t="shared" si="52"/>
        <v>143</v>
      </c>
    </row>
    <row r="55" spans="1:23" ht="16.5">
      <c r="A55" s="74" t="s">
        <v>99</v>
      </c>
      <c r="B55" s="58" t="s">
        <v>90</v>
      </c>
      <c r="C55" s="62"/>
      <c r="D55" s="62"/>
      <c r="E55" s="62"/>
      <c r="F55" s="63"/>
      <c r="G55" s="37">
        <v>10</v>
      </c>
      <c r="H55" s="37">
        <v>7</v>
      </c>
      <c r="I55" s="37">
        <v>5</v>
      </c>
      <c r="J55" s="37">
        <v>5</v>
      </c>
      <c r="K55" s="37">
        <v>3</v>
      </c>
      <c r="L55" s="37"/>
      <c r="M55" s="37"/>
      <c r="N55" s="37"/>
      <c r="O55" s="37"/>
      <c r="P55" s="37"/>
      <c r="Q55" s="37"/>
      <c r="R55" s="37"/>
      <c r="S55" s="35">
        <f t="shared" si="41"/>
        <v>22</v>
      </c>
      <c r="T55" s="35">
        <f t="shared" ref="T54:T55" si="58">SUM(J55:L55)</f>
        <v>8</v>
      </c>
      <c r="U55" s="35">
        <f t="shared" si="56"/>
        <v>0</v>
      </c>
      <c r="V55" s="35">
        <f t="shared" si="57"/>
        <v>0</v>
      </c>
      <c r="W55" s="84">
        <f t="shared" si="52"/>
        <v>30</v>
      </c>
    </row>
    <row r="56" spans="1:23" s="94" customFormat="1" ht="34.5" customHeight="1">
      <c r="A56" s="88">
        <v>7</v>
      </c>
      <c r="B56" s="95" t="s">
        <v>11</v>
      </c>
      <c r="C56" s="96"/>
      <c r="D56" s="96"/>
      <c r="E56" s="96"/>
      <c r="F56" s="97"/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3">
        <f t="shared" si="52"/>
        <v>0</v>
      </c>
    </row>
    <row r="57" spans="1:23" ht="16.5">
      <c r="A57" s="74" t="s">
        <v>100</v>
      </c>
      <c r="B57" s="61" t="s">
        <v>91</v>
      </c>
      <c r="C57" s="62"/>
      <c r="D57" s="62"/>
      <c r="E57" s="62"/>
      <c r="F57" s="63"/>
      <c r="G57" s="37">
        <v>0</v>
      </c>
      <c r="H57" s="37">
        <v>0</v>
      </c>
      <c r="I57" s="37">
        <v>0</v>
      </c>
      <c r="J57" s="37">
        <v>0</v>
      </c>
      <c r="K57" s="87">
        <v>0</v>
      </c>
      <c r="L57" s="37"/>
      <c r="M57" s="37"/>
      <c r="N57" s="37"/>
      <c r="O57" s="37"/>
      <c r="P57" s="37"/>
      <c r="Q57" s="37"/>
      <c r="R57" s="37"/>
      <c r="S57" s="35">
        <f t="shared" si="41"/>
        <v>0</v>
      </c>
      <c r="T57" s="35">
        <f>SUM(J57:L57)</f>
        <v>0</v>
      </c>
      <c r="U57" s="35">
        <f t="shared" ref="U57" si="59">SUM(M57:O57)</f>
        <v>0</v>
      </c>
      <c r="V57" s="35">
        <f t="shared" ref="V57:W57" si="60">SUM(P57:R57)</f>
        <v>0</v>
      </c>
      <c r="W57" s="84">
        <f>SUM(S57:V57)</f>
        <v>0</v>
      </c>
    </row>
    <row r="58" spans="1:23" ht="16.5">
      <c r="A58" s="74" t="s">
        <v>101</v>
      </c>
      <c r="B58" s="61" t="s">
        <v>92</v>
      </c>
      <c r="C58" s="62"/>
      <c r="D58" s="62"/>
      <c r="E58" s="62"/>
      <c r="F58" s="63"/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/>
      <c r="M58" s="37"/>
      <c r="N58" s="37"/>
      <c r="O58" s="37"/>
      <c r="P58" s="37"/>
      <c r="Q58" s="37"/>
      <c r="R58" s="37"/>
      <c r="S58" s="35">
        <f t="shared" si="41"/>
        <v>0</v>
      </c>
      <c r="T58" s="35">
        <f t="shared" ref="T58:T63" si="61">SUM(J58:L58)</f>
        <v>0</v>
      </c>
      <c r="U58" s="35">
        <f t="shared" ref="U58:U63" si="62">SUM(M58:O58)</f>
        <v>0</v>
      </c>
      <c r="V58" s="35">
        <f t="shared" ref="V58:W63" si="63">SUM(P58:R58)</f>
        <v>0</v>
      </c>
      <c r="W58" s="84">
        <f t="shared" si="52"/>
        <v>0</v>
      </c>
    </row>
    <row r="59" spans="1:23" ht="16.5">
      <c r="A59" s="74" t="s">
        <v>102</v>
      </c>
      <c r="B59" s="58" t="s">
        <v>93</v>
      </c>
      <c r="C59" s="62"/>
      <c r="D59" s="62"/>
      <c r="E59" s="62"/>
      <c r="F59" s="63"/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/>
      <c r="M59" s="37"/>
      <c r="N59" s="37"/>
      <c r="O59" s="37"/>
      <c r="P59" s="37"/>
      <c r="Q59" s="37"/>
      <c r="R59" s="37"/>
      <c r="S59" s="35">
        <f t="shared" si="41"/>
        <v>0</v>
      </c>
      <c r="T59" s="35">
        <f t="shared" si="61"/>
        <v>0</v>
      </c>
      <c r="U59" s="35">
        <f t="shared" si="62"/>
        <v>0</v>
      </c>
      <c r="V59" s="35">
        <f t="shared" si="63"/>
        <v>0</v>
      </c>
      <c r="W59" s="84">
        <f t="shared" si="52"/>
        <v>0</v>
      </c>
    </row>
    <row r="60" spans="1:23" s="94" customFormat="1" ht="16.5">
      <c r="A60" s="88">
        <v>8</v>
      </c>
      <c r="B60" s="89" t="s">
        <v>60</v>
      </c>
      <c r="C60" s="90"/>
      <c r="D60" s="90"/>
      <c r="E60" s="90"/>
      <c r="F60" s="91"/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2">
        <v>0</v>
      </c>
      <c r="O60" s="92">
        <v>0</v>
      </c>
      <c r="P60" s="92">
        <v>0</v>
      </c>
      <c r="Q60" s="92">
        <v>0</v>
      </c>
      <c r="R60" s="92">
        <v>0</v>
      </c>
      <c r="S60" s="93"/>
      <c r="T60" s="93"/>
      <c r="U60" s="93"/>
      <c r="V60" s="93"/>
      <c r="W60" s="93"/>
    </row>
    <row r="61" spans="1:23" ht="16.5">
      <c r="A61" s="74" t="s">
        <v>103</v>
      </c>
      <c r="B61" s="58" t="s">
        <v>94</v>
      </c>
      <c r="C61" s="59"/>
      <c r="D61" s="59"/>
      <c r="E61" s="59"/>
      <c r="F61" s="60"/>
      <c r="G61" s="87">
        <v>0</v>
      </c>
      <c r="H61" s="87">
        <v>0</v>
      </c>
      <c r="I61" s="87">
        <v>0</v>
      </c>
      <c r="J61" s="87">
        <v>0</v>
      </c>
      <c r="K61" s="87">
        <v>0</v>
      </c>
      <c r="L61" s="87"/>
      <c r="M61" s="87"/>
      <c r="N61" s="87"/>
      <c r="O61" s="87"/>
      <c r="P61" s="87"/>
      <c r="Q61" s="87"/>
      <c r="R61" s="87"/>
      <c r="S61" s="78">
        <f>I61</f>
        <v>0</v>
      </c>
      <c r="T61" s="78">
        <f>L61</f>
        <v>0</v>
      </c>
      <c r="U61" s="78">
        <f>O61</f>
        <v>0</v>
      </c>
      <c r="V61" s="78">
        <f>R61</f>
        <v>0</v>
      </c>
      <c r="W61" s="84"/>
    </row>
    <row r="62" spans="1:23" ht="16.5">
      <c r="A62" s="74" t="s">
        <v>104</v>
      </c>
      <c r="B62" s="58" t="s">
        <v>95</v>
      </c>
      <c r="C62" s="59"/>
      <c r="D62" s="59"/>
      <c r="E62" s="59"/>
      <c r="F62" s="60"/>
      <c r="G62" s="87">
        <v>0</v>
      </c>
      <c r="H62" s="87">
        <v>0</v>
      </c>
      <c r="I62" s="87">
        <v>0</v>
      </c>
      <c r="J62" s="87">
        <v>0</v>
      </c>
      <c r="K62" s="87">
        <v>0</v>
      </c>
      <c r="L62" s="87"/>
      <c r="M62" s="87"/>
      <c r="N62" s="87"/>
      <c r="O62" s="87"/>
      <c r="P62" s="87"/>
      <c r="Q62" s="87"/>
      <c r="R62" s="87"/>
      <c r="S62" s="78">
        <f t="shared" ref="S62:S63" si="64">I62</f>
        <v>0</v>
      </c>
      <c r="T62" s="78">
        <f t="shared" ref="T62:T63" si="65">L62</f>
        <v>0</v>
      </c>
      <c r="U62" s="78">
        <f t="shared" ref="U62:U63" si="66">O62</f>
        <v>0</v>
      </c>
      <c r="V62" s="78">
        <f t="shared" ref="V62:V63" si="67">R62</f>
        <v>0</v>
      </c>
      <c r="W62" s="84"/>
    </row>
    <row r="63" spans="1:23" ht="16.5">
      <c r="A63" s="74" t="s">
        <v>105</v>
      </c>
      <c r="B63" s="58" t="s">
        <v>96</v>
      </c>
      <c r="C63" s="59"/>
      <c r="D63" s="59"/>
      <c r="E63" s="59"/>
      <c r="F63" s="60"/>
      <c r="G63" s="87">
        <v>0</v>
      </c>
      <c r="H63" s="87">
        <v>0</v>
      </c>
      <c r="I63" s="87">
        <v>0</v>
      </c>
      <c r="J63" s="87">
        <v>0</v>
      </c>
      <c r="K63" s="87">
        <v>0</v>
      </c>
      <c r="L63" s="87"/>
      <c r="M63" s="87"/>
      <c r="N63" s="87"/>
      <c r="O63" s="87"/>
      <c r="P63" s="87"/>
      <c r="Q63" s="87"/>
      <c r="R63" s="87"/>
      <c r="S63" s="78">
        <f t="shared" si="64"/>
        <v>0</v>
      </c>
      <c r="T63" s="78">
        <f t="shared" si="65"/>
        <v>0</v>
      </c>
      <c r="U63" s="78">
        <f t="shared" si="66"/>
        <v>0</v>
      </c>
      <c r="V63" s="78">
        <f t="shared" si="67"/>
        <v>0</v>
      </c>
      <c r="W63" s="84"/>
    </row>
    <row r="64" spans="1:23" ht="17.25">
      <c r="A64" s="64" t="s">
        <v>178</v>
      </c>
      <c r="B64" s="64"/>
      <c r="C64" s="64"/>
      <c r="D64" s="64"/>
      <c r="E64" s="64"/>
      <c r="F64" s="64"/>
      <c r="G64" s="64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110"/>
    </row>
    <row r="65" spans="1:23" ht="35.25" customHeight="1">
      <c r="A65" s="51" t="s">
        <v>0</v>
      </c>
      <c r="B65" s="52" t="s">
        <v>1</v>
      </c>
      <c r="C65" s="53"/>
      <c r="D65" s="53"/>
      <c r="E65" s="53"/>
      <c r="F65" s="54"/>
      <c r="G65" s="55" t="s">
        <v>164</v>
      </c>
      <c r="H65" s="55" t="s">
        <v>165</v>
      </c>
      <c r="I65" s="55" t="s">
        <v>166</v>
      </c>
      <c r="J65" s="55" t="s">
        <v>167</v>
      </c>
      <c r="K65" s="55" t="s">
        <v>168</v>
      </c>
      <c r="L65" s="55" t="s">
        <v>169</v>
      </c>
      <c r="M65" s="55" t="s">
        <v>170</v>
      </c>
      <c r="N65" s="55" t="s">
        <v>171</v>
      </c>
      <c r="O65" s="55" t="s">
        <v>172</v>
      </c>
      <c r="P65" s="55" t="s">
        <v>173</v>
      </c>
      <c r="Q65" s="55" t="s">
        <v>174</v>
      </c>
      <c r="R65" s="55" t="s">
        <v>175</v>
      </c>
      <c r="S65" s="56" t="s">
        <v>176</v>
      </c>
      <c r="T65" s="56" t="s">
        <v>177</v>
      </c>
      <c r="U65" s="56" t="s">
        <v>181</v>
      </c>
      <c r="V65" s="56" t="s">
        <v>182</v>
      </c>
      <c r="W65" s="109" t="s">
        <v>2</v>
      </c>
    </row>
    <row r="66" spans="1:23" ht="16.5">
      <c r="A66" s="57">
        <v>1</v>
      </c>
      <c r="B66" s="58" t="s">
        <v>24</v>
      </c>
      <c r="C66" s="59"/>
      <c r="D66" s="59"/>
      <c r="E66" s="59"/>
      <c r="F66" s="60"/>
      <c r="G66" s="35">
        <v>5</v>
      </c>
      <c r="H66" s="35">
        <v>16</v>
      </c>
      <c r="I66" s="35">
        <v>7</v>
      </c>
      <c r="J66" s="35">
        <v>7</v>
      </c>
      <c r="K66" s="35">
        <v>8</v>
      </c>
      <c r="L66" s="35"/>
      <c r="M66" s="35"/>
      <c r="N66" s="35"/>
      <c r="O66" s="35"/>
      <c r="P66" s="35"/>
      <c r="Q66" s="35"/>
      <c r="R66" s="35"/>
      <c r="S66" s="35">
        <f t="shared" ref="S66" si="68">SUM(G66:I66)</f>
        <v>28</v>
      </c>
      <c r="T66" s="35">
        <f t="shared" ref="T66" si="69">SUM(J66:L66)</f>
        <v>15</v>
      </c>
      <c r="U66" s="35">
        <f t="shared" ref="U66" si="70">SUM(M66:O66)</f>
        <v>0</v>
      </c>
      <c r="V66" s="35">
        <f t="shared" ref="V66:W66" si="71">SUM(P66:R66)</f>
        <v>0</v>
      </c>
      <c r="W66" s="84">
        <f t="shared" ref="W66:W70" si="72">SUM(S66:V66)</f>
        <v>43</v>
      </c>
    </row>
    <row r="67" spans="1:23" ht="16.5">
      <c r="A67" s="57">
        <v>2</v>
      </c>
      <c r="B67" s="61" t="s">
        <v>27</v>
      </c>
      <c r="C67" s="62"/>
      <c r="D67" s="62"/>
      <c r="E67" s="62"/>
      <c r="F67" s="63"/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/>
      <c r="M67" s="35"/>
      <c r="N67" s="35"/>
      <c r="O67" s="35"/>
      <c r="P67" s="35"/>
      <c r="Q67" s="35"/>
      <c r="R67" s="35"/>
      <c r="S67" s="35">
        <f t="shared" ref="S67:S69" si="73">SUM(G67:I67)</f>
        <v>0</v>
      </c>
      <c r="T67" s="35">
        <f t="shared" ref="T67:T69" si="74">SUM(J67:L67)</f>
        <v>0</v>
      </c>
      <c r="U67" s="35">
        <f t="shared" ref="U67:U69" si="75">SUM(M67:O67)</f>
        <v>0</v>
      </c>
      <c r="V67" s="35">
        <f t="shared" ref="V67:W69" si="76">SUM(P67:R67)</f>
        <v>0</v>
      </c>
      <c r="W67" s="84">
        <f t="shared" si="72"/>
        <v>0</v>
      </c>
    </row>
    <row r="68" spans="1:23" ht="16.5">
      <c r="A68" s="57">
        <v>3</v>
      </c>
      <c r="B68" s="61" t="s">
        <v>19</v>
      </c>
      <c r="C68" s="62"/>
      <c r="D68" s="62"/>
      <c r="E68" s="62"/>
      <c r="F68" s="63"/>
      <c r="G68" s="35">
        <v>0</v>
      </c>
      <c r="H68" s="35">
        <v>0</v>
      </c>
      <c r="I68" s="35">
        <v>5</v>
      </c>
      <c r="J68" s="35">
        <v>0</v>
      </c>
      <c r="K68" s="35">
        <v>0</v>
      </c>
      <c r="L68" s="35"/>
      <c r="M68" s="35"/>
      <c r="N68" s="35"/>
      <c r="O68" s="35"/>
      <c r="P68" s="35"/>
      <c r="Q68" s="35"/>
      <c r="R68" s="35"/>
      <c r="S68" s="35">
        <f t="shared" si="73"/>
        <v>5</v>
      </c>
      <c r="T68" s="35">
        <f t="shared" si="74"/>
        <v>0</v>
      </c>
      <c r="U68" s="35">
        <f t="shared" si="75"/>
        <v>0</v>
      </c>
      <c r="V68" s="35">
        <f t="shared" si="76"/>
        <v>0</v>
      </c>
      <c r="W68" s="84">
        <f t="shared" si="72"/>
        <v>5</v>
      </c>
    </row>
    <row r="69" spans="1:23" ht="16.5">
      <c r="A69" s="57">
        <v>4</v>
      </c>
      <c r="B69" s="61" t="s">
        <v>12</v>
      </c>
      <c r="C69" s="62"/>
      <c r="D69" s="62"/>
      <c r="E69" s="62"/>
      <c r="F69" s="63"/>
      <c r="G69" s="35">
        <v>0</v>
      </c>
      <c r="H69" s="35">
        <v>0</v>
      </c>
      <c r="I69" s="35">
        <v>5</v>
      </c>
      <c r="J69" s="35">
        <v>0</v>
      </c>
      <c r="K69" s="35">
        <v>0</v>
      </c>
      <c r="L69" s="35"/>
      <c r="M69" s="35"/>
      <c r="N69" s="35"/>
      <c r="O69" s="35"/>
      <c r="P69" s="35"/>
      <c r="Q69" s="35"/>
      <c r="R69" s="35"/>
      <c r="S69" s="35">
        <f t="shared" si="73"/>
        <v>5</v>
      </c>
      <c r="T69" s="35">
        <f t="shared" si="74"/>
        <v>0</v>
      </c>
      <c r="U69" s="35">
        <f t="shared" si="75"/>
        <v>0</v>
      </c>
      <c r="V69" s="35">
        <f t="shared" si="76"/>
        <v>0</v>
      </c>
      <c r="W69" s="84">
        <f t="shared" si="72"/>
        <v>5</v>
      </c>
    </row>
    <row r="70" spans="1:23" ht="16.5">
      <c r="A70" s="57">
        <v>5</v>
      </c>
      <c r="B70" s="61" t="s">
        <v>18</v>
      </c>
      <c r="C70" s="62"/>
      <c r="D70" s="62"/>
      <c r="E70" s="62"/>
      <c r="F70" s="63"/>
      <c r="G70" s="86">
        <v>177</v>
      </c>
      <c r="H70" s="86">
        <v>193</v>
      </c>
      <c r="I70" s="86">
        <v>195</v>
      </c>
      <c r="J70" s="86">
        <v>202</v>
      </c>
      <c r="K70" s="86">
        <v>210</v>
      </c>
      <c r="L70" s="32"/>
      <c r="M70" s="32"/>
      <c r="N70" s="32"/>
      <c r="O70" s="32"/>
      <c r="P70" s="32"/>
      <c r="Q70" s="32"/>
      <c r="R70" s="32"/>
      <c r="S70" s="80">
        <f>I70</f>
        <v>195</v>
      </c>
      <c r="T70" s="80">
        <f>L70</f>
        <v>0</v>
      </c>
      <c r="U70" s="80">
        <f>O70</f>
        <v>0</v>
      </c>
      <c r="V70" s="80">
        <f>R70</f>
        <v>0</v>
      </c>
      <c r="W70" s="85">
        <f>R70</f>
        <v>0</v>
      </c>
    </row>
    <row r="71" spans="1:23" ht="16.5">
      <c r="A71" s="49"/>
      <c r="B71" s="49"/>
      <c r="C71" s="49"/>
      <c r="D71" s="81"/>
      <c r="E71" s="81"/>
      <c r="F71" s="81"/>
      <c r="G71" s="81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</row>
    <row r="72" spans="1:23" ht="16.5">
      <c r="A72" s="49"/>
      <c r="B72" s="82"/>
      <c r="C72" s="49"/>
      <c r="D72" s="83"/>
      <c r="E72" s="83"/>
      <c r="F72" s="83"/>
      <c r="G72" s="83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</row>
    <row r="78" spans="1:23">
      <c r="D78" s="47"/>
      <c r="E78" s="47"/>
      <c r="F78" s="47"/>
      <c r="G78" s="47"/>
    </row>
  </sheetData>
  <mergeCells count="75">
    <mergeCell ref="C13:F13"/>
    <mergeCell ref="A1:F1"/>
    <mergeCell ref="A2:F2"/>
    <mergeCell ref="A4:V4"/>
    <mergeCell ref="A5:G5"/>
    <mergeCell ref="B6:F6"/>
    <mergeCell ref="B7:F7"/>
    <mergeCell ref="L1:P1"/>
    <mergeCell ref="L2:P2"/>
    <mergeCell ref="A3:B3"/>
    <mergeCell ref="B8:F8"/>
    <mergeCell ref="B9:F9"/>
    <mergeCell ref="B10:F10"/>
    <mergeCell ref="B11:F11"/>
    <mergeCell ref="A12:G12"/>
    <mergeCell ref="B25:F25"/>
    <mergeCell ref="A16:G16"/>
    <mergeCell ref="B17:F17"/>
    <mergeCell ref="B18:F18"/>
    <mergeCell ref="B19:F19"/>
    <mergeCell ref="B20:F20"/>
    <mergeCell ref="B21:F21"/>
    <mergeCell ref="B22:F22"/>
    <mergeCell ref="B23:F23"/>
    <mergeCell ref="B24:F24"/>
    <mergeCell ref="C15:F15"/>
    <mergeCell ref="C14:F14"/>
    <mergeCell ref="B37:F37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A36:G36"/>
    <mergeCell ref="B49:F49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61:F61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D78:G78"/>
    <mergeCell ref="B62:F62"/>
    <mergeCell ref="B63:F63"/>
    <mergeCell ref="A64:G64"/>
    <mergeCell ref="B65:F65"/>
    <mergeCell ref="B66:F66"/>
    <mergeCell ref="B67:F67"/>
    <mergeCell ref="B68:F68"/>
    <mergeCell ref="B69:F69"/>
    <mergeCell ref="B70:F70"/>
    <mergeCell ref="D71:G71"/>
    <mergeCell ref="D72:G72"/>
  </mergeCells>
  <pageMargins left="0.7" right="0.7" top="0.75" bottom="0.75" header="0.3" footer="0.3"/>
  <pageSetup paperSize="9" scale="4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60"/>
  <sheetViews>
    <sheetView topLeftCell="A13" zoomScale="70" zoomScaleNormal="70" workbookViewId="0">
      <selection activeCell="B47" sqref="B47"/>
    </sheetView>
  </sheetViews>
  <sheetFormatPr defaultRowHeight="15"/>
  <cols>
    <col min="1" max="1" width="5.28515625" style="8" bestFit="1" customWidth="1"/>
    <col min="2" max="2" width="27.7109375" style="8" bestFit="1" customWidth="1"/>
    <col min="3" max="8" width="9.140625" style="8"/>
    <col min="9" max="9" width="20.85546875" style="8" customWidth="1"/>
    <col min="10" max="16384" width="9.140625" style="8"/>
  </cols>
  <sheetData>
    <row r="1" spans="1:9" s="5" customFormat="1" ht="16.5">
      <c r="A1" s="20" t="s">
        <v>162</v>
      </c>
      <c r="B1" s="20"/>
      <c r="C1" s="20"/>
      <c r="D1" s="20"/>
      <c r="E1" s="21" t="s">
        <v>16</v>
      </c>
      <c r="F1" s="21"/>
      <c r="G1" s="21"/>
      <c r="H1" s="21"/>
      <c r="I1" s="21"/>
    </row>
    <row r="2" spans="1:9" s="5" customFormat="1" ht="18.75">
      <c r="A2" s="22" t="s">
        <v>139</v>
      </c>
      <c r="B2" s="22"/>
      <c r="C2" s="22"/>
      <c r="D2" s="22"/>
      <c r="E2" s="23" t="s">
        <v>28</v>
      </c>
      <c r="F2" s="23"/>
      <c r="G2" s="23"/>
      <c r="H2" s="23"/>
      <c r="I2" s="23"/>
    </row>
    <row r="3" spans="1:9" s="7" customFormat="1" ht="16.5">
      <c r="A3" s="22"/>
      <c r="B3" s="22"/>
      <c r="C3" s="22"/>
      <c r="D3" s="22"/>
      <c r="E3" s="6"/>
      <c r="F3" s="6"/>
      <c r="G3" s="6"/>
      <c r="H3" s="6"/>
    </row>
    <row r="4" spans="1:9" s="7" customFormat="1" ht="34.5" customHeight="1">
      <c r="A4" s="24" t="s">
        <v>29</v>
      </c>
      <c r="B4" s="25"/>
      <c r="C4" s="25"/>
      <c r="D4" s="25"/>
      <c r="E4" s="25"/>
      <c r="F4" s="25"/>
      <c r="G4" s="25"/>
      <c r="H4" s="25"/>
      <c r="I4" s="25"/>
    </row>
    <row r="5" spans="1:9" s="7" customFormat="1" ht="15.75">
      <c r="A5" s="26" t="s">
        <v>161</v>
      </c>
      <c r="B5" s="27"/>
      <c r="C5" s="27"/>
      <c r="D5" s="27"/>
      <c r="E5" s="27"/>
      <c r="F5" s="27"/>
      <c r="G5" s="27"/>
      <c r="H5" s="27"/>
      <c r="I5" s="27"/>
    </row>
    <row r="6" spans="1:9" s="5" customFormat="1" ht="18" customHeight="1">
      <c r="A6" s="28" t="s">
        <v>50</v>
      </c>
      <c r="B6" s="28" t="s">
        <v>30</v>
      </c>
      <c r="C6" s="28" t="s">
        <v>31</v>
      </c>
      <c r="D6" s="28"/>
      <c r="E6" s="28"/>
      <c r="F6" s="28"/>
      <c r="G6" s="28" t="s">
        <v>32</v>
      </c>
      <c r="H6" s="28"/>
      <c r="I6" s="28" t="s">
        <v>33</v>
      </c>
    </row>
    <row r="7" spans="1:9" s="5" customFormat="1" ht="78" customHeight="1">
      <c r="A7" s="28"/>
      <c r="B7" s="28"/>
      <c r="C7" s="11" t="s">
        <v>34</v>
      </c>
      <c r="D7" s="12" t="s">
        <v>35</v>
      </c>
      <c r="E7" s="11" t="s">
        <v>36</v>
      </c>
      <c r="F7" s="12" t="s">
        <v>37</v>
      </c>
      <c r="G7" s="12" t="s">
        <v>38</v>
      </c>
      <c r="H7" s="12" t="s">
        <v>39</v>
      </c>
      <c r="I7" s="28"/>
    </row>
    <row r="8" spans="1:9" s="5" customFormat="1" ht="18" customHeight="1">
      <c r="A8" s="13">
        <v>1</v>
      </c>
      <c r="B8" s="10" t="s">
        <v>46</v>
      </c>
      <c r="C8" s="17"/>
      <c r="D8" s="17"/>
      <c r="E8" s="17"/>
      <c r="F8" s="17"/>
      <c r="G8" s="17"/>
      <c r="H8" s="17">
        <v>2</v>
      </c>
      <c r="I8" s="18"/>
    </row>
    <row r="9" spans="1:9" s="5" customFormat="1" ht="18" customHeight="1">
      <c r="A9" s="13">
        <v>2</v>
      </c>
      <c r="B9" s="10" t="s">
        <v>126</v>
      </c>
      <c r="C9" s="19"/>
      <c r="D9" s="19"/>
      <c r="E9" s="19"/>
      <c r="F9" s="19"/>
      <c r="G9" s="19"/>
      <c r="H9" s="17">
        <v>1</v>
      </c>
      <c r="I9" s="18"/>
    </row>
    <row r="10" spans="1:9" s="5" customFormat="1" ht="18" customHeight="1">
      <c r="A10" s="13">
        <v>3</v>
      </c>
      <c r="B10" s="10" t="s">
        <v>115</v>
      </c>
      <c r="C10" s="19"/>
      <c r="D10" s="19"/>
      <c r="E10" s="19"/>
      <c r="F10" s="19"/>
      <c r="G10" s="19"/>
      <c r="H10" s="17">
        <v>4</v>
      </c>
      <c r="I10" s="18"/>
    </row>
    <row r="11" spans="1:9" s="5" customFormat="1" ht="18" customHeight="1">
      <c r="A11" s="13">
        <v>4</v>
      </c>
      <c r="B11" s="10" t="s">
        <v>109</v>
      </c>
      <c r="C11" s="19">
        <v>2</v>
      </c>
      <c r="D11" s="19">
        <v>2</v>
      </c>
      <c r="E11" s="19"/>
      <c r="F11" s="19"/>
      <c r="G11" s="19"/>
      <c r="H11" s="17">
        <v>10</v>
      </c>
      <c r="I11" s="18"/>
    </row>
    <row r="12" spans="1:9" s="5" customFormat="1" ht="18" customHeight="1">
      <c r="A12" s="13">
        <v>5</v>
      </c>
      <c r="B12" s="10" t="s">
        <v>121</v>
      </c>
      <c r="C12" s="19"/>
      <c r="D12" s="19"/>
      <c r="E12" s="19"/>
      <c r="F12" s="19"/>
      <c r="G12" s="19"/>
      <c r="H12" s="17">
        <v>2</v>
      </c>
      <c r="I12" s="18"/>
    </row>
    <row r="13" spans="1:9" s="5" customFormat="1" ht="18" customHeight="1">
      <c r="A13" s="13">
        <v>6</v>
      </c>
      <c r="B13" s="10" t="s">
        <v>43</v>
      </c>
      <c r="C13" s="19"/>
      <c r="D13" s="19"/>
      <c r="E13" s="19"/>
      <c r="F13" s="19"/>
      <c r="G13" s="19"/>
      <c r="H13" s="17">
        <v>3</v>
      </c>
      <c r="I13" s="18"/>
    </row>
    <row r="14" spans="1:9" s="5" customFormat="1" ht="18" customHeight="1">
      <c r="A14" s="13">
        <v>7</v>
      </c>
      <c r="B14" s="10" t="s">
        <v>130</v>
      </c>
      <c r="C14" s="19"/>
      <c r="D14" s="19"/>
      <c r="E14" s="19"/>
      <c r="F14" s="19"/>
      <c r="G14" s="19"/>
      <c r="H14" s="17">
        <v>11</v>
      </c>
      <c r="I14" s="18"/>
    </row>
    <row r="15" spans="1:9" s="5" customFormat="1" ht="18" customHeight="1">
      <c r="A15" s="13">
        <v>8</v>
      </c>
      <c r="B15" s="10" t="s">
        <v>106</v>
      </c>
      <c r="C15" s="19"/>
      <c r="D15" s="19"/>
      <c r="E15" s="19"/>
      <c r="F15" s="19"/>
      <c r="G15" s="19"/>
      <c r="H15" s="17">
        <v>2</v>
      </c>
      <c r="I15" s="18"/>
    </row>
    <row r="16" spans="1:9" s="5" customFormat="1" ht="18" customHeight="1">
      <c r="A16" s="13">
        <v>9</v>
      </c>
      <c r="B16" s="10" t="s">
        <v>131</v>
      </c>
      <c r="C16" s="19"/>
      <c r="D16" s="19"/>
      <c r="E16" s="19"/>
      <c r="F16" s="19"/>
      <c r="G16" s="19"/>
      <c r="H16" s="17">
        <v>1</v>
      </c>
      <c r="I16" s="18"/>
    </row>
    <row r="17" spans="1:9" s="5" customFormat="1" ht="18" customHeight="1">
      <c r="A17" s="13">
        <v>10</v>
      </c>
      <c r="B17" s="10" t="s">
        <v>42</v>
      </c>
      <c r="C17" s="19"/>
      <c r="D17" s="19"/>
      <c r="E17" s="19"/>
      <c r="F17" s="19"/>
      <c r="G17" s="19"/>
      <c r="H17" s="17">
        <v>20</v>
      </c>
      <c r="I17" s="18"/>
    </row>
    <row r="18" spans="1:9" s="5" customFormat="1" ht="18" customHeight="1">
      <c r="A18" s="13">
        <v>11</v>
      </c>
      <c r="B18" s="10" t="s">
        <v>44</v>
      </c>
      <c r="C18" s="19"/>
      <c r="D18" s="19"/>
      <c r="E18" s="19"/>
      <c r="F18" s="19"/>
      <c r="G18" s="19"/>
      <c r="H18" s="17">
        <v>1</v>
      </c>
      <c r="I18" s="18"/>
    </row>
    <row r="19" spans="1:9" s="5" customFormat="1" ht="18" customHeight="1">
      <c r="A19" s="13">
        <v>12</v>
      </c>
      <c r="B19" s="10" t="s">
        <v>112</v>
      </c>
      <c r="C19" s="19"/>
      <c r="D19" s="19"/>
      <c r="E19" s="19"/>
      <c r="F19" s="19"/>
      <c r="G19" s="19"/>
      <c r="H19" s="17">
        <v>3</v>
      </c>
      <c r="I19" s="18"/>
    </row>
    <row r="20" spans="1:9" s="5" customFormat="1" ht="18" customHeight="1">
      <c r="A20" s="13">
        <v>13</v>
      </c>
      <c r="B20" s="10" t="s">
        <v>124</v>
      </c>
      <c r="C20" s="19"/>
      <c r="D20" s="19"/>
      <c r="E20" s="19"/>
      <c r="F20" s="19"/>
      <c r="G20" s="19"/>
      <c r="H20" s="17">
        <v>1</v>
      </c>
      <c r="I20" s="18"/>
    </row>
    <row r="21" spans="1:9" s="5" customFormat="1" ht="18" customHeight="1">
      <c r="A21" s="13">
        <v>14</v>
      </c>
      <c r="B21" s="10" t="s">
        <v>128</v>
      </c>
      <c r="C21" s="19"/>
      <c r="D21" s="19"/>
      <c r="E21" s="19"/>
      <c r="F21" s="19"/>
      <c r="G21" s="19"/>
      <c r="H21" s="17">
        <v>0</v>
      </c>
      <c r="I21" s="18"/>
    </row>
    <row r="22" spans="1:9" s="5" customFormat="1" ht="18" customHeight="1">
      <c r="A22" s="13">
        <v>15</v>
      </c>
      <c r="B22" s="10" t="s">
        <v>132</v>
      </c>
      <c r="C22" s="19"/>
      <c r="D22" s="19"/>
      <c r="E22" s="19"/>
      <c r="F22" s="19"/>
      <c r="G22" s="19"/>
      <c r="H22" s="17">
        <v>2</v>
      </c>
      <c r="I22" s="18"/>
    </row>
    <row r="23" spans="1:9" s="5" customFormat="1" ht="18" customHeight="1">
      <c r="A23" s="13">
        <v>16</v>
      </c>
      <c r="B23" s="10" t="s">
        <v>123</v>
      </c>
      <c r="C23" s="19"/>
      <c r="D23" s="19"/>
      <c r="E23" s="19"/>
      <c r="F23" s="19"/>
      <c r="G23" s="19"/>
      <c r="H23" s="17">
        <v>0</v>
      </c>
      <c r="I23" s="18"/>
    </row>
    <row r="24" spans="1:9" s="5" customFormat="1" ht="18" customHeight="1">
      <c r="A24" s="13">
        <v>17</v>
      </c>
      <c r="B24" s="10" t="s">
        <v>45</v>
      </c>
      <c r="C24" s="19"/>
      <c r="D24" s="19"/>
      <c r="E24" s="19"/>
      <c r="F24" s="19"/>
      <c r="G24" s="19"/>
      <c r="H24" s="17">
        <v>0</v>
      </c>
      <c r="I24" s="18"/>
    </row>
    <row r="25" spans="1:9" s="5" customFormat="1" ht="18" customHeight="1">
      <c r="A25" s="13">
        <v>18</v>
      </c>
      <c r="B25" s="10" t="s">
        <v>122</v>
      </c>
      <c r="C25" s="19">
        <v>1</v>
      </c>
      <c r="D25" s="19">
        <v>1</v>
      </c>
      <c r="E25" s="19"/>
      <c r="F25" s="19"/>
      <c r="G25" s="19"/>
      <c r="H25" s="17">
        <v>3</v>
      </c>
      <c r="I25" s="18"/>
    </row>
    <row r="26" spans="1:9" s="5" customFormat="1" ht="18" customHeight="1">
      <c r="A26" s="13">
        <v>19</v>
      </c>
      <c r="B26" s="10" t="s">
        <v>116</v>
      </c>
      <c r="C26" s="19"/>
      <c r="D26" s="19"/>
      <c r="E26" s="19"/>
      <c r="F26" s="19"/>
      <c r="G26" s="19"/>
      <c r="H26" s="17">
        <v>2</v>
      </c>
      <c r="I26" s="18"/>
    </row>
    <row r="27" spans="1:9" s="5" customFormat="1" ht="18" customHeight="1">
      <c r="A27" s="13">
        <v>20</v>
      </c>
      <c r="B27" s="10" t="s">
        <v>41</v>
      </c>
      <c r="C27" s="19"/>
      <c r="D27" s="19"/>
      <c r="E27" s="19"/>
      <c r="F27" s="19"/>
      <c r="G27" s="19"/>
      <c r="H27" s="17">
        <v>14</v>
      </c>
      <c r="I27" s="18"/>
    </row>
    <row r="28" spans="1:9" s="5" customFormat="1" ht="18" customHeight="1">
      <c r="A28" s="13">
        <v>21</v>
      </c>
      <c r="B28" s="10" t="s">
        <v>114</v>
      </c>
      <c r="C28" s="19"/>
      <c r="D28" s="19"/>
      <c r="E28" s="19"/>
      <c r="F28" s="19"/>
      <c r="G28" s="19"/>
      <c r="H28" s="17">
        <v>0</v>
      </c>
      <c r="I28" s="18"/>
    </row>
    <row r="29" spans="1:9" s="5" customFormat="1" ht="18" customHeight="1">
      <c r="A29" s="13">
        <v>22</v>
      </c>
      <c r="B29" s="10" t="s">
        <v>127</v>
      </c>
      <c r="C29" s="17"/>
      <c r="D29" s="17"/>
      <c r="E29" s="17"/>
      <c r="F29" s="17"/>
      <c r="G29" s="17"/>
      <c r="H29" s="17">
        <v>1</v>
      </c>
      <c r="I29" s="18"/>
    </row>
    <row r="30" spans="1:9" s="5" customFormat="1" ht="18" customHeight="1">
      <c r="A30" s="13">
        <v>23</v>
      </c>
      <c r="B30" s="10" t="s">
        <v>47</v>
      </c>
      <c r="C30" s="17"/>
      <c r="D30" s="17"/>
      <c r="E30" s="17"/>
      <c r="F30" s="17"/>
      <c r="G30" s="17"/>
      <c r="H30" s="17">
        <v>0</v>
      </c>
      <c r="I30" s="18"/>
    </row>
    <row r="31" spans="1:9" s="5" customFormat="1" ht="18" customHeight="1">
      <c r="A31" s="13">
        <v>24</v>
      </c>
      <c r="B31" s="10" t="s">
        <v>125</v>
      </c>
      <c r="C31" s="17"/>
      <c r="D31" s="17"/>
      <c r="E31" s="17"/>
      <c r="F31" s="17"/>
      <c r="G31" s="17"/>
      <c r="H31" s="17">
        <v>4</v>
      </c>
      <c r="I31" s="18"/>
    </row>
    <row r="32" spans="1:9" s="5" customFormat="1" ht="18" customHeight="1">
      <c r="A32" s="13">
        <v>25</v>
      </c>
      <c r="B32" s="10" t="s">
        <v>107</v>
      </c>
      <c r="C32" s="17"/>
      <c r="D32" s="17"/>
      <c r="E32" s="17"/>
      <c r="F32" s="17"/>
      <c r="G32" s="17"/>
      <c r="H32" s="17">
        <v>1</v>
      </c>
      <c r="I32" s="18"/>
    </row>
    <row r="33" spans="1:9" s="5" customFormat="1" ht="18" customHeight="1">
      <c r="A33" s="13">
        <v>26</v>
      </c>
      <c r="B33" s="10" t="s">
        <v>129</v>
      </c>
      <c r="C33" s="17"/>
      <c r="D33" s="17"/>
      <c r="E33" s="17"/>
      <c r="F33" s="17"/>
      <c r="G33" s="17"/>
      <c r="H33" s="17">
        <v>0</v>
      </c>
      <c r="I33" s="18"/>
    </row>
    <row r="34" spans="1:9" s="5" customFormat="1" ht="18" customHeight="1">
      <c r="A34" s="13">
        <v>27</v>
      </c>
      <c r="B34" s="10" t="s">
        <v>110</v>
      </c>
      <c r="C34" s="17">
        <v>1</v>
      </c>
      <c r="D34" s="17">
        <v>1</v>
      </c>
      <c r="E34" s="17"/>
      <c r="F34" s="17"/>
      <c r="G34" s="17"/>
      <c r="H34" s="17">
        <v>12</v>
      </c>
      <c r="I34" s="18"/>
    </row>
    <row r="35" spans="1:9" s="5" customFormat="1" ht="18" customHeight="1">
      <c r="A35" s="13">
        <v>28</v>
      </c>
      <c r="B35" s="10" t="s">
        <v>113</v>
      </c>
      <c r="C35" s="17"/>
      <c r="D35" s="17"/>
      <c r="E35" s="17"/>
      <c r="F35" s="17"/>
      <c r="G35" s="17"/>
      <c r="H35" s="17">
        <v>20</v>
      </c>
      <c r="I35" s="18"/>
    </row>
    <row r="36" spans="1:9" s="5" customFormat="1" ht="18" customHeight="1">
      <c r="A36" s="13">
        <v>29</v>
      </c>
      <c r="B36" s="10" t="s">
        <v>119</v>
      </c>
      <c r="C36" s="17"/>
      <c r="D36" s="17"/>
      <c r="E36" s="17"/>
      <c r="F36" s="17"/>
      <c r="G36" s="17"/>
      <c r="H36" s="17">
        <v>2</v>
      </c>
      <c r="I36" s="18"/>
    </row>
    <row r="37" spans="1:9" s="5" customFormat="1" ht="18" customHeight="1">
      <c r="A37" s="13">
        <v>30</v>
      </c>
      <c r="B37" s="10" t="s">
        <v>120</v>
      </c>
      <c r="C37" s="17"/>
      <c r="D37" s="17"/>
      <c r="E37" s="17"/>
      <c r="F37" s="17"/>
      <c r="G37" s="17"/>
      <c r="H37" s="17">
        <v>3</v>
      </c>
      <c r="I37" s="18"/>
    </row>
    <row r="38" spans="1:9" s="5" customFormat="1" ht="18" customHeight="1">
      <c r="A38" s="13">
        <v>31</v>
      </c>
      <c r="B38" s="10" t="s">
        <v>111</v>
      </c>
      <c r="C38" s="17"/>
      <c r="D38" s="17"/>
      <c r="E38" s="17"/>
      <c r="F38" s="17"/>
      <c r="G38" s="17"/>
      <c r="H38" s="17">
        <v>3</v>
      </c>
      <c r="I38" s="18"/>
    </row>
    <row r="39" spans="1:9" s="5" customFormat="1" ht="18" customHeight="1">
      <c r="A39" s="13">
        <v>32</v>
      </c>
      <c r="B39" s="10" t="s">
        <v>118</v>
      </c>
      <c r="C39" s="17"/>
      <c r="D39" s="17"/>
      <c r="E39" s="17"/>
      <c r="F39" s="17"/>
      <c r="G39" s="17"/>
      <c r="H39" s="17">
        <v>1</v>
      </c>
      <c r="I39" s="18"/>
    </row>
    <row r="40" spans="1:9" s="5" customFormat="1" ht="18" customHeight="1">
      <c r="A40" s="13">
        <v>33</v>
      </c>
      <c r="B40" s="10" t="s">
        <v>40</v>
      </c>
      <c r="C40" s="17"/>
      <c r="D40" s="17"/>
      <c r="E40" s="17"/>
      <c r="F40" s="17"/>
      <c r="G40" s="17"/>
      <c r="H40" s="17">
        <v>41</v>
      </c>
      <c r="I40" s="18"/>
    </row>
    <row r="41" spans="1:9" s="5" customFormat="1" ht="18" customHeight="1">
      <c r="A41" s="13">
        <v>34</v>
      </c>
      <c r="B41" s="10" t="s">
        <v>117</v>
      </c>
      <c r="C41" s="17"/>
      <c r="D41" s="17"/>
      <c r="E41" s="17"/>
      <c r="F41" s="17"/>
      <c r="G41" s="17"/>
      <c r="H41" s="17">
        <v>2</v>
      </c>
      <c r="I41" s="18"/>
    </row>
    <row r="42" spans="1:9" s="5" customFormat="1" ht="18" customHeight="1">
      <c r="A42" s="13">
        <v>35</v>
      </c>
      <c r="B42" s="10" t="s">
        <v>108</v>
      </c>
      <c r="C42" s="17"/>
      <c r="D42" s="17"/>
      <c r="E42" s="17"/>
      <c r="F42" s="17"/>
      <c r="G42" s="17"/>
      <c r="H42" s="17">
        <v>0</v>
      </c>
      <c r="I42" s="18"/>
    </row>
    <row r="43" spans="1:9" s="5" customFormat="1" ht="18" customHeight="1">
      <c r="A43" s="13">
        <v>36</v>
      </c>
      <c r="B43" s="10" t="s">
        <v>135</v>
      </c>
      <c r="C43" s="17"/>
      <c r="D43" s="17"/>
      <c r="E43" s="17"/>
      <c r="F43" s="17"/>
      <c r="G43" s="17"/>
      <c r="H43" s="17">
        <v>0</v>
      </c>
      <c r="I43" s="18"/>
    </row>
    <row r="44" spans="1:9" s="5" customFormat="1" ht="18" customHeight="1">
      <c r="A44" s="13">
        <v>37</v>
      </c>
      <c r="B44" s="10" t="s">
        <v>148</v>
      </c>
      <c r="C44" s="17"/>
      <c r="D44" s="17"/>
      <c r="E44" s="17"/>
      <c r="F44" s="17"/>
      <c r="G44" s="17"/>
      <c r="H44" s="17">
        <v>0</v>
      </c>
      <c r="I44" s="18"/>
    </row>
    <row r="45" spans="1:9" s="5" customFormat="1" ht="18" customHeight="1">
      <c r="A45" s="13">
        <v>38</v>
      </c>
      <c r="B45" s="10" t="s">
        <v>149</v>
      </c>
      <c r="C45" s="17"/>
      <c r="D45" s="17"/>
      <c r="E45" s="17"/>
      <c r="F45" s="17"/>
      <c r="G45" s="17"/>
      <c r="H45" s="17">
        <v>0</v>
      </c>
      <c r="I45" s="18"/>
    </row>
    <row r="46" spans="1:9" s="5" customFormat="1" ht="18" customHeight="1">
      <c r="A46" s="13">
        <v>39</v>
      </c>
      <c r="B46" s="10" t="s">
        <v>150</v>
      </c>
      <c r="C46" s="17"/>
      <c r="D46" s="17"/>
      <c r="E46" s="17"/>
      <c r="F46" s="17"/>
      <c r="G46" s="17"/>
      <c r="H46" s="17">
        <v>1</v>
      </c>
      <c r="I46" s="18"/>
    </row>
    <row r="47" spans="1:9" s="5" customFormat="1" ht="18" customHeight="1">
      <c r="A47" s="13">
        <v>40</v>
      </c>
      <c r="B47" s="10" t="s">
        <v>151</v>
      </c>
      <c r="C47" s="17"/>
      <c r="D47" s="17"/>
      <c r="E47" s="17"/>
      <c r="F47" s="17"/>
      <c r="G47" s="17"/>
      <c r="H47" s="17">
        <v>0</v>
      </c>
      <c r="I47" s="18"/>
    </row>
    <row r="48" spans="1:9" s="5" customFormat="1" ht="18" customHeight="1">
      <c r="A48" s="13">
        <v>41</v>
      </c>
      <c r="B48" s="10" t="s">
        <v>152</v>
      </c>
      <c r="C48" s="17"/>
      <c r="D48" s="17"/>
      <c r="E48" s="17"/>
      <c r="F48" s="17"/>
      <c r="G48" s="17"/>
      <c r="H48" s="17">
        <v>0</v>
      </c>
      <c r="I48" s="18"/>
    </row>
    <row r="49" spans="1:9" s="5" customFormat="1" ht="18" customHeight="1">
      <c r="A49" s="13">
        <v>42</v>
      </c>
      <c r="B49" s="10" t="s">
        <v>153</v>
      </c>
      <c r="C49" s="17"/>
      <c r="D49" s="17"/>
      <c r="E49" s="17"/>
      <c r="F49" s="17"/>
      <c r="G49" s="17"/>
      <c r="H49" s="17">
        <v>0</v>
      </c>
      <c r="I49" s="18"/>
    </row>
    <row r="50" spans="1:9" s="5" customFormat="1" ht="18" customHeight="1">
      <c r="A50" s="13">
        <v>43</v>
      </c>
      <c r="B50" s="10" t="s">
        <v>154</v>
      </c>
      <c r="C50" s="17"/>
      <c r="D50" s="17"/>
      <c r="E50" s="17"/>
      <c r="F50" s="17"/>
      <c r="G50" s="17"/>
      <c r="H50" s="17">
        <v>1</v>
      </c>
      <c r="I50" s="18"/>
    </row>
    <row r="51" spans="1:9" s="5" customFormat="1" ht="18" customHeight="1">
      <c r="A51" s="13">
        <v>44</v>
      </c>
      <c r="B51" s="10" t="s">
        <v>155</v>
      </c>
      <c r="C51" s="17"/>
      <c r="D51" s="17"/>
      <c r="E51" s="17"/>
      <c r="F51" s="17"/>
      <c r="G51" s="17"/>
      <c r="H51" s="17">
        <v>0</v>
      </c>
      <c r="I51" s="18"/>
    </row>
    <row r="52" spans="1:9" s="5" customFormat="1" ht="18" customHeight="1">
      <c r="A52" s="13">
        <v>45</v>
      </c>
      <c r="B52" s="10" t="s">
        <v>156</v>
      </c>
      <c r="C52" s="17"/>
      <c r="D52" s="17"/>
      <c r="E52" s="17"/>
      <c r="F52" s="17"/>
      <c r="G52" s="17"/>
      <c r="H52" s="17">
        <v>0</v>
      </c>
      <c r="I52" s="18"/>
    </row>
    <row r="53" spans="1:9" s="5" customFormat="1" ht="18" customHeight="1">
      <c r="A53" s="13">
        <v>46</v>
      </c>
      <c r="B53" s="10" t="s">
        <v>157</v>
      </c>
      <c r="C53" s="17">
        <v>1</v>
      </c>
      <c r="D53" s="17">
        <v>1</v>
      </c>
      <c r="E53" s="17"/>
      <c r="F53" s="17"/>
      <c r="G53" s="17"/>
      <c r="H53" s="17">
        <v>1</v>
      </c>
      <c r="I53" s="18"/>
    </row>
    <row r="54" spans="1:9" s="5" customFormat="1" ht="18" customHeight="1">
      <c r="A54" s="13">
        <v>47</v>
      </c>
      <c r="B54" s="10" t="s">
        <v>158</v>
      </c>
      <c r="C54" s="17"/>
      <c r="D54" s="17"/>
      <c r="E54" s="17"/>
      <c r="F54" s="17"/>
      <c r="G54" s="17"/>
      <c r="H54" s="17">
        <v>0</v>
      </c>
      <c r="I54" s="18"/>
    </row>
    <row r="55" spans="1:9" s="5" customFormat="1" ht="18" customHeight="1">
      <c r="A55" s="13">
        <v>48</v>
      </c>
      <c r="B55" s="10" t="s">
        <v>159</v>
      </c>
      <c r="C55" s="17"/>
      <c r="D55" s="17"/>
      <c r="E55" s="17"/>
      <c r="F55" s="17"/>
      <c r="G55" s="17"/>
      <c r="H55" s="17">
        <v>0</v>
      </c>
      <c r="I55" s="18"/>
    </row>
    <row r="56" spans="1:9" s="5" customFormat="1" ht="99">
      <c r="A56" s="15">
        <v>49</v>
      </c>
      <c r="B56" s="14" t="s">
        <v>160</v>
      </c>
      <c r="C56" s="17"/>
      <c r="D56" s="17"/>
      <c r="E56" s="17"/>
      <c r="F56" s="17"/>
      <c r="G56" s="17"/>
      <c r="H56" s="17">
        <v>2</v>
      </c>
      <c r="I56" s="16" t="s">
        <v>140</v>
      </c>
    </row>
    <row r="57" spans="1:9" s="5" customFormat="1" ht="18" customHeight="1">
      <c r="A57" s="30" t="s">
        <v>48</v>
      </c>
      <c r="B57" s="30"/>
      <c r="C57" s="11">
        <f>SUM(C8:C56)</f>
        <v>5</v>
      </c>
      <c r="D57" s="11">
        <f t="shared" ref="D57:H57" si="0">SUM(D8:D56)</f>
        <v>5</v>
      </c>
      <c r="E57" s="11">
        <f t="shared" si="0"/>
        <v>0</v>
      </c>
      <c r="F57" s="11">
        <f t="shared" si="0"/>
        <v>0</v>
      </c>
      <c r="G57" s="11">
        <f t="shared" si="0"/>
        <v>0</v>
      </c>
      <c r="H57" s="11">
        <f t="shared" si="0"/>
        <v>177</v>
      </c>
      <c r="I57" s="18"/>
    </row>
    <row r="58" spans="1:9" s="7" customFormat="1" ht="15.75">
      <c r="A58" s="2"/>
      <c r="B58" s="2"/>
      <c r="C58" s="6"/>
      <c r="D58" s="3"/>
      <c r="E58" s="3"/>
      <c r="F58" s="6"/>
      <c r="G58" s="6"/>
      <c r="H58" s="6"/>
    </row>
    <row r="59" spans="1:9" s="7" customFormat="1" ht="15.75">
      <c r="A59" s="4"/>
      <c r="B59" s="4" t="s">
        <v>49</v>
      </c>
      <c r="C59" s="4"/>
      <c r="D59" s="6"/>
      <c r="E59" s="31" t="s">
        <v>163</v>
      </c>
      <c r="F59" s="26"/>
      <c r="G59" s="26"/>
      <c r="H59" s="26"/>
      <c r="I59" s="26"/>
    </row>
    <row r="60" spans="1:9" s="7" customFormat="1" ht="20.25" customHeight="1">
      <c r="A60" s="6"/>
      <c r="B60" s="1" t="s">
        <v>134</v>
      </c>
      <c r="C60" s="6"/>
      <c r="D60" s="9"/>
      <c r="E60" s="29" t="s">
        <v>133</v>
      </c>
      <c r="F60" s="29"/>
      <c r="G60" s="29"/>
      <c r="H60" s="29"/>
      <c r="I60" s="29"/>
    </row>
  </sheetData>
  <mergeCells count="15">
    <mergeCell ref="E60:I60"/>
    <mergeCell ref="B6:B7"/>
    <mergeCell ref="C6:F6"/>
    <mergeCell ref="G6:H6"/>
    <mergeCell ref="I6:I7"/>
    <mergeCell ref="A57:B57"/>
    <mergeCell ref="E59:I59"/>
    <mergeCell ref="A4:I4"/>
    <mergeCell ref="A5:I5"/>
    <mergeCell ref="A6:A7"/>
    <mergeCell ref="A1:D1"/>
    <mergeCell ref="E1:I1"/>
    <mergeCell ref="A2:D2"/>
    <mergeCell ref="E2:I2"/>
    <mergeCell ref="A3:D3"/>
  </mergeCells>
  <pageMargins left="0.7" right="0.7" top="0.75" bottom="0.75" header="0.3" footer="0.3"/>
  <pageSetup paperSize="9" scale="8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 BKL</vt:lpstr>
      <vt:lpstr>Ung Thư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2026-06-09T01:57:40Z</cp:lastPrinted>
  <dcterms:created xsi:type="dcterms:W3CDTF">2006-09-16T00:00:00Z</dcterms:created>
  <dcterms:modified xsi:type="dcterms:W3CDTF">2026-06-09T02:10:14Z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E6B9B0FB044E435E83F548F3F443CCCB</vt:lpwstr>
  </property>
  <property fmtid="{D5CDD505-2E9C-101B-9397-08002B2CF9AE}" pid="3" name="KSOProductBuildVer">
    <vt:lpwstr>1033-11.2.0.11537</vt:lpwstr>
  </property>
</Properties>
</file>