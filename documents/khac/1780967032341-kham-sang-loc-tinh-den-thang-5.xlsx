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hidePivotFieldList="1"/>
  <bookViews>
    <workbookView xWindow="270" yWindow="525" windowWidth="23340" windowHeight="11190"/>
  </bookViews>
  <sheets>
    <sheet name="thongke" sheetId="2" r:id="rId1"/>
    <sheet name="ksl2" sheetId="5" r:id="rId2"/>
    <sheet name="KSL TÍNH ĐẾN THÁNG 4" sheetId="3" r:id="rId3"/>
    <sheet name="Bộ câu hỏi COPD - HEN" sheetId="4" r:id="rId4"/>
  </sheets>
  <definedNames>
    <definedName name="_xlnm._FilterDatabase" localSheetId="2" hidden="1">'KSL TÍNH ĐẾN THÁNG 4'!$A$1:$Y$951</definedName>
    <definedName name="_xlnm._FilterDatabase" localSheetId="1" hidden="1">'ksl2'!$A$1:$AN$1263</definedName>
  </definedNames>
  <calcPr calcId="145621"/>
</workbook>
</file>

<file path=xl/calcChain.xml><?xml version="1.0" encoding="utf-8"?>
<calcChain xmlns="http://schemas.openxmlformats.org/spreadsheetml/2006/main">
  <c r="D4" i="5" l="1"/>
  <c r="M4" i="5" s="1"/>
  <c r="H4" i="5"/>
  <c r="O4" i="5" s="1"/>
  <c r="L4" i="5"/>
  <c r="N4" i="5"/>
  <c r="P4" i="5"/>
  <c r="Q4" i="5"/>
  <c r="AF4" i="5"/>
  <c r="AG4" i="5"/>
  <c r="AJ4" i="5"/>
  <c r="AM4" i="5"/>
  <c r="AN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G89" i="5"/>
  <c r="AG90" i="5"/>
  <c r="AG91" i="5"/>
  <c r="AG92" i="5"/>
  <c r="AG93" i="5"/>
  <c r="AG94" i="5"/>
  <c r="AG95" i="5"/>
  <c r="AG96" i="5"/>
  <c r="AG97" i="5"/>
  <c r="AG98" i="5"/>
  <c r="AG99" i="5"/>
  <c r="AG100" i="5"/>
  <c r="AG101" i="5"/>
  <c r="AG102" i="5"/>
  <c r="AG103" i="5"/>
  <c r="AG104" i="5"/>
  <c r="AG105" i="5"/>
  <c r="AG106" i="5"/>
  <c r="AG107" i="5"/>
  <c r="AG108" i="5"/>
  <c r="AG109" i="5"/>
  <c r="AG110" i="5"/>
  <c r="AG111" i="5"/>
  <c r="AG112" i="5"/>
  <c r="AG113" i="5"/>
  <c r="AG114" i="5"/>
  <c r="AG115" i="5"/>
  <c r="AG116" i="5"/>
  <c r="AG117" i="5"/>
  <c r="AG118" i="5"/>
  <c r="AG119" i="5"/>
  <c r="AG120" i="5"/>
  <c r="AG121" i="5"/>
  <c r="AG122" i="5"/>
  <c r="AG123" i="5"/>
  <c r="AG124" i="5"/>
  <c r="AG125" i="5"/>
  <c r="AG126" i="5"/>
  <c r="AG127" i="5"/>
  <c r="AG128" i="5"/>
  <c r="AG129" i="5"/>
  <c r="AG130" i="5"/>
  <c r="AG131" i="5"/>
  <c r="AG132" i="5"/>
  <c r="AG133" i="5"/>
  <c r="AG134" i="5"/>
  <c r="AG135" i="5"/>
  <c r="AG136" i="5"/>
  <c r="AG137" i="5"/>
  <c r="AG138" i="5"/>
  <c r="AG139" i="5"/>
  <c r="AG140" i="5"/>
  <c r="AG141" i="5"/>
  <c r="AG142" i="5"/>
  <c r="AG143" i="5"/>
  <c r="AG144" i="5"/>
  <c r="AG145" i="5"/>
  <c r="AG146" i="5"/>
  <c r="AG147" i="5"/>
  <c r="AG148" i="5"/>
  <c r="AG149" i="5"/>
  <c r="AG150" i="5"/>
  <c r="AG151" i="5"/>
  <c r="AG152" i="5"/>
  <c r="AG153" i="5"/>
  <c r="AG154" i="5"/>
  <c r="AG155" i="5"/>
  <c r="AG156" i="5"/>
  <c r="AG157" i="5"/>
  <c r="AG158" i="5"/>
  <c r="AG159" i="5"/>
  <c r="AG160" i="5"/>
  <c r="AG161" i="5"/>
  <c r="AG162" i="5"/>
  <c r="AG163" i="5"/>
  <c r="AG164" i="5"/>
  <c r="AG165" i="5"/>
  <c r="AG166" i="5"/>
  <c r="AG167" i="5"/>
  <c r="AG168" i="5"/>
  <c r="AG169" i="5"/>
  <c r="AG170" i="5"/>
  <c r="AG171" i="5"/>
  <c r="AG172" i="5"/>
  <c r="AG173" i="5"/>
  <c r="AG174" i="5"/>
  <c r="AG175" i="5"/>
  <c r="AG176" i="5"/>
  <c r="AG177" i="5"/>
  <c r="AG178" i="5"/>
  <c r="AG179" i="5"/>
  <c r="AG180" i="5"/>
  <c r="AG181" i="5"/>
  <c r="AG182" i="5"/>
  <c r="AG183" i="5"/>
  <c r="AG184" i="5"/>
  <c r="AG185" i="5"/>
  <c r="AG186" i="5"/>
  <c r="AG187" i="5"/>
  <c r="AG188" i="5"/>
  <c r="AG189" i="5"/>
  <c r="AG190" i="5"/>
  <c r="AG191" i="5"/>
  <c r="AG192" i="5"/>
  <c r="AG193" i="5"/>
  <c r="AG194" i="5"/>
  <c r="AG195" i="5"/>
  <c r="AG196" i="5"/>
  <c r="AG197" i="5"/>
  <c r="AG198" i="5"/>
  <c r="AG199" i="5"/>
  <c r="AG200" i="5"/>
  <c r="AG201" i="5"/>
  <c r="AG202" i="5"/>
  <c r="AG203" i="5"/>
  <c r="AG204" i="5"/>
  <c r="AG205" i="5"/>
  <c r="AG206" i="5"/>
  <c r="AG207" i="5"/>
  <c r="AG208" i="5"/>
  <c r="AG209" i="5"/>
  <c r="AG210" i="5"/>
  <c r="AG211" i="5"/>
  <c r="AG212" i="5"/>
  <c r="AG213" i="5"/>
  <c r="AG214" i="5"/>
  <c r="AG215" i="5"/>
  <c r="AG216" i="5"/>
  <c r="AG217" i="5"/>
  <c r="AG218" i="5"/>
  <c r="AG219" i="5"/>
  <c r="AG220" i="5"/>
  <c r="AG221" i="5"/>
  <c r="AG222" i="5"/>
  <c r="AG223" i="5"/>
  <c r="AG224" i="5"/>
  <c r="AG225" i="5"/>
  <c r="AG226" i="5"/>
  <c r="AG227" i="5"/>
  <c r="AG228" i="5"/>
  <c r="AG229" i="5"/>
  <c r="AG230" i="5"/>
  <c r="AG231" i="5"/>
  <c r="AG232" i="5"/>
  <c r="AG233" i="5"/>
  <c r="AG234" i="5"/>
  <c r="AG235" i="5"/>
  <c r="AG236" i="5"/>
  <c r="AG237" i="5"/>
  <c r="AG238" i="5"/>
  <c r="AG239" i="5"/>
  <c r="AG240" i="5"/>
  <c r="AG241" i="5"/>
  <c r="AG242" i="5"/>
  <c r="AG243" i="5"/>
  <c r="AG244" i="5"/>
  <c r="AG245" i="5"/>
  <c r="AG246" i="5"/>
  <c r="AG247" i="5"/>
  <c r="AG248" i="5"/>
  <c r="AG249" i="5"/>
  <c r="AG250" i="5"/>
  <c r="AG251" i="5"/>
  <c r="AG252" i="5"/>
  <c r="AG253" i="5"/>
  <c r="AG254" i="5"/>
  <c r="AG255" i="5"/>
  <c r="AG256" i="5"/>
  <c r="AG257" i="5"/>
  <c r="AG258" i="5"/>
  <c r="AG259" i="5"/>
  <c r="AG260" i="5"/>
  <c r="AG261" i="5"/>
  <c r="AG262" i="5"/>
  <c r="AG263" i="5"/>
  <c r="AG264" i="5"/>
  <c r="AG265" i="5"/>
  <c r="AG266" i="5"/>
  <c r="AG267" i="5"/>
  <c r="AG268" i="5"/>
  <c r="AG269" i="5"/>
  <c r="AG270" i="5"/>
  <c r="AG271" i="5"/>
  <c r="AG272" i="5"/>
  <c r="AG273" i="5"/>
  <c r="AG274" i="5"/>
  <c r="AG275" i="5"/>
  <c r="AG276" i="5"/>
  <c r="AG277" i="5"/>
  <c r="AG278" i="5"/>
  <c r="AG279" i="5"/>
  <c r="AG280" i="5"/>
  <c r="AG281" i="5"/>
  <c r="AG282" i="5"/>
  <c r="AG283" i="5"/>
  <c r="AG284" i="5"/>
  <c r="AG285" i="5"/>
  <c r="AG286" i="5"/>
  <c r="AG287" i="5"/>
  <c r="AG288" i="5"/>
  <c r="AG289" i="5"/>
  <c r="AG290" i="5"/>
  <c r="AG291" i="5"/>
  <c r="AG292" i="5"/>
  <c r="AG293" i="5"/>
  <c r="AG294" i="5"/>
  <c r="AG295" i="5"/>
  <c r="AG296" i="5"/>
  <c r="AG297" i="5"/>
  <c r="AG298" i="5"/>
  <c r="AG299" i="5"/>
  <c r="AG300" i="5"/>
  <c r="AG301" i="5"/>
  <c r="AG302" i="5"/>
  <c r="AG303" i="5"/>
  <c r="AG304" i="5"/>
  <c r="AG305" i="5"/>
  <c r="AG306" i="5"/>
  <c r="AG307" i="5"/>
  <c r="AG308" i="5"/>
  <c r="AG309" i="5"/>
  <c r="AG310" i="5"/>
  <c r="AG311" i="5"/>
  <c r="AG312" i="5"/>
  <c r="AG313" i="5"/>
  <c r="AG314" i="5"/>
  <c r="AG315" i="5"/>
  <c r="AG316" i="5"/>
  <c r="AG317" i="5"/>
  <c r="AG318" i="5"/>
  <c r="AG319" i="5"/>
  <c r="AG320" i="5"/>
  <c r="AG321" i="5"/>
  <c r="AG322" i="5"/>
  <c r="AG323" i="5"/>
  <c r="AG324" i="5"/>
  <c r="AG325" i="5"/>
  <c r="AG326" i="5"/>
  <c r="AG327" i="5"/>
  <c r="AG328" i="5"/>
  <c r="AG329" i="5"/>
  <c r="AG330" i="5"/>
  <c r="AG331" i="5"/>
  <c r="AG332" i="5"/>
  <c r="AG333" i="5"/>
  <c r="AG334" i="5"/>
  <c r="AG335" i="5"/>
  <c r="AG336" i="5"/>
  <c r="AG337" i="5"/>
  <c r="AG338" i="5"/>
  <c r="AG339" i="5"/>
  <c r="AG340" i="5"/>
  <c r="AG341" i="5"/>
  <c r="AG342" i="5"/>
  <c r="AG343" i="5"/>
  <c r="AG344" i="5"/>
  <c r="AG345" i="5"/>
  <c r="AG346" i="5"/>
  <c r="AG347" i="5"/>
  <c r="AG348" i="5"/>
  <c r="AG349" i="5"/>
  <c r="AG350" i="5"/>
  <c r="AG351" i="5"/>
  <c r="AG352" i="5"/>
  <c r="AG353" i="5"/>
  <c r="AG354" i="5"/>
  <c r="AG355" i="5"/>
  <c r="AG356" i="5"/>
  <c r="AG357" i="5"/>
  <c r="AG358" i="5"/>
  <c r="AG359" i="5"/>
  <c r="AG360" i="5"/>
  <c r="AG361" i="5"/>
  <c r="AG362" i="5"/>
  <c r="AG363" i="5"/>
  <c r="AG364" i="5"/>
  <c r="AG365" i="5"/>
  <c r="AG366" i="5"/>
  <c r="AG367" i="5"/>
  <c r="AG368" i="5"/>
  <c r="AG369" i="5"/>
  <c r="AG370" i="5"/>
  <c r="AG371" i="5"/>
  <c r="AG372" i="5"/>
  <c r="AG373" i="5"/>
  <c r="AG374" i="5"/>
  <c r="AG375" i="5"/>
  <c r="AG376" i="5"/>
  <c r="AG377" i="5"/>
  <c r="AG378" i="5"/>
  <c r="AG379" i="5"/>
  <c r="AG380" i="5"/>
  <c r="AG381" i="5"/>
  <c r="AG382" i="5"/>
  <c r="AG383" i="5"/>
  <c r="AG384" i="5"/>
  <c r="AG385" i="5"/>
  <c r="AG386" i="5"/>
  <c r="AG387" i="5"/>
  <c r="AG388" i="5"/>
  <c r="AG389" i="5"/>
  <c r="AG390" i="5"/>
  <c r="AG391" i="5"/>
  <c r="AG392" i="5"/>
  <c r="AG393" i="5"/>
  <c r="AG394" i="5"/>
  <c r="AG395" i="5"/>
  <c r="AG396" i="5"/>
  <c r="AG397" i="5"/>
  <c r="AG398" i="5"/>
  <c r="AG399" i="5"/>
  <c r="AG400" i="5"/>
  <c r="AG401" i="5"/>
  <c r="AG402" i="5"/>
  <c r="AG403" i="5"/>
  <c r="AG404" i="5"/>
  <c r="AG405" i="5"/>
  <c r="AG406" i="5"/>
  <c r="AG407" i="5"/>
  <c r="AG408" i="5"/>
  <c r="AG409" i="5"/>
  <c r="AG410" i="5"/>
  <c r="AG411" i="5"/>
  <c r="AG412" i="5"/>
  <c r="AG413" i="5"/>
  <c r="AG414" i="5"/>
  <c r="AG415" i="5"/>
  <c r="AG416" i="5"/>
  <c r="AG417" i="5"/>
  <c r="AG418" i="5"/>
  <c r="AG419" i="5"/>
  <c r="AG420" i="5"/>
  <c r="AG421" i="5"/>
  <c r="AG422" i="5"/>
  <c r="AG423" i="5"/>
  <c r="AG424" i="5"/>
  <c r="AG425" i="5"/>
  <c r="AG426" i="5"/>
  <c r="AG427" i="5"/>
  <c r="AG428" i="5"/>
  <c r="AG429" i="5"/>
  <c r="AG430" i="5"/>
  <c r="AG431" i="5"/>
  <c r="AG432" i="5"/>
  <c r="AG433" i="5"/>
  <c r="AG434" i="5"/>
  <c r="AG435" i="5"/>
  <c r="AG436" i="5"/>
  <c r="AG437" i="5"/>
  <c r="AG438" i="5"/>
  <c r="AG439" i="5"/>
  <c r="AG440" i="5"/>
  <c r="AG441" i="5"/>
  <c r="AG442" i="5"/>
  <c r="AG443" i="5"/>
  <c r="AG444" i="5"/>
  <c r="AG445" i="5"/>
  <c r="AG446" i="5"/>
  <c r="AG447" i="5"/>
  <c r="AG448" i="5"/>
  <c r="AG449" i="5"/>
  <c r="AG450" i="5"/>
  <c r="AG451" i="5"/>
  <c r="AG452" i="5"/>
  <c r="AG453" i="5"/>
  <c r="AG454" i="5"/>
  <c r="AG455" i="5"/>
  <c r="AG456" i="5"/>
  <c r="AG457" i="5"/>
  <c r="AG458" i="5"/>
  <c r="AG459" i="5"/>
  <c r="AG460" i="5"/>
  <c r="AG461" i="5"/>
  <c r="AG462" i="5"/>
  <c r="AG463" i="5"/>
  <c r="AG464" i="5"/>
  <c r="AG465" i="5"/>
  <c r="AG466" i="5"/>
  <c r="AG467" i="5"/>
  <c r="AG468" i="5"/>
  <c r="AG469" i="5"/>
  <c r="AG470" i="5"/>
  <c r="AG471" i="5"/>
  <c r="AG472" i="5"/>
  <c r="AG473" i="5"/>
  <c r="AG474" i="5"/>
  <c r="AG475" i="5"/>
  <c r="AG476" i="5"/>
  <c r="AG477" i="5"/>
  <c r="AG478" i="5"/>
  <c r="AG479" i="5"/>
  <c r="AG480" i="5"/>
  <c r="AG481" i="5"/>
  <c r="AG482" i="5"/>
  <c r="AG483" i="5"/>
  <c r="AG484" i="5"/>
  <c r="AG485" i="5"/>
  <c r="AG486" i="5"/>
  <c r="AG487" i="5"/>
  <c r="AG488" i="5"/>
  <c r="AG489" i="5"/>
  <c r="AG490" i="5"/>
  <c r="AG491" i="5"/>
  <c r="AG492" i="5"/>
  <c r="AG493" i="5"/>
  <c r="AG494" i="5"/>
  <c r="AG495" i="5"/>
  <c r="AG496" i="5"/>
  <c r="AG497" i="5"/>
  <c r="AG498" i="5"/>
  <c r="AG499" i="5"/>
  <c r="AG500" i="5"/>
  <c r="AG501" i="5"/>
  <c r="AG502" i="5"/>
  <c r="AG503" i="5"/>
  <c r="AG504" i="5"/>
  <c r="AG505" i="5"/>
  <c r="AG506" i="5"/>
  <c r="AG507" i="5"/>
  <c r="AG508" i="5"/>
  <c r="AG509" i="5"/>
  <c r="AG510" i="5"/>
  <c r="AG511" i="5"/>
  <c r="AG512" i="5"/>
  <c r="AG513" i="5"/>
  <c r="AG514" i="5"/>
  <c r="AG515" i="5"/>
  <c r="AG516" i="5"/>
  <c r="AG517" i="5"/>
  <c r="AG518" i="5"/>
  <c r="AG519" i="5"/>
  <c r="AG520" i="5"/>
  <c r="AG521" i="5"/>
  <c r="AG522" i="5"/>
  <c r="AG523" i="5"/>
  <c r="AG524" i="5"/>
  <c r="AG525" i="5"/>
  <c r="AG526" i="5"/>
  <c r="AG527" i="5"/>
  <c r="AG528" i="5"/>
  <c r="AG529" i="5"/>
  <c r="AG530" i="5"/>
  <c r="AG531" i="5"/>
  <c r="AG532" i="5"/>
  <c r="AG533" i="5"/>
  <c r="AG534" i="5"/>
  <c r="AG535" i="5"/>
  <c r="AG536" i="5"/>
  <c r="AG537" i="5"/>
  <c r="AG538" i="5"/>
  <c r="AG539" i="5"/>
  <c r="AG540" i="5"/>
  <c r="AG541" i="5"/>
  <c r="AG542" i="5"/>
  <c r="AG543" i="5"/>
  <c r="AG544" i="5"/>
  <c r="AG545" i="5"/>
  <c r="AG546" i="5"/>
  <c r="AG547" i="5"/>
  <c r="AG548" i="5"/>
  <c r="AG549" i="5"/>
  <c r="AG550" i="5"/>
  <c r="AG551" i="5"/>
  <c r="AG552" i="5"/>
  <c r="AG553" i="5"/>
  <c r="AG554" i="5"/>
  <c r="AG555" i="5"/>
  <c r="AG556" i="5"/>
  <c r="AG557" i="5"/>
  <c r="AG558" i="5"/>
  <c r="AG559" i="5"/>
  <c r="AG560" i="5"/>
  <c r="AG561" i="5"/>
  <c r="AG562" i="5"/>
  <c r="AG563" i="5"/>
  <c r="AG564" i="5"/>
  <c r="AG565" i="5"/>
  <c r="AG566" i="5"/>
  <c r="AG567" i="5"/>
  <c r="AG568" i="5"/>
  <c r="AG569" i="5"/>
  <c r="AG570" i="5"/>
  <c r="AG571" i="5"/>
  <c r="AG572" i="5"/>
  <c r="AG573" i="5"/>
  <c r="AG574" i="5"/>
  <c r="AG575" i="5"/>
  <c r="AG576" i="5"/>
  <c r="AG577" i="5"/>
  <c r="AG578" i="5"/>
  <c r="AG579" i="5"/>
  <c r="AG580" i="5"/>
  <c r="AG581" i="5"/>
  <c r="AG582" i="5"/>
  <c r="AG583" i="5"/>
  <c r="AG584" i="5"/>
  <c r="AG585" i="5"/>
  <c r="AG586" i="5"/>
  <c r="AG587" i="5"/>
  <c r="AG588" i="5"/>
  <c r="AG589" i="5"/>
  <c r="AG590" i="5"/>
  <c r="AG591" i="5"/>
  <c r="AG592" i="5"/>
  <c r="AG593" i="5"/>
  <c r="AG594" i="5"/>
  <c r="AG595" i="5"/>
  <c r="AG596" i="5"/>
  <c r="AG597" i="5"/>
  <c r="AG598" i="5"/>
  <c r="AG599" i="5"/>
  <c r="AG600" i="5"/>
  <c r="AG601" i="5"/>
  <c r="AG602" i="5"/>
  <c r="AG603" i="5"/>
  <c r="AG604" i="5"/>
  <c r="AG605" i="5"/>
  <c r="AG606" i="5"/>
  <c r="AG607" i="5"/>
  <c r="AG608" i="5"/>
  <c r="AG609" i="5"/>
  <c r="AG610" i="5"/>
  <c r="AG611" i="5"/>
  <c r="AG612" i="5"/>
  <c r="AG613" i="5"/>
  <c r="AG614" i="5"/>
  <c r="AG615" i="5"/>
  <c r="AG616" i="5"/>
  <c r="AG617" i="5"/>
  <c r="AG618" i="5"/>
  <c r="AG619" i="5"/>
  <c r="AG620" i="5"/>
  <c r="AG621" i="5"/>
  <c r="AG622" i="5"/>
  <c r="AG623" i="5"/>
  <c r="AG624" i="5"/>
  <c r="AG625" i="5"/>
  <c r="AG626" i="5"/>
  <c r="AG627" i="5"/>
  <c r="AG628" i="5"/>
  <c r="AG629" i="5"/>
  <c r="AG630" i="5"/>
  <c r="AG631" i="5"/>
  <c r="AG632" i="5"/>
  <c r="AG633" i="5"/>
  <c r="AG634" i="5"/>
  <c r="AG635" i="5"/>
  <c r="AG636" i="5"/>
  <c r="AG637" i="5"/>
  <c r="AG638" i="5"/>
  <c r="AG639" i="5"/>
  <c r="AG640" i="5"/>
  <c r="AG641" i="5"/>
  <c r="AG642" i="5"/>
  <c r="AG643" i="5"/>
  <c r="AG644" i="5"/>
  <c r="AG645" i="5"/>
  <c r="AG646" i="5"/>
  <c r="AG647" i="5"/>
  <c r="AG648" i="5"/>
  <c r="AG649" i="5"/>
  <c r="AG650" i="5"/>
  <c r="AG651" i="5"/>
  <c r="AG652" i="5"/>
  <c r="AG653" i="5"/>
  <c r="AG654" i="5"/>
  <c r="AG655" i="5"/>
  <c r="AG656" i="5"/>
  <c r="AG657" i="5"/>
  <c r="AG658" i="5"/>
  <c r="AG659" i="5"/>
  <c r="AG660" i="5"/>
  <c r="AG661" i="5"/>
  <c r="AG662" i="5"/>
  <c r="AG663" i="5"/>
  <c r="AG664" i="5"/>
  <c r="AG665" i="5"/>
  <c r="AG666" i="5"/>
  <c r="AG667" i="5"/>
  <c r="AG668" i="5"/>
  <c r="AG669" i="5"/>
  <c r="AG670" i="5"/>
  <c r="AG671" i="5"/>
  <c r="AG672" i="5"/>
  <c r="AG673" i="5"/>
  <c r="AG674" i="5"/>
  <c r="AG675" i="5"/>
  <c r="AG676" i="5"/>
  <c r="AG677" i="5"/>
  <c r="AG678" i="5"/>
  <c r="AG679" i="5"/>
  <c r="AG680" i="5"/>
  <c r="AG681" i="5"/>
  <c r="AG682" i="5"/>
  <c r="AG683" i="5"/>
  <c r="AG684" i="5"/>
  <c r="AG685" i="5"/>
  <c r="AG686" i="5"/>
  <c r="AG687" i="5"/>
  <c r="AG688" i="5"/>
  <c r="AG689" i="5"/>
  <c r="AG690" i="5"/>
  <c r="AG691" i="5"/>
  <c r="AG692" i="5"/>
  <c r="AG693" i="5"/>
  <c r="AG694" i="5"/>
  <c r="AG695" i="5"/>
  <c r="AG696" i="5"/>
  <c r="AG697" i="5"/>
  <c r="AG698" i="5"/>
  <c r="AG699" i="5"/>
  <c r="AG700" i="5"/>
  <c r="AG701" i="5"/>
  <c r="AG702" i="5"/>
  <c r="AG703" i="5"/>
  <c r="AG704" i="5"/>
  <c r="AG705" i="5"/>
  <c r="AG706" i="5"/>
  <c r="AG707" i="5"/>
  <c r="AG708" i="5"/>
  <c r="AG709" i="5"/>
  <c r="AG710" i="5"/>
  <c r="AG711" i="5"/>
  <c r="AG712" i="5"/>
  <c r="AG713" i="5"/>
  <c r="AG714" i="5"/>
  <c r="AG715" i="5"/>
  <c r="AG716" i="5"/>
  <c r="AG717" i="5"/>
  <c r="AG718" i="5"/>
  <c r="AG719" i="5"/>
  <c r="AG720" i="5"/>
  <c r="AG721" i="5"/>
  <c r="AG722" i="5"/>
  <c r="AG723" i="5"/>
  <c r="AG724" i="5"/>
  <c r="AG725" i="5"/>
  <c r="AG726" i="5"/>
  <c r="AG727" i="5"/>
  <c r="AG728" i="5"/>
  <c r="AG729" i="5"/>
  <c r="AG730" i="5"/>
  <c r="AG731" i="5"/>
  <c r="AG732" i="5"/>
  <c r="AG733" i="5"/>
  <c r="AG734" i="5"/>
  <c r="AG735" i="5"/>
  <c r="AG736" i="5"/>
  <c r="AG737" i="5"/>
  <c r="AG738" i="5"/>
  <c r="AG739" i="5"/>
  <c r="AG740" i="5"/>
  <c r="AG741" i="5"/>
  <c r="AG742" i="5"/>
  <c r="AG743" i="5"/>
  <c r="AG744" i="5"/>
  <c r="AG745" i="5"/>
  <c r="AG746" i="5"/>
  <c r="AG747" i="5"/>
  <c r="AG748" i="5"/>
  <c r="AG749" i="5"/>
  <c r="AG750" i="5"/>
  <c r="AG751" i="5"/>
  <c r="AG752" i="5"/>
  <c r="AG753" i="5"/>
  <c r="AG754" i="5"/>
  <c r="AG755" i="5"/>
  <c r="AG756" i="5"/>
  <c r="AG757" i="5"/>
  <c r="AG758" i="5"/>
  <c r="AG759" i="5"/>
  <c r="AG760" i="5"/>
  <c r="AG761" i="5"/>
  <c r="AG762" i="5"/>
  <c r="AG763" i="5"/>
  <c r="AG764" i="5"/>
  <c r="AG765" i="5"/>
  <c r="AG766" i="5"/>
  <c r="AG767" i="5"/>
  <c r="AG768" i="5"/>
  <c r="AG769" i="5"/>
  <c r="AG770" i="5"/>
  <c r="AG771" i="5"/>
  <c r="AG772" i="5"/>
  <c r="AG773" i="5"/>
  <c r="AG774" i="5"/>
  <c r="AG775" i="5"/>
  <c r="AG776" i="5"/>
  <c r="AG777" i="5"/>
  <c r="AG778" i="5"/>
  <c r="AG779" i="5"/>
  <c r="AG780" i="5"/>
  <c r="AG781" i="5"/>
  <c r="AG782" i="5"/>
  <c r="AG783" i="5"/>
  <c r="AG784" i="5"/>
  <c r="AG785" i="5"/>
  <c r="AG786" i="5"/>
  <c r="AG787" i="5"/>
  <c r="AG788" i="5"/>
  <c r="AG789" i="5"/>
  <c r="AG790" i="5"/>
  <c r="AG791" i="5"/>
  <c r="AG792" i="5"/>
  <c r="AG793" i="5"/>
  <c r="AG794" i="5"/>
  <c r="AG795" i="5"/>
  <c r="AG796" i="5"/>
  <c r="AG797" i="5"/>
  <c r="AG798" i="5"/>
  <c r="AG799" i="5"/>
  <c r="AG800" i="5"/>
  <c r="AG801" i="5"/>
  <c r="AG802" i="5"/>
  <c r="AG803" i="5"/>
  <c r="AG804" i="5"/>
  <c r="AG805" i="5"/>
  <c r="AG806" i="5"/>
  <c r="AG807" i="5"/>
  <c r="AG808" i="5"/>
  <c r="AG809" i="5"/>
  <c r="AG810" i="5"/>
  <c r="AG811" i="5"/>
  <c r="AG812" i="5"/>
  <c r="AG813" i="5"/>
  <c r="AG814" i="5"/>
  <c r="AG815" i="5"/>
  <c r="AG816" i="5"/>
  <c r="AG817" i="5"/>
  <c r="AG818" i="5"/>
  <c r="AG819" i="5"/>
  <c r="AG820" i="5"/>
  <c r="AG821" i="5"/>
  <c r="AG822" i="5"/>
  <c r="AG823" i="5"/>
  <c r="AG824" i="5"/>
  <c r="AG825" i="5"/>
  <c r="AG826" i="5"/>
  <c r="AG827" i="5"/>
  <c r="AG828" i="5"/>
  <c r="AG829" i="5"/>
  <c r="AG830" i="5"/>
  <c r="AG831" i="5"/>
  <c r="AG832" i="5"/>
  <c r="AG833" i="5"/>
  <c r="AG834" i="5"/>
  <c r="AG835" i="5"/>
  <c r="AG836" i="5"/>
  <c r="AG837" i="5"/>
  <c r="AG838" i="5"/>
  <c r="AG839" i="5"/>
  <c r="AG840" i="5"/>
  <c r="AG841" i="5"/>
  <c r="AG842" i="5"/>
  <c r="AG843" i="5"/>
  <c r="AG844" i="5"/>
  <c r="AG845" i="5"/>
  <c r="AG846" i="5"/>
  <c r="AG847" i="5"/>
  <c r="AG848" i="5"/>
  <c r="AG849" i="5"/>
  <c r="AG850" i="5"/>
  <c r="AG851" i="5"/>
  <c r="AG852" i="5"/>
  <c r="AG853" i="5"/>
  <c r="AG854" i="5"/>
  <c r="AG855" i="5"/>
  <c r="AG856" i="5"/>
  <c r="AG857" i="5"/>
  <c r="AG858" i="5"/>
  <c r="AG859" i="5"/>
  <c r="AG860" i="5"/>
  <c r="AG861" i="5"/>
  <c r="AG862" i="5"/>
  <c r="AG863" i="5"/>
  <c r="AG864" i="5"/>
  <c r="AG865" i="5"/>
  <c r="AG866" i="5"/>
  <c r="AG867" i="5"/>
  <c r="AG868" i="5"/>
  <c r="AG869" i="5"/>
  <c r="AG870" i="5"/>
  <c r="AG871" i="5"/>
  <c r="AG872" i="5"/>
  <c r="AG873" i="5"/>
  <c r="AG874" i="5"/>
  <c r="AG875" i="5"/>
  <c r="AG876" i="5"/>
  <c r="AG877" i="5"/>
  <c r="AG878" i="5"/>
  <c r="AG879" i="5"/>
  <c r="AG880" i="5"/>
  <c r="AG881" i="5"/>
  <c r="AG882" i="5"/>
  <c r="AG883" i="5"/>
  <c r="AG884" i="5"/>
  <c r="AG885" i="5"/>
  <c r="AG886" i="5"/>
  <c r="AG887" i="5"/>
  <c r="AG888" i="5"/>
  <c r="AG889" i="5"/>
  <c r="AG890" i="5"/>
  <c r="AG891" i="5"/>
  <c r="AG892" i="5"/>
  <c r="AG893" i="5"/>
  <c r="AG894" i="5"/>
  <c r="AG895" i="5"/>
  <c r="AG896" i="5"/>
  <c r="AG897" i="5"/>
  <c r="AG898" i="5"/>
  <c r="AG899" i="5"/>
  <c r="AG900" i="5"/>
  <c r="AG901" i="5"/>
  <c r="AG902" i="5"/>
  <c r="AG903" i="5"/>
  <c r="AG904" i="5"/>
  <c r="AG905" i="5"/>
  <c r="AG906" i="5"/>
  <c r="AG907" i="5"/>
  <c r="AG908" i="5"/>
  <c r="AG909" i="5"/>
  <c r="AG910" i="5"/>
  <c r="AG911" i="5"/>
  <c r="AG912" i="5"/>
  <c r="AG913" i="5"/>
  <c r="AG914" i="5"/>
  <c r="AG915" i="5"/>
  <c r="AG916" i="5"/>
  <c r="AG917" i="5"/>
  <c r="AG918" i="5"/>
  <c r="AG919" i="5"/>
  <c r="AG920" i="5"/>
  <c r="AG921" i="5"/>
  <c r="AG922" i="5"/>
  <c r="AG923" i="5"/>
  <c r="AG924" i="5"/>
  <c r="AG925" i="5"/>
  <c r="AG926" i="5"/>
  <c r="AG927" i="5"/>
  <c r="AG928" i="5"/>
  <c r="AG929" i="5"/>
  <c r="AG930" i="5"/>
  <c r="AG931" i="5"/>
  <c r="AG932" i="5"/>
  <c r="AG933" i="5"/>
  <c r="AG934" i="5"/>
  <c r="AG935" i="5"/>
  <c r="AG936" i="5"/>
  <c r="AG937" i="5"/>
  <c r="AG938" i="5"/>
  <c r="AG939" i="5"/>
  <c r="AG940" i="5"/>
  <c r="AG941" i="5"/>
  <c r="AG942" i="5"/>
  <c r="AG943" i="5"/>
  <c r="AG944" i="5"/>
  <c r="AG945" i="5"/>
  <c r="AG946" i="5"/>
  <c r="AG947" i="5"/>
  <c r="AG948" i="5"/>
  <c r="AG949" i="5"/>
  <c r="AG950" i="5"/>
  <c r="AG951" i="5"/>
  <c r="AG952" i="5"/>
  <c r="AG953" i="5"/>
  <c r="AG954" i="5"/>
  <c r="AG955" i="5"/>
  <c r="AG956" i="5"/>
  <c r="AG957" i="5"/>
  <c r="AG958" i="5"/>
  <c r="AG959" i="5"/>
  <c r="AG960" i="5"/>
  <c r="AG961" i="5"/>
  <c r="AG962" i="5"/>
  <c r="AG963" i="5"/>
  <c r="AG964" i="5"/>
  <c r="AG965" i="5"/>
  <c r="AG966" i="5"/>
  <c r="AG967" i="5"/>
  <c r="AG968" i="5"/>
  <c r="AG969" i="5"/>
  <c r="AG970" i="5"/>
  <c r="AG971" i="5"/>
  <c r="AG972" i="5"/>
  <c r="AG973" i="5"/>
  <c r="AG974" i="5"/>
  <c r="AG975" i="5"/>
  <c r="AG976" i="5"/>
  <c r="AG977" i="5"/>
  <c r="AG978" i="5"/>
  <c r="AG979" i="5"/>
  <c r="AG980" i="5"/>
  <c r="AG981" i="5"/>
  <c r="AG982" i="5"/>
  <c r="AG983" i="5"/>
  <c r="AG984" i="5"/>
  <c r="AG985" i="5"/>
  <c r="AG986" i="5"/>
  <c r="AG987" i="5"/>
  <c r="AG988" i="5"/>
  <c r="AG989" i="5"/>
  <c r="AG990" i="5"/>
  <c r="AG991" i="5"/>
  <c r="AG992" i="5"/>
  <c r="AG993" i="5"/>
  <c r="AG994" i="5"/>
  <c r="AG995" i="5"/>
  <c r="AG996" i="5"/>
  <c r="AG997" i="5"/>
  <c r="AG998" i="5"/>
  <c r="AG999" i="5"/>
  <c r="AG1000" i="5"/>
  <c r="AG1001" i="5"/>
  <c r="AG1002" i="5"/>
  <c r="AG1003" i="5"/>
  <c r="AG1004" i="5"/>
  <c r="AG1005" i="5"/>
  <c r="AG1006" i="5"/>
  <c r="AG1007" i="5"/>
  <c r="AG1008" i="5"/>
  <c r="AG1009" i="5"/>
  <c r="AG1010" i="5"/>
  <c r="AG1011" i="5"/>
  <c r="AG1012" i="5"/>
  <c r="AG1013" i="5"/>
  <c r="AG1014" i="5"/>
  <c r="AG1015" i="5"/>
  <c r="AG1016" i="5"/>
  <c r="AG1017" i="5"/>
  <c r="AG1018" i="5"/>
  <c r="AG1019" i="5"/>
  <c r="AG1020" i="5"/>
  <c r="AG1021" i="5"/>
  <c r="AG1022" i="5"/>
  <c r="AG1023" i="5"/>
  <c r="AG1024" i="5"/>
  <c r="AG1025" i="5"/>
  <c r="AG1026" i="5"/>
  <c r="AG1027" i="5"/>
  <c r="AG1028" i="5"/>
  <c r="AG1029" i="5"/>
  <c r="AG1030" i="5"/>
  <c r="AG1031" i="5"/>
  <c r="AG1032" i="5"/>
  <c r="AG1033" i="5"/>
  <c r="AG1034" i="5"/>
  <c r="AG1035" i="5"/>
  <c r="AG1036" i="5"/>
  <c r="AG1037" i="5"/>
  <c r="AG1038" i="5"/>
  <c r="AG1039" i="5"/>
  <c r="AG1040" i="5"/>
  <c r="AG1041" i="5"/>
  <c r="AG1042" i="5"/>
  <c r="AG1043" i="5"/>
  <c r="AG1044" i="5"/>
  <c r="AG1045" i="5"/>
  <c r="AG1046" i="5"/>
  <c r="AG1047" i="5"/>
  <c r="AG1048" i="5"/>
  <c r="AG1049" i="5"/>
  <c r="AG1050" i="5"/>
  <c r="AG1051" i="5"/>
  <c r="AG1052" i="5"/>
  <c r="AG1053" i="5"/>
  <c r="AG1054" i="5"/>
  <c r="AG1055" i="5"/>
  <c r="AG1056" i="5"/>
  <c r="AG1057" i="5"/>
  <c r="AG1058" i="5"/>
  <c r="AG1059" i="5"/>
  <c r="AG1060" i="5"/>
  <c r="AG1061" i="5"/>
  <c r="AG1062" i="5"/>
  <c r="AG1063" i="5"/>
  <c r="AG1064" i="5"/>
  <c r="AG1065" i="5"/>
  <c r="AG1066" i="5"/>
  <c r="AG1067" i="5"/>
  <c r="AG1068" i="5"/>
  <c r="AG1069" i="5"/>
  <c r="AG1070" i="5"/>
  <c r="AG1071" i="5"/>
  <c r="AG1072" i="5"/>
  <c r="AG1073" i="5"/>
  <c r="AG1074" i="5"/>
  <c r="AG1075" i="5"/>
  <c r="AG1076" i="5"/>
  <c r="AG1077" i="5"/>
  <c r="AG1078" i="5"/>
  <c r="AG1079" i="5"/>
  <c r="AG1080" i="5"/>
  <c r="AG1081" i="5"/>
  <c r="AG1082" i="5"/>
  <c r="AG1083" i="5"/>
  <c r="AG1084" i="5"/>
  <c r="AG1085" i="5"/>
  <c r="AG1086" i="5"/>
  <c r="AG1087" i="5"/>
  <c r="AG1088" i="5"/>
  <c r="AG1089" i="5"/>
  <c r="AG1090" i="5"/>
  <c r="AG1091" i="5"/>
  <c r="AG1092" i="5"/>
  <c r="AG1093" i="5"/>
  <c r="AG1094" i="5"/>
  <c r="AG1095" i="5"/>
  <c r="AG1096" i="5"/>
  <c r="AG1097" i="5"/>
  <c r="AG1098" i="5"/>
  <c r="AG1099" i="5"/>
  <c r="AG1100" i="5"/>
  <c r="AG1101" i="5"/>
  <c r="AG1102" i="5"/>
  <c r="AG1103" i="5"/>
  <c r="AG1104" i="5"/>
  <c r="AG1105" i="5"/>
  <c r="AG1106" i="5"/>
  <c r="AG1107" i="5"/>
  <c r="AG1108" i="5"/>
  <c r="AG1109" i="5"/>
  <c r="AG1110" i="5"/>
  <c r="AG1111" i="5"/>
  <c r="AG1112" i="5"/>
  <c r="AG1113" i="5"/>
  <c r="AG1114" i="5"/>
  <c r="AG1115" i="5"/>
  <c r="AG1116" i="5"/>
  <c r="AG1117" i="5"/>
  <c r="AG1118" i="5"/>
  <c r="AG1119" i="5"/>
  <c r="AG1120" i="5"/>
  <c r="AG1121" i="5"/>
  <c r="AG1122" i="5"/>
  <c r="AG1123" i="5"/>
  <c r="AG1124" i="5"/>
  <c r="AG1125" i="5"/>
  <c r="AG1126" i="5"/>
  <c r="AG1127" i="5"/>
  <c r="AG1128" i="5"/>
  <c r="AG1129" i="5"/>
  <c r="AG1130" i="5"/>
  <c r="AG1131" i="5"/>
  <c r="AG1132" i="5"/>
  <c r="AG1133" i="5"/>
  <c r="AG1134" i="5"/>
  <c r="AG1135" i="5"/>
  <c r="AG1136" i="5"/>
  <c r="AG1137" i="5"/>
  <c r="AG1138" i="5"/>
  <c r="AG1139" i="5"/>
  <c r="AG1140" i="5"/>
  <c r="AG1141" i="5"/>
  <c r="AG1142" i="5"/>
  <c r="AG1143" i="5"/>
  <c r="AG1144" i="5"/>
  <c r="AG1145" i="5"/>
  <c r="AG1146" i="5"/>
  <c r="AG1147" i="5"/>
  <c r="AG1148" i="5"/>
  <c r="AG1149" i="5"/>
  <c r="AG1150" i="5"/>
  <c r="AG1151" i="5"/>
  <c r="AG1152" i="5"/>
  <c r="AG1153" i="5"/>
  <c r="AG1154" i="5"/>
  <c r="AG1155" i="5"/>
  <c r="AG1156" i="5"/>
  <c r="AG1157" i="5"/>
  <c r="AG1158" i="5"/>
  <c r="AG1159" i="5"/>
  <c r="AG1160" i="5"/>
  <c r="AG1161" i="5"/>
  <c r="AG1162" i="5"/>
  <c r="AG1163" i="5"/>
  <c r="AG1164" i="5"/>
  <c r="AG1165" i="5"/>
  <c r="AG1166" i="5"/>
  <c r="AG1167" i="5"/>
  <c r="AG1168" i="5"/>
  <c r="AG1169" i="5"/>
  <c r="AG1170" i="5"/>
  <c r="AG1171" i="5"/>
  <c r="AG1172" i="5"/>
  <c r="AG1173" i="5"/>
  <c r="AG1174" i="5"/>
  <c r="AG1175" i="5"/>
  <c r="AG1176" i="5"/>
  <c r="AG1177" i="5"/>
  <c r="AG1178" i="5"/>
  <c r="AG1179" i="5"/>
  <c r="AG1180" i="5"/>
  <c r="AG1181" i="5"/>
  <c r="AG1182" i="5"/>
  <c r="AG1183" i="5"/>
  <c r="AG1184" i="5"/>
  <c r="AG1185" i="5"/>
  <c r="AG1186" i="5"/>
  <c r="AG1187" i="5"/>
  <c r="AG1188" i="5"/>
  <c r="AG1189" i="5"/>
  <c r="AG1190" i="5"/>
  <c r="AG1191" i="5"/>
  <c r="AG1192" i="5"/>
  <c r="AG1193" i="5"/>
  <c r="AG1194" i="5"/>
  <c r="AG1195" i="5"/>
  <c r="AG1196" i="5"/>
  <c r="AG1197" i="5"/>
  <c r="AG1198" i="5"/>
  <c r="AG1199" i="5"/>
  <c r="AG1200" i="5"/>
  <c r="AG1201" i="5"/>
  <c r="AG1202" i="5"/>
  <c r="AG1203" i="5"/>
  <c r="AG1204" i="5"/>
  <c r="AG1205" i="5"/>
  <c r="AG1206" i="5"/>
  <c r="AG1207" i="5"/>
  <c r="AG1208" i="5"/>
  <c r="AG1209" i="5"/>
  <c r="AG1210" i="5"/>
  <c r="AG1211" i="5"/>
  <c r="AG1212" i="5"/>
  <c r="AG1213" i="5"/>
  <c r="AG1214" i="5"/>
  <c r="AG1215" i="5"/>
  <c r="AG1216" i="5"/>
  <c r="AG1217" i="5"/>
  <c r="AG1218" i="5"/>
  <c r="AG1219" i="5"/>
  <c r="AG1220" i="5"/>
  <c r="AG1221" i="5"/>
  <c r="AG1222" i="5"/>
  <c r="AG1223" i="5"/>
  <c r="AG1224" i="5"/>
  <c r="AG1225" i="5"/>
  <c r="AG1226" i="5"/>
  <c r="AG1227" i="5"/>
  <c r="AG1228" i="5"/>
  <c r="AG1229" i="5"/>
  <c r="AG1230" i="5"/>
  <c r="AG1231" i="5"/>
  <c r="AG1232" i="5"/>
  <c r="AG1233" i="5"/>
  <c r="AG1234" i="5"/>
  <c r="AG1235" i="5"/>
  <c r="AG1236" i="5"/>
  <c r="AG1237" i="5"/>
  <c r="AG1238" i="5"/>
  <c r="AG1239" i="5"/>
  <c r="AG1240" i="5"/>
  <c r="AG1241" i="5"/>
  <c r="AG1242" i="5"/>
  <c r="AG1243" i="5"/>
  <c r="AG1244" i="5"/>
  <c r="AG1245" i="5"/>
  <c r="AG1246" i="5"/>
  <c r="AG1247" i="5"/>
  <c r="AG1248" i="5"/>
  <c r="AG1249" i="5"/>
  <c r="AG1250" i="5"/>
  <c r="AG1251" i="5"/>
  <c r="AG1252" i="5"/>
  <c r="AG1253" i="5"/>
  <c r="AG1254" i="5"/>
  <c r="AG1255" i="5"/>
  <c r="AG1256" i="5"/>
  <c r="AG1257" i="5"/>
  <c r="AG1258" i="5"/>
  <c r="AG1259" i="5"/>
  <c r="AG1260" i="5"/>
  <c r="AG1261" i="5"/>
  <c r="AG1262" i="5"/>
  <c r="AG1263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AF69" i="5"/>
  <c r="AF70" i="5"/>
  <c r="AF71" i="5"/>
  <c r="AF72" i="5"/>
  <c r="AF73" i="5"/>
  <c r="AF74" i="5"/>
  <c r="AF75" i="5"/>
  <c r="AF76" i="5"/>
  <c r="AF77" i="5"/>
  <c r="AF78" i="5"/>
  <c r="AF79" i="5"/>
  <c r="AF80" i="5"/>
  <c r="AF81" i="5"/>
  <c r="AF82" i="5"/>
  <c r="AF83" i="5"/>
  <c r="AF84" i="5"/>
  <c r="AF85" i="5"/>
  <c r="AF86" i="5"/>
  <c r="AF87" i="5"/>
  <c r="AF88" i="5"/>
  <c r="AF89" i="5"/>
  <c r="AF90" i="5"/>
  <c r="AF91" i="5"/>
  <c r="AF92" i="5"/>
  <c r="AF93" i="5"/>
  <c r="AF94" i="5"/>
  <c r="AF95" i="5"/>
  <c r="AF96" i="5"/>
  <c r="AF97" i="5"/>
  <c r="AF98" i="5"/>
  <c r="AF99" i="5"/>
  <c r="AF100" i="5"/>
  <c r="AF101" i="5"/>
  <c r="AF102" i="5"/>
  <c r="AF103" i="5"/>
  <c r="AF104" i="5"/>
  <c r="AF105" i="5"/>
  <c r="AF106" i="5"/>
  <c r="AF107" i="5"/>
  <c r="AF108" i="5"/>
  <c r="AF109" i="5"/>
  <c r="AF110" i="5"/>
  <c r="AF111" i="5"/>
  <c r="AF112" i="5"/>
  <c r="AF113" i="5"/>
  <c r="AF114" i="5"/>
  <c r="AF115" i="5"/>
  <c r="AF116" i="5"/>
  <c r="AF117" i="5"/>
  <c r="AF118" i="5"/>
  <c r="AF119" i="5"/>
  <c r="AF120" i="5"/>
  <c r="AF121" i="5"/>
  <c r="AF122" i="5"/>
  <c r="AF123" i="5"/>
  <c r="AF124" i="5"/>
  <c r="AF125" i="5"/>
  <c r="AF126" i="5"/>
  <c r="AF127" i="5"/>
  <c r="AF128" i="5"/>
  <c r="AF129" i="5"/>
  <c r="AF130" i="5"/>
  <c r="AF131" i="5"/>
  <c r="AF132" i="5"/>
  <c r="AF133" i="5"/>
  <c r="AF134" i="5"/>
  <c r="AF135" i="5"/>
  <c r="AF136" i="5"/>
  <c r="AF137" i="5"/>
  <c r="AF138" i="5"/>
  <c r="AF139" i="5"/>
  <c r="AF140" i="5"/>
  <c r="AF141" i="5"/>
  <c r="AF142" i="5"/>
  <c r="AF143" i="5"/>
  <c r="AF144" i="5"/>
  <c r="AF145" i="5"/>
  <c r="AF146" i="5"/>
  <c r="AF147" i="5"/>
  <c r="AF148" i="5"/>
  <c r="AF149" i="5"/>
  <c r="AF150" i="5"/>
  <c r="AF151" i="5"/>
  <c r="AF152" i="5"/>
  <c r="AF153" i="5"/>
  <c r="AF154" i="5"/>
  <c r="AF155" i="5"/>
  <c r="AF156" i="5"/>
  <c r="AF157" i="5"/>
  <c r="AF158" i="5"/>
  <c r="AF159" i="5"/>
  <c r="AF160" i="5"/>
  <c r="AF161" i="5"/>
  <c r="AF162" i="5"/>
  <c r="AF163" i="5"/>
  <c r="AF164" i="5"/>
  <c r="AF165" i="5"/>
  <c r="AF166" i="5"/>
  <c r="AF167" i="5"/>
  <c r="AF168" i="5"/>
  <c r="AF169" i="5"/>
  <c r="AF170" i="5"/>
  <c r="AF171" i="5"/>
  <c r="AF172" i="5"/>
  <c r="AF173" i="5"/>
  <c r="AF174" i="5"/>
  <c r="AF175" i="5"/>
  <c r="AF176" i="5"/>
  <c r="AF177" i="5"/>
  <c r="AF178" i="5"/>
  <c r="AF179" i="5"/>
  <c r="AF180" i="5"/>
  <c r="AF181" i="5"/>
  <c r="AF182" i="5"/>
  <c r="AF183" i="5"/>
  <c r="AF184" i="5"/>
  <c r="AF185" i="5"/>
  <c r="AF186" i="5"/>
  <c r="AF187" i="5"/>
  <c r="AF188" i="5"/>
  <c r="AF189" i="5"/>
  <c r="AF190" i="5"/>
  <c r="AF191" i="5"/>
  <c r="AF192" i="5"/>
  <c r="AF193" i="5"/>
  <c r="AF194" i="5"/>
  <c r="AF195" i="5"/>
  <c r="AF196" i="5"/>
  <c r="AF197" i="5"/>
  <c r="AF198" i="5"/>
  <c r="AF199" i="5"/>
  <c r="AF200" i="5"/>
  <c r="AF201" i="5"/>
  <c r="AF202" i="5"/>
  <c r="AF203" i="5"/>
  <c r="AF204" i="5"/>
  <c r="AF205" i="5"/>
  <c r="AF206" i="5"/>
  <c r="AF207" i="5"/>
  <c r="AF208" i="5"/>
  <c r="AF209" i="5"/>
  <c r="AF210" i="5"/>
  <c r="AF211" i="5"/>
  <c r="AF212" i="5"/>
  <c r="AF213" i="5"/>
  <c r="AF214" i="5"/>
  <c r="AF215" i="5"/>
  <c r="AF216" i="5"/>
  <c r="AF217" i="5"/>
  <c r="AF218" i="5"/>
  <c r="AF219" i="5"/>
  <c r="AF220" i="5"/>
  <c r="AF221" i="5"/>
  <c r="AF222" i="5"/>
  <c r="AF223" i="5"/>
  <c r="AF224" i="5"/>
  <c r="AF225" i="5"/>
  <c r="AF226" i="5"/>
  <c r="AF227" i="5"/>
  <c r="AF228" i="5"/>
  <c r="AF229" i="5"/>
  <c r="AF230" i="5"/>
  <c r="AF231" i="5"/>
  <c r="AF232" i="5"/>
  <c r="AF233" i="5"/>
  <c r="AF234" i="5"/>
  <c r="AF235" i="5"/>
  <c r="AF236" i="5"/>
  <c r="AF237" i="5"/>
  <c r="AF238" i="5"/>
  <c r="AF239" i="5"/>
  <c r="AF240" i="5"/>
  <c r="AF241" i="5"/>
  <c r="AF242" i="5"/>
  <c r="AF243" i="5"/>
  <c r="AF244" i="5"/>
  <c r="AF245" i="5"/>
  <c r="AF246" i="5"/>
  <c r="AF247" i="5"/>
  <c r="AF248" i="5"/>
  <c r="AF249" i="5"/>
  <c r="AF250" i="5"/>
  <c r="AF251" i="5"/>
  <c r="AF252" i="5"/>
  <c r="AF253" i="5"/>
  <c r="AF254" i="5"/>
  <c r="AF255" i="5"/>
  <c r="AF256" i="5"/>
  <c r="AF257" i="5"/>
  <c r="AF258" i="5"/>
  <c r="AF259" i="5"/>
  <c r="AF260" i="5"/>
  <c r="AF261" i="5"/>
  <c r="AF262" i="5"/>
  <c r="AF263" i="5"/>
  <c r="AF264" i="5"/>
  <c r="AF265" i="5"/>
  <c r="AF266" i="5"/>
  <c r="AF267" i="5"/>
  <c r="AF268" i="5"/>
  <c r="AF269" i="5"/>
  <c r="AF270" i="5"/>
  <c r="AF271" i="5"/>
  <c r="AF272" i="5"/>
  <c r="AF273" i="5"/>
  <c r="AF274" i="5"/>
  <c r="AF275" i="5"/>
  <c r="AF276" i="5"/>
  <c r="AF277" i="5"/>
  <c r="AF278" i="5"/>
  <c r="AF279" i="5"/>
  <c r="AF280" i="5"/>
  <c r="AF281" i="5"/>
  <c r="AF282" i="5"/>
  <c r="AF283" i="5"/>
  <c r="AF284" i="5"/>
  <c r="AF285" i="5"/>
  <c r="AF286" i="5"/>
  <c r="AF287" i="5"/>
  <c r="AF288" i="5"/>
  <c r="AF289" i="5"/>
  <c r="AF290" i="5"/>
  <c r="AF291" i="5"/>
  <c r="AF292" i="5"/>
  <c r="AF293" i="5"/>
  <c r="AF294" i="5"/>
  <c r="AF295" i="5"/>
  <c r="AF296" i="5"/>
  <c r="AF297" i="5"/>
  <c r="AF298" i="5"/>
  <c r="AF299" i="5"/>
  <c r="AF300" i="5"/>
  <c r="AF301" i="5"/>
  <c r="AF302" i="5"/>
  <c r="AF303" i="5"/>
  <c r="AF304" i="5"/>
  <c r="AF305" i="5"/>
  <c r="AF306" i="5"/>
  <c r="AF307" i="5"/>
  <c r="AF308" i="5"/>
  <c r="AF309" i="5"/>
  <c r="AF310" i="5"/>
  <c r="AF311" i="5"/>
  <c r="AF312" i="5"/>
  <c r="AF313" i="5"/>
  <c r="AF314" i="5"/>
  <c r="AF315" i="5"/>
  <c r="AF316" i="5"/>
  <c r="AF317" i="5"/>
  <c r="AF318" i="5"/>
  <c r="AF319" i="5"/>
  <c r="AF320" i="5"/>
  <c r="AF321" i="5"/>
  <c r="AF322" i="5"/>
  <c r="AF323" i="5"/>
  <c r="AF324" i="5"/>
  <c r="AF325" i="5"/>
  <c r="AF326" i="5"/>
  <c r="AF327" i="5"/>
  <c r="AF328" i="5"/>
  <c r="AF329" i="5"/>
  <c r="AF330" i="5"/>
  <c r="AF331" i="5"/>
  <c r="AF332" i="5"/>
  <c r="AF333" i="5"/>
  <c r="AF334" i="5"/>
  <c r="AF335" i="5"/>
  <c r="AF336" i="5"/>
  <c r="AF337" i="5"/>
  <c r="AF338" i="5"/>
  <c r="AF339" i="5"/>
  <c r="AF340" i="5"/>
  <c r="AF341" i="5"/>
  <c r="AF342" i="5"/>
  <c r="AF343" i="5"/>
  <c r="AF344" i="5"/>
  <c r="AF345" i="5"/>
  <c r="AF346" i="5"/>
  <c r="AF347" i="5"/>
  <c r="AF348" i="5"/>
  <c r="AF349" i="5"/>
  <c r="AF350" i="5"/>
  <c r="AF351" i="5"/>
  <c r="AF352" i="5"/>
  <c r="AF353" i="5"/>
  <c r="AF354" i="5"/>
  <c r="AF355" i="5"/>
  <c r="AF356" i="5"/>
  <c r="AF357" i="5"/>
  <c r="AF358" i="5"/>
  <c r="AF359" i="5"/>
  <c r="AF360" i="5"/>
  <c r="AF361" i="5"/>
  <c r="AF362" i="5"/>
  <c r="AF363" i="5"/>
  <c r="AF364" i="5"/>
  <c r="AF365" i="5"/>
  <c r="AF366" i="5"/>
  <c r="AF367" i="5"/>
  <c r="AF368" i="5"/>
  <c r="AF369" i="5"/>
  <c r="AF370" i="5"/>
  <c r="AF371" i="5"/>
  <c r="AF372" i="5"/>
  <c r="AF373" i="5"/>
  <c r="AF374" i="5"/>
  <c r="AF375" i="5"/>
  <c r="AF376" i="5"/>
  <c r="AF377" i="5"/>
  <c r="AF378" i="5"/>
  <c r="AF379" i="5"/>
  <c r="AF380" i="5"/>
  <c r="AF381" i="5"/>
  <c r="AF382" i="5"/>
  <c r="AF383" i="5"/>
  <c r="AF384" i="5"/>
  <c r="AF385" i="5"/>
  <c r="AF386" i="5"/>
  <c r="AF387" i="5"/>
  <c r="AF388" i="5"/>
  <c r="AF389" i="5"/>
  <c r="AF390" i="5"/>
  <c r="AF391" i="5"/>
  <c r="AF392" i="5"/>
  <c r="AF393" i="5"/>
  <c r="AF394" i="5"/>
  <c r="AF395" i="5"/>
  <c r="AF396" i="5"/>
  <c r="AF397" i="5"/>
  <c r="AF398" i="5"/>
  <c r="AF399" i="5"/>
  <c r="AF400" i="5"/>
  <c r="AF401" i="5"/>
  <c r="AF402" i="5"/>
  <c r="AF403" i="5"/>
  <c r="AF404" i="5"/>
  <c r="AF405" i="5"/>
  <c r="AF406" i="5"/>
  <c r="AF407" i="5"/>
  <c r="AF408" i="5"/>
  <c r="AF409" i="5"/>
  <c r="AF410" i="5"/>
  <c r="AF411" i="5"/>
  <c r="AF412" i="5"/>
  <c r="AF413" i="5"/>
  <c r="AF414" i="5"/>
  <c r="AF415" i="5"/>
  <c r="AF416" i="5"/>
  <c r="AF417" i="5"/>
  <c r="AF418" i="5"/>
  <c r="AF419" i="5"/>
  <c r="AF420" i="5"/>
  <c r="AF421" i="5"/>
  <c r="AF422" i="5"/>
  <c r="AF423" i="5"/>
  <c r="AF424" i="5"/>
  <c r="AF425" i="5"/>
  <c r="AF426" i="5"/>
  <c r="AF427" i="5"/>
  <c r="AF428" i="5"/>
  <c r="AF429" i="5"/>
  <c r="AF430" i="5"/>
  <c r="AF431" i="5"/>
  <c r="AF432" i="5"/>
  <c r="AF433" i="5"/>
  <c r="AF434" i="5"/>
  <c r="AF435" i="5"/>
  <c r="AF436" i="5"/>
  <c r="AF437" i="5"/>
  <c r="AF438" i="5"/>
  <c r="AF439" i="5"/>
  <c r="AF440" i="5"/>
  <c r="AF441" i="5"/>
  <c r="AF442" i="5"/>
  <c r="AF443" i="5"/>
  <c r="AF444" i="5"/>
  <c r="AF445" i="5"/>
  <c r="AF446" i="5"/>
  <c r="AF447" i="5"/>
  <c r="AF448" i="5"/>
  <c r="AF449" i="5"/>
  <c r="AF450" i="5"/>
  <c r="AF451" i="5"/>
  <c r="AF452" i="5"/>
  <c r="AF453" i="5"/>
  <c r="AF454" i="5"/>
  <c r="AF455" i="5"/>
  <c r="AF456" i="5"/>
  <c r="AF457" i="5"/>
  <c r="AF458" i="5"/>
  <c r="AF459" i="5"/>
  <c r="AF460" i="5"/>
  <c r="AF461" i="5"/>
  <c r="AF462" i="5"/>
  <c r="AF463" i="5"/>
  <c r="AF464" i="5"/>
  <c r="AF465" i="5"/>
  <c r="AF466" i="5"/>
  <c r="AF467" i="5"/>
  <c r="AF468" i="5"/>
  <c r="AF469" i="5"/>
  <c r="AF470" i="5"/>
  <c r="AF471" i="5"/>
  <c r="AF472" i="5"/>
  <c r="AF473" i="5"/>
  <c r="AF474" i="5"/>
  <c r="AF475" i="5"/>
  <c r="AF476" i="5"/>
  <c r="AF477" i="5"/>
  <c r="AF478" i="5"/>
  <c r="AF479" i="5"/>
  <c r="AF480" i="5"/>
  <c r="AF481" i="5"/>
  <c r="AF482" i="5"/>
  <c r="AF483" i="5"/>
  <c r="AF484" i="5"/>
  <c r="AF485" i="5"/>
  <c r="AF486" i="5"/>
  <c r="AF487" i="5"/>
  <c r="AF488" i="5"/>
  <c r="AF489" i="5"/>
  <c r="AF490" i="5"/>
  <c r="AF491" i="5"/>
  <c r="AF492" i="5"/>
  <c r="AF493" i="5"/>
  <c r="AF494" i="5"/>
  <c r="AF495" i="5"/>
  <c r="AF496" i="5"/>
  <c r="AF497" i="5"/>
  <c r="AF498" i="5"/>
  <c r="AF499" i="5"/>
  <c r="AF500" i="5"/>
  <c r="AF501" i="5"/>
  <c r="AF502" i="5"/>
  <c r="AF503" i="5"/>
  <c r="AF504" i="5"/>
  <c r="AF505" i="5"/>
  <c r="AF506" i="5"/>
  <c r="AF507" i="5"/>
  <c r="AF508" i="5"/>
  <c r="AF509" i="5"/>
  <c r="AF510" i="5"/>
  <c r="AF511" i="5"/>
  <c r="AF512" i="5"/>
  <c r="AF513" i="5"/>
  <c r="AF514" i="5"/>
  <c r="AF515" i="5"/>
  <c r="AF516" i="5"/>
  <c r="AF517" i="5"/>
  <c r="AF518" i="5"/>
  <c r="AF519" i="5"/>
  <c r="AF520" i="5"/>
  <c r="AF521" i="5"/>
  <c r="AF522" i="5"/>
  <c r="AF523" i="5"/>
  <c r="AF524" i="5"/>
  <c r="AF525" i="5"/>
  <c r="AF526" i="5"/>
  <c r="AF527" i="5"/>
  <c r="AF528" i="5"/>
  <c r="AF529" i="5"/>
  <c r="AF530" i="5"/>
  <c r="AF531" i="5"/>
  <c r="AF532" i="5"/>
  <c r="AF533" i="5"/>
  <c r="AF534" i="5"/>
  <c r="AF535" i="5"/>
  <c r="AF536" i="5"/>
  <c r="AF537" i="5"/>
  <c r="AF538" i="5"/>
  <c r="AF539" i="5"/>
  <c r="AF540" i="5"/>
  <c r="AF541" i="5"/>
  <c r="AF542" i="5"/>
  <c r="AF543" i="5"/>
  <c r="AF544" i="5"/>
  <c r="AF545" i="5"/>
  <c r="AF546" i="5"/>
  <c r="AF547" i="5"/>
  <c r="AF548" i="5"/>
  <c r="AF549" i="5"/>
  <c r="AF550" i="5"/>
  <c r="AF551" i="5"/>
  <c r="AF552" i="5"/>
  <c r="AF553" i="5"/>
  <c r="AF554" i="5"/>
  <c r="AF555" i="5"/>
  <c r="AF556" i="5"/>
  <c r="AF557" i="5"/>
  <c r="AF558" i="5"/>
  <c r="AF559" i="5"/>
  <c r="AF560" i="5"/>
  <c r="AF561" i="5"/>
  <c r="AF562" i="5"/>
  <c r="AF563" i="5"/>
  <c r="AF564" i="5"/>
  <c r="AF565" i="5"/>
  <c r="AF566" i="5"/>
  <c r="AF567" i="5"/>
  <c r="AF568" i="5"/>
  <c r="AF569" i="5"/>
  <c r="AF570" i="5"/>
  <c r="AF571" i="5"/>
  <c r="AF572" i="5"/>
  <c r="AF573" i="5"/>
  <c r="AF574" i="5"/>
  <c r="AF575" i="5"/>
  <c r="AF576" i="5"/>
  <c r="AF577" i="5"/>
  <c r="AF578" i="5"/>
  <c r="AF579" i="5"/>
  <c r="AF580" i="5"/>
  <c r="AF581" i="5"/>
  <c r="AF582" i="5"/>
  <c r="AF583" i="5"/>
  <c r="AF584" i="5"/>
  <c r="AF585" i="5"/>
  <c r="AF586" i="5"/>
  <c r="AF587" i="5"/>
  <c r="AF588" i="5"/>
  <c r="AF589" i="5"/>
  <c r="AF590" i="5"/>
  <c r="AF591" i="5"/>
  <c r="AF592" i="5"/>
  <c r="AF593" i="5"/>
  <c r="AF594" i="5"/>
  <c r="AF595" i="5"/>
  <c r="AF596" i="5"/>
  <c r="AF597" i="5"/>
  <c r="AF598" i="5"/>
  <c r="AF599" i="5"/>
  <c r="AF600" i="5"/>
  <c r="AF601" i="5"/>
  <c r="AF602" i="5"/>
  <c r="AF603" i="5"/>
  <c r="AF604" i="5"/>
  <c r="AF605" i="5"/>
  <c r="AF606" i="5"/>
  <c r="AF607" i="5"/>
  <c r="AF608" i="5"/>
  <c r="AF609" i="5"/>
  <c r="AF610" i="5"/>
  <c r="AF611" i="5"/>
  <c r="AF612" i="5"/>
  <c r="AF613" i="5"/>
  <c r="AF614" i="5"/>
  <c r="AF615" i="5"/>
  <c r="AF616" i="5"/>
  <c r="AF617" i="5"/>
  <c r="AF618" i="5"/>
  <c r="AF619" i="5"/>
  <c r="AF620" i="5"/>
  <c r="AF621" i="5"/>
  <c r="AF622" i="5"/>
  <c r="AF623" i="5"/>
  <c r="AF624" i="5"/>
  <c r="AF625" i="5"/>
  <c r="AF626" i="5"/>
  <c r="AF627" i="5"/>
  <c r="AF628" i="5"/>
  <c r="AF629" i="5"/>
  <c r="AF630" i="5"/>
  <c r="AF631" i="5"/>
  <c r="AF632" i="5"/>
  <c r="AF633" i="5"/>
  <c r="AF634" i="5"/>
  <c r="AF635" i="5"/>
  <c r="AF636" i="5"/>
  <c r="AF637" i="5"/>
  <c r="AF638" i="5"/>
  <c r="AF639" i="5"/>
  <c r="AF640" i="5"/>
  <c r="AF641" i="5"/>
  <c r="AF642" i="5"/>
  <c r="AF643" i="5"/>
  <c r="AF644" i="5"/>
  <c r="AF645" i="5"/>
  <c r="AF646" i="5"/>
  <c r="AF647" i="5"/>
  <c r="AF648" i="5"/>
  <c r="AF649" i="5"/>
  <c r="AF650" i="5"/>
  <c r="AF651" i="5"/>
  <c r="AF652" i="5"/>
  <c r="AF653" i="5"/>
  <c r="AF654" i="5"/>
  <c r="AF655" i="5"/>
  <c r="AF656" i="5"/>
  <c r="AF657" i="5"/>
  <c r="AF658" i="5"/>
  <c r="AF659" i="5"/>
  <c r="AF660" i="5"/>
  <c r="AF661" i="5"/>
  <c r="AF662" i="5"/>
  <c r="AF663" i="5"/>
  <c r="AF664" i="5"/>
  <c r="AF665" i="5"/>
  <c r="AF666" i="5"/>
  <c r="AF667" i="5"/>
  <c r="AF668" i="5"/>
  <c r="AF669" i="5"/>
  <c r="AF670" i="5"/>
  <c r="AF671" i="5"/>
  <c r="AF672" i="5"/>
  <c r="AF673" i="5"/>
  <c r="AF674" i="5"/>
  <c r="AF675" i="5"/>
  <c r="AF676" i="5"/>
  <c r="AF677" i="5"/>
  <c r="AF678" i="5"/>
  <c r="AF679" i="5"/>
  <c r="AF680" i="5"/>
  <c r="AF681" i="5"/>
  <c r="AF682" i="5"/>
  <c r="AF683" i="5"/>
  <c r="AF684" i="5"/>
  <c r="AF685" i="5"/>
  <c r="AF686" i="5"/>
  <c r="AF687" i="5"/>
  <c r="AF688" i="5"/>
  <c r="AF689" i="5"/>
  <c r="AF690" i="5"/>
  <c r="AF691" i="5"/>
  <c r="AF692" i="5"/>
  <c r="AF693" i="5"/>
  <c r="AF694" i="5"/>
  <c r="AF695" i="5"/>
  <c r="AF696" i="5"/>
  <c r="AF697" i="5"/>
  <c r="AF698" i="5"/>
  <c r="AF699" i="5"/>
  <c r="AF700" i="5"/>
  <c r="AF701" i="5"/>
  <c r="AF702" i="5"/>
  <c r="AF703" i="5"/>
  <c r="AF704" i="5"/>
  <c r="AF705" i="5"/>
  <c r="AF706" i="5"/>
  <c r="AF707" i="5"/>
  <c r="AF708" i="5"/>
  <c r="AF709" i="5"/>
  <c r="AF710" i="5"/>
  <c r="AF711" i="5"/>
  <c r="AF712" i="5"/>
  <c r="AF713" i="5"/>
  <c r="AF714" i="5"/>
  <c r="AF715" i="5"/>
  <c r="AF716" i="5"/>
  <c r="AF717" i="5"/>
  <c r="AF718" i="5"/>
  <c r="AF719" i="5"/>
  <c r="AF720" i="5"/>
  <c r="AF721" i="5"/>
  <c r="AF722" i="5"/>
  <c r="AF723" i="5"/>
  <c r="AF724" i="5"/>
  <c r="AF725" i="5"/>
  <c r="AF726" i="5"/>
  <c r="AF727" i="5"/>
  <c r="AF728" i="5"/>
  <c r="AF729" i="5"/>
  <c r="AF730" i="5"/>
  <c r="AF731" i="5"/>
  <c r="AF732" i="5"/>
  <c r="AF733" i="5"/>
  <c r="AF734" i="5"/>
  <c r="AF735" i="5"/>
  <c r="AF736" i="5"/>
  <c r="AF737" i="5"/>
  <c r="AF738" i="5"/>
  <c r="AF739" i="5"/>
  <c r="AF740" i="5"/>
  <c r="AF741" i="5"/>
  <c r="AF742" i="5"/>
  <c r="AF743" i="5"/>
  <c r="AF744" i="5"/>
  <c r="AF745" i="5"/>
  <c r="AF746" i="5"/>
  <c r="AF747" i="5"/>
  <c r="AF748" i="5"/>
  <c r="AF749" i="5"/>
  <c r="AF750" i="5"/>
  <c r="AF751" i="5"/>
  <c r="AF752" i="5"/>
  <c r="AF753" i="5"/>
  <c r="AF754" i="5"/>
  <c r="AF755" i="5"/>
  <c r="AF756" i="5"/>
  <c r="AF757" i="5"/>
  <c r="AF758" i="5"/>
  <c r="AF759" i="5"/>
  <c r="AF760" i="5"/>
  <c r="AF761" i="5"/>
  <c r="AF762" i="5"/>
  <c r="AF763" i="5"/>
  <c r="AF764" i="5"/>
  <c r="AF765" i="5"/>
  <c r="AF766" i="5"/>
  <c r="AF767" i="5"/>
  <c r="AF768" i="5"/>
  <c r="AF769" i="5"/>
  <c r="AF770" i="5"/>
  <c r="AF771" i="5"/>
  <c r="AF772" i="5"/>
  <c r="AF773" i="5"/>
  <c r="AF774" i="5"/>
  <c r="AF775" i="5"/>
  <c r="AF776" i="5"/>
  <c r="AF777" i="5"/>
  <c r="AF778" i="5"/>
  <c r="AF779" i="5"/>
  <c r="AF780" i="5"/>
  <c r="AF781" i="5"/>
  <c r="AF782" i="5"/>
  <c r="AF783" i="5"/>
  <c r="AF784" i="5"/>
  <c r="AF785" i="5"/>
  <c r="AF786" i="5"/>
  <c r="AF787" i="5"/>
  <c r="AF788" i="5"/>
  <c r="AF789" i="5"/>
  <c r="AF790" i="5"/>
  <c r="AF791" i="5"/>
  <c r="AF792" i="5"/>
  <c r="AF793" i="5"/>
  <c r="AF794" i="5"/>
  <c r="AF795" i="5"/>
  <c r="AF796" i="5"/>
  <c r="AF797" i="5"/>
  <c r="AF798" i="5"/>
  <c r="AF799" i="5"/>
  <c r="AF800" i="5"/>
  <c r="AF801" i="5"/>
  <c r="AF802" i="5"/>
  <c r="AF803" i="5"/>
  <c r="AF804" i="5"/>
  <c r="AF805" i="5"/>
  <c r="AF806" i="5"/>
  <c r="AF807" i="5"/>
  <c r="AF808" i="5"/>
  <c r="AF809" i="5"/>
  <c r="AF810" i="5"/>
  <c r="AF811" i="5"/>
  <c r="AF812" i="5"/>
  <c r="AF813" i="5"/>
  <c r="AF814" i="5"/>
  <c r="AF815" i="5"/>
  <c r="AF816" i="5"/>
  <c r="AF817" i="5"/>
  <c r="AF818" i="5"/>
  <c r="AF819" i="5"/>
  <c r="AF820" i="5"/>
  <c r="AF821" i="5"/>
  <c r="AF822" i="5"/>
  <c r="AF823" i="5"/>
  <c r="AF824" i="5"/>
  <c r="AF825" i="5"/>
  <c r="AF826" i="5"/>
  <c r="AF827" i="5"/>
  <c r="AF828" i="5"/>
  <c r="AF829" i="5"/>
  <c r="AF830" i="5"/>
  <c r="AF831" i="5"/>
  <c r="AF832" i="5"/>
  <c r="AF833" i="5"/>
  <c r="AF834" i="5"/>
  <c r="AF835" i="5"/>
  <c r="AF836" i="5"/>
  <c r="AF837" i="5"/>
  <c r="AF838" i="5"/>
  <c r="AF839" i="5"/>
  <c r="AF840" i="5"/>
  <c r="AF841" i="5"/>
  <c r="AF842" i="5"/>
  <c r="AF843" i="5"/>
  <c r="AF844" i="5"/>
  <c r="AF845" i="5"/>
  <c r="AF846" i="5"/>
  <c r="AF847" i="5"/>
  <c r="AF848" i="5"/>
  <c r="AF849" i="5"/>
  <c r="AF850" i="5"/>
  <c r="AF851" i="5"/>
  <c r="AF852" i="5"/>
  <c r="AF853" i="5"/>
  <c r="AF854" i="5"/>
  <c r="AF855" i="5"/>
  <c r="AF856" i="5"/>
  <c r="AF857" i="5"/>
  <c r="AF858" i="5"/>
  <c r="AF859" i="5"/>
  <c r="AF860" i="5"/>
  <c r="AF861" i="5"/>
  <c r="AF862" i="5"/>
  <c r="AF863" i="5"/>
  <c r="AF864" i="5"/>
  <c r="AF865" i="5"/>
  <c r="AF866" i="5"/>
  <c r="AF867" i="5"/>
  <c r="AF868" i="5"/>
  <c r="AF869" i="5"/>
  <c r="AF870" i="5"/>
  <c r="AF871" i="5"/>
  <c r="AF872" i="5"/>
  <c r="AF873" i="5"/>
  <c r="AF874" i="5"/>
  <c r="AF875" i="5"/>
  <c r="AF876" i="5"/>
  <c r="AF877" i="5"/>
  <c r="AF878" i="5"/>
  <c r="AF879" i="5"/>
  <c r="AF880" i="5"/>
  <c r="AF881" i="5"/>
  <c r="AF882" i="5"/>
  <c r="AF883" i="5"/>
  <c r="AF884" i="5"/>
  <c r="AF885" i="5"/>
  <c r="AF886" i="5"/>
  <c r="AF887" i="5"/>
  <c r="AF888" i="5"/>
  <c r="AF889" i="5"/>
  <c r="AF890" i="5"/>
  <c r="AF891" i="5"/>
  <c r="AF892" i="5"/>
  <c r="AF893" i="5"/>
  <c r="AF894" i="5"/>
  <c r="AF895" i="5"/>
  <c r="AF896" i="5"/>
  <c r="AF897" i="5"/>
  <c r="AF898" i="5"/>
  <c r="AF899" i="5"/>
  <c r="AF900" i="5"/>
  <c r="AF901" i="5"/>
  <c r="AF902" i="5"/>
  <c r="AF903" i="5"/>
  <c r="AF904" i="5"/>
  <c r="AF905" i="5"/>
  <c r="AF906" i="5"/>
  <c r="AF907" i="5"/>
  <c r="AF908" i="5"/>
  <c r="AF909" i="5"/>
  <c r="AF910" i="5"/>
  <c r="AF911" i="5"/>
  <c r="AF912" i="5"/>
  <c r="AF913" i="5"/>
  <c r="AF914" i="5"/>
  <c r="AF915" i="5"/>
  <c r="AF916" i="5"/>
  <c r="AF917" i="5"/>
  <c r="AF918" i="5"/>
  <c r="AF919" i="5"/>
  <c r="AF920" i="5"/>
  <c r="AF921" i="5"/>
  <c r="AF922" i="5"/>
  <c r="AF923" i="5"/>
  <c r="AF924" i="5"/>
  <c r="AF925" i="5"/>
  <c r="AF926" i="5"/>
  <c r="AF927" i="5"/>
  <c r="AF928" i="5"/>
  <c r="AF929" i="5"/>
  <c r="AF930" i="5"/>
  <c r="AF931" i="5"/>
  <c r="AF932" i="5"/>
  <c r="AF933" i="5"/>
  <c r="AF934" i="5"/>
  <c r="AF935" i="5"/>
  <c r="AF936" i="5"/>
  <c r="AF937" i="5"/>
  <c r="AF938" i="5"/>
  <c r="AF939" i="5"/>
  <c r="AF940" i="5"/>
  <c r="AF941" i="5"/>
  <c r="AF942" i="5"/>
  <c r="AF943" i="5"/>
  <c r="AF944" i="5"/>
  <c r="AF945" i="5"/>
  <c r="AF946" i="5"/>
  <c r="AF947" i="5"/>
  <c r="AF948" i="5"/>
  <c r="AF949" i="5"/>
  <c r="AF950" i="5"/>
  <c r="AF951" i="5"/>
  <c r="AF952" i="5"/>
  <c r="AF953" i="5"/>
  <c r="AF954" i="5"/>
  <c r="AF955" i="5"/>
  <c r="AF956" i="5"/>
  <c r="AF957" i="5"/>
  <c r="AF958" i="5"/>
  <c r="AF959" i="5"/>
  <c r="AF960" i="5"/>
  <c r="AF961" i="5"/>
  <c r="AF962" i="5"/>
  <c r="AF963" i="5"/>
  <c r="AF964" i="5"/>
  <c r="AF965" i="5"/>
  <c r="AF966" i="5"/>
  <c r="AF967" i="5"/>
  <c r="AF968" i="5"/>
  <c r="AF969" i="5"/>
  <c r="AF970" i="5"/>
  <c r="AF971" i="5"/>
  <c r="AF972" i="5"/>
  <c r="AF973" i="5"/>
  <c r="AF974" i="5"/>
  <c r="AF975" i="5"/>
  <c r="AF976" i="5"/>
  <c r="AF977" i="5"/>
  <c r="AF978" i="5"/>
  <c r="AF979" i="5"/>
  <c r="AF980" i="5"/>
  <c r="AF981" i="5"/>
  <c r="AF982" i="5"/>
  <c r="AF983" i="5"/>
  <c r="AF984" i="5"/>
  <c r="AF985" i="5"/>
  <c r="AF986" i="5"/>
  <c r="AF987" i="5"/>
  <c r="AF988" i="5"/>
  <c r="AF989" i="5"/>
  <c r="AF990" i="5"/>
  <c r="AF991" i="5"/>
  <c r="AF992" i="5"/>
  <c r="AF993" i="5"/>
  <c r="AF994" i="5"/>
  <c r="AF995" i="5"/>
  <c r="AF996" i="5"/>
  <c r="AF997" i="5"/>
  <c r="AF998" i="5"/>
  <c r="AF999" i="5"/>
  <c r="AF1000" i="5"/>
  <c r="AF1001" i="5"/>
  <c r="AF1002" i="5"/>
  <c r="AF1003" i="5"/>
  <c r="AF1004" i="5"/>
  <c r="AF1005" i="5"/>
  <c r="AF1006" i="5"/>
  <c r="AF1007" i="5"/>
  <c r="AF1008" i="5"/>
  <c r="AF1009" i="5"/>
  <c r="AF1010" i="5"/>
  <c r="AF1011" i="5"/>
  <c r="AF1012" i="5"/>
  <c r="AF1013" i="5"/>
  <c r="AF1014" i="5"/>
  <c r="AF1015" i="5"/>
  <c r="AF1016" i="5"/>
  <c r="AF1017" i="5"/>
  <c r="AF1018" i="5"/>
  <c r="AF1019" i="5"/>
  <c r="AF1020" i="5"/>
  <c r="AF1021" i="5"/>
  <c r="AF1022" i="5"/>
  <c r="AF1023" i="5"/>
  <c r="AF1024" i="5"/>
  <c r="AF1025" i="5"/>
  <c r="AF1026" i="5"/>
  <c r="AF1027" i="5"/>
  <c r="AF1028" i="5"/>
  <c r="AF1029" i="5"/>
  <c r="AF1030" i="5"/>
  <c r="AF1031" i="5"/>
  <c r="AF1032" i="5"/>
  <c r="AF1033" i="5"/>
  <c r="AF1034" i="5"/>
  <c r="AF1035" i="5"/>
  <c r="AF1036" i="5"/>
  <c r="AF1037" i="5"/>
  <c r="AF1038" i="5"/>
  <c r="AF1039" i="5"/>
  <c r="AF1040" i="5"/>
  <c r="AF1041" i="5"/>
  <c r="AF1042" i="5"/>
  <c r="AF1043" i="5"/>
  <c r="AF1044" i="5"/>
  <c r="AF1045" i="5"/>
  <c r="AF1046" i="5"/>
  <c r="AF1047" i="5"/>
  <c r="AF1048" i="5"/>
  <c r="AF1049" i="5"/>
  <c r="AF1050" i="5"/>
  <c r="AF1051" i="5"/>
  <c r="AF1052" i="5"/>
  <c r="AF1053" i="5"/>
  <c r="AF1054" i="5"/>
  <c r="AF1055" i="5"/>
  <c r="AF1056" i="5"/>
  <c r="AF1057" i="5"/>
  <c r="AF1058" i="5"/>
  <c r="AF1059" i="5"/>
  <c r="AF1060" i="5"/>
  <c r="AF1061" i="5"/>
  <c r="AF1062" i="5"/>
  <c r="AF1063" i="5"/>
  <c r="AF1064" i="5"/>
  <c r="AF1065" i="5"/>
  <c r="AF1066" i="5"/>
  <c r="AF1067" i="5"/>
  <c r="AF1068" i="5"/>
  <c r="AF1069" i="5"/>
  <c r="AF1070" i="5"/>
  <c r="AF1071" i="5"/>
  <c r="AF1072" i="5"/>
  <c r="AF1073" i="5"/>
  <c r="AF1074" i="5"/>
  <c r="AF1075" i="5"/>
  <c r="AF1076" i="5"/>
  <c r="AF1077" i="5"/>
  <c r="AF1078" i="5"/>
  <c r="AF1079" i="5"/>
  <c r="AF1080" i="5"/>
  <c r="AF1081" i="5"/>
  <c r="AF1082" i="5"/>
  <c r="AF1083" i="5"/>
  <c r="AF1084" i="5"/>
  <c r="AF1085" i="5"/>
  <c r="AF1086" i="5"/>
  <c r="AF1087" i="5"/>
  <c r="AF1088" i="5"/>
  <c r="AF1089" i="5"/>
  <c r="AF1090" i="5"/>
  <c r="AF1091" i="5"/>
  <c r="AF1092" i="5"/>
  <c r="AF1093" i="5"/>
  <c r="AF1094" i="5"/>
  <c r="AF1095" i="5"/>
  <c r="AF1096" i="5"/>
  <c r="AF1097" i="5"/>
  <c r="AF1098" i="5"/>
  <c r="AF1099" i="5"/>
  <c r="AF1100" i="5"/>
  <c r="AF1101" i="5"/>
  <c r="AF1102" i="5"/>
  <c r="AF1103" i="5"/>
  <c r="AF1104" i="5"/>
  <c r="AF1105" i="5"/>
  <c r="AF1106" i="5"/>
  <c r="AF1107" i="5"/>
  <c r="AF1108" i="5"/>
  <c r="AF1109" i="5"/>
  <c r="AF1110" i="5"/>
  <c r="AF1111" i="5"/>
  <c r="AF1112" i="5"/>
  <c r="AF1113" i="5"/>
  <c r="AF1114" i="5"/>
  <c r="AF1115" i="5"/>
  <c r="AF1116" i="5"/>
  <c r="AF1117" i="5"/>
  <c r="AF1118" i="5"/>
  <c r="AF1119" i="5"/>
  <c r="AF1120" i="5"/>
  <c r="AF1121" i="5"/>
  <c r="AF1122" i="5"/>
  <c r="AF1123" i="5"/>
  <c r="AF1124" i="5"/>
  <c r="AF1125" i="5"/>
  <c r="AF1126" i="5"/>
  <c r="AF1127" i="5"/>
  <c r="AF1128" i="5"/>
  <c r="AF1129" i="5"/>
  <c r="AF1130" i="5"/>
  <c r="AF1131" i="5"/>
  <c r="AF1132" i="5"/>
  <c r="AF1133" i="5"/>
  <c r="AF1134" i="5"/>
  <c r="AF1135" i="5"/>
  <c r="AF1136" i="5"/>
  <c r="AF1137" i="5"/>
  <c r="AF1138" i="5"/>
  <c r="AF1139" i="5"/>
  <c r="AF1140" i="5"/>
  <c r="AF1141" i="5"/>
  <c r="AF1142" i="5"/>
  <c r="AF1143" i="5"/>
  <c r="AF1144" i="5"/>
  <c r="AF1145" i="5"/>
  <c r="AF1146" i="5"/>
  <c r="AF1147" i="5"/>
  <c r="AF1148" i="5"/>
  <c r="AF1149" i="5"/>
  <c r="AF1150" i="5"/>
  <c r="AF1151" i="5"/>
  <c r="AF1152" i="5"/>
  <c r="AF1153" i="5"/>
  <c r="AF1154" i="5"/>
  <c r="AF1155" i="5"/>
  <c r="AF1156" i="5"/>
  <c r="AF1157" i="5"/>
  <c r="AF1158" i="5"/>
  <c r="AF1159" i="5"/>
  <c r="AF1160" i="5"/>
  <c r="AF1161" i="5"/>
  <c r="AF1162" i="5"/>
  <c r="AF1163" i="5"/>
  <c r="AF1164" i="5"/>
  <c r="AF1165" i="5"/>
  <c r="AF1166" i="5"/>
  <c r="AF1167" i="5"/>
  <c r="AF1168" i="5"/>
  <c r="AF1169" i="5"/>
  <c r="AF1170" i="5"/>
  <c r="AF1171" i="5"/>
  <c r="AF1172" i="5"/>
  <c r="AF1173" i="5"/>
  <c r="AF1174" i="5"/>
  <c r="AF1175" i="5"/>
  <c r="AF1176" i="5"/>
  <c r="AF1177" i="5"/>
  <c r="AF1178" i="5"/>
  <c r="AF1179" i="5"/>
  <c r="AF1180" i="5"/>
  <c r="AF1181" i="5"/>
  <c r="AF1182" i="5"/>
  <c r="AF1183" i="5"/>
  <c r="AF1184" i="5"/>
  <c r="AF1185" i="5"/>
  <c r="AF1186" i="5"/>
  <c r="AF1187" i="5"/>
  <c r="AF1188" i="5"/>
  <c r="AF1189" i="5"/>
  <c r="AF1190" i="5"/>
  <c r="AF1191" i="5"/>
  <c r="AF1192" i="5"/>
  <c r="AF1193" i="5"/>
  <c r="AF1194" i="5"/>
  <c r="AF1195" i="5"/>
  <c r="AF1196" i="5"/>
  <c r="AF1197" i="5"/>
  <c r="AF1198" i="5"/>
  <c r="AF1199" i="5"/>
  <c r="AF1200" i="5"/>
  <c r="AF1201" i="5"/>
  <c r="AF1202" i="5"/>
  <c r="AF1203" i="5"/>
  <c r="AF1204" i="5"/>
  <c r="AF1205" i="5"/>
  <c r="AF1206" i="5"/>
  <c r="AF1207" i="5"/>
  <c r="AF1208" i="5"/>
  <c r="AF1209" i="5"/>
  <c r="AF1210" i="5"/>
  <c r="AF1211" i="5"/>
  <c r="AF1212" i="5"/>
  <c r="AF1213" i="5"/>
  <c r="AF1214" i="5"/>
  <c r="AF1215" i="5"/>
  <c r="AF1216" i="5"/>
  <c r="AF1217" i="5"/>
  <c r="AF1218" i="5"/>
  <c r="AF1219" i="5"/>
  <c r="AF1220" i="5"/>
  <c r="AF1221" i="5"/>
  <c r="AF1222" i="5"/>
  <c r="AF1223" i="5"/>
  <c r="AF1224" i="5"/>
  <c r="AF1225" i="5"/>
  <c r="AF1226" i="5"/>
  <c r="AF1227" i="5"/>
  <c r="AF1228" i="5"/>
  <c r="AF1229" i="5"/>
  <c r="AF1230" i="5"/>
  <c r="AF1231" i="5"/>
  <c r="AF1232" i="5"/>
  <c r="AF1233" i="5"/>
  <c r="AF1234" i="5"/>
  <c r="AF1235" i="5"/>
  <c r="AF1236" i="5"/>
  <c r="AF1237" i="5"/>
  <c r="AF1238" i="5"/>
  <c r="AF1239" i="5"/>
  <c r="AF1240" i="5"/>
  <c r="AF1241" i="5"/>
  <c r="AF1242" i="5"/>
  <c r="AF1243" i="5"/>
  <c r="AF1244" i="5"/>
  <c r="AF1245" i="5"/>
  <c r="AF1246" i="5"/>
  <c r="AF1247" i="5"/>
  <c r="AF1248" i="5"/>
  <c r="AF1249" i="5"/>
  <c r="AF1250" i="5"/>
  <c r="AF1251" i="5"/>
  <c r="AF1252" i="5"/>
  <c r="AF1253" i="5"/>
  <c r="AF1254" i="5"/>
  <c r="AF1255" i="5"/>
  <c r="AF1256" i="5"/>
  <c r="AF1257" i="5"/>
  <c r="AF1258" i="5"/>
  <c r="AF1259" i="5"/>
  <c r="AF1260" i="5"/>
  <c r="AF1261" i="5"/>
  <c r="AF1262" i="5"/>
  <c r="AF1263" i="5"/>
  <c r="AM1263" i="5"/>
  <c r="AJ1263" i="5"/>
  <c r="Q1263" i="5"/>
  <c r="P1263" i="5"/>
  <c r="N1263" i="5"/>
  <c r="L1263" i="5"/>
  <c r="H1263" i="5"/>
  <c r="O1263" i="5" s="1"/>
  <c r="D1263" i="5"/>
  <c r="M1263" i="5" s="1"/>
  <c r="AM1262" i="5"/>
  <c r="AJ1262" i="5"/>
  <c r="Q1262" i="5"/>
  <c r="P1262" i="5"/>
  <c r="N1262" i="5"/>
  <c r="L1262" i="5"/>
  <c r="H1262" i="5"/>
  <c r="O1262" i="5" s="1"/>
  <c r="D1262" i="5"/>
  <c r="M1262" i="5" s="1"/>
  <c r="AM1261" i="5"/>
  <c r="AJ1261" i="5"/>
  <c r="Q1261" i="5"/>
  <c r="P1261" i="5"/>
  <c r="N1261" i="5"/>
  <c r="L1261" i="5"/>
  <c r="H1261" i="5"/>
  <c r="O1261" i="5" s="1"/>
  <c r="D1261" i="5"/>
  <c r="M1261" i="5" s="1"/>
  <c r="AM1260" i="5"/>
  <c r="AJ1260" i="5"/>
  <c r="Q1260" i="5"/>
  <c r="P1260" i="5"/>
  <c r="N1260" i="5"/>
  <c r="L1260" i="5"/>
  <c r="H1260" i="5"/>
  <c r="O1260" i="5" s="1"/>
  <c r="D1260" i="5"/>
  <c r="M1260" i="5" s="1"/>
  <c r="AM1259" i="5"/>
  <c r="AJ1259" i="5"/>
  <c r="Q1259" i="5"/>
  <c r="P1259" i="5"/>
  <c r="N1259" i="5"/>
  <c r="L1259" i="5"/>
  <c r="H1259" i="5"/>
  <c r="O1259" i="5" s="1"/>
  <c r="D1259" i="5"/>
  <c r="M1259" i="5" s="1"/>
  <c r="AM1258" i="5"/>
  <c r="AJ1258" i="5"/>
  <c r="Q1258" i="5"/>
  <c r="P1258" i="5"/>
  <c r="N1258" i="5"/>
  <c r="L1258" i="5"/>
  <c r="H1258" i="5"/>
  <c r="O1258" i="5" s="1"/>
  <c r="D1258" i="5"/>
  <c r="M1258" i="5" s="1"/>
  <c r="AM1257" i="5"/>
  <c r="AJ1257" i="5"/>
  <c r="Q1257" i="5"/>
  <c r="P1257" i="5"/>
  <c r="N1257" i="5"/>
  <c r="L1257" i="5"/>
  <c r="H1257" i="5"/>
  <c r="O1257" i="5" s="1"/>
  <c r="D1257" i="5"/>
  <c r="M1257" i="5" s="1"/>
  <c r="AM1256" i="5"/>
  <c r="AJ1256" i="5"/>
  <c r="Q1256" i="5"/>
  <c r="P1256" i="5"/>
  <c r="N1256" i="5"/>
  <c r="L1256" i="5"/>
  <c r="H1256" i="5"/>
  <c r="O1256" i="5" s="1"/>
  <c r="D1256" i="5"/>
  <c r="M1256" i="5" s="1"/>
  <c r="AM1255" i="5"/>
  <c r="AJ1255" i="5"/>
  <c r="Q1255" i="5"/>
  <c r="P1255" i="5"/>
  <c r="N1255" i="5"/>
  <c r="L1255" i="5"/>
  <c r="H1255" i="5"/>
  <c r="O1255" i="5" s="1"/>
  <c r="D1255" i="5"/>
  <c r="M1255" i="5" s="1"/>
  <c r="AM1254" i="5"/>
  <c r="AJ1254" i="5"/>
  <c r="Q1254" i="5"/>
  <c r="P1254" i="5"/>
  <c r="N1254" i="5"/>
  <c r="L1254" i="5"/>
  <c r="H1254" i="5"/>
  <c r="O1254" i="5" s="1"/>
  <c r="D1254" i="5"/>
  <c r="M1254" i="5" s="1"/>
  <c r="AM1253" i="5"/>
  <c r="AJ1253" i="5"/>
  <c r="Q1253" i="5"/>
  <c r="P1253" i="5"/>
  <c r="N1253" i="5"/>
  <c r="L1253" i="5"/>
  <c r="H1253" i="5"/>
  <c r="O1253" i="5" s="1"/>
  <c r="D1253" i="5"/>
  <c r="M1253" i="5" s="1"/>
  <c r="AM1252" i="5"/>
  <c r="AJ1252" i="5"/>
  <c r="Q1252" i="5"/>
  <c r="P1252" i="5"/>
  <c r="N1252" i="5"/>
  <c r="L1252" i="5"/>
  <c r="H1252" i="5"/>
  <c r="O1252" i="5" s="1"/>
  <c r="D1252" i="5"/>
  <c r="M1252" i="5" s="1"/>
  <c r="AM1251" i="5"/>
  <c r="AJ1251" i="5"/>
  <c r="Q1251" i="5"/>
  <c r="P1251" i="5"/>
  <c r="N1251" i="5"/>
  <c r="L1251" i="5"/>
  <c r="H1251" i="5"/>
  <c r="O1251" i="5" s="1"/>
  <c r="D1251" i="5"/>
  <c r="M1251" i="5" s="1"/>
  <c r="AM1250" i="5"/>
  <c r="AJ1250" i="5"/>
  <c r="Q1250" i="5"/>
  <c r="P1250" i="5"/>
  <c r="N1250" i="5"/>
  <c r="L1250" i="5"/>
  <c r="H1250" i="5"/>
  <c r="O1250" i="5" s="1"/>
  <c r="D1250" i="5"/>
  <c r="M1250" i="5" s="1"/>
  <c r="AM1249" i="5"/>
  <c r="AJ1249" i="5"/>
  <c r="Q1249" i="5"/>
  <c r="P1249" i="5"/>
  <c r="N1249" i="5"/>
  <c r="L1249" i="5"/>
  <c r="H1249" i="5"/>
  <c r="O1249" i="5" s="1"/>
  <c r="D1249" i="5"/>
  <c r="M1249" i="5" s="1"/>
  <c r="AM1248" i="5"/>
  <c r="AJ1248" i="5"/>
  <c r="Q1248" i="5"/>
  <c r="P1248" i="5"/>
  <c r="N1248" i="5"/>
  <c r="L1248" i="5"/>
  <c r="H1248" i="5"/>
  <c r="O1248" i="5" s="1"/>
  <c r="D1248" i="5"/>
  <c r="M1248" i="5" s="1"/>
  <c r="AM1247" i="5"/>
  <c r="AJ1247" i="5"/>
  <c r="Q1247" i="5"/>
  <c r="P1247" i="5"/>
  <c r="N1247" i="5"/>
  <c r="L1247" i="5"/>
  <c r="H1247" i="5"/>
  <c r="O1247" i="5" s="1"/>
  <c r="D1247" i="5"/>
  <c r="M1247" i="5" s="1"/>
  <c r="AM1246" i="5"/>
  <c r="AJ1246" i="5"/>
  <c r="Q1246" i="5"/>
  <c r="P1246" i="5"/>
  <c r="N1246" i="5"/>
  <c r="L1246" i="5"/>
  <c r="H1246" i="5"/>
  <c r="O1246" i="5" s="1"/>
  <c r="D1246" i="5"/>
  <c r="M1246" i="5" s="1"/>
  <c r="AM1245" i="5"/>
  <c r="AJ1245" i="5"/>
  <c r="Q1245" i="5"/>
  <c r="P1245" i="5"/>
  <c r="N1245" i="5"/>
  <c r="L1245" i="5"/>
  <c r="H1245" i="5"/>
  <c r="O1245" i="5" s="1"/>
  <c r="D1245" i="5"/>
  <c r="M1245" i="5" s="1"/>
  <c r="AM1244" i="5"/>
  <c r="AJ1244" i="5"/>
  <c r="Q1244" i="5"/>
  <c r="P1244" i="5"/>
  <c r="N1244" i="5"/>
  <c r="L1244" i="5"/>
  <c r="H1244" i="5"/>
  <c r="O1244" i="5" s="1"/>
  <c r="D1244" i="5"/>
  <c r="M1244" i="5" s="1"/>
  <c r="AM1243" i="5"/>
  <c r="AJ1243" i="5"/>
  <c r="Q1243" i="5"/>
  <c r="P1243" i="5"/>
  <c r="N1243" i="5"/>
  <c r="L1243" i="5"/>
  <c r="H1243" i="5"/>
  <c r="O1243" i="5" s="1"/>
  <c r="D1243" i="5"/>
  <c r="M1243" i="5" s="1"/>
  <c r="AM1242" i="5"/>
  <c r="AJ1242" i="5"/>
  <c r="Q1242" i="5"/>
  <c r="P1242" i="5"/>
  <c r="N1242" i="5"/>
  <c r="L1242" i="5"/>
  <c r="H1242" i="5"/>
  <c r="O1242" i="5" s="1"/>
  <c r="D1242" i="5"/>
  <c r="M1242" i="5" s="1"/>
  <c r="AM1241" i="5"/>
  <c r="AJ1241" i="5"/>
  <c r="Q1241" i="5"/>
  <c r="P1241" i="5"/>
  <c r="N1241" i="5"/>
  <c r="L1241" i="5"/>
  <c r="H1241" i="5"/>
  <c r="O1241" i="5" s="1"/>
  <c r="D1241" i="5"/>
  <c r="M1241" i="5" s="1"/>
  <c r="AM1240" i="5"/>
  <c r="AJ1240" i="5"/>
  <c r="Q1240" i="5"/>
  <c r="P1240" i="5"/>
  <c r="N1240" i="5"/>
  <c r="L1240" i="5"/>
  <c r="H1240" i="5"/>
  <c r="O1240" i="5" s="1"/>
  <c r="D1240" i="5"/>
  <c r="M1240" i="5" s="1"/>
  <c r="AM1239" i="5"/>
  <c r="AJ1239" i="5"/>
  <c r="Q1239" i="5"/>
  <c r="P1239" i="5"/>
  <c r="N1239" i="5"/>
  <c r="L1239" i="5"/>
  <c r="H1239" i="5"/>
  <c r="O1239" i="5" s="1"/>
  <c r="D1239" i="5"/>
  <c r="M1239" i="5" s="1"/>
  <c r="AM1238" i="5"/>
  <c r="AJ1238" i="5"/>
  <c r="Q1238" i="5"/>
  <c r="P1238" i="5"/>
  <c r="N1238" i="5"/>
  <c r="L1238" i="5"/>
  <c r="H1238" i="5"/>
  <c r="O1238" i="5" s="1"/>
  <c r="D1238" i="5"/>
  <c r="M1238" i="5" s="1"/>
  <c r="AM1237" i="5"/>
  <c r="AJ1237" i="5"/>
  <c r="Q1237" i="5"/>
  <c r="P1237" i="5"/>
  <c r="N1237" i="5"/>
  <c r="L1237" i="5"/>
  <c r="H1237" i="5"/>
  <c r="O1237" i="5" s="1"/>
  <c r="D1237" i="5"/>
  <c r="M1237" i="5" s="1"/>
  <c r="AM1236" i="5"/>
  <c r="AJ1236" i="5"/>
  <c r="Q1236" i="5"/>
  <c r="P1236" i="5"/>
  <c r="N1236" i="5"/>
  <c r="L1236" i="5"/>
  <c r="H1236" i="5"/>
  <c r="O1236" i="5" s="1"/>
  <c r="D1236" i="5"/>
  <c r="M1236" i="5" s="1"/>
  <c r="AM1235" i="5"/>
  <c r="AJ1235" i="5"/>
  <c r="Q1235" i="5"/>
  <c r="P1235" i="5"/>
  <c r="N1235" i="5"/>
  <c r="L1235" i="5"/>
  <c r="H1235" i="5"/>
  <c r="O1235" i="5" s="1"/>
  <c r="D1235" i="5"/>
  <c r="M1235" i="5" s="1"/>
  <c r="AM1234" i="5"/>
  <c r="AJ1234" i="5"/>
  <c r="Q1234" i="5"/>
  <c r="P1234" i="5"/>
  <c r="N1234" i="5"/>
  <c r="L1234" i="5"/>
  <c r="H1234" i="5"/>
  <c r="O1234" i="5" s="1"/>
  <c r="D1234" i="5"/>
  <c r="M1234" i="5" s="1"/>
  <c r="AM1233" i="5"/>
  <c r="AJ1233" i="5"/>
  <c r="Q1233" i="5"/>
  <c r="P1233" i="5"/>
  <c r="N1233" i="5"/>
  <c r="L1233" i="5"/>
  <c r="H1233" i="5"/>
  <c r="O1233" i="5" s="1"/>
  <c r="D1233" i="5"/>
  <c r="M1233" i="5" s="1"/>
  <c r="AM1232" i="5"/>
  <c r="AJ1232" i="5"/>
  <c r="Q1232" i="5"/>
  <c r="P1232" i="5"/>
  <c r="N1232" i="5"/>
  <c r="L1232" i="5"/>
  <c r="H1232" i="5"/>
  <c r="O1232" i="5" s="1"/>
  <c r="D1232" i="5"/>
  <c r="M1232" i="5" s="1"/>
  <c r="AM1231" i="5"/>
  <c r="AJ1231" i="5"/>
  <c r="Q1231" i="5"/>
  <c r="P1231" i="5"/>
  <c r="N1231" i="5"/>
  <c r="L1231" i="5"/>
  <c r="H1231" i="5"/>
  <c r="O1231" i="5" s="1"/>
  <c r="D1231" i="5"/>
  <c r="M1231" i="5" s="1"/>
  <c r="AM1230" i="5"/>
  <c r="AJ1230" i="5"/>
  <c r="Q1230" i="5"/>
  <c r="P1230" i="5"/>
  <c r="N1230" i="5"/>
  <c r="L1230" i="5"/>
  <c r="H1230" i="5"/>
  <c r="O1230" i="5" s="1"/>
  <c r="D1230" i="5"/>
  <c r="M1230" i="5" s="1"/>
  <c r="AM1229" i="5"/>
  <c r="AJ1229" i="5"/>
  <c r="Q1229" i="5"/>
  <c r="P1229" i="5"/>
  <c r="N1229" i="5"/>
  <c r="L1229" i="5"/>
  <c r="H1229" i="5"/>
  <c r="O1229" i="5" s="1"/>
  <c r="D1229" i="5"/>
  <c r="M1229" i="5" s="1"/>
  <c r="AM1228" i="5"/>
  <c r="AJ1228" i="5"/>
  <c r="Q1228" i="5"/>
  <c r="P1228" i="5"/>
  <c r="N1228" i="5"/>
  <c r="L1228" i="5"/>
  <c r="H1228" i="5"/>
  <c r="O1228" i="5" s="1"/>
  <c r="D1228" i="5"/>
  <c r="M1228" i="5" s="1"/>
  <c r="AM1227" i="5"/>
  <c r="AJ1227" i="5"/>
  <c r="Q1227" i="5"/>
  <c r="P1227" i="5"/>
  <c r="N1227" i="5"/>
  <c r="L1227" i="5"/>
  <c r="H1227" i="5"/>
  <c r="O1227" i="5" s="1"/>
  <c r="D1227" i="5"/>
  <c r="M1227" i="5" s="1"/>
  <c r="AM1226" i="5"/>
  <c r="AJ1226" i="5"/>
  <c r="Q1226" i="5"/>
  <c r="P1226" i="5"/>
  <c r="N1226" i="5"/>
  <c r="L1226" i="5"/>
  <c r="H1226" i="5"/>
  <c r="O1226" i="5" s="1"/>
  <c r="D1226" i="5"/>
  <c r="M1226" i="5" s="1"/>
  <c r="AM1225" i="5"/>
  <c r="AJ1225" i="5"/>
  <c r="Q1225" i="5"/>
  <c r="P1225" i="5"/>
  <c r="N1225" i="5"/>
  <c r="L1225" i="5"/>
  <c r="H1225" i="5"/>
  <c r="O1225" i="5" s="1"/>
  <c r="D1225" i="5"/>
  <c r="M1225" i="5" s="1"/>
  <c r="AM1224" i="5"/>
  <c r="AJ1224" i="5"/>
  <c r="Q1224" i="5"/>
  <c r="P1224" i="5"/>
  <c r="N1224" i="5"/>
  <c r="L1224" i="5"/>
  <c r="H1224" i="5"/>
  <c r="O1224" i="5" s="1"/>
  <c r="D1224" i="5"/>
  <c r="M1224" i="5" s="1"/>
  <c r="AM1223" i="5"/>
  <c r="AJ1223" i="5"/>
  <c r="Q1223" i="5"/>
  <c r="P1223" i="5"/>
  <c r="N1223" i="5"/>
  <c r="L1223" i="5"/>
  <c r="H1223" i="5"/>
  <c r="O1223" i="5" s="1"/>
  <c r="D1223" i="5"/>
  <c r="M1223" i="5" s="1"/>
  <c r="AM1222" i="5"/>
  <c r="AJ1222" i="5"/>
  <c r="Q1222" i="5"/>
  <c r="P1222" i="5"/>
  <c r="N1222" i="5"/>
  <c r="L1222" i="5"/>
  <c r="H1222" i="5"/>
  <c r="O1222" i="5" s="1"/>
  <c r="D1222" i="5"/>
  <c r="M1222" i="5" s="1"/>
  <c r="AM1221" i="5"/>
  <c r="AJ1221" i="5"/>
  <c r="Q1221" i="5"/>
  <c r="P1221" i="5"/>
  <c r="N1221" i="5"/>
  <c r="L1221" i="5"/>
  <c r="H1221" i="5"/>
  <c r="O1221" i="5" s="1"/>
  <c r="D1221" i="5"/>
  <c r="M1221" i="5" s="1"/>
  <c r="AM1220" i="5"/>
  <c r="AJ1220" i="5"/>
  <c r="Q1220" i="5"/>
  <c r="P1220" i="5"/>
  <c r="N1220" i="5"/>
  <c r="L1220" i="5"/>
  <c r="H1220" i="5"/>
  <c r="O1220" i="5" s="1"/>
  <c r="D1220" i="5"/>
  <c r="M1220" i="5" s="1"/>
  <c r="AM1219" i="5"/>
  <c r="AJ1219" i="5"/>
  <c r="Q1219" i="5"/>
  <c r="P1219" i="5"/>
  <c r="N1219" i="5"/>
  <c r="L1219" i="5"/>
  <c r="H1219" i="5"/>
  <c r="O1219" i="5" s="1"/>
  <c r="D1219" i="5"/>
  <c r="M1219" i="5" s="1"/>
  <c r="AM1218" i="5"/>
  <c r="AJ1218" i="5"/>
  <c r="Q1218" i="5"/>
  <c r="P1218" i="5"/>
  <c r="N1218" i="5"/>
  <c r="L1218" i="5"/>
  <c r="H1218" i="5"/>
  <c r="O1218" i="5" s="1"/>
  <c r="D1218" i="5"/>
  <c r="M1218" i="5" s="1"/>
  <c r="AM1217" i="5"/>
  <c r="AJ1217" i="5"/>
  <c r="Q1217" i="5"/>
  <c r="P1217" i="5"/>
  <c r="N1217" i="5"/>
  <c r="L1217" i="5"/>
  <c r="H1217" i="5"/>
  <c r="O1217" i="5" s="1"/>
  <c r="D1217" i="5"/>
  <c r="M1217" i="5" s="1"/>
  <c r="AM1216" i="5"/>
  <c r="AJ1216" i="5"/>
  <c r="Q1216" i="5"/>
  <c r="P1216" i="5"/>
  <c r="N1216" i="5"/>
  <c r="L1216" i="5"/>
  <c r="H1216" i="5"/>
  <c r="O1216" i="5" s="1"/>
  <c r="D1216" i="5"/>
  <c r="M1216" i="5" s="1"/>
  <c r="AM1215" i="5"/>
  <c r="AJ1215" i="5"/>
  <c r="Q1215" i="5"/>
  <c r="P1215" i="5"/>
  <c r="N1215" i="5"/>
  <c r="L1215" i="5"/>
  <c r="H1215" i="5"/>
  <c r="O1215" i="5" s="1"/>
  <c r="D1215" i="5"/>
  <c r="M1215" i="5" s="1"/>
  <c r="AM1214" i="5"/>
  <c r="AJ1214" i="5"/>
  <c r="Q1214" i="5"/>
  <c r="P1214" i="5"/>
  <c r="N1214" i="5"/>
  <c r="L1214" i="5"/>
  <c r="H1214" i="5"/>
  <c r="O1214" i="5" s="1"/>
  <c r="D1214" i="5"/>
  <c r="M1214" i="5" s="1"/>
  <c r="AM1213" i="5"/>
  <c r="AJ1213" i="5"/>
  <c r="Q1213" i="5"/>
  <c r="P1213" i="5"/>
  <c r="N1213" i="5"/>
  <c r="L1213" i="5"/>
  <c r="H1213" i="5"/>
  <c r="O1213" i="5" s="1"/>
  <c r="D1213" i="5"/>
  <c r="M1213" i="5" s="1"/>
  <c r="AM1212" i="5"/>
  <c r="AJ1212" i="5"/>
  <c r="Q1212" i="5"/>
  <c r="P1212" i="5"/>
  <c r="N1212" i="5"/>
  <c r="L1212" i="5"/>
  <c r="H1212" i="5"/>
  <c r="O1212" i="5" s="1"/>
  <c r="D1212" i="5"/>
  <c r="M1212" i="5" s="1"/>
  <c r="AM1211" i="5"/>
  <c r="AJ1211" i="5"/>
  <c r="Q1211" i="5"/>
  <c r="P1211" i="5"/>
  <c r="N1211" i="5"/>
  <c r="L1211" i="5"/>
  <c r="H1211" i="5"/>
  <c r="O1211" i="5" s="1"/>
  <c r="D1211" i="5"/>
  <c r="M1211" i="5" s="1"/>
  <c r="AM1210" i="5"/>
  <c r="AJ1210" i="5"/>
  <c r="Q1210" i="5"/>
  <c r="P1210" i="5"/>
  <c r="N1210" i="5"/>
  <c r="L1210" i="5"/>
  <c r="H1210" i="5"/>
  <c r="O1210" i="5" s="1"/>
  <c r="D1210" i="5"/>
  <c r="M1210" i="5" s="1"/>
  <c r="AM1209" i="5"/>
  <c r="AJ1209" i="5"/>
  <c r="Q1209" i="5"/>
  <c r="P1209" i="5"/>
  <c r="N1209" i="5"/>
  <c r="L1209" i="5"/>
  <c r="H1209" i="5"/>
  <c r="O1209" i="5" s="1"/>
  <c r="D1209" i="5"/>
  <c r="M1209" i="5" s="1"/>
  <c r="AM1208" i="5"/>
  <c r="AJ1208" i="5"/>
  <c r="Q1208" i="5"/>
  <c r="P1208" i="5"/>
  <c r="N1208" i="5"/>
  <c r="L1208" i="5"/>
  <c r="H1208" i="5"/>
  <c r="O1208" i="5" s="1"/>
  <c r="D1208" i="5"/>
  <c r="M1208" i="5" s="1"/>
  <c r="AM1207" i="5"/>
  <c r="AJ1207" i="5"/>
  <c r="Q1207" i="5"/>
  <c r="P1207" i="5"/>
  <c r="N1207" i="5"/>
  <c r="L1207" i="5"/>
  <c r="H1207" i="5"/>
  <c r="O1207" i="5" s="1"/>
  <c r="D1207" i="5"/>
  <c r="M1207" i="5" s="1"/>
  <c r="AM1206" i="5"/>
  <c r="AJ1206" i="5"/>
  <c r="Q1206" i="5"/>
  <c r="P1206" i="5"/>
  <c r="N1206" i="5"/>
  <c r="L1206" i="5"/>
  <c r="H1206" i="5"/>
  <c r="O1206" i="5" s="1"/>
  <c r="D1206" i="5"/>
  <c r="M1206" i="5" s="1"/>
  <c r="AM1205" i="5"/>
  <c r="AJ1205" i="5"/>
  <c r="Q1205" i="5"/>
  <c r="P1205" i="5"/>
  <c r="N1205" i="5"/>
  <c r="L1205" i="5"/>
  <c r="H1205" i="5"/>
  <c r="O1205" i="5" s="1"/>
  <c r="D1205" i="5"/>
  <c r="M1205" i="5" s="1"/>
  <c r="AM1204" i="5"/>
  <c r="AJ1204" i="5"/>
  <c r="Q1204" i="5"/>
  <c r="P1204" i="5"/>
  <c r="N1204" i="5"/>
  <c r="L1204" i="5"/>
  <c r="H1204" i="5"/>
  <c r="O1204" i="5" s="1"/>
  <c r="D1204" i="5"/>
  <c r="M1204" i="5" s="1"/>
  <c r="AM1203" i="5"/>
  <c r="AJ1203" i="5"/>
  <c r="Q1203" i="5"/>
  <c r="P1203" i="5"/>
  <c r="N1203" i="5"/>
  <c r="L1203" i="5"/>
  <c r="H1203" i="5"/>
  <c r="O1203" i="5" s="1"/>
  <c r="D1203" i="5"/>
  <c r="M1203" i="5" s="1"/>
  <c r="AM1202" i="5"/>
  <c r="AJ1202" i="5"/>
  <c r="Q1202" i="5"/>
  <c r="P1202" i="5"/>
  <c r="N1202" i="5"/>
  <c r="L1202" i="5"/>
  <c r="H1202" i="5"/>
  <c r="O1202" i="5" s="1"/>
  <c r="D1202" i="5"/>
  <c r="M1202" i="5" s="1"/>
  <c r="AM1201" i="5"/>
  <c r="AJ1201" i="5"/>
  <c r="Q1201" i="5"/>
  <c r="P1201" i="5"/>
  <c r="N1201" i="5"/>
  <c r="L1201" i="5"/>
  <c r="H1201" i="5"/>
  <c r="O1201" i="5" s="1"/>
  <c r="D1201" i="5"/>
  <c r="M1201" i="5" s="1"/>
  <c r="AM1200" i="5"/>
  <c r="AJ1200" i="5"/>
  <c r="Q1200" i="5"/>
  <c r="P1200" i="5"/>
  <c r="N1200" i="5"/>
  <c r="L1200" i="5"/>
  <c r="H1200" i="5"/>
  <c r="O1200" i="5" s="1"/>
  <c r="D1200" i="5"/>
  <c r="M1200" i="5" s="1"/>
  <c r="AM1199" i="5"/>
  <c r="AJ1199" i="5"/>
  <c r="Q1199" i="5"/>
  <c r="P1199" i="5"/>
  <c r="N1199" i="5"/>
  <c r="L1199" i="5"/>
  <c r="H1199" i="5"/>
  <c r="O1199" i="5" s="1"/>
  <c r="D1199" i="5"/>
  <c r="M1199" i="5" s="1"/>
  <c r="AM1198" i="5"/>
  <c r="AJ1198" i="5"/>
  <c r="Q1198" i="5"/>
  <c r="P1198" i="5"/>
  <c r="N1198" i="5"/>
  <c r="L1198" i="5"/>
  <c r="H1198" i="5"/>
  <c r="O1198" i="5" s="1"/>
  <c r="D1198" i="5"/>
  <c r="M1198" i="5" s="1"/>
  <c r="AM1197" i="5"/>
  <c r="AJ1197" i="5"/>
  <c r="Q1197" i="5"/>
  <c r="P1197" i="5"/>
  <c r="N1197" i="5"/>
  <c r="L1197" i="5"/>
  <c r="H1197" i="5"/>
  <c r="O1197" i="5" s="1"/>
  <c r="D1197" i="5"/>
  <c r="M1197" i="5" s="1"/>
  <c r="AM1196" i="5"/>
  <c r="AJ1196" i="5"/>
  <c r="Q1196" i="5"/>
  <c r="P1196" i="5"/>
  <c r="N1196" i="5"/>
  <c r="L1196" i="5"/>
  <c r="H1196" i="5"/>
  <c r="O1196" i="5" s="1"/>
  <c r="D1196" i="5"/>
  <c r="M1196" i="5" s="1"/>
  <c r="AM1195" i="5"/>
  <c r="AJ1195" i="5"/>
  <c r="Q1195" i="5"/>
  <c r="P1195" i="5"/>
  <c r="N1195" i="5"/>
  <c r="L1195" i="5"/>
  <c r="H1195" i="5"/>
  <c r="O1195" i="5" s="1"/>
  <c r="D1195" i="5"/>
  <c r="M1195" i="5" s="1"/>
  <c r="AM1194" i="5"/>
  <c r="AJ1194" i="5"/>
  <c r="Q1194" i="5"/>
  <c r="P1194" i="5"/>
  <c r="N1194" i="5"/>
  <c r="L1194" i="5"/>
  <c r="H1194" i="5"/>
  <c r="O1194" i="5" s="1"/>
  <c r="D1194" i="5"/>
  <c r="M1194" i="5" s="1"/>
  <c r="AM1193" i="5"/>
  <c r="AJ1193" i="5"/>
  <c r="Q1193" i="5"/>
  <c r="P1193" i="5"/>
  <c r="N1193" i="5"/>
  <c r="L1193" i="5"/>
  <c r="H1193" i="5"/>
  <c r="O1193" i="5" s="1"/>
  <c r="D1193" i="5"/>
  <c r="M1193" i="5" s="1"/>
  <c r="AM1192" i="5"/>
  <c r="AJ1192" i="5"/>
  <c r="Q1192" i="5"/>
  <c r="P1192" i="5"/>
  <c r="N1192" i="5"/>
  <c r="L1192" i="5"/>
  <c r="H1192" i="5"/>
  <c r="O1192" i="5" s="1"/>
  <c r="D1192" i="5"/>
  <c r="M1192" i="5" s="1"/>
  <c r="AM1191" i="5"/>
  <c r="AJ1191" i="5"/>
  <c r="Q1191" i="5"/>
  <c r="P1191" i="5"/>
  <c r="N1191" i="5"/>
  <c r="L1191" i="5"/>
  <c r="H1191" i="5"/>
  <c r="O1191" i="5" s="1"/>
  <c r="D1191" i="5"/>
  <c r="M1191" i="5" s="1"/>
  <c r="AM1190" i="5"/>
  <c r="AJ1190" i="5"/>
  <c r="Q1190" i="5"/>
  <c r="P1190" i="5"/>
  <c r="N1190" i="5"/>
  <c r="L1190" i="5"/>
  <c r="H1190" i="5"/>
  <c r="O1190" i="5" s="1"/>
  <c r="D1190" i="5"/>
  <c r="M1190" i="5" s="1"/>
  <c r="AM1189" i="5"/>
  <c r="AJ1189" i="5"/>
  <c r="Q1189" i="5"/>
  <c r="P1189" i="5"/>
  <c r="N1189" i="5"/>
  <c r="L1189" i="5"/>
  <c r="H1189" i="5"/>
  <c r="O1189" i="5" s="1"/>
  <c r="D1189" i="5"/>
  <c r="M1189" i="5" s="1"/>
  <c r="AM1188" i="5"/>
  <c r="AJ1188" i="5"/>
  <c r="Q1188" i="5"/>
  <c r="P1188" i="5"/>
  <c r="N1188" i="5"/>
  <c r="L1188" i="5"/>
  <c r="H1188" i="5"/>
  <c r="O1188" i="5" s="1"/>
  <c r="D1188" i="5"/>
  <c r="M1188" i="5" s="1"/>
  <c r="AM1187" i="5"/>
  <c r="AJ1187" i="5"/>
  <c r="Q1187" i="5"/>
  <c r="P1187" i="5"/>
  <c r="N1187" i="5"/>
  <c r="L1187" i="5"/>
  <c r="H1187" i="5"/>
  <c r="O1187" i="5" s="1"/>
  <c r="D1187" i="5"/>
  <c r="M1187" i="5" s="1"/>
  <c r="AM1186" i="5"/>
  <c r="AJ1186" i="5"/>
  <c r="Q1186" i="5"/>
  <c r="P1186" i="5"/>
  <c r="N1186" i="5"/>
  <c r="L1186" i="5"/>
  <c r="H1186" i="5"/>
  <c r="O1186" i="5" s="1"/>
  <c r="D1186" i="5"/>
  <c r="M1186" i="5" s="1"/>
  <c r="AM1185" i="5"/>
  <c r="AJ1185" i="5"/>
  <c r="Q1185" i="5"/>
  <c r="P1185" i="5"/>
  <c r="N1185" i="5"/>
  <c r="L1185" i="5"/>
  <c r="H1185" i="5"/>
  <c r="O1185" i="5" s="1"/>
  <c r="D1185" i="5"/>
  <c r="M1185" i="5" s="1"/>
  <c r="AM1184" i="5"/>
  <c r="AJ1184" i="5"/>
  <c r="Q1184" i="5"/>
  <c r="P1184" i="5"/>
  <c r="N1184" i="5"/>
  <c r="L1184" i="5"/>
  <c r="H1184" i="5"/>
  <c r="O1184" i="5" s="1"/>
  <c r="D1184" i="5"/>
  <c r="M1184" i="5" s="1"/>
  <c r="AM1183" i="5"/>
  <c r="AJ1183" i="5"/>
  <c r="Q1183" i="5"/>
  <c r="P1183" i="5"/>
  <c r="N1183" i="5"/>
  <c r="L1183" i="5"/>
  <c r="H1183" i="5"/>
  <c r="O1183" i="5" s="1"/>
  <c r="D1183" i="5"/>
  <c r="M1183" i="5" s="1"/>
  <c r="AM1182" i="5"/>
  <c r="AJ1182" i="5"/>
  <c r="Q1182" i="5"/>
  <c r="P1182" i="5"/>
  <c r="N1182" i="5"/>
  <c r="L1182" i="5"/>
  <c r="H1182" i="5"/>
  <c r="O1182" i="5" s="1"/>
  <c r="D1182" i="5"/>
  <c r="M1182" i="5" s="1"/>
  <c r="AM1181" i="5"/>
  <c r="AJ1181" i="5"/>
  <c r="Q1181" i="5"/>
  <c r="P1181" i="5"/>
  <c r="N1181" i="5"/>
  <c r="L1181" i="5"/>
  <c r="H1181" i="5"/>
  <c r="O1181" i="5" s="1"/>
  <c r="D1181" i="5"/>
  <c r="M1181" i="5" s="1"/>
  <c r="AM1180" i="5"/>
  <c r="AJ1180" i="5"/>
  <c r="Q1180" i="5"/>
  <c r="P1180" i="5"/>
  <c r="N1180" i="5"/>
  <c r="L1180" i="5"/>
  <c r="H1180" i="5"/>
  <c r="O1180" i="5" s="1"/>
  <c r="D1180" i="5"/>
  <c r="M1180" i="5" s="1"/>
  <c r="AM1179" i="5"/>
  <c r="AJ1179" i="5"/>
  <c r="Q1179" i="5"/>
  <c r="P1179" i="5"/>
  <c r="N1179" i="5"/>
  <c r="L1179" i="5"/>
  <c r="H1179" i="5"/>
  <c r="O1179" i="5" s="1"/>
  <c r="D1179" i="5"/>
  <c r="M1179" i="5" s="1"/>
  <c r="AM1178" i="5"/>
  <c r="AJ1178" i="5"/>
  <c r="Q1178" i="5"/>
  <c r="P1178" i="5"/>
  <c r="N1178" i="5"/>
  <c r="L1178" i="5"/>
  <c r="H1178" i="5"/>
  <c r="O1178" i="5" s="1"/>
  <c r="D1178" i="5"/>
  <c r="M1178" i="5" s="1"/>
  <c r="AM1177" i="5"/>
  <c r="AJ1177" i="5"/>
  <c r="Q1177" i="5"/>
  <c r="P1177" i="5"/>
  <c r="N1177" i="5"/>
  <c r="L1177" i="5"/>
  <c r="H1177" i="5"/>
  <c r="O1177" i="5" s="1"/>
  <c r="D1177" i="5"/>
  <c r="M1177" i="5" s="1"/>
  <c r="AM1176" i="5"/>
  <c r="AJ1176" i="5"/>
  <c r="Q1176" i="5"/>
  <c r="P1176" i="5"/>
  <c r="N1176" i="5"/>
  <c r="L1176" i="5"/>
  <c r="H1176" i="5"/>
  <c r="O1176" i="5" s="1"/>
  <c r="D1176" i="5"/>
  <c r="M1176" i="5" s="1"/>
  <c r="AM1175" i="5"/>
  <c r="AJ1175" i="5"/>
  <c r="Q1175" i="5"/>
  <c r="P1175" i="5"/>
  <c r="N1175" i="5"/>
  <c r="L1175" i="5"/>
  <c r="H1175" i="5"/>
  <c r="O1175" i="5" s="1"/>
  <c r="D1175" i="5"/>
  <c r="M1175" i="5" s="1"/>
  <c r="AM1174" i="5"/>
  <c r="AJ1174" i="5"/>
  <c r="Q1174" i="5"/>
  <c r="P1174" i="5"/>
  <c r="N1174" i="5"/>
  <c r="L1174" i="5"/>
  <c r="H1174" i="5"/>
  <c r="O1174" i="5" s="1"/>
  <c r="D1174" i="5"/>
  <c r="M1174" i="5" s="1"/>
  <c r="AM1173" i="5"/>
  <c r="AJ1173" i="5"/>
  <c r="Q1173" i="5"/>
  <c r="P1173" i="5"/>
  <c r="N1173" i="5"/>
  <c r="L1173" i="5"/>
  <c r="H1173" i="5"/>
  <c r="O1173" i="5" s="1"/>
  <c r="D1173" i="5"/>
  <c r="M1173" i="5" s="1"/>
  <c r="AM1172" i="5"/>
  <c r="AJ1172" i="5"/>
  <c r="Q1172" i="5"/>
  <c r="P1172" i="5"/>
  <c r="N1172" i="5"/>
  <c r="L1172" i="5"/>
  <c r="H1172" i="5"/>
  <c r="O1172" i="5" s="1"/>
  <c r="D1172" i="5"/>
  <c r="M1172" i="5" s="1"/>
  <c r="AM1171" i="5"/>
  <c r="AJ1171" i="5"/>
  <c r="Q1171" i="5"/>
  <c r="P1171" i="5"/>
  <c r="N1171" i="5"/>
  <c r="L1171" i="5"/>
  <c r="H1171" i="5"/>
  <c r="O1171" i="5" s="1"/>
  <c r="D1171" i="5"/>
  <c r="M1171" i="5" s="1"/>
  <c r="AM1170" i="5"/>
  <c r="AJ1170" i="5"/>
  <c r="Q1170" i="5"/>
  <c r="P1170" i="5"/>
  <c r="N1170" i="5"/>
  <c r="L1170" i="5"/>
  <c r="H1170" i="5"/>
  <c r="O1170" i="5" s="1"/>
  <c r="D1170" i="5"/>
  <c r="M1170" i="5" s="1"/>
  <c r="AM1169" i="5"/>
  <c r="AJ1169" i="5"/>
  <c r="Q1169" i="5"/>
  <c r="P1169" i="5"/>
  <c r="N1169" i="5"/>
  <c r="L1169" i="5"/>
  <c r="H1169" i="5"/>
  <c r="O1169" i="5" s="1"/>
  <c r="D1169" i="5"/>
  <c r="M1169" i="5" s="1"/>
  <c r="AM1168" i="5"/>
  <c r="AJ1168" i="5"/>
  <c r="Q1168" i="5"/>
  <c r="P1168" i="5"/>
  <c r="N1168" i="5"/>
  <c r="L1168" i="5"/>
  <c r="H1168" i="5"/>
  <c r="O1168" i="5" s="1"/>
  <c r="D1168" i="5"/>
  <c r="M1168" i="5" s="1"/>
  <c r="AM1167" i="5"/>
  <c r="AJ1167" i="5"/>
  <c r="Q1167" i="5"/>
  <c r="P1167" i="5"/>
  <c r="N1167" i="5"/>
  <c r="L1167" i="5"/>
  <c r="H1167" i="5"/>
  <c r="O1167" i="5" s="1"/>
  <c r="D1167" i="5"/>
  <c r="M1167" i="5" s="1"/>
  <c r="AM1166" i="5"/>
  <c r="AJ1166" i="5"/>
  <c r="Q1166" i="5"/>
  <c r="P1166" i="5"/>
  <c r="N1166" i="5"/>
  <c r="L1166" i="5"/>
  <c r="H1166" i="5"/>
  <c r="O1166" i="5" s="1"/>
  <c r="D1166" i="5"/>
  <c r="M1166" i="5" s="1"/>
  <c r="AM1165" i="5"/>
  <c r="AJ1165" i="5"/>
  <c r="Q1165" i="5"/>
  <c r="P1165" i="5"/>
  <c r="N1165" i="5"/>
  <c r="L1165" i="5"/>
  <c r="H1165" i="5"/>
  <c r="O1165" i="5" s="1"/>
  <c r="D1165" i="5"/>
  <c r="M1165" i="5" s="1"/>
  <c r="AM1164" i="5"/>
  <c r="AJ1164" i="5"/>
  <c r="Q1164" i="5"/>
  <c r="P1164" i="5"/>
  <c r="N1164" i="5"/>
  <c r="L1164" i="5"/>
  <c r="H1164" i="5"/>
  <c r="O1164" i="5" s="1"/>
  <c r="D1164" i="5"/>
  <c r="M1164" i="5" s="1"/>
  <c r="AM1163" i="5"/>
  <c r="AJ1163" i="5"/>
  <c r="Q1163" i="5"/>
  <c r="P1163" i="5"/>
  <c r="N1163" i="5"/>
  <c r="L1163" i="5"/>
  <c r="H1163" i="5"/>
  <c r="O1163" i="5" s="1"/>
  <c r="D1163" i="5"/>
  <c r="M1163" i="5" s="1"/>
  <c r="AM1162" i="5"/>
  <c r="AJ1162" i="5"/>
  <c r="Q1162" i="5"/>
  <c r="P1162" i="5"/>
  <c r="N1162" i="5"/>
  <c r="L1162" i="5"/>
  <c r="H1162" i="5"/>
  <c r="O1162" i="5" s="1"/>
  <c r="D1162" i="5"/>
  <c r="M1162" i="5" s="1"/>
  <c r="AM1161" i="5"/>
  <c r="AJ1161" i="5"/>
  <c r="Q1161" i="5"/>
  <c r="P1161" i="5"/>
  <c r="N1161" i="5"/>
  <c r="L1161" i="5"/>
  <c r="H1161" i="5"/>
  <c r="O1161" i="5" s="1"/>
  <c r="D1161" i="5"/>
  <c r="M1161" i="5" s="1"/>
  <c r="AM1160" i="5"/>
  <c r="AJ1160" i="5"/>
  <c r="Q1160" i="5"/>
  <c r="P1160" i="5"/>
  <c r="N1160" i="5"/>
  <c r="L1160" i="5"/>
  <c r="H1160" i="5"/>
  <c r="O1160" i="5" s="1"/>
  <c r="D1160" i="5"/>
  <c r="M1160" i="5" s="1"/>
  <c r="AM1159" i="5"/>
  <c r="AJ1159" i="5"/>
  <c r="Q1159" i="5"/>
  <c r="P1159" i="5"/>
  <c r="N1159" i="5"/>
  <c r="L1159" i="5"/>
  <c r="H1159" i="5"/>
  <c r="O1159" i="5" s="1"/>
  <c r="D1159" i="5"/>
  <c r="M1159" i="5" s="1"/>
  <c r="AM1158" i="5"/>
  <c r="AJ1158" i="5"/>
  <c r="Q1158" i="5"/>
  <c r="P1158" i="5"/>
  <c r="N1158" i="5"/>
  <c r="L1158" i="5"/>
  <c r="H1158" i="5"/>
  <c r="O1158" i="5" s="1"/>
  <c r="D1158" i="5"/>
  <c r="M1158" i="5" s="1"/>
  <c r="AM1157" i="5"/>
  <c r="AJ1157" i="5"/>
  <c r="Q1157" i="5"/>
  <c r="P1157" i="5"/>
  <c r="N1157" i="5"/>
  <c r="L1157" i="5"/>
  <c r="H1157" i="5"/>
  <c r="O1157" i="5" s="1"/>
  <c r="D1157" i="5"/>
  <c r="M1157" i="5" s="1"/>
  <c r="AM1156" i="5"/>
  <c r="AJ1156" i="5"/>
  <c r="Q1156" i="5"/>
  <c r="P1156" i="5"/>
  <c r="N1156" i="5"/>
  <c r="L1156" i="5"/>
  <c r="H1156" i="5"/>
  <c r="O1156" i="5" s="1"/>
  <c r="D1156" i="5"/>
  <c r="M1156" i="5" s="1"/>
  <c r="AM1155" i="5"/>
  <c r="AJ1155" i="5"/>
  <c r="Q1155" i="5"/>
  <c r="P1155" i="5"/>
  <c r="N1155" i="5"/>
  <c r="L1155" i="5"/>
  <c r="H1155" i="5"/>
  <c r="O1155" i="5" s="1"/>
  <c r="D1155" i="5"/>
  <c r="M1155" i="5" s="1"/>
  <c r="AM1154" i="5"/>
  <c r="AJ1154" i="5"/>
  <c r="Q1154" i="5"/>
  <c r="P1154" i="5"/>
  <c r="N1154" i="5"/>
  <c r="L1154" i="5"/>
  <c r="H1154" i="5"/>
  <c r="O1154" i="5" s="1"/>
  <c r="D1154" i="5"/>
  <c r="M1154" i="5" s="1"/>
  <c r="AM1153" i="5"/>
  <c r="AJ1153" i="5"/>
  <c r="Q1153" i="5"/>
  <c r="P1153" i="5"/>
  <c r="N1153" i="5"/>
  <c r="L1153" i="5"/>
  <c r="H1153" i="5"/>
  <c r="O1153" i="5" s="1"/>
  <c r="D1153" i="5"/>
  <c r="M1153" i="5" s="1"/>
  <c r="AM1152" i="5"/>
  <c r="AJ1152" i="5"/>
  <c r="Q1152" i="5"/>
  <c r="P1152" i="5"/>
  <c r="N1152" i="5"/>
  <c r="L1152" i="5"/>
  <c r="H1152" i="5"/>
  <c r="O1152" i="5" s="1"/>
  <c r="D1152" i="5"/>
  <c r="M1152" i="5" s="1"/>
  <c r="AM1151" i="5"/>
  <c r="AJ1151" i="5"/>
  <c r="Q1151" i="5"/>
  <c r="P1151" i="5"/>
  <c r="N1151" i="5"/>
  <c r="L1151" i="5"/>
  <c r="H1151" i="5"/>
  <c r="O1151" i="5" s="1"/>
  <c r="D1151" i="5"/>
  <c r="M1151" i="5" s="1"/>
  <c r="AM1150" i="5"/>
  <c r="AJ1150" i="5"/>
  <c r="Q1150" i="5"/>
  <c r="P1150" i="5"/>
  <c r="N1150" i="5"/>
  <c r="L1150" i="5"/>
  <c r="H1150" i="5"/>
  <c r="O1150" i="5" s="1"/>
  <c r="D1150" i="5"/>
  <c r="M1150" i="5" s="1"/>
  <c r="AM1149" i="5"/>
  <c r="AJ1149" i="5"/>
  <c r="Q1149" i="5"/>
  <c r="P1149" i="5"/>
  <c r="N1149" i="5"/>
  <c r="L1149" i="5"/>
  <c r="H1149" i="5"/>
  <c r="O1149" i="5" s="1"/>
  <c r="D1149" i="5"/>
  <c r="M1149" i="5" s="1"/>
  <c r="AM1148" i="5"/>
  <c r="AJ1148" i="5"/>
  <c r="Q1148" i="5"/>
  <c r="P1148" i="5"/>
  <c r="N1148" i="5"/>
  <c r="L1148" i="5"/>
  <c r="H1148" i="5"/>
  <c r="O1148" i="5" s="1"/>
  <c r="D1148" i="5"/>
  <c r="M1148" i="5" s="1"/>
  <c r="AM1147" i="5"/>
  <c r="AJ1147" i="5"/>
  <c r="Q1147" i="5"/>
  <c r="P1147" i="5"/>
  <c r="N1147" i="5"/>
  <c r="L1147" i="5"/>
  <c r="H1147" i="5"/>
  <c r="O1147" i="5" s="1"/>
  <c r="D1147" i="5"/>
  <c r="M1147" i="5" s="1"/>
  <c r="AM1146" i="5"/>
  <c r="AJ1146" i="5"/>
  <c r="Q1146" i="5"/>
  <c r="P1146" i="5"/>
  <c r="N1146" i="5"/>
  <c r="L1146" i="5"/>
  <c r="H1146" i="5"/>
  <c r="O1146" i="5" s="1"/>
  <c r="D1146" i="5"/>
  <c r="M1146" i="5" s="1"/>
  <c r="AM1145" i="5"/>
  <c r="AJ1145" i="5"/>
  <c r="Q1145" i="5"/>
  <c r="P1145" i="5"/>
  <c r="N1145" i="5"/>
  <c r="L1145" i="5"/>
  <c r="H1145" i="5"/>
  <c r="O1145" i="5" s="1"/>
  <c r="D1145" i="5"/>
  <c r="M1145" i="5" s="1"/>
  <c r="AM1144" i="5"/>
  <c r="AJ1144" i="5"/>
  <c r="Q1144" i="5"/>
  <c r="P1144" i="5"/>
  <c r="N1144" i="5"/>
  <c r="L1144" i="5"/>
  <c r="H1144" i="5"/>
  <c r="O1144" i="5" s="1"/>
  <c r="D1144" i="5"/>
  <c r="M1144" i="5" s="1"/>
  <c r="AM1143" i="5"/>
  <c r="AJ1143" i="5"/>
  <c r="Q1143" i="5"/>
  <c r="P1143" i="5"/>
  <c r="N1143" i="5"/>
  <c r="L1143" i="5"/>
  <c r="H1143" i="5"/>
  <c r="O1143" i="5" s="1"/>
  <c r="D1143" i="5"/>
  <c r="M1143" i="5" s="1"/>
  <c r="AM1142" i="5"/>
  <c r="AJ1142" i="5"/>
  <c r="Q1142" i="5"/>
  <c r="P1142" i="5"/>
  <c r="N1142" i="5"/>
  <c r="L1142" i="5"/>
  <c r="H1142" i="5"/>
  <c r="O1142" i="5" s="1"/>
  <c r="D1142" i="5"/>
  <c r="M1142" i="5" s="1"/>
  <c r="AM1141" i="5"/>
  <c r="AJ1141" i="5"/>
  <c r="Q1141" i="5"/>
  <c r="P1141" i="5"/>
  <c r="N1141" i="5"/>
  <c r="L1141" i="5"/>
  <c r="H1141" i="5"/>
  <c r="O1141" i="5" s="1"/>
  <c r="D1141" i="5"/>
  <c r="M1141" i="5" s="1"/>
  <c r="AM1140" i="5"/>
  <c r="AJ1140" i="5"/>
  <c r="Q1140" i="5"/>
  <c r="P1140" i="5"/>
  <c r="N1140" i="5"/>
  <c r="L1140" i="5"/>
  <c r="H1140" i="5"/>
  <c r="O1140" i="5" s="1"/>
  <c r="D1140" i="5"/>
  <c r="M1140" i="5" s="1"/>
  <c r="AM1139" i="5"/>
  <c r="AJ1139" i="5"/>
  <c r="Q1139" i="5"/>
  <c r="P1139" i="5"/>
  <c r="N1139" i="5"/>
  <c r="L1139" i="5"/>
  <c r="H1139" i="5"/>
  <c r="O1139" i="5" s="1"/>
  <c r="D1139" i="5"/>
  <c r="M1139" i="5" s="1"/>
  <c r="AM1138" i="5"/>
  <c r="AJ1138" i="5"/>
  <c r="Q1138" i="5"/>
  <c r="P1138" i="5"/>
  <c r="N1138" i="5"/>
  <c r="L1138" i="5"/>
  <c r="H1138" i="5"/>
  <c r="O1138" i="5" s="1"/>
  <c r="D1138" i="5"/>
  <c r="M1138" i="5" s="1"/>
  <c r="AM1137" i="5"/>
  <c r="AJ1137" i="5"/>
  <c r="Q1137" i="5"/>
  <c r="P1137" i="5"/>
  <c r="N1137" i="5"/>
  <c r="L1137" i="5"/>
  <c r="H1137" i="5"/>
  <c r="O1137" i="5" s="1"/>
  <c r="D1137" i="5"/>
  <c r="M1137" i="5" s="1"/>
  <c r="AM1136" i="5"/>
  <c r="AJ1136" i="5"/>
  <c r="Q1136" i="5"/>
  <c r="P1136" i="5"/>
  <c r="N1136" i="5"/>
  <c r="L1136" i="5"/>
  <c r="H1136" i="5"/>
  <c r="O1136" i="5" s="1"/>
  <c r="D1136" i="5"/>
  <c r="M1136" i="5" s="1"/>
  <c r="AM1135" i="5"/>
  <c r="AJ1135" i="5"/>
  <c r="Q1135" i="5"/>
  <c r="P1135" i="5"/>
  <c r="N1135" i="5"/>
  <c r="L1135" i="5"/>
  <c r="H1135" i="5"/>
  <c r="O1135" i="5" s="1"/>
  <c r="D1135" i="5"/>
  <c r="M1135" i="5" s="1"/>
  <c r="AM1134" i="5"/>
  <c r="AJ1134" i="5"/>
  <c r="Q1134" i="5"/>
  <c r="P1134" i="5"/>
  <c r="N1134" i="5"/>
  <c r="L1134" i="5"/>
  <c r="H1134" i="5"/>
  <c r="O1134" i="5" s="1"/>
  <c r="D1134" i="5"/>
  <c r="M1134" i="5" s="1"/>
  <c r="AM1133" i="5"/>
  <c r="AJ1133" i="5"/>
  <c r="Q1133" i="5"/>
  <c r="P1133" i="5"/>
  <c r="N1133" i="5"/>
  <c r="L1133" i="5"/>
  <c r="H1133" i="5"/>
  <c r="O1133" i="5" s="1"/>
  <c r="D1133" i="5"/>
  <c r="M1133" i="5" s="1"/>
  <c r="AM1132" i="5"/>
  <c r="AJ1132" i="5"/>
  <c r="Q1132" i="5"/>
  <c r="P1132" i="5"/>
  <c r="N1132" i="5"/>
  <c r="L1132" i="5"/>
  <c r="H1132" i="5"/>
  <c r="O1132" i="5" s="1"/>
  <c r="D1132" i="5"/>
  <c r="M1132" i="5" s="1"/>
  <c r="AM1131" i="5"/>
  <c r="AJ1131" i="5"/>
  <c r="Q1131" i="5"/>
  <c r="P1131" i="5"/>
  <c r="N1131" i="5"/>
  <c r="L1131" i="5"/>
  <c r="H1131" i="5"/>
  <c r="O1131" i="5" s="1"/>
  <c r="D1131" i="5"/>
  <c r="M1131" i="5" s="1"/>
  <c r="AM1130" i="5"/>
  <c r="AJ1130" i="5"/>
  <c r="Q1130" i="5"/>
  <c r="P1130" i="5"/>
  <c r="N1130" i="5"/>
  <c r="L1130" i="5"/>
  <c r="H1130" i="5"/>
  <c r="O1130" i="5" s="1"/>
  <c r="D1130" i="5"/>
  <c r="M1130" i="5" s="1"/>
  <c r="AM1129" i="5"/>
  <c r="AJ1129" i="5"/>
  <c r="Q1129" i="5"/>
  <c r="P1129" i="5"/>
  <c r="N1129" i="5"/>
  <c r="L1129" i="5"/>
  <c r="H1129" i="5"/>
  <c r="O1129" i="5" s="1"/>
  <c r="D1129" i="5"/>
  <c r="M1129" i="5" s="1"/>
  <c r="AM1128" i="5"/>
  <c r="AJ1128" i="5"/>
  <c r="Q1128" i="5"/>
  <c r="P1128" i="5"/>
  <c r="N1128" i="5"/>
  <c r="L1128" i="5"/>
  <c r="H1128" i="5"/>
  <c r="O1128" i="5" s="1"/>
  <c r="D1128" i="5"/>
  <c r="M1128" i="5" s="1"/>
  <c r="AM1127" i="5"/>
  <c r="AJ1127" i="5"/>
  <c r="Q1127" i="5"/>
  <c r="P1127" i="5"/>
  <c r="N1127" i="5"/>
  <c r="L1127" i="5"/>
  <c r="H1127" i="5"/>
  <c r="O1127" i="5" s="1"/>
  <c r="D1127" i="5"/>
  <c r="M1127" i="5" s="1"/>
  <c r="AM1126" i="5"/>
  <c r="AJ1126" i="5"/>
  <c r="Q1126" i="5"/>
  <c r="P1126" i="5"/>
  <c r="N1126" i="5"/>
  <c r="L1126" i="5"/>
  <c r="H1126" i="5"/>
  <c r="O1126" i="5" s="1"/>
  <c r="D1126" i="5"/>
  <c r="M1126" i="5" s="1"/>
  <c r="AM1125" i="5"/>
  <c r="AJ1125" i="5"/>
  <c r="Q1125" i="5"/>
  <c r="P1125" i="5"/>
  <c r="N1125" i="5"/>
  <c r="L1125" i="5"/>
  <c r="H1125" i="5"/>
  <c r="O1125" i="5" s="1"/>
  <c r="D1125" i="5"/>
  <c r="M1125" i="5" s="1"/>
  <c r="AM1124" i="5"/>
  <c r="AJ1124" i="5"/>
  <c r="Q1124" i="5"/>
  <c r="P1124" i="5"/>
  <c r="N1124" i="5"/>
  <c r="L1124" i="5"/>
  <c r="H1124" i="5"/>
  <c r="O1124" i="5" s="1"/>
  <c r="D1124" i="5"/>
  <c r="M1124" i="5" s="1"/>
  <c r="AM1123" i="5"/>
  <c r="AJ1123" i="5"/>
  <c r="Q1123" i="5"/>
  <c r="P1123" i="5"/>
  <c r="N1123" i="5"/>
  <c r="L1123" i="5"/>
  <c r="H1123" i="5"/>
  <c r="O1123" i="5" s="1"/>
  <c r="D1123" i="5"/>
  <c r="M1123" i="5" s="1"/>
  <c r="AM1122" i="5"/>
  <c r="AJ1122" i="5"/>
  <c r="Q1122" i="5"/>
  <c r="P1122" i="5"/>
  <c r="N1122" i="5"/>
  <c r="L1122" i="5"/>
  <c r="H1122" i="5"/>
  <c r="O1122" i="5" s="1"/>
  <c r="D1122" i="5"/>
  <c r="M1122" i="5" s="1"/>
  <c r="AM1121" i="5"/>
  <c r="AJ1121" i="5"/>
  <c r="Q1121" i="5"/>
  <c r="P1121" i="5"/>
  <c r="N1121" i="5"/>
  <c r="L1121" i="5"/>
  <c r="H1121" i="5"/>
  <c r="O1121" i="5" s="1"/>
  <c r="D1121" i="5"/>
  <c r="M1121" i="5" s="1"/>
  <c r="AM1120" i="5"/>
  <c r="AJ1120" i="5"/>
  <c r="Q1120" i="5"/>
  <c r="P1120" i="5"/>
  <c r="N1120" i="5"/>
  <c r="L1120" i="5"/>
  <c r="H1120" i="5"/>
  <c r="O1120" i="5" s="1"/>
  <c r="D1120" i="5"/>
  <c r="M1120" i="5" s="1"/>
  <c r="AM1119" i="5"/>
  <c r="AJ1119" i="5"/>
  <c r="Q1119" i="5"/>
  <c r="P1119" i="5"/>
  <c r="N1119" i="5"/>
  <c r="L1119" i="5"/>
  <c r="H1119" i="5"/>
  <c r="O1119" i="5" s="1"/>
  <c r="D1119" i="5"/>
  <c r="M1119" i="5" s="1"/>
  <c r="AM1118" i="5"/>
  <c r="AJ1118" i="5"/>
  <c r="Q1118" i="5"/>
  <c r="P1118" i="5"/>
  <c r="N1118" i="5"/>
  <c r="L1118" i="5"/>
  <c r="H1118" i="5"/>
  <c r="O1118" i="5" s="1"/>
  <c r="D1118" i="5"/>
  <c r="M1118" i="5" s="1"/>
  <c r="AM1117" i="5"/>
  <c r="AJ1117" i="5"/>
  <c r="Q1117" i="5"/>
  <c r="P1117" i="5"/>
  <c r="N1117" i="5"/>
  <c r="L1117" i="5"/>
  <c r="H1117" i="5"/>
  <c r="O1117" i="5" s="1"/>
  <c r="D1117" i="5"/>
  <c r="M1117" i="5" s="1"/>
  <c r="AM1116" i="5"/>
  <c r="AJ1116" i="5"/>
  <c r="Q1116" i="5"/>
  <c r="P1116" i="5"/>
  <c r="N1116" i="5"/>
  <c r="L1116" i="5"/>
  <c r="H1116" i="5"/>
  <c r="O1116" i="5" s="1"/>
  <c r="D1116" i="5"/>
  <c r="M1116" i="5" s="1"/>
  <c r="AM1115" i="5"/>
  <c r="AJ1115" i="5"/>
  <c r="Q1115" i="5"/>
  <c r="P1115" i="5"/>
  <c r="N1115" i="5"/>
  <c r="L1115" i="5"/>
  <c r="H1115" i="5"/>
  <c r="O1115" i="5" s="1"/>
  <c r="D1115" i="5"/>
  <c r="M1115" i="5" s="1"/>
  <c r="AM1114" i="5"/>
  <c r="AJ1114" i="5"/>
  <c r="Q1114" i="5"/>
  <c r="P1114" i="5"/>
  <c r="N1114" i="5"/>
  <c r="L1114" i="5"/>
  <c r="H1114" i="5"/>
  <c r="O1114" i="5" s="1"/>
  <c r="D1114" i="5"/>
  <c r="M1114" i="5" s="1"/>
  <c r="AM1113" i="5"/>
  <c r="AJ1113" i="5"/>
  <c r="Q1113" i="5"/>
  <c r="P1113" i="5"/>
  <c r="N1113" i="5"/>
  <c r="L1113" i="5"/>
  <c r="H1113" i="5"/>
  <c r="O1113" i="5" s="1"/>
  <c r="D1113" i="5"/>
  <c r="M1113" i="5" s="1"/>
  <c r="AM1112" i="5"/>
  <c r="AJ1112" i="5"/>
  <c r="Q1112" i="5"/>
  <c r="P1112" i="5"/>
  <c r="N1112" i="5"/>
  <c r="L1112" i="5"/>
  <c r="H1112" i="5"/>
  <c r="O1112" i="5" s="1"/>
  <c r="D1112" i="5"/>
  <c r="M1112" i="5" s="1"/>
  <c r="AM1111" i="5"/>
  <c r="AJ1111" i="5"/>
  <c r="Q1111" i="5"/>
  <c r="P1111" i="5"/>
  <c r="N1111" i="5"/>
  <c r="L1111" i="5"/>
  <c r="H1111" i="5"/>
  <c r="O1111" i="5" s="1"/>
  <c r="D1111" i="5"/>
  <c r="M1111" i="5" s="1"/>
  <c r="AM1110" i="5"/>
  <c r="AJ1110" i="5"/>
  <c r="Q1110" i="5"/>
  <c r="P1110" i="5"/>
  <c r="N1110" i="5"/>
  <c r="L1110" i="5"/>
  <c r="H1110" i="5"/>
  <c r="O1110" i="5" s="1"/>
  <c r="D1110" i="5"/>
  <c r="M1110" i="5" s="1"/>
  <c r="AM1109" i="5"/>
  <c r="AJ1109" i="5"/>
  <c r="Q1109" i="5"/>
  <c r="P1109" i="5"/>
  <c r="N1109" i="5"/>
  <c r="L1109" i="5"/>
  <c r="H1109" i="5"/>
  <c r="O1109" i="5" s="1"/>
  <c r="D1109" i="5"/>
  <c r="M1109" i="5" s="1"/>
  <c r="AM1108" i="5"/>
  <c r="AJ1108" i="5"/>
  <c r="Q1108" i="5"/>
  <c r="P1108" i="5"/>
  <c r="N1108" i="5"/>
  <c r="L1108" i="5"/>
  <c r="H1108" i="5"/>
  <c r="O1108" i="5" s="1"/>
  <c r="D1108" i="5"/>
  <c r="M1108" i="5" s="1"/>
  <c r="AM1107" i="5"/>
  <c r="AJ1107" i="5"/>
  <c r="Q1107" i="5"/>
  <c r="P1107" i="5"/>
  <c r="N1107" i="5"/>
  <c r="L1107" i="5"/>
  <c r="H1107" i="5"/>
  <c r="O1107" i="5" s="1"/>
  <c r="D1107" i="5"/>
  <c r="M1107" i="5" s="1"/>
  <c r="AM1106" i="5"/>
  <c r="AJ1106" i="5"/>
  <c r="Q1106" i="5"/>
  <c r="P1106" i="5"/>
  <c r="N1106" i="5"/>
  <c r="L1106" i="5"/>
  <c r="H1106" i="5"/>
  <c r="O1106" i="5" s="1"/>
  <c r="D1106" i="5"/>
  <c r="M1106" i="5" s="1"/>
  <c r="AM1105" i="5"/>
  <c r="AJ1105" i="5"/>
  <c r="Q1105" i="5"/>
  <c r="P1105" i="5"/>
  <c r="N1105" i="5"/>
  <c r="L1105" i="5"/>
  <c r="H1105" i="5"/>
  <c r="O1105" i="5" s="1"/>
  <c r="D1105" i="5"/>
  <c r="M1105" i="5" s="1"/>
  <c r="AM1104" i="5"/>
  <c r="AJ1104" i="5"/>
  <c r="Q1104" i="5"/>
  <c r="P1104" i="5"/>
  <c r="N1104" i="5"/>
  <c r="L1104" i="5"/>
  <c r="H1104" i="5"/>
  <c r="O1104" i="5" s="1"/>
  <c r="D1104" i="5"/>
  <c r="M1104" i="5" s="1"/>
  <c r="AM1103" i="5"/>
  <c r="AJ1103" i="5"/>
  <c r="Q1103" i="5"/>
  <c r="P1103" i="5"/>
  <c r="N1103" i="5"/>
  <c r="L1103" i="5"/>
  <c r="H1103" i="5"/>
  <c r="O1103" i="5" s="1"/>
  <c r="D1103" i="5"/>
  <c r="M1103" i="5" s="1"/>
  <c r="AM1102" i="5"/>
  <c r="AJ1102" i="5"/>
  <c r="Q1102" i="5"/>
  <c r="P1102" i="5"/>
  <c r="N1102" i="5"/>
  <c r="L1102" i="5"/>
  <c r="H1102" i="5"/>
  <c r="O1102" i="5" s="1"/>
  <c r="D1102" i="5"/>
  <c r="M1102" i="5" s="1"/>
  <c r="AM1101" i="5"/>
  <c r="AJ1101" i="5"/>
  <c r="Q1101" i="5"/>
  <c r="P1101" i="5"/>
  <c r="N1101" i="5"/>
  <c r="L1101" i="5"/>
  <c r="H1101" i="5"/>
  <c r="O1101" i="5" s="1"/>
  <c r="D1101" i="5"/>
  <c r="M1101" i="5" s="1"/>
  <c r="AM1100" i="5"/>
  <c r="AJ1100" i="5"/>
  <c r="Q1100" i="5"/>
  <c r="P1100" i="5"/>
  <c r="N1100" i="5"/>
  <c r="L1100" i="5"/>
  <c r="H1100" i="5"/>
  <c r="O1100" i="5" s="1"/>
  <c r="D1100" i="5"/>
  <c r="M1100" i="5" s="1"/>
  <c r="AM1099" i="5"/>
  <c r="AJ1099" i="5"/>
  <c r="Q1099" i="5"/>
  <c r="P1099" i="5"/>
  <c r="N1099" i="5"/>
  <c r="L1099" i="5"/>
  <c r="H1099" i="5"/>
  <c r="O1099" i="5" s="1"/>
  <c r="D1099" i="5"/>
  <c r="M1099" i="5" s="1"/>
  <c r="AM1098" i="5"/>
  <c r="AJ1098" i="5"/>
  <c r="Q1098" i="5"/>
  <c r="P1098" i="5"/>
  <c r="N1098" i="5"/>
  <c r="L1098" i="5"/>
  <c r="H1098" i="5"/>
  <c r="O1098" i="5" s="1"/>
  <c r="D1098" i="5"/>
  <c r="M1098" i="5" s="1"/>
  <c r="AM1097" i="5"/>
  <c r="AJ1097" i="5"/>
  <c r="Q1097" i="5"/>
  <c r="P1097" i="5"/>
  <c r="N1097" i="5"/>
  <c r="L1097" i="5"/>
  <c r="H1097" i="5"/>
  <c r="O1097" i="5" s="1"/>
  <c r="D1097" i="5"/>
  <c r="M1097" i="5" s="1"/>
  <c r="AM1096" i="5"/>
  <c r="AJ1096" i="5"/>
  <c r="Q1096" i="5"/>
  <c r="P1096" i="5"/>
  <c r="N1096" i="5"/>
  <c r="L1096" i="5"/>
  <c r="H1096" i="5"/>
  <c r="O1096" i="5" s="1"/>
  <c r="D1096" i="5"/>
  <c r="M1096" i="5" s="1"/>
  <c r="AM1095" i="5"/>
  <c r="AJ1095" i="5"/>
  <c r="Q1095" i="5"/>
  <c r="P1095" i="5"/>
  <c r="N1095" i="5"/>
  <c r="L1095" i="5"/>
  <c r="H1095" i="5"/>
  <c r="O1095" i="5" s="1"/>
  <c r="D1095" i="5"/>
  <c r="M1095" i="5" s="1"/>
  <c r="AM1094" i="5"/>
  <c r="AJ1094" i="5"/>
  <c r="Q1094" i="5"/>
  <c r="P1094" i="5"/>
  <c r="N1094" i="5"/>
  <c r="L1094" i="5"/>
  <c r="H1094" i="5"/>
  <c r="O1094" i="5" s="1"/>
  <c r="D1094" i="5"/>
  <c r="M1094" i="5" s="1"/>
  <c r="AM1093" i="5"/>
  <c r="AJ1093" i="5"/>
  <c r="Q1093" i="5"/>
  <c r="P1093" i="5"/>
  <c r="N1093" i="5"/>
  <c r="L1093" i="5"/>
  <c r="H1093" i="5"/>
  <c r="O1093" i="5" s="1"/>
  <c r="D1093" i="5"/>
  <c r="M1093" i="5" s="1"/>
  <c r="AM1092" i="5"/>
  <c r="AJ1092" i="5"/>
  <c r="Q1092" i="5"/>
  <c r="P1092" i="5"/>
  <c r="N1092" i="5"/>
  <c r="L1092" i="5"/>
  <c r="H1092" i="5"/>
  <c r="O1092" i="5" s="1"/>
  <c r="D1092" i="5"/>
  <c r="M1092" i="5" s="1"/>
  <c r="AM1091" i="5"/>
  <c r="AJ1091" i="5"/>
  <c r="Q1091" i="5"/>
  <c r="P1091" i="5"/>
  <c r="N1091" i="5"/>
  <c r="L1091" i="5"/>
  <c r="H1091" i="5"/>
  <c r="O1091" i="5" s="1"/>
  <c r="D1091" i="5"/>
  <c r="M1091" i="5" s="1"/>
  <c r="AM1090" i="5"/>
  <c r="AJ1090" i="5"/>
  <c r="Q1090" i="5"/>
  <c r="P1090" i="5"/>
  <c r="N1090" i="5"/>
  <c r="L1090" i="5"/>
  <c r="H1090" i="5"/>
  <c r="O1090" i="5" s="1"/>
  <c r="D1090" i="5"/>
  <c r="M1090" i="5" s="1"/>
  <c r="AM1089" i="5"/>
  <c r="AJ1089" i="5"/>
  <c r="Q1089" i="5"/>
  <c r="P1089" i="5"/>
  <c r="N1089" i="5"/>
  <c r="L1089" i="5"/>
  <c r="H1089" i="5"/>
  <c r="O1089" i="5" s="1"/>
  <c r="D1089" i="5"/>
  <c r="M1089" i="5" s="1"/>
  <c r="AM1088" i="5"/>
  <c r="AJ1088" i="5"/>
  <c r="Q1088" i="5"/>
  <c r="P1088" i="5"/>
  <c r="N1088" i="5"/>
  <c r="L1088" i="5"/>
  <c r="H1088" i="5"/>
  <c r="O1088" i="5" s="1"/>
  <c r="D1088" i="5"/>
  <c r="M1088" i="5" s="1"/>
  <c r="AM1087" i="5"/>
  <c r="AJ1087" i="5"/>
  <c r="Q1087" i="5"/>
  <c r="P1087" i="5"/>
  <c r="N1087" i="5"/>
  <c r="L1087" i="5"/>
  <c r="H1087" i="5"/>
  <c r="O1087" i="5" s="1"/>
  <c r="D1087" i="5"/>
  <c r="M1087" i="5" s="1"/>
  <c r="AM1086" i="5"/>
  <c r="AJ1086" i="5"/>
  <c r="Q1086" i="5"/>
  <c r="P1086" i="5"/>
  <c r="N1086" i="5"/>
  <c r="L1086" i="5"/>
  <c r="H1086" i="5"/>
  <c r="O1086" i="5" s="1"/>
  <c r="D1086" i="5"/>
  <c r="M1086" i="5" s="1"/>
  <c r="AM1085" i="5"/>
  <c r="AJ1085" i="5"/>
  <c r="Q1085" i="5"/>
  <c r="P1085" i="5"/>
  <c r="N1085" i="5"/>
  <c r="L1085" i="5"/>
  <c r="H1085" i="5"/>
  <c r="O1085" i="5" s="1"/>
  <c r="D1085" i="5"/>
  <c r="M1085" i="5" s="1"/>
  <c r="AM1084" i="5"/>
  <c r="AJ1084" i="5"/>
  <c r="Q1084" i="5"/>
  <c r="P1084" i="5"/>
  <c r="N1084" i="5"/>
  <c r="L1084" i="5"/>
  <c r="H1084" i="5"/>
  <c r="O1084" i="5" s="1"/>
  <c r="D1084" i="5"/>
  <c r="M1084" i="5" s="1"/>
  <c r="AM1083" i="5"/>
  <c r="AJ1083" i="5"/>
  <c r="Q1083" i="5"/>
  <c r="P1083" i="5"/>
  <c r="N1083" i="5"/>
  <c r="L1083" i="5"/>
  <c r="H1083" i="5"/>
  <c r="O1083" i="5" s="1"/>
  <c r="D1083" i="5"/>
  <c r="M1083" i="5" s="1"/>
  <c r="AM1082" i="5"/>
  <c r="AJ1082" i="5"/>
  <c r="Q1082" i="5"/>
  <c r="P1082" i="5"/>
  <c r="N1082" i="5"/>
  <c r="L1082" i="5"/>
  <c r="H1082" i="5"/>
  <c r="O1082" i="5" s="1"/>
  <c r="D1082" i="5"/>
  <c r="M1082" i="5" s="1"/>
  <c r="AM1081" i="5"/>
  <c r="AJ1081" i="5"/>
  <c r="Q1081" i="5"/>
  <c r="P1081" i="5"/>
  <c r="N1081" i="5"/>
  <c r="L1081" i="5"/>
  <c r="H1081" i="5"/>
  <c r="O1081" i="5" s="1"/>
  <c r="D1081" i="5"/>
  <c r="M1081" i="5" s="1"/>
  <c r="AM1080" i="5"/>
  <c r="AJ1080" i="5"/>
  <c r="Q1080" i="5"/>
  <c r="P1080" i="5"/>
  <c r="N1080" i="5"/>
  <c r="L1080" i="5"/>
  <c r="H1080" i="5"/>
  <c r="O1080" i="5" s="1"/>
  <c r="D1080" i="5"/>
  <c r="M1080" i="5" s="1"/>
  <c r="AM1079" i="5"/>
  <c r="AJ1079" i="5"/>
  <c r="Q1079" i="5"/>
  <c r="P1079" i="5"/>
  <c r="N1079" i="5"/>
  <c r="L1079" i="5"/>
  <c r="H1079" i="5"/>
  <c r="O1079" i="5" s="1"/>
  <c r="D1079" i="5"/>
  <c r="M1079" i="5" s="1"/>
  <c r="AM1078" i="5"/>
  <c r="AJ1078" i="5"/>
  <c r="Q1078" i="5"/>
  <c r="P1078" i="5"/>
  <c r="N1078" i="5"/>
  <c r="L1078" i="5"/>
  <c r="H1078" i="5"/>
  <c r="O1078" i="5" s="1"/>
  <c r="D1078" i="5"/>
  <c r="M1078" i="5" s="1"/>
  <c r="AM1077" i="5"/>
  <c r="AJ1077" i="5"/>
  <c r="Q1077" i="5"/>
  <c r="P1077" i="5"/>
  <c r="N1077" i="5"/>
  <c r="L1077" i="5"/>
  <c r="H1077" i="5"/>
  <c r="O1077" i="5" s="1"/>
  <c r="D1077" i="5"/>
  <c r="M1077" i="5" s="1"/>
  <c r="AM1076" i="5"/>
  <c r="AJ1076" i="5"/>
  <c r="Q1076" i="5"/>
  <c r="P1076" i="5"/>
  <c r="N1076" i="5"/>
  <c r="L1076" i="5"/>
  <c r="H1076" i="5"/>
  <c r="O1076" i="5" s="1"/>
  <c r="D1076" i="5"/>
  <c r="M1076" i="5" s="1"/>
  <c r="AM1075" i="5"/>
  <c r="AJ1075" i="5"/>
  <c r="Q1075" i="5"/>
  <c r="P1075" i="5"/>
  <c r="N1075" i="5"/>
  <c r="L1075" i="5"/>
  <c r="H1075" i="5"/>
  <c r="O1075" i="5" s="1"/>
  <c r="D1075" i="5"/>
  <c r="M1075" i="5" s="1"/>
  <c r="AM1074" i="5"/>
  <c r="AJ1074" i="5"/>
  <c r="Q1074" i="5"/>
  <c r="P1074" i="5"/>
  <c r="N1074" i="5"/>
  <c r="L1074" i="5"/>
  <c r="H1074" i="5"/>
  <c r="O1074" i="5" s="1"/>
  <c r="D1074" i="5"/>
  <c r="M1074" i="5" s="1"/>
  <c r="AM1073" i="5"/>
  <c r="AJ1073" i="5"/>
  <c r="Q1073" i="5"/>
  <c r="P1073" i="5"/>
  <c r="N1073" i="5"/>
  <c r="L1073" i="5"/>
  <c r="H1073" i="5"/>
  <c r="O1073" i="5" s="1"/>
  <c r="D1073" i="5"/>
  <c r="M1073" i="5" s="1"/>
  <c r="AM1072" i="5"/>
  <c r="AJ1072" i="5"/>
  <c r="Q1072" i="5"/>
  <c r="P1072" i="5"/>
  <c r="N1072" i="5"/>
  <c r="L1072" i="5"/>
  <c r="H1072" i="5"/>
  <c r="O1072" i="5" s="1"/>
  <c r="D1072" i="5"/>
  <c r="M1072" i="5" s="1"/>
  <c r="AM1071" i="5"/>
  <c r="AJ1071" i="5"/>
  <c r="Q1071" i="5"/>
  <c r="P1071" i="5"/>
  <c r="N1071" i="5"/>
  <c r="L1071" i="5"/>
  <c r="H1071" i="5"/>
  <c r="O1071" i="5" s="1"/>
  <c r="D1071" i="5"/>
  <c r="M1071" i="5" s="1"/>
  <c r="AM1070" i="5"/>
  <c r="AJ1070" i="5"/>
  <c r="Q1070" i="5"/>
  <c r="P1070" i="5"/>
  <c r="N1070" i="5"/>
  <c r="L1070" i="5"/>
  <c r="H1070" i="5"/>
  <c r="O1070" i="5" s="1"/>
  <c r="D1070" i="5"/>
  <c r="M1070" i="5" s="1"/>
  <c r="AM1069" i="5"/>
  <c r="AJ1069" i="5"/>
  <c r="Q1069" i="5"/>
  <c r="P1069" i="5"/>
  <c r="N1069" i="5"/>
  <c r="L1069" i="5"/>
  <c r="H1069" i="5"/>
  <c r="O1069" i="5" s="1"/>
  <c r="D1069" i="5"/>
  <c r="M1069" i="5" s="1"/>
  <c r="AM1068" i="5"/>
  <c r="AJ1068" i="5"/>
  <c r="Q1068" i="5"/>
  <c r="P1068" i="5"/>
  <c r="N1068" i="5"/>
  <c r="L1068" i="5"/>
  <c r="H1068" i="5"/>
  <c r="O1068" i="5" s="1"/>
  <c r="D1068" i="5"/>
  <c r="M1068" i="5" s="1"/>
  <c r="AM1067" i="5"/>
  <c r="AJ1067" i="5"/>
  <c r="Q1067" i="5"/>
  <c r="P1067" i="5"/>
  <c r="N1067" i="5"/>
  <c r="L1067" i="5"/>
  <c r="H1067" i="5"/>
  <c r="O1067" i="5" s="1"/>
  <c r="D1067" i="5"/>
  <c r="M1067" i="5" s="1"/>
  <c r="AM1066" i="5"/>
  <c r="AJ1066" i="5"/>
  <c r="Q1066" i="5"/>
  <c r="P1066" i="5"/>
  <c r="N1066" i="5"/>
  <c r="L1066" i="5"/>
  <c r="H1066" i="5"/>
  <c r="O1066" i="5" s="1"/>
  <c r="D1066" i="5"/>
  <c r="M1066" i="5" s="1"/>
  <c r="AM1065" i="5"/>
  <c r="AJ1065" i="5"/>
  <c r="Q1065" i="5"/>
  <c r="P1065" i="5"/>
  <c r="N1065" i="5"/>
  <c r="L1065" i="5"/>
  <c r="H1065" i="5"/>
  <c r="O1065" i="5" s="1"/>
  <c r="D1065" i="5"/>
  <c r="M1065" i="5" s="1"/>
  <c r="AM1064" i="5"/>
  <c r="AJ1064" i="5"/>
  <c r="Q1064" i="5"/>
  <c r="P1064" i="5"/>
  <c r="N1064" i="5"/>
  <c r="L1064" i="5"/>
  <c r="H1064" i="5"/>
  <c r="O1064" i="5" s="1"/>
  <c r="D1064" i="5"/>
  <c r="M1064" i="5" s="1"/>
  <c r="AM1063" i="5"/>
  <c r="AJ1063" i="5"/>
  <c r="Q1063" i="5"/>
  <c r="P1063" i="5"/>
  <c r="N1063" i="5"/>
  <c r="L1063" i="5"/>
  <c r="H1063" i="5"/>
  <c r="O1063" i="5" s="1"/>
  <c r="D1063" i="5"/>
  <c r="M1063" i="5" s="1"/>
  <c r="AM1062" i="5"/>
  <c r="AJ1062" i="5"/>
  <c r="Q1062" i="5"/>
  <c r="P1062" i="5"/>
  <c r="N1062" i="5"/>
  <c r="L1062" i="5"/>
  <c r="H1062" i="5"/>
  <c r="O1062" i="5" s="1"/>
  <c r="D1062" i="5"/>
  <c r="M1062" i="5" s="1"/>
  <c r="AM1061" i="5"/>
  <c r="AJ1061" i="5"/>
  <c r="Q1061" i="5"/>
  <c r="P1061" i="5"/>
  <c r="N1061" i="5"/>
  <c r="L1061" i="5"/>
  <c r="H1061" i="5"/>
  <c r="O1061" i="5" s="1"/>
  <c r="D1061" i="5"/>
  <c r="M1061" i="5" s="1"/>
  <c r="AM1060" i="5"/>
  <c r="AJ1060" i="5"/>
  <c r="Q1060" i="5"/>
  <c r="P1060" i="5"/>
  <c r="N1060" i="5"/>
  <c r="L1060" i="5"/>
  <c r="H1060" i="5"/>
  <c r="O1060" i="5" s="1"/>
  <c r="D1060" i="5"/>
  <c r="M1060" i="5" s="1"/>
  <c r="AM1059" i="5"/>
  <c r="AJ1059" i="5"/>
  <c r="Q1059" i="5"/>
  <c r="P1059" i="5"/>
  <c r="N1059" i="5"/>
  <c r="L1059" i="5"/>
  <c r="H1059" i="5"/>
  <c r="O1059" i="5" s="1"/>
  <c r="D1059" i="5"/>
  <c r="M1059" i="5" s="1"/>
  <c r="AM1058" i="5"/>
  <c r="AJ1058" i="5"/>
  <c r="Q1058" i="5"/>
  <c r="P1058" i="5"/>
  <c r="N1058" i="5"/>
  <c r="L1058" i="5"/>
  <c r="H1058" i="5"/>
  <c r="O1058" i="5" s="1"/>
  <c r="D1058" i="5"/>
  <c r="M1058" i="5" s="1"/>
  <c r="AM1057" i="5"/>
  <c r="AJ1057" i="5"/>
  <c r="Q1057" i="5"/>
  <c r="P1057" i="5"/>
  <c r="N1057" i="5"/>
  <c r="L1057" i="5"/>
  <c r="H1057" i="5"/>
  <c r="O1057" i="5" s="1"/>
  <c r="D1057" i="5"/>
  <c r="M1057" i="5" s="1"/>
  <c r="AM1056" i="5"/>
  <c r="AJ1056" i="5"/>
  <c r="Q1056" i="5"/>
  <c r="P1056" i="5"/>
  <c r="N1056" i="5"/>
  <c r="L1056" i="5"/>
  <c r="H1056" i="5"/>
  <c r="O1056" i="5" s="1"/>
  <c r="D1056" i="5"/>
  <c r="M1056" i="5" s="1"/>
  <c r="AM1055" i="5"/>
  <c r="AJ1055" i="5"/>
  <c r="Q1055" i="5"/>
  <c r="P1055" i="5"/>
  <c r="N1055" i="5"/>
  <c r="L1055" i="5"/>
  <c r="H1055" i="5"/>
  <c r="O1055" i="5" s="1"/>
  <c r="D1055" i="5"/>
  <c r="M1055" i="5" s="1"/>
  <c r="AM1054" i="5"/>
  <c r="AJ1054" i="5"/>
  <c r="Q1054" i="5"/>
  <c r="P1054" i="5"/>
  <c r="N1054" i="5"/>
  <c r="L1054" i="5"/>
  <c r="H1054" i="5"/>
  <c r="O1054" i="5" s="1"/>
  <c r="D1054" i="5"/>
  <c r="M1054" i="5" s="1"/>
  <c r="AM1053" i="5"/>
  <c r="AJ1053" i="5"/>
  <c r="Q1053" i="5"/>
  <c r="P1053" i="5"/>
  <c r="N1053" i="5"/>
  <c r="L1053" i="5"/>
  <c r="H1053" i="5"/>
  <c r="O1053" i="5" s="1"/>
  <c r="D1053" i="5"/>
  <c r="M1053" i="5" s="1"/>
  <c r="AM1052" i="5"/>
  <c r="AJ1052" i="5"/>
  <c r="Q1052" i="5"/>
  <c r="P1052" i="5"/>
  <c r="N1052" i="5"/>
  <c r="L1052" i="5"/>
  <c r="H1052" i="5"/>
  <c r="O1052" i="5" s="1"/>
  <c r="D1052" i="5"/>
  <c r="M1052" i="5" s="1"/>
  <c r="AM1051" i="5"/>
  <c r="AJ1051" i="5"/>
  <c r="Q1051" i="5"/>
  <c r="P1051" i="5"/>
  <c r="N1051" i="5"/>
  <c r="L1051" i="5"/>
  <c r="H1051" i="5"/>
  <c r="O1051" i="5" s="1"/>
  <c r="D1051" i="5"/>
  <c r="M1051" i="5" s="1"/>
  <c r="AM1050" i="5"/>
  <c r="AJ1050" i="5"/>
  <c r="Q1050" i="5"/>
  <c r="P1050" i="5"/>
  <c r="N1050" i="5"/>
  <c r="L1050" i="5"/>
  <c r="H1050" i="5"/>
  <c r="O1050" i="5" s="1"/>
  <c r="D1050" i="5"/>
  <c r="M1050" i="5" s="1"/>
  <c r="AM1049" i="5"/>
  <c r="AJ1049" i="5"/>
  <c r="Q1049" i="5"/>
  <c r="P1049" i="5"/>
  <c r="N1049" i="5"/>
  <c r="L1049" i="5"/>
  <c r="H1049" i="5"/>
  <c r="O1049" i="5" s="1"/>
  <c r="D1049" i="5"/>
  <c r="M1049" i="5" s="1"/>
  <c r="AM1048" i="5"/>
  <c r="AJ1048" i="5"/>
  <c r="Q1048" i="5"/>
  <c r="P1048" i="5"/>
  <c r="N1048" i="5"/>
  <c r="L1048" i="5"/>
  <c r="H1048" i="5"/>
  <c r="O1048" i="5" s="1"/>
  <c r="D1048" i="5"/>
  <c r="M1048" i="5" s="1"/>
  <c r="AM1047" i="5"/>
  <c r="AJ1047" i="5"/>
  <c r="Q1047" i="5"/>
  <c r="P1047" i="5"/>
  <c r="N1047" i="5"/>
  <c r="L1047" i="5"/>
  <c r="H1047" i="5"/>
  <c r="O1047" i="5" s="1"/>
  <c r="D1047" i="5"/>
  <c r="M1047" i="5" s="1"/>
  <c r="AM1046" i="5"/>
  <c r="AJ1046" i="5"/>
  <c r="Q1046" i="5"/>
  <c r="P1046" i="5"/>
  <c r="N1046" i="5"/>
  <c r="L1046" i="5"/>
  <c r="H1046" i="5"/>
  <c r="O1046" i="5" s="1"/>
  <c r="D1046" i="5"/>
  <c r="M1046" i="5" s="1"/>
  <c r="AM1045" i="5"/>
  <c r="AJ1045" i="5"/>
  <c r="Q1045" i="5"/>
  <c r="P1045" i="5"/>
  <c r="N1045" i="5"/>
  <c r="L1045" i="5"/>
  <c r="H1045" i="5"/>
  <c r="O1045" i="5" s="1"/>
  <c r="D1045" i="5"/>
  <c r="M1045" i="5" s="1"/>
  <c r="AM1044" i="5"/>
  <c r="AJ1044" i="5"/>
  <c r="Q1044" i="5"/>
  <c r="P1044" i="5"/>
  <c r="N1044" i="5"/>
  <c r="L1044" i="5"/>
  <c r="H1044" i="5"/>
  <c r="O1044" i="5" s="1"/>
  <c r="D1044" i="5"/>
  <c r="M1044" i="5" s="1"/>
  <c r="AM1043" i="5"/>
  <c r="AJ1043" i="5"/>
  <c r="Q1043" i="5"/>
  <c r="P1043" i="5"/>
  <c r="N1043" i="5"/>
  <c r="L1043" i="5"/>
  <c r="H1043" i="5"/>
  <c r="O1043" i="5" s="1"/>
  <c r="D1043" i="5"/>
  <c r="M1043" i="5" s="1"/>
  <c r="AM1042" i="5"/>
  <c r="AJ1042" i="5"/>
  <c r="Q1042" i="5"/>
  <c r="P1042" i="5"/>
  <c r="N1042" i="5"/>
  <c r="L1042" i="5"/>
  <c r="H1042" i="5"/>
  <c r="O1042" i="5" s="1"/>
  <c r="D1042" i="5"/>
  <c r="M1042" i="5" s="1"/>
  <c r="AM1041" i="5"/>
  <c r="AJ1041" i="5"/>
  <c r="Q1041" i="5"/>
  <c r="P1041" i="5"/>
  <c r="N1041" i="5"/>
  <c r="L1041" i="5"/>
  <c r="H1041" i="5"/>
  <c r="O1041" i="5" s="1"/>
  <c r="D1041" i="5"/>
  <c r="M1041" i="5" s="1"/>
  <c r="AM1040" i="5"/>
  <c r="AJ1040" i="5"/>
  <c r="Q1040" i="5"/>
  <c r="P1040" i="5"/>
  <c r="N1040" i="5"/>
  <c r="L1040" i="5"/>
  <c r="H1040" i="5"/>
  <c r="O1040" i="5" s="1"/>
  <c r="D1040" i="5"/>
  <c r="M1040" i="5" s="1"/>
  <c r="AM1039" i="5"/>
  <c r="AJ1039" i="5"/>
  <c r="Q1039" i="5"/>
  <c r="P1039" i="5"/>
  <c r="N1039" i="5"/>
  <c r="L1039" i="5"/>
  <c r="H1039" i="5"/>
  <c r="O1039" i="5" s="1"/>
  <c r="D1039" i="5"/>
  <c r="M1039" i="5" s="1"/>
  <c r="AM1038" i="5"/>
  <c r="AJ1038" i="5"/>
  <c r="Q1038" i="5"/>
  <c r="P1038" i="5"/>
  <c r="N1038" i="5"/>
  <c r="L1038" i="5"/>
  <c r="H1038" i="5"/>
  <c r="O1038" i="5" s="1"/>
  <c r="D1038" i="5"/>
  <c r="M1038" i="5" s="1"/>
  <c r="AM1037" i="5"/>
  <c r="AJ1037" i="5"/>
  <c r="Q1037" i="5"/>
  <c r="P1037" i="5"/>
  <c r="N1037" i="5"/>
  <c r="L1037" i="5"/>
  <c r="H1037" i="5"/>
  <c r="O1037" i="5" s="1"/>
  <c r="D1037" i="5"/>
  <c r="M1037" i="5" s="1"/>
  <c r="AM1036" i="5"/>
  <c r="AJ1036" i="5"/>
  <c r="Q1036" i="5"/>
  <c r="P1036" i="5"/>
  <c r="N1036" i="5"/>
  <c r="L1036" i="5"/>
  <c r="H1036" i="5"/>
  <c r="O1036" i="5" s="1"/>
  <c r="D1036" i="5"/>
  <c r="M1036" i="5" s="1"/>
  <c r="AM1035" i="5"/>
  <c r="AJ1035" i="5"/>
  <c r="Q1035" i="5"/>
  <c r="P1035" i="5"/>
  <c r="N1035" i="5"/>
  <c r="L1035" i="5"/>
  <c r="H1035" i="5"/>
  <c r="O1035" i="5" s="1"/>
  <c r="D1035" i="5"/>
  <c r="M1035" i="5" s="1"/>
  <c r="AM1034" i="5"/>
  <c r="AJ1034" i="5"/>
  <c r="Q1034" i="5"/>
  <c r="P1034" i="5"/>
  <c r="N1034" i="5"/>
  <c r="L1034" i="5"/>
  <c r="H1034" i="5"/>
  <c r="O1034" i="5" s="1"/>
  <c r="D1034" i="5"/>
  <c r="M1034" i="5" s="1"/>
  <c r="AM1033" i="5"/>
  <c r="AJ1033" i="5"/>
  <c r="Q1033" i="5"/>
  <c r="P1033" i="5"/>
  <c r="N1033" i="5"/>
  <c r="L1033" i="5"/>
  <c r="H1033" i="5"/>
  <c r="O1033" i="5" s="1"/>
  <c r="D1033" i="5"/>
  <c r="M1033" i="5" s="1"/>
  <c r="AM1032" i="5"/>
  <c r="AJ1032" i="5"/>
  <c r="Q1032" i="5"/>
  <c r="P1032" i="5"/>
  <c r="N1032" i="5"/>
  <c r="L1032" i="5"/>
  <c r="H1032" i="5"/>
  <c r="O1032" i="5" s="1"/>
  <c r="D1032" i="5"/>
  <c r="M1032" i="5" s="1"/>
  <c r="AM1031" i="5"/>
  <c r="AJ1031" i="5"/>
  <c r="Q1031" i="5"/>
  <c r="P1031" i="5"/>
  <c r="N1031" i="5"/>
  <c r="L1031" i="5"/>
  <c r="H1031" i="5"/>
  <c r="O1031" i="5" s="1"/>
  <c r="D1031" i="5"/>
  <c r="M1031" i="5" s="1"/>
  <c r="AM1030" i="5"/>
  <c r="AJ1030" i="5"/>
  <c r="Q1030" i="5"/>
  <c r="P1030" i="5"/>
  <c r="N1030" i="5"/>
  <c r="L1030" i="5"/>
  <c r="H1030" i="5"/>
  <c r="O1030" i="5" s="1"/>
  <c r="D1030" i="5"/>
  <c r="M1030" i="5" s="1"/>
  <c r="AM1029" i="5"/>
  <c r="AJ1029" i="5"/>
  <c r="Q1029" i="5"/>
  <c r="P1029" i="5"/>
  <c r="N1029" i="5"/>
  <c r="L1029" i="5"/>
  <c r="H1029" i="5"/>
  <c r="O1029" i="5" s="1"/>
  <c r="D1029" i="5"/>
  <c r="M1029" i="5" s="1"/>
  <c r="AM1028" i="5"/>
  <c r="AJ1028" i="5"/>
  <c r="Q1028" i="5"/>
  <c r="P1028" i="5"/>
  <c r="N1028" i="5"/>
  <c r="L1028" i="5"/>
  <c r="H1028" i="5"/>
  <c r="O1028" i="5" s="1"/>
  <c r="D1028" i="5"/>
  <c r="M1028" i="5" s="1"/>
  <c r="AM1027" i="5"/>
  <c r="AJ1027" i="5"/>
  <c r="Q1027" i="5"/>
  <c r="P1027" i="5"/>
  <c r="N1027" i="5"/>
  <c r="L1027" i="5"/>
  <c r="H1027" i="5"/>
  <c r="O1027" i="5" s="1"/>
  <c r="D1027" i="5"/>
  <c r="M1027" i="5" s="1"/>
  <c r="AM1026" i="5"/>
  <c r="AJ1026" i="5"/>
  <c r="Q1026" i="5"/>
  <c r="P1026" i="5"/>
  <c r="N1026" i="5"/>
  <c r="L1026" i="5"/>
  <c r="H1026" i="5"/>
  <c r="O1026" i="5" s="1"/>
  <c r="D1026" i="5"/>
  <c r="M1026" i="5" s="1"/>
  <c r="AM1025" i="5"/>
  <c r="AJ1025" i="5"/>
  <c r="Q1025" i="5"/>
  <c r="P1025" i="5"/>
  <c r="N1025" i="5"/>
  <c r="L1025" i="5"/>
  <c r="H1025" i="5"/>
  <c r="O1025" i="5" s="1"/>
  <c r="D1025" i="5"/>
  <c r="M1025" i="5" s="1"/>
  <c r="AM1024" i="5"/>
  <c r="AJ1024" i="5"/>
  <c r="Q1024" i="5"/>
  <c r="P1024" i="5"/>
  <c r="N1024" i="5"/>
  <c r="L1024" i="5"/>
  <c r="H1024" i="5"/>
  <c r="O1024" i="5" s="1"/>
  <c r="D1024" i="5"/>
  <c r="M1024" i="5" s="1"/>
  <c r="AM1023" i="5"/>
  <c r="AJ1023" i="5"/>
  <c r="Q1023" i="5"/>
  <c r="P1023" i="5"/>
  <c r="N1023" i="5"/>
  <c r="L1023" i="5"/>
  <c r="H1023" i="5"/>
  <c r="O1023" i="5" s="1"/>
  <c r="D1023" i="5"/>
  <c r="M1023" i="5" s="1"/>
  <c r="AM1022" i="5"/>
  <c r="AJ1022" i="5"/>
  <c r="Q1022" i="5"/>
  <c r="P1022" i="5"/>
  <c r="N1022" i="5"/>
  <c r="L1022" i="5"/>
  <c r="H1022" i="5"/>
  <c r="O1022" i="5" s="1"/>
  <c r="D1022" i="5"/>
  <c r="M1022" i="5" s="1"/>
  <c r="AM1021" i="5"/>
  <c r="AJ1021" i="5"/>
  <c r="Q1021" i="5"/>
  <c r="P1021" i="5"/>
  <c r="N1021" i="5"/>
  <c r="L1021" i="5"/>
  <c r="H1021" i="5"/>
  <c r="O1021" i="5" s="1"/>
  <c r="D1021" i="5"/>
  <c r="M1021" i="5" s="1"/>
  <c r="AM1020" i="5"/>
  <c r="AJ1020" i="5"/>
  <c r="Q1020" i="5"/>
  <c r="P1020" i="5"/>
  <c r="N1020" i="5"/>
  <c r="L1020" i="5"/>
  <c r="H1020" i="5"/>
  <c r="O1020" i="5" s="1"/>
  <c r="D1020" i="5"/>
  <c r="M1020" i="5" s="1"/>
  <c r="AM1019" i="5"/>
  <c r="AJ1019" i="5"/>
  <c r="Q1019" i="5"/>
  <c r="P1019" i="5"/>
  <c r="N1019" i="5"/>
  <c r="L1019" i="5"/>
  <c r="H1019" i="5"/>
  <c r="O1019" i="5" s="1"/>
  <c r="D1019" i="5"/>
  <c r="M1019" i="5" s="1"/>
  <c r="AM1018" i="5"/>
  <c r="AJ1018" i="5"/>
  <c r="Q1018" i="5"/>
  <c r="P1018" i="5"/>
  <c r="N1018" i="5"/>
  <c r="L1018" i="5"/>
  <c r="H1018" i="5"/>
  <c r="O1018" i="5" s="1"/>
  <c r="D1018" i="5"/>
  <c r="M1018" i="5" s="1"/>
  <c r="AM1017" i="5"/>
  <c r="AJ1017" i="5"/>
  <c r="Q1017" i="5"/>
  <c r="P1017" i="5"/>
  <c r="N1017" i="5"/>
  <c r="L1017" i="5"/>
  <c r="H1017" i="5"/>
  <c r="O1017" i="5" s="1"/>
  <c r="D1017" i="5"/>
  <c r="M1017" i="5" s="1"/>
  <c r="AM1016" i="5"/>
  <c r="AJ1016" i="5"/>
  <c r="Q1016" i="5"/>
  <c r="P1016" i="5"/>
  <c r="N1016" i="5"/>
  <c r="L1016" i="5"/>
  <c r="H1016" i="5"/>
  <c r="O1016" i="5" s="1"/>
  <c r="D1016" i="5"/>
  <c r="M1016" i="5" s="1"/>
  <c r="AM1015" i="5"/>
  <c r="AJ1015" i="5"/>
  <c r="Q1015" i="5"/>
  <c r="P1015" i="5"/>
  <c r="N1015" i="5"/>
  <c r="L1015" i="5"/>
  <c r="H1015" i="5"/>
  <c r="O1015" i="5" s="1"/>
  <c r="D1015" i="5"/>
  <c r="M1015" i="5" s="1"/>
  <c r="AM1014" i="5"/>
  <c r="AJ1014" i="5"/>
  <c r="Q1014" i="5"/>
  <c r="P1014" i="5"/>
  <c r="N1014" i="5"/>
  <c r="L1014" i="5"/>
  <c r="H1014" i="5"/>
  <c r="O1014" i="5" s="1"/>
  <c r="D1014" i="5"/>
  <c r="M1014" i="5" s="1"/>
  <c r="AM1013" i="5"/>
  <c r="AJ1013" i="5"/>
  <c r="Q1013" i="5"/>
  <c r="P1013" i="5"/>
  <c r="N1013" i="5"/>
  <c r="L1013" i="5"/>
  <c r="H1013" i="5"/>
  <c r="O1013" i="5" s="1"/>
  <c r="D1013" i="5"/>
  <c r="M1013" i="5" s="1"/>
  <c r="AM1012" i="5"/>
  <c r="AJ1012" i="5"/>
  <c r="Q1012" i="5"/>
  <c r="P1012" i="5"/>
  <c r="N1012" i="5"/>
  <c r="L1012" i="5"/>
  <c r="H1012" i="5"/>
  <c r="O1012" i="5" s="1"/>
  <c r="D1012" i="5"/>
  <c r="M1012" i="5" s="1"/>
  <c r="AM1011" i="5"/>
  <c r="AJ1011" i="5"/>
  <c r="Q1011" i="5"/>
  <c r="P1011" i="5"/>
  <c r="N1011" i="5"/>
  <c r="L1011" i="5"/>
  <c r="H1011" i="5"/>
  <c r="O1011" i="5" s="1"/>
  <c r="D1011" i="5"/>
  <c r="M1011" i="5" s="1"/>
  <c r="AM1010" i="5"/>
  <c r="AJ1010" i="5"/>
  <c r="Q1010" i="5"/>
  <c r="P1010" i="5"/>
  <c r="N1010" i="5"/>
  <c r="L1010" i="5"/>
  <c r="H1010" i="5"/>
  <c r="O1010" i="5" s="1"/>
  <c r="D1010" i="5"/>
  <c r="M1010" i="5" s="1"/>
  <c r="AM1009" i="5"/>
  <c r="AJ1009" i="5"/>
  <c r="Q1009" i="5"/>
  <c r="P1009" i="5"/>
  <c r="N1009" i="5"/>
  <c r="L1009" i="5"/>
  <c r="H1009" i="5"/>
  <c r="O1009" i="5" s="1"/>
  <c r="D1009" i="5"/>
  <c r="M1009" i="5" s="1"/>
  <c r="AM1008" i="5"/>
  <c r="AJ1008" i="5"/>
  <c r="Q1008" i="5"/>
  <c r="P1008" i="5"/>
  <c r="N1008" i="5"/>
  <c r="L1008" i="5"/>
  <c r="H1008" i="5"/>
  <c r="O1008" i="5" s="1"/>
  <c r="D1008" i="5"/>
  <c r="M1008" i="5" s="1"/>
  <c r="AM1007" i="5"/>
  <c r="AJ1007" i="5"/>
  <c r="Q1007" i="5"/>
  <c r="P1007" i="5"/>
  <c r="N1007" i="5"/>
  <c r="L1007" i="5"/>
  <c r="H1007" i="5"/>
  <c r="O1007" i="5" s="1"/>
  <c r="D1007" i="5"/>
  <c r="M1007" i="5" s="1"/>
  <c r="AM1006" i="5"/>
  <c r="AJ1006" i="5"/>
  <c r="Q1006" i="5"/>
  <c r="P1006" i="5"/>
  <c r="N1006" i="5"/>
  <c r="L1006" i="5"/>
  <c r="H1006" i="5"/>
  <c r="O1006" i="5" s="1"/>
  <c r="D1006" i="5"/>
  <c r="M1006" i="5" s="1"/>
  <c r="AM1005" i="5"/>
  <c r="AJ1005" i="5"/>
  <c r="Q1005" i="5"/>
  <c r="P1005" i="5"/>
  <c r="N1005" i="5"/>
  <c r="L1005" i="5"/>
  <c r="H1005" i="5"/>
  <c r="O1005" i="5" s="1"/>
  <c r="D1005" i="5"/>
  <c r="M1005" i="5" s="1"/>
  <c r="AM1004" i="5"/>
  <c r="AJ1004" i="5"/>
  <c r="Q1004" i="5"/>
  <c r="P1004" i="5"/>
  <c r="N1004" i="5"/>
  <c r="L1004" i="5"/>
  <c r="H1004" i="5"/>
  <c r="O1004" i="5" s="1"/>
  <c r="D1004" i="5"/>
  <c r="M1004" i="5" s="1"/>
  <c r="AM1003" i="5"/>
  <c r="AJ1003" i="5"/>
  <c r="Q1003" i="5"/>
  <c r="P1003" i="5"/>
  <c r="N1003" i="5"/>
  <c r="L1003" i="5"/>
  <c r="H1003" i="5"/>
  <c r="O1003" i="5" s="1"/>
  <c r="D1003" i="5"/>
  <c r="M1003" i="5" s="1"/>
  <c r="AM1002" i="5"/>
  <c r="AJ1002" i="5"/>
  <c r="Q1002" i="5"/>
  <c r="P1002" i="5"/>
  <c r="N1002" i="5"/>
  <c r="L1002" i="5"/>
  <c r="H1002" i="5"/>
  <c r="O1002" i="5" s="1"/>
  <c r="D1002" i="5"/>
  <c r="M1002" i="5" s="1"/>
  <c r="AM1001" i="5"/>
  <c r="AJ1001" i="5"/>
  <c r="Q1001" i="5"/>
  <c r="P1001" i="5"/>
  <c r="N1001" i="5"/>
  <c r="L1001" i="5"/>
  <c r="H1001" i="5"/>
  <c r="O1001" i="5" s="1"/>
  <c r="D1001" i="5"/>
  <c r="M1001" i="5" s="1"/>
  <c r="AM1000" i="5"/>
  <c r="AJ1000" i="5"/>
  <c r="Q1000" i="5"/>
  <c r="P1000" i="5"/>
  <c r="N1000" i="5"/>
  <c r="L1000" i="5"/>
  <c r="H1000" i="5"/>
  <c r="O1000" i="5" s="1"/>
  <c r="D1000" i="5"/>
  <c r="M1000" i="5" s="1"/>
  <c r="AM999" i="5"/>
  <c r="AJ999" i="5"/>
  <c r="Q999" i="5"/>
  <c r="P999" i="5"/>
  <c r="N999" i="5"/>
  <c r="L999" i="5"/>
  <c r="H999" i="5"/>
  <c r="O999" i="5" s="1"/>
  <c r="D999" i="5"/>
  <c r="M999" i="5" s="1"/>
  <c r="AM998" i="5"/>
  <c r="AJ998" i="5"/>
  <c r="Q998" i="5"/>
  <c r="P998" i="5"/>
  <c r="N998" i="5"/>
  <c r="L998" i="5"/>
  <c r="H998" i="5"/>
  <c r="O998" i="5" s="1"/>
  <c r="D998" i="5"/>
  <c r="M998" i="5" s="1"/>
  <c r="AM997" i="5"/>
  <c r="AJ997" i="5"/>
  <c r="Q997" i="5"/>
  <c r="P997" i="5"/>
  <c r="N997" i="5"/>
  <c r="L997" i="5"/>
  <c r="H997" i="5"/>
  <c r="O997" i="5" s="1"/>
  <c r="D997" i="5"/>
  <c r="M997" i="5" s="1"/>
  <c r="AM996" i="5"/>
  <c r="AJ996" i="5"/>
  <c r="Q996" i="5"/>
  <c r="P996" i="5"/>
  <c r="N996" i="5"/>
  <c r="L996" i="5"/>
  <c r="H996" i="5"/>
  <c r="O996" i="5" s="1"/>
  <c r="D996" i="5"/>
  <c r="M996" i="5" s="1"/>
  <c r="AM995" i="5"/>
  <c r="AJ995" i="5"/>
  <c r="Q995" i="5"/>
  <c r="P995" i="5"/>
  <c r="N995" i="5"/>
  <c r="L995" i="5"/>
  <c r="H995" i="5"/>
  <c r="O995" i="5" s="1"/>
  <c r="D995" i="5"/>
  <c r="M995" i="5" s="1"/>
  <c r="AM994" i="5"/>
  <c r="AJ994" i="5"/>
  <c r="Q994" i="5"/>
  <c r="P994" i="5"/>
  <c r="N994" i="5"/>
  <c r="L994" i="5"/>
  <c r="H994" i="5"/>
  <c r="O994" i="5" s="1"/>
  <c r="D994" i="5"/>
  <c r="M994" i="5" s="1"/>
  <c r="AM993" i="5"/>
  <c r="AJ993" i="5"/>
  <c r="Q993" i="5"/>
  <c r="P993" i="5"/>
  <c r="N993" i="5"/>
  <c r="L993" i="5"/>
  <c r="H993" i="5"/>
  <c r="O993" i="5" s="1"/>
  <c r="D993" i="5"/>
  <c r="M993" i="5" s="1"/>
  <c r="AM992" i="5"/>
  <c r="AJ992" i="5"/>
  <c r="Q992" i="5"/>
  <c r="P992" i="5"/>
  <c r="N992" i="5"/>
  <c r="L992" i="5"/>
  <c r="H992" i="5"/>
  <c r="O992" i="5" s="1"/>
  <c r="D992" i="5"/>
  <c r="M992" i="5" s="1"/>
  <c r="AM991" i="5"/>
  <c r="AJ991" i="5"/>
  <c r="Q991" i="5"/>
  <c r="P991" i="5"/>
  <c r="N991" i="5"/>
  <c r="L991" i="5"/>
  <c r="H991" i="5"/>
  <c r="O991" i="5" s="1"/>
  <c r="D991" i="5"/>
  <c r="M991" i="5" s="1"/>
  <c r="AM990" i="5"/>
  <c r="AJ990" i="5"/>
  <c r="Q990" i="5"/>
  <c r="P990" i="5"/>
  <c r="N990" i="5"/>
  <c r="L990" i="5"/>
  <c r="H990" i="5"/>
  <c r="O990" i="5" s="1"/>
  <c r="D990" i="5"/>
  <c r="M990" i="5" s="1"/>
  <c r="AM989" i="5"/>
  <c r="AJ989" i="5"/>
  <c r="Q989" i="5"/>
  <c r="P989" i="5"/>
  <c r="N989" i="5"/>
  <c r="L989" i="5"/>
  <c r="H989" i="5"/>
  <c r="O989" i="5" s="1"/>
  <c r="D989" i="5"/>
  <c r="M989" i="5" s="1"/>
  <c r="AM988" i="5"/>
  <c r="AJ988" i="5"/>
  <c r="Q988" i="5"/>
  <c r="P988" i="5"/>
  <c r="N988" i="5"/>
  <c r="L988" i="5"/>
  <c r="H988" i="5"/>
  <c r="O988" i="5" s="1"/>
  <c r="D988" i="5"/>
  <c r="M988" i="5" s="1"/>
  <c r="AM987" i="5"/>
  <c r="AJ987" i="5"/>
  <c r="Q987" i="5"/>
  <c r="P987" i="5"/>
  <c r="N987" i="5"/>
  <c r="L987" i="5"/>
  <c r="H987" i="5"/>
  <c r="O987" i="5" s="1"/>
  <c r="D987" i="5"/>
  <c r="M987" i="5" s="1"/>
  <c r="AM986" i="5"/>
  <c r="AJ986" i="5"/>
  <c r="Q986" i="5"/>
  <c r="P986" i="5"/>
  <c r="N986" i="5"/>
  <c r="L986" i="5"/>
  <c r="H986" i="5"/>
  <c r="O986" i="5" s="1"/>
  <c r="D986" i="5"/>
  <c r="M986" i="5" s="1"/>
  <c r="AM985" i="5"/>
  <c r="AJ985" i="5"/>
  <c r="Q985" i="5"/>
  <c r="P985" i="5"/>
  <c r="N985" i="5"/>
  <c r="L985" i="5"/>
  <c r="H985" i="5"/>
  <c r="O985" i="5" s="1"/>
  <c r="D985" i="5"/>
  <c r="M985" i="5" s="1"/>
  <c r="AM984" i="5"/>
  <c r="AJ984" i="5"/>
  <c r="Q984" i="5"/>
  <c r="P984" i="5"/>
  <c r="N984" i="5"/>
  <c r="L984" i="5"/>
  <c r="H984" i="5"/>
  <c r="O984" i="5" s="1"/>
  <c r="D984" i="5"/>
  <c r="M984" i="5" s="1"/>
  <c r="AM983" i="5"/>
  <c r="AJ983" i="5"/>
  <c r="Q983" i="5"/>
  <c r="P983" i="5"/>
  <c r="N983" i="5"/>
  <c r="L983" i="5"/>
  <c r="H983" i="5"/>
  <c r="O983" i="5" s="1"/>
  <c r="D983" i="5"/>
  <c r="M983" i="5" s="1"/>
  <c r="AM982" i="5"/>
  <c r="AJ982" i="5"/>
  <c r="Q982" i="5"/>
  <c r="P982" i="5"/>
  <c r="N982" i="5"/>
  <c r="L982" i="5"/>
  <c r="H982" i="5"/>
  <c r="O982" i="5" s="1"/>
  <c r="D982" i="5"/>
  <c r="M982" i="5" s="1"/>
  <c r="AM981" i="5"/>
  <c r="AJ981" i="5"/>
  <c r="Q981" i="5"/>
  <c r="P981" i="5"/>
  <c r="N981" i="5"/>
  <c r="L981" i="5"/>
  <c r="H981" i="5"/>
  <c r="O981" i="5" s="1"/>
  <c r="D981" i="5"/>
  <c r="M981" i="5" s="1"/>
  <c r="AM980" i="5"/>
  <c r="AJ980" i="5"/>
  <c r="Q980" i="5"/>
  <c r="P980" i="5"/>
  <c r="N980" i="5"/>
  <c r="L980" i="5"/>
  <c r="H980" i="5"/>
  <c r="O980" i="5" s="1"/>
  <c r="D980" i="5"/>
  <c r="M980" i="5" s="1"/>
  <c r="AM979" i="5"/>
  <c r="AJ979" i="5"/>
  <c r="Q979" i="5"/>
  <c r="P979" i="5"/>
  <c r="N979" i="5"/>
  <c r="L979" i="5"/>
  <c r="H979" i="5"/>
  <c r="O979" i="5" s="1"/>
  <c r="D979" i="5"/>
  <c r="M979" i="5" s="1"/>
  <c r="AM978" i="5"/>
  <c r="AJ978" i="5"/>
  <c r="Q978" i="5"/>
  <c r="P978" i="5"/>
  <c r="N978" i="5"/>
  <c r="L978" i="5"/>
  <c r="H978" i="5"/>
  <c r="O978" i="5" s="1"/>
  <c r="D978" i="5"/>
  <c r="M978" i="5" s="1"/>
  <c r="AM977" i="5"/>
  <c r="AJ977" i="5"/>
  <c r="Q977" i="5"/>
  <c r="P977" i="5"/>
  <c r="N977" i="5"/>
  <c r="L977" i="5"/>
  <c r="H977" i="5"/>
  <c r="O977" i="5" s="1"/>
  <c r="D977" i="5"/>
  <c r="M977" i="5" s="1"/>
  <c r="AM976" i="5"/>
  <c r="AJ976" i="5"/>
  <c r="Q976" i="5"/>
  <c r="P976" i="5"/>
  <c r="N976" i="5"/>
  <c r="L976" i="5"/>
  <c r="H976" i="5"/>
  <c r="O976" i="5" s="1"/>
  <c r="D976" i="5"/>
  <c r="M976" i="5" s="1"/>
  <c r="AM975" i="5"/>
  <c r="AJ975" i="5"/>
  <c r="Q975" i="5"/>
  <c r="P975" i="5"/>
  <c r="N975" i="5"/>
  <c r="L975" i="5"/>
  <c r="H975" i="5"/>
  <c r="O975" i="5" s="1"/>
  <c r="D975" i="5"/>
  <c r="M975" i="5" s="1"/>
  <c r="AM974" i="5"/>
  <c r="AJ974" i="5"/>
  <c r="Q974" i="5"/>
  <c r="P974" i="5"/>
  <c r="N974" i="5"/>
  <c r="L974" i="5"/>
  <c r="H974" i="5"/>
  <c r="O974" i="5" s="1"/>
  <c r="D974" i="5"/>
  <c r="M974" i="5" s="1"/>
  <c r="AM973" i="5"/>
  <c r="AJ973" i="5"/>
  <c r="Q973" i="5"/>
  <c r="P973" i="5"/>
  <c r="N973" i="5"/>
  <c r="L973" i="5"/>
  <c r="H973" i="5"/>
  <c r="O973" i="5" s="1"/>
  <c r="D973" i="5"/>
  <c r="M973" i="5" s="1"/>
  <c r="AM972" i="5"/>
  <c r="AJ972" i="5"/>
  <c r="Q972" i="5"/>
  <c r="P972" i="5"/>
  <c r="N972" i="5"/>
  <c r="L972" i="5"/>
  <c r="H972" i="5"/>
  <c r="O972" i="5" s="1"/>
  <c r="D972" i="5"/>
  <c r="M972" i="5" s="1"/>
  <c r="AM971" i="5"/>
  <c r="AJ971" i="5"/>
  <c r="Q971" i="5"/>
  <c r="P971" i="5"/>
  <c r="N971" i="5"/>
  <c r="L971" i="5"/>
  <c r="H971" i="5"/>
  <c r="O971" i="5" s="1"/>
  <c r="D971" i="5"/>
  <c r="M971" i="5" s="1"/>
  <c r="AM970" i="5"/>
  <c r="AJ970" i="5"/>
  <c r="Q970" i="5"/>
  <c r="P970" i="5"/>
  <c r="N970" i="5"/>
  <c r="L970" i="5"/>
  <c r="H970" i="5"/>
  <c r="O970" i="5" s="1"/>
  <c r="D970" i="5"/>
  <c r="M970" i="5" s="1"/>
  <c r="AM969" i="5"/>
  <c r="AJ969" i="5"/>
  <c r="Q969" i="5"/>
  <c r="P969" i="5"/>
  <c r="N969" i="5"/>
  <c r="L969" i="5"/>
  <c r="H969" i="5"/>
  <c r="O969" i="5" s="1"/>
  <c r="D969" i="5"/>
  <c r="M969" i="5" s="1"/>
  <c r="AM968" i="5"/>
  <c r="AJ968" i="5"/>
  <c r="Q968" i="5"/>
  <c r="P968" i="5"/>
  <c r="N968" i="5"/>
  <c r="L968" i="5"/>
  <c r="H968" i="5"/>
  <c r="O968" i="5" s="1"/>
  <c r="D968" i="5"/>
  <c r="M968" i="5" s="1"/>
  <c r="AM967" i="5"/>
  <c r="AJ967" i="5"/>
  <c r="Q967" i="5"/>
  <c r="P967" i="5"/>
  <c r="N967" i="5"/>
  <c r="L967" i="5"/>
  <c r="H967" i="5"/>
  <c r="O967" i="5" s="1"/>
  <c r="D967" i="5"/>
  <c r="M967" i="5" s="1"/>
  <c r="AM966" i="5"/>
  <c r="AJ966" i="5"/>
  <c r="Q966" i="5"/>
  <c r="P966" i="5"/>
  <c r="N966" i="5"/>
  <c r="L966" i="5"/>
  <c r="H966" i="5"/>
  <c r="O966" i="5" s="1"/>
  <c r="D966" i="5"/>
  <c r="M966" i="5" s="1"/>
  <c r="AM965" i="5"/>
  <c r="AJ965" i="5"/>
  <c r="Q965" i="5"/>
  <c r="P965" i="5"/>
  <c r="N965" i="5"/>
  <c r="L965" i="5"/>
  <c r="H965" i="5"/>
  <c r="O965" i="5" s="1"/>
  <c r="D965" i="5"/>
  <c r="M965" i="5" s="1"/>
  <c r="AM964" i="5"/>
  <c r="AJ964" i="5"/>
  <c r="Q964" i="5"/>
  <c r="P964" i="5"/>
  <c r="N964" i="5"/>
  <c r="L964" i="5"/>
  <c r="H964" i="5"/>
  <c r="O964" i="5" s="1"/>
  <c r="D964" i="5"/>
  <c r="M964" i="5" s="1"/>
  <c r="AM963" i="5"/>
  <c r="AJ963" i="5"/>
  <c r="Q963" i="5"/>
  <c r="P963" i="5"/>
  <c r="N963" i="5"/>
  <c r="L963" i="5"/>
  <c r="H963" i="5"/>
  <c r="O963" i="5" s="1"/>
  <c r="D963" i="5"/>
  <c r="M963" i="5" s="1"/>
  <c r="AM962" i="5"/>
  <c r="AJ962" i="5"/>
  <c r="Q962" i="5"/>
  <c r="P962" i="5"/>
  <c r="N962" i="5"/>
  <c r="L962" i="5"/>
  <c r="H962" i="5"/>
  <c r="O962" i="5" s="1"/>
  <c r="D962" i="5"/>
  <c r="M962" i="5" s="1"/>
  <c r="AM961" i="5"/>
  <c r="AJ961" i="5"/>
  <c r="Q961" i="5"/>
  <c r="P961" i="5"/>
  <c r="N961" i="5"/>
  <c r="L961" i="5"/>
  <c r="H961" i="5"/>
  <c r="O961" i="5" s="1"/>
  <c r="D961" i="5"/>
  <c r="M961" i="5" s="1"/>
  <c r="AM960" i="5"/>
  <c r="AJ960" i="5"/>
  <c r="Q960" i="5"/>
  <c r="P960" i="5"/>
  <c r="N960" i="5"/>
  <c r="L960" i="5"/>
  <c r="H960" i="5"/>
  <c r="O960" i="5" s="1"/>
  <c r="D960" i="5"/>
  <c r="M960" i="5" s="1"/>
  <c r="AM959" i="5"/>
  <c r="AJ959" i="5"/>
  <c r="Q959" i="5"/>
  <c r="P959" i="5"/>
  <c r="N959" i="5"/>
  <c r="L959" i="5"/>
  <c r="H959" i="5"/>
  <c r="O959" i="5" s="1"/>
  <c r="D959" i="5"/>
  <c r="M959" i="5" s="1"/>
  <c r="AM958" i="5"/>
  <c r="AJ958" i="5"/>
  <c r="Q958" i="5"/>
  <c r="P958" i="5"/>
  <c r="N958" i="5"/>
  <c r="L958" i="5"/>
  <c r="H958" i="5"/>
  <c r="O958" i="5" s="1"/>
  <c r="D958" i="5"/>
  <c r="M958" i="5" s="1"/>
  <c r="AM957" i="5"/>
  <c r="AJ957" i="5"/>
  <c r="Q957" i="5"/>
  <c r="P957" i="5"/>
  <c r="N957" i="5"/>
  <c r="L957" i="5"/>
  <c r="H957" i="5"/>
  <c r="O957" i="5" s="1"/>
  <c r="D957" i="5"/>
  <c r="M957" i="5" s="1"/>
  <c r="AM956" i="5"/>
  <c r="AJ956" i="5"/>
  <c r="Q956" i="5"/>
  <c r="P956" i="5"/>
  <c r="N956" i="5"/>
  <c r="L956" i="5"/>
  <c r="H956" i="5"/>
  <c r="O956" i="5" s="1"/>
  <c r="D956" i="5"/>
  <c r="M956" i="5" s="1"/>
  <c r="AM955" i="5"/>
  <c r="AJ955" i="5"/>
  <c r="Q955" i="5"/>
  <c r="P955" i="5"/>
  <c r="N955" i="5"/>
  <c r="L955" i="5"/>
  <c r="H955" i="5"/>
  <c r="O955" i="5" s="1"/>
  <c r="D955" i="5"/>
  <c r="M955" i="5" s="1"/>
  <c r="AM954" i="5"/>
  <c r="AJ954" i="5"/>
  <c r="Q954" i="5"/>
  <c r="P954" i="5"/>
  <c r="N954" i="5"/>
  <c r="L954" i="5"/>
  <c r="H954" i="5"/>
  <c r="O954" i="5" s="1"/>
  <c r="D954" i="5"/>
  <c r="M954" i="5" s="1"/>
  <c r="AN953" i="5"/>
  <c r="AM953" i="5"/>
  <c r="AJ953" i="5"/>
  <c r="Q953" i="5"/>
  <c r="P953" i="5"/>
  <c r="N953" i="5"/>
  <c r="L953" i="5"/>
  <c r="H953" i="5"/>
  <c r="O953" i="5" s="1"/>
  <c r="D953" i="5"/>
  <c r="M953" i="5" s="1"/>
  <c r="AN952" i="5"/>
  <c r="AM952" i="5"/>
  <c r="AJ952" i="5"/>
  <c r="Q952" i="5"/>
  <c r="P952" i="5"/>
  <c r="N952" i="5"/>
  <c r="L952" i="5"/>
  <c r="H952" i="5"/>
  <c r="O952" i="5" s="1"/>
  <c r="D952" i="5"/>
  <c r="M952" i="5" s="1"/>
  <c r="AN951" i="5"/>
  <c r="AM951" i="5"/>
  <c r="AJ951" i="5"/>
  <c r="Q951" i="5"/>
  <c r="P951" i="5"/>
  <c r="N951" i="5"/>
  <c r="L951" i="5"/>
  <c r="H951" i="5"/>
  <c r="O951" i="5" s="1"/>
  <c r="D951" i="5"/>
  <c r="M951" i="5" s="1"/>
  <c r="AN950" i="5"/>
  <c r="AM950" i="5"/>
  <c r="AJ950" i="5"/>
  <c r="Q950" i="5"/>
  <c r="P950" i="5"/>
  <c r="N950" i="5"/>
  <c r="L950" i="5"/>
  <c r="H950" i="5"/>
  <c r="O950" i="5" s="1"/>
  <c r="D950" i="5"/>
  <c r="M950" i="5" s="1"/>
  <c r="AN949" i="5"/>
  <c r="AM949" i="5"/>
  <c r="AJ949" i="5"/>
  <c r="Q949" i="5"/>
  <c r="P949" i="5"/>
  <c r="N949" i="5"/>
  <c r="L949" i="5"/>
  <c r="H949" i="5"/>
  <c r="O949" i="5" s="1"/>
  <c r="D949" i="5"/>
  <c r="M949" i="5" s="1"/>
  <c r="AN948" i="5"/>
  <c r="AM948" i="5"/>
  <c r="AJ948" i="5"/>
  <c r="Q948" i="5"/>
  <c r="P948" i="5"/>
  <c r="N948" i="5"/>
  <c r="L948" i="5"/>
  <c r="H948" i="5"/>
  <c r="O948" i="5" s="1"/>
  <c r="D948" i="5"/>
  <c r="M948" i="5" s="1"/>
  <c r="AN947" i="5"/>
  <c r="AM947" i="5"/>
  <c r="AJ947" i="5"/>
  <c r="Q947" i="5"/>
  <c r="P947" i="5"/>
  <c r="N947" i="5"/>
  <c r="L947" i="5"/>
  <c r="H947" i="5"/>
  <c r="O947" i="5" s="1"/>
  <c r="D947" i="5"/>
  <c r="M947" i="5" s="1"/>
  <c r="AN946" i="5"/>
  <c r="AM946" i="5"/>
  <c r="AJ946" i="5"/>
  <c r="Q946" i="5"/>
  <c r="P946" i="5"/>
  <c r="N946" i="5"/>
  <c r="L946" i="5"/>
  <c r="H946" i="5"/>
  <c r="O946" i="5" s="1"/>
  <c r="D946" i="5"/>
  <c r="M946" i="5" s="1"/>
  <c r="AN945" i="5"/>
  <c r="AM945" i="5"/>
  <c r="AJ945" i="5"/>
  <c r="Q945" i="5"/>
  <c r="P945" i="5"/>
  <c r="N945" i="5"/>
  <c r="L945" i="5"/>
  <c r="H945" i="5"/>
  <c r="O945" i="5" s="1"/>
  <c r="D945" i="5"/>
  <c r="M945" i="5" s="1"/>
  <c r="AN944" i="5"/>
  <c r="AM944" i="5"/>
  <c r="AJ944" i="5"/>
  <c r="Q944" i="5"/>
  <c r="P944" i="5"/>
  <c r="N944" i="5"/>
  <c r="L944" i="5"/>
  <c r="H944" i="5"/>
  <c r="O944" i="5" s="1"/>
  <c r="D944" i="5"/>
  <c r="M944" i="5" s="1"/>
  <c r="AN943" i="5"/>
  <c r="AM943" i="5"/>
  <c r="AJ943" i="5"/>
  <c r="Q943" i="5"/>
  <c r="P943" i="5"/>
  <c r="N943" i="5"/>
  <c r="L943" i="5"/>
  <c r="H943" i="5"/>
  <c r="O943" i="5" s="1"/>
  <c r="D943" i="5"/>
  <c r="M943" i="5" s="1"/>
  <c r="AN942" i="5"/>
  <c r="AM942" i="5"/>
  <c r="AJ942" i="5"/>
  <c r="Q942" i="5"/>
  <c r="P942" i="5"/>
  <c r="N942" i="5"/>
  <c r="L942" i="5"/>
  <c r="H942" i="5"/>
  <c r="O942" i="5" s="1"/>
  <c r="D942" i="5"/>
  <c r="M942" i="5" s="1"/>
  <c r="AN941" i="5"/>
  <c r="AM941" i="5"/>
  <c r="AJ941" i="5"/>
  <c r="Q941" i="5"/>
  <c r="P941" i="5"/>
  <c r="N941" i="5"/>
  <c r="L941" i="5"/>
  <c r="H941" i="5"/>
  <c r="O941" i="5" s="1"/>
  <c r="D941" i="5"/>
  <c r="M941" i="5" s="1"/>
  <c r="AN940" i="5"/>
  <c r="AM940" i="5"/>
  <c r="AJ940" i="5"/>
  <c r="Q940" i="5"/>
  <c r="P940" i="5"/>
  <c r="N940" i="5"/>
  <c r="L940" i="5"/>
  <c r="H940" i="5"/>
  <c r="O940" i="5" s="1"/>
  <c r="D940" i="5"/>
  <c r="M940" i="5" s="1"/>
  <c r="AN939" i="5"/>
  <c r="AM939" i="5"/>
  <c r="AJ939" i="5"/>
  <c r="Q939" i="5"/>
  <c r="P939" i="5"/>
  <c r="N939" i="5"/>
  <c r="L939" i="5"/>
  <c r="H939" i="5"/>
  <c r="O939" i="5" s="1"/>
  <c r="D939" i="5"/>
  <c r="M939" i="5" s="1"/>
  <c r="AN938" i="5"/>
  <c r="AM938" i="5"/>
  <c r="AJ938" i="5"/>
  <c r="Q938" i="5"/>
  <c r="P938" i="5"/>
  <c r="N938" i="5"/>
  <c r="L938" i="5"/>
  <c r="H938" i="5"/>
  <c r="O938" i="5" s="1"/>
  <c r="D938" i="5"/>
  <c r="M938" i="5" s="1"/>
  <c r="AN937" i="5"/>
  <c r="AM937" i="5"/>
  <c r="AJ937" i="5"/>
  <c r="Q937" i="5"/>
  <c r="P937" i="5"/>
  <c r="N937" i="5"/>
  <c r="L937" i="5"/>
  <c r="H937" i="5"/>
  <c r="O937" i="5" s="1"/>
  <c r="D937" i="5"/>
  <c r="M937" i="5" s="1"/>
  <c r="AN936" i="5"/>
  <c r="AM936" i="5"/>
  <c r="AJ936" i="5"/>
  <c r="Q936" i="5"/>
  <c r="P936" i="5"/>
  <c r="N936" i="5"/>
  <c r="L936" i="5"/>
  <c r="H936" i="5"/>
  <c r="O936" i="5" s="1"/>
  <c r="D936" i="5"/>
  <c r="M936" i="5" s="1"/>
  <c r="AN935" i="5"/>
  <c r="AM935" i="5"/>
  <c r="AJ935" i="5"/>
  <c r="Q935" i="5"/>
  <c r="P935" i="5"/>
  <c r="N935" i="5"/>
  <c r="L935" i="5"/>
  <c r="H935" i="5"/>
  <c r="O935" i="5" s="1"/>
  <c r="D935" i="5"/>
  <c r="M935" i="5" s="1"/>
  <c r="AN934" i="5"/>
  <c r="AM934" i="5"/>
  <c r="AJ934" i="5"/>
  <c r="Q934" i="5"/>
  <c r="P934" i="5"/>
  <c r="N934" i="5"/>
  <c r="L934" i="5"/>
  <c r="H934" i="5"/>
  <c r="O934" i="5" s="1"/>
  <c r="D934" i="5"/>
  <c r="M934" i="5" s="1"/>
  <c r="AN933" i="5"/>
  <c r="AM933" i="5"/>
  <c r="AJ933" i="5"/>
  <c r="Q933" i="5"/>
  <c r="P933" i="5"/>
  <c r="N933" i="5"/>
  <c r="L933" i="5"/>
  <c r="H933" i="5"/>
  <c r="O933" i="5" s="1"/>
  <c r="D933" i="5"/>
  <c r="M933" i="5" s="1"/>
  <c r="AN932" i="5"/>
  <c r="AM932" i="5"/>
  <c r="AJ932" i="5"/>
  <c r="Q932" i="5"/>
  <c r="P932" i="5"/>
  <c r="N932" i="5"/>
  <c r="L932" i="5"/>
  <c r="H932" i="5"/>
  <c r="O932" i="5" s="1"/>
  <c r="D932" i="5"/>
  <c r="M932" i="5" s="1"/>
  <c r="AN931" i="5"/>
  <c r="AM931" i="5"/>
  <c r="AJ931" i="5"/>
  <c r="Q931" i="5"/>
  <c r="P931" i="5"/>
  <c r="N931" i="5"/>
  <c r="L931" i="5"/>
  <c r="H931" i="5"/>
  <c r="O931" i="5" s="1"/>
  <c r="D931" i="5"/>
  <c r="M931" i="5" s="1"/>
  <c r="AN930" i="5"/>
  <c r="AM930" i="5"/>
  <c r="AJ930" i="5"/>
  <c r="Q930" i="5"/>
  <c r="P930" i="5"/>
  <c r="N930" i="5"/>
  <c r="L930" i="5"/>
  <c r="H930" i="5"/>
  <c r="O930" i="5" s="1"/>
  <c r="D930" i="5"/>
  <c r="M930" i="5" s="1"/>
  <c r="AN929" i="5"/>
  <c r="AM929" i="5"/>
  <c r="AJ929" i="5"/>
  <c r="Q929" i="5"/>
  <c r="P929" i="5"/>
  <c r="N929" i="5"/>
  <c r="L929" i="5"/>
  <c r="H929" i="5"/>
  <c r="O929" i="5" s="1"/>
  <c r="D929" i="5"/>
  <c r="M929" i="5" s="1"/>
  <c r="AN928" i="5"/>
  <c r="AM928" i="5"/>
  <c r="AJ928" i="5"/>
  <c r="Q928" i="5"/>
  <c r="P928" i="5"/>
  <c r="N928" i="5"/>
  <c r="L928" i="5"/>
  <c r="H928" i="5"/>
  <c r="O928" i="5" s="1"/>
  <c r="D928" i="5"/>
  <c r="M928" i="5" s="1"/>
  <c r="AN927" i="5"/>
  <c r="AM927" i="5"/>
  <c r="AJ927" i="5"/>
  <c r="Q927" i="5"/>
  <c r="P927" i="5"/>
  <c r="N927" i="5"/>
  <c r="L927" i="5"/>
  <c r="H927" i="5"/>
  <c r="O927" i="5" s="1"/>
  <c r="D927" i="5"/>
  <c r="M927" i="5" s="1"/>
  <c r="AN926" i="5"/>
  <c r="AM926" i="5"/>
  <c r="AJ926" i="5"/>
  <c r="Q926" i="5"/>
  <c r="P926" i="5"/>
  <c r="N926" i="5"/>
  <c r="L926" i="5"/>
  <c r="H926" i="5"/>
  <c r="O926" i="5" s="1"/>
  <c r="D926" i="5"/>
  <c r="M926" i="5" s="1"/>
  <c r="AN925" i="5"/>
  <c r="AM925" i="5"/>
  <c r="AJ925" i="5"/>
  <c r="Q925" i="5"/>
  <c r="P925" i="5"/>
  <c r="N925" i="5"/>
  <c r="L925" i="5"/>
  <c r="H925" i="5"/>
  <c r="O925" i="5" s="1"/>
  <c r="D925" i="5"/>
  <c r="M925" i="5" s="1"/>
  <c r="AN924" i="5"/>
  <c r="AM924" i="5"/>
  <c r="AJ924" i="5"/>
  <c r="Q924" i="5"/>
  <c r="P924" i="5"/>
  <c r="N924" i="5"/>
  <c r="L924" i="5"/>
  <c r="H924" i="5"/>
  <c r="O924" i="5" s="1"/>
  <c r="D924" i="5"/>
  <c r="M924" i="5" s="1"/>
  <c r="AN923" i="5"/>
  <c r="AM923" i="5"/>
  <c r="AJ923" i="5"/>
  <c r="Q923" i="5"/>
  <c r="P923" i="5"/>
  <c r="N923" i="5"/>
  <c r="L923" i="5"/>
  <c r="H923" i="5"/>
  <c r="O923" i="5" s="1"/>
  <c r="D923" i="5"/>
  <c r="M923" i="5" s="1"/>
  <c r="AN922" i="5"/>
  <c r="AM922" i="5"/>
  <c r="AJ922" i="5"/>
  <c r="Q922" i="5"/>
  <c r="P922" i="5"/>
  <c r="N922" i="5"/>
  <c r="L922" i="5"/>
  <c r="H922" i="5"/>
  <c r="O922" i="5" s="1"/>
  <c r="D922" i="5"/>
  <c r="M922" i="5" s="1"/>
  <c r="AN921" i="5"/>
  <c r="AM921" i="5"/>
  <c r="AJ921" i="5"/>
  <c r="Q921" i="5"/>
  <c r="P921" i="5"/>
  <c r="N921" i="5"/>
  <c r="L921" i="5"/>
  <c r="H921" i="5"/>
  <c r="O921" i="5" s="1"/>
  <c r="D921" i="5"/>
  <c r="M921" i="5" s="1"/>
  <c r="AN920" i="5"/>
  <c r="AM920" i="5"/>
  <c r="AJ920" i="5"/>
  <c r="Q920" i="5"/>
  <c r="P920" i="5"/>
  <c r="N920" i="5"/>
  <c r="L920" i="5"/>
  <c r="H920" i="5"/>
  <c r="O920" i="5" s="1"/>
  <c r="D920" i="5"/>
  <c r="M920" i="5" s="1"/>
  <c r="AN919" i="5"/>
  <c r="AM919" i="5"/>
  <c r="AJ919" i="5"/>
  <c r="Q919" i="5"/>
  <c r="P919" i="5"/>
  <c r="N919" i="5"/>
  <c r="L919" i="5"/>
  <c r="H919" i="5"/>
  <c r="O919" i="5" s="1"/>
  <c r="D919" i="5"/>
  <c r="M919" i="5" s="1"/>
  <c r="AN918" i="5"/>
  <c r="AM918" i="5"/>
  <c r="AJ918" i="5"/>
  <c r="Q918" i="5"/>
  <c r="P918" i="5"/>
  <c r="N918" i="5"/>
  <c r="L918" i="5"/>
  <c r="H918" i="5"/>
  <c r="O918" i="5" s="1"/>
  <c r="D918" i="5"/>
  <c r="M918" i="5" s="1"/>
  <c r="AN917" i="5"/>
  <c r="AM917" i="5"/>
  <c r="AJ917" i="5"/>
  <c r="Q917" i="5"/>
  <c r="P917" i="5"/>
  <c r="N917" i="5"/>
  <c r="L917" i="5"/>
  <c r="H917" i="5"/>
  <c r="O917" i="5" s="1"/>
  <c r="D917" i="5"/>
  <c r="M917" i="5" s="1"/>
  <c r="AN916" i="5"/>
  <c r="AM916" i="5"/>
  <c r="AJ916" i="5"/>
  <c r="Q916" i="5"/>
  <c r="P916" i="5"/>
  <c r="N916" i="5"/>
  <c r="L916" i="5"/>
  <c r="H916" i="5"/>
  <c r="O916" i="5" s="1"/>
  <c r="D916" i="5"/>
  <c r="M916" i="5" s="1"/>
  <c r="AN915" i="5"/>
  <c r="AM915" i="5"/>
  <c r="AJ915" i="5"/>
  <c r="Q915" i="5"/>
  <c r="P915" i="5"/>
  <c r="N915" i="5"/>
  <c r="L915" i="5"/>
  <c r="H915" i="5"/>
  <c r="O915" i="5" s="1"/>
  <c r="D915" i="5"/>
  <c r="M915" i="5" s="1"/>
  <c r="AN914" i="5"/>
  <c r="AM914" i="5"/>
  <c r="AJ914" i="5"/>
  <c r="Q914" i="5"/>
  <c r="P914" i="5"/>
  <c r="N914" i="5"/>
  <c r="L914" i="5"/>
  <c r="H914" i="5"/>
  <c r="O914" i="5" s="1"/>
  <c r="D914" i="5"/>
  <c r="M914" i="5" s="1"/>
  <c r="AN913" i="5"/>
  <c r="AM913" i="5"/>
  <c r="AJ913" i="5"/>
  <c r="Q913" i="5"/>
  <c r="P913" i="5"/>
  <c r="N913" i="5"/>
  <c r="L913" i="5"/>
  <c r="H913" i="5"/>
  <c r="O913" i="5" s="1"/>
  <c r="D913" i="5"/>
  <c r="M913" i="5" s="1"/>
  <c r="AN912" i="5"/>
  <c r="AM912" i="5"/>
  <c r="AJ912" i="5"/>
  <c r="Q912" i="5"/>
  <c r="P912" i="5"/>
  <c r="N912" i="5"/>
  <c r="L912" i="5"/>
  <c r="H912" i="5"/>
  <c r="O912" i="5" s="1"/>
  <c r="D912" i="5"/>
  <c r="M912" i="5" s="1"/>
  <c r="AN911" i="5"/>
  <c r="AM911" i="5"/>
  <c r="AJ911" i="5"/>
  <c r="Q911" i="5"/>
  <c r="P911" i="5"/>
  <c r="N911" i="5"/>
  <c r="L911" i="5"/>
  <c r="H911" i="5"/>
  <c r="O911" i="5" s="1"/>
  <c r="D911" i="5"/>
  <c r="M911" i="5" s="1"/>
  <c r="AN910" i="5"/>
  <c r="AM910" i="5"/>
  <c r="AJ910" i="5"/>
  <c r="Q910" i="5"/>
  <c r="P910" i="5"/>
  <c r="N910" i="5"/>
  <c r="L910" i="5"/>
  <c r="H910" i="5"/>
  <c r="O910" i="5" s="1"/>
  <c r="D910" i="5"/>
  <c r="M910" i="5" s="1"/>
  <c r="AN909" i="5"/>
  <c r="AM909" i="5"/>
  <c r="AJ909" i="5"/>
  <c r="Q909" i="5"/>
  <c r="P909" i="5"/>
  <c r="N909" i="5"/>
  <c r="L909" i="5"/>
  <c r="H909" i="5"/>
  <c r="O909" i="5" s="1"/>
  <c r="D909" i="5"/>
  <c r="M909" i="5" s="1"/>
  <c r="AN908" i="5"/>
  <c r="AM908" i="5"/>
  <c r="AJ908" i="5"/>
  <c r="Q908" i="5"/>
  <c r="P908" i="5"/>
  <c r="N908" i="5"/>
  <c r="L908" i="5"/>
  <c r="H908" i="5"/>
  <c r="O908" i="5" s="1"/>
  <c r="D908" i="5"/>
  <c r="M908" i="5" s="1"/>
  <c r="AN907" i="5"/>
  <c r="AM907" i="5"/>
  <c r="AJ907" i="5"/>
  <c r="Q907" i="5"/>
  <c r="P907" i="5"/>
  <c r="N907" i="5"/>
  <c r="L907" i="5"/>
  <c r="H907" i="5"/>
  <c r="O907" i="5" s="1"/>
  <c r="D907" i="5"/>
  <c r="M907" i="5" s="1"/>
  <c r="AN906" i="5"/>
  <c r="AM906" i="5"/>
  <c r="AJ906" i="5"/>
  <c r="Q906" i="5"/>
  <c r="P906" i="5"/>
  <c r="N906" i="5"/>
  <c r="L906" i="5"/>
  <c r="H906" i="5"/>
  <c r="O906" i="5" s="1"/>
  <c r="D906" i="5"/>
  <c r="M906" i="5" s="1"/>
  <c r="AN905" i="5"/>
  <c r="AM905" i="5"/>
  <c r="AJ905" i="5"/>
  <c r="Q905" i="5"/>
  <c r="P905" i="5"/>
  <c r="N905" i="5"/>
  <c r="L905" i="5"/>
  <c r="H905" i="5"/>
  <c r="O905" i="5" s="1"/>
  <c r="D905" i="5"/>
  <c r="M905" i="5" s="1"/>
  <c r="AN904" i="5"/>
  <c r="AM904" i="5"/>
  <c r="AJ904" i="5"/>
  <c r="Q904" i="5"/>
  <c r="P904" i="5"/>
  <c r="N904" i="5"/>
  <c r="L904" i="5"/>
  <c r="H904" i="5"/>
  <c r="O904" i="5" s="1"/>
  <c r="D904" i="5"/>
  <c r="M904" i="5" s="1"/>
  <c r="AN903" i="5"/>
  <c r="AM903" i="5"/>
  <c r="AJ903" i="5"/>
  <c r="Q903" i="5"/>
  <c r="P903" i="5"/>
  <c r="N903" i="5"/>
  <c r="L903" i="5"/>
  <c r="H903" i="5"/>
  <c r="O903" i="5" s="1"/>
  <c r="D903" i="5"/>
  <c r="M903" i="5" s="1"/>
  <c r="AN902" i="5"/>
  <c r="AM902" i="5"/>
  <c r="AJ902" i="5"/>
  <c r="Q902" i="5"/>
  <c r="P902" i="5"/>
  <c r="N902" i="5"/>
  <c r="L902" i="5"/>
  <c r="H902" i="5"/>
  <c r="O902" i="5" s="1"/>
  <c r="D902" i="5"/>
  <c r="M902" i="5" s="1"/>
  <c r="AN901" i="5"/>
  <c r="AM901" i="5"/>
  <c r="AJ901" i="5"/>
  <c r="Q901" i="5"/>
  <c r="P901" i="5"/>
  <c r="N901" i="5"/>
  <c r="L901" i="5"/>
  <c r="H901" i="5"/>
  <c r="O901" i="5" s="1"/>
  <c r="D901" i="5"/>
  <c r="M901" i="5" s="1"/>
  <c r="AN900" i="5"/>
  <c r="AM900" i="5"/>
  <c r="AJ900" i="5"/>
  <c r="Q900" i="5"/>
  <c r="P900" i="5"/>
  <c r="N900" i="5"/>
  <c r="L900" i="5"/>
  <c r="H900" i="5"/>
  <c r="O900" i="5" s="1"/>
  <c r="D900" i="5"/>
  <c r="M900" i="5" s="1"/>
  <c r="AN899" i="5"/>
  <c r="AM899" i="5"/>
  <c r="AJ899" i="5"/>
  <c r="Q899" i="5"/>
  <c r="P899" i="5"/>
  <c r="N899" i="5"/>
  <c r="L899" i="5"/>
  <c r="H899" i="5"/>
  <c r="O899" i="5" s="1"/>
  <c r="D899" i="5"/>
  <c r="M899" i="5" s="1"/>
  <c r="AN898" i="5"/>
  <c r="AM898" i="5"/>
  <c r="AJ898" i="5"/>
  <c r="Q898" i="5"/>
  <c r="P898" i="5"/>
  <c r="N898" i="5"/>
  <c r="L898" i="5"/>
  <c r="H898" i="5"/>
  <c r="O898" i="5" s="1"/>
  <c r="D898" i="5"/>
  <c r="M898" i="5" s="1"/>
  <c r="AN897" i="5"/>
  <c r="AM897" i="5"/>
  <c r="AJ897" i="5"/>
  <c r="Q897" i="5"/>
  <c r="P897" i="5"/>
  <c r="N897" i="5"/>
  <c r="L897" i="5"/>
  <c r="H897" i="5"/>
  <c r="O897" i="5" s="1"/>
  <c r="D897" i="5"/>
  <c r="M897" i="5" s="1"/>
  <c r="AN896" i="5"/>
  <c r="AM896" i="5"/>
  <c r="AJ896" i="5"/>
  <c r="Q896" i="5"/>
  <c r="P896" i="5"/>
  <c r="N896" i="5"/>
  <c r="L896" i="5"/>
  <c r="H896" i="5"/>
  <c r="O896" i="5" s="1"/>
  <c r="D896" i="5"/>
  <c r="M896" i="5" s="1"/>
  <c r="AN895" i="5"/>
  <c r="AM895" i="5"/>
  <c r="AJ895" i="5"/>
  <c r="Q895" i="5"/>
  <c r="P895" i="5"/>
  <c r="N895" i="5"/>
  <c r="L895" i="5"/>
  <c r="H895" i="5"/>
  <c r="O895" i="5" s="1"/>
  <c r="D895" i="5"/>
  <c r="M895" i="5" s="1"/>
  <c r="AN894" i="5"/>
  <c r="AM894" i="5"/>
  <c r="AJ894" i="5"/>
  <c r="Q894" i="5"/>
  <c r="P894" i="5"/>
  <c r="N894" i="5"/>
  <c r="L894" i="5"/>
  <c r="H894" i="5"/>
  <c r="O894" i="5" s="1"/>
  <c r="D894" i="5"/>
  <c r="M894" i="5" s="1"/>
  <c r="AN893" i="5"/>
  <c r="AM893" i="5"/>
  <c r="AJ893" i="5"/>
  <c r="Q893" i="5"/>
  <c r="P893" i="5"/>
  <c r="N893" i="5"/>
  <c r="L893" i="5"/>
  <c r="H893" i="5"/>
  <c r="O893" i="5" s="1"/>
  <c r="D893" i="5"/>
  <c r="M893" i="5" s="1"/>
  <c r="AN892" i="5"/>
  <c r="AM892" i="5"/>
  <c r="AJ892" i="5"/>
  <c r="Q892" i="5"/>
  <c r="P892" i="5"/>
  <c r="N892" i="5"/>
  <c r="L892" i="5"/>
  <c r="H892" i="5"/>
  <c r="O892" i="5" s="1"/>
  <c r="D892" i="5"/>
  <c r="M892" i="5" s="1"/>
  <c r="AN891" i="5"/>
  <c r="AM891" i="5"/>
  <c r="AJ891" i="5"/>
  <c r="Q891" i="5"/>
  <c r="P891" i="5"/>
  <c r="N891" i="5"/>
  <c r="L891" i="5"/>
  <c r="H891" i="5"/>
  <c r="O891" i="5" s="1"/>
  <c r="D891" i="5"/>
  <c r="M891" i="5" s="1"/>
  <c r="AN890" i="5"/>
  <c r="AM890" i="5"/>
  <c r="AJ890" i="5"/>
  <c r="Q890" i="5"/>
  <c r="P890" i="5"/>
  <c r="N890" i="5"/>
  <c r="L890" i="5"/>
  <c r="H890" i="5"/>
  <c r="O890" i="5" s="1"/>
  <c r="D890" i="5"/>
  <c r="M890" i="5" s="1"/>
  <c r="AN889" i="5"/>
  <c r="AM889" i="5"/>
  <c r="AJ889" i="5"/>
  <c r="Q889" i="5"/>
  <c r="P889" i="5"/>
  <c r="N889" i="5"/>
  <c r="L889" i="5"/>
  <c r="H889" i="5"/>
  <c r="O889" i="5" s="1"/>
  <c r="D889" i="5"/>
  <c r="M889" i="5" s="1"/>
  <c r="AN888" i="5"/>
  <c r="AM888" i="5"/>
  <c r="AJ888" i="5"/>
  <c r="Q888" i="5"/>
  <c r="P888" i="5"/>
  <c r="N888" i="5"/>
  <c r="L888" i="5"/>
  <c r="H888" i="5"/>
  <c r="O888" i="5" s="1"/>
  <c r="D888" i="5"/>
  <c r="M888" i="5" s="1"/>
  <c r="AN887" i="5"/>
  <c r="AM887" i="5"/>
  <c r="AJ887" i="5"/>
  <c r="Q887" i="5"/>
  <c r="P887" i="5"/>
  <c r="N887" i="5"/>
  <c r="L887" i="5"/>
  <c r="H887" i="5"/>
  <c r="O887" i="5" s="1"/>
  <c r="D887" i="5"/>
  <c r="M887" i="5" s="1"/>
  <c r="AN886" i="5"/>
  <c r="AM886" i="5"/>
  <c r="AJ886" i="5"/>
  <c r="Q886" i="5"/>
  <c r="P886" i="5"/>
  <c r="N886" i="5"/>
  <c r="L886" i="5"/>
  <c r="H886" i="5"/>
  <c r="O886" i="5" s="1"/>
  <c r="D886" i="5"/>
  <c r="M886" i="5" s="1"/>
  <c r="AN885" i="5"/>
  <c r="AM885" i="5"/>
  <c r="AJ885" i="5"/>
  <c r="Q885" i="5"/>
  <c r="P885" i="5"/>
  <c r="N885" i="5"/>
  <c r="L885" i="5"/>
  <c r="H885" i="5"/>
  <c r="O885" i="5" s="1"/>
  <c r="D885" i="5"/>
  <c r="M885" i="5" s="1"/>
  <c r="AN884" i="5"/>
  <c r="AM884" i="5"/>
  <c r="AJ884" i="5"/>
  <c r="Q884" i="5"/>
  <c r="P884" i="5"/>
  <c r="N884" i="5"/>
  <c r="L884" i="5"/>
  <c r="H884" i="5"/>
  <c r="O884" i="5" s="1"/>
  <c r="D884" i="5"/>
  <c r="M884" i="5" s="1"/>
  <c r="AN883" i="5"/>
  <c r="AM883" i="5"/>
  <c r="AJ883" i="5"/>
  <c r="Q883" i="5"/>
  <c r="P883" i="5"/>
  <c r="N883" i="5"/>
  <c r="L883" i="5"/>
  <c r="H883" i="5"/>
  <c r="O883" i="5" s="1"/>
  <c r="D883" i="5"/>
  <c r="M883" i="5" s="1"/>
  <c r="AN882" i="5"/>
  <c r="AM882" i="5"/>
  <c r="AJ882" i="5"/>
  <c r="Q882" i="5"/>
  <c r="P882" i="5"/>
  <c r="N882" i="5"/>
  <c r="L882" i="5"/>
  <c r="H882" i="5"/>
  <c r="O882" i="5" s="1"/>
  <c r="D882" i="5"/>
  <c r="M882" i="5" s="1"/>
  <c r="AN881" i="5"/>
  <c r="AM881" i="5"/>
  <c r="AJ881" i="5"/>
  <c r="Q881" i="5"/>
  <c r="P881" i="5"/>
  <c r="N881" i="5"/>
  <c r="L881" i="5"/>
  <c r="H881" i="5"/>
  <c r="O881" i="5" s="1"/>
  <c r="D881" i="5"/>
  <c r="M881" i="5" s="1"/>
  <c r="AN880" i="5"/>
  <c r="AM880" i="5"/>
  <c r="AJ880" i="5"/>
  <c r="Q880" i="5"/>
  <c r="P880" i="5"/>
  <c r="N880" i="5"/>
  <c r="L880" i="5"/>
  <c r="H880" i="5"/>
  <c r="O880" i="5" s="1"/>
  <c r="D880" i="5"/>
  <c r="M880" i="5" s="1"/>
  <c r="AN879" i="5"/>
  <c r="AM879" i="5"/>
  <c r="AJ879" i="5"/>
  <c r="Q879" i="5"/>
  <c r="P879" i="5"/>
  <c r="N879" i="5"/>
  <c r="L879" i="5"/>
  <c r="H879" i="5"/>
  <c r="O879" i="5" s="1"/>
  <c r="D879" i="5"/>
  <c r="M879" i="5" s="1"/>
  <c r="AN878" i="5"/>
  <c r="AM878" i="5"/>
  <c r="AJ878" i="5"/>
  <c r="Q878" i="5"/>
  <c r="P878" i="5"/>
  <c r="N878" i="5"/>
  <c r="L878" i="5"/>
  <c r="H878" i="5"/>
  <c r="O878" i="5" s="1"/>
  <c r="D878" i="5"/>
  <c r="M878" i="5" s="1"/>
  <c r="AN877" i="5"/>
  <c r="AM877" i="5"/>
  <c r="AJ877" i="5"/>
  <c r="Q877" i="5"/>
  <c r="P877" i="5"/>
  <c r="N877" i="5"/>
  <c r="L877" i="5"/>
  <c r="H877" i="5"/>
  <c r="O877" i="5" s="1"/>
  <c r="D877" i="5"/>
  <c r="M877" i="5" s="1"/>
  <c r="AN876" i="5"/>
  <c r="AM876" i="5"/>
  <c r="AJ876" i="5"/>
  <c r="Q876" i="5"/>
  <c r="P876" i="5"/>
  <c r="N876" i="5"/>
  <c r="L876" i="5"/>
  <c r="H876" i="5"/>
  <c r="O876" i="5" s="1"/>
  <c r="D876" i="5"/>
  <c r="M876" i="5" s="1"/>
  <c r="AN875" i="5"/>
  <c r="AM875" i="5"/>
  <c r="AJ875" i="5"/>
  <c r="Q875" i="5"/>
  <c r="P875" i="5"/>
  <c r="N875" i="5"/>
  <c r="L875" i="5"/>
  <c r="H875" i="5"/>
  <c r="O875" i="5" s="1"/>
  <c r="D875" i="5"/>
  <c r="M875" i="5" s="1"/>
  <c r="AN874" i="5"/>
  <c r="AM874" i="5"/>
  <c r="AJ874" i="5"/>
  <c r="Q874" i="5"/>
  <c r="P874" i="5"/>
  <c r="N874" i="5"/>
  <c r="L874" i="5"/>
  <c r="H874" i="5"/>
  <c r="O874" i="5" s="1"/>
  <c r="D874" i="5"/>
  <c r="M874" i="5" s="1"/>
  <c r="AN873" i="5"/>
  <c r="AM873" i="5"/>
  <c r="AJ873" i="5"/>
  <c r="Q873" i="5"/>
  <c r="P873" i="5"/>
  <c r="N873" i="5"/>
  <c r="L873" i="5"/>
  <c r="H873" i="5"/>
  <c r="O873" i="5" s="1"/>
  <c r="D873" i="5"/>
  <c r="M873" i="5" s="1"/>
  <c r="AN872" i="5"/>
  <c r="AM872" i="5"/>
  <c r="AJ872" i="5"/>
  <c r="Q872" i="5"/>
  <c r="P872" i="5"/>
  <c r="N872" i="5"/>
  <c r="L872" i="5"/>
  <c r="H872" i="5"/>
  <c r="O872" i="5" s="1"/>
  <c r="D872" i="5"/>
  <c r="M872" i="5" s="1"/>
  <c r="AN871" i="5"/>
  <c r="AM871" i="5"/>
  <c r="AJ871" i="5"/>
  <c r="Q871" i="5"/>
  <c r="P871" i="5"/>
  <c r="N871" i="5"/>
  <c r="L871" i="5"/>
  <c r="H871" i="5"/>
  <c r="O871" i="5" s="1"/>
  <c r="D871" i="5"/>
  <c r="M871" i="5" s="1"/>
  <c r="AN870" i="5"/>
  <c r="AM870" i="5"/>
  <c r="AJ870" i="5"/>
  <c r="Q870" i="5"/>
  <c r="P870" i="5"/>
  <c r="N870" i="5"/>
  <c r="L870" i="5"/>
  <c r="H870" i="5"/>
  <c r="O870" i="5" s="1"/>
  <c r="D870" i="5"/>
  <c r="M870" i="5" s="1"/>
  <c r="AN869" i="5"/>
  <c r="AM869" i="5"/>
  <c r="AJ869" i="5"/>
  <c r="Q869" i="5"/>
  <c r="P869" i="5"/>
  <c r="N869" i="5"/>
  <c r="L869" i="5"/>
  <c r="H869" i="5"/>
  <c r="O869" i="5" s="1"/>
  <c r="D869" i="5"/>
  <c r="M869" i="5" s="1"/>
  <c r="AN868" i="5"/>
  <c r="AM868" i="5"/>
  <c r="AJ868" i="5"/>
  <c r="Q868" i="5"/>
  <c r="P868" i="5"/>
  <c r="N868" i="5"/>
  <c r="L868" i="5"/>
  <c r="H868" i="5"/>
  <c r="O868" i="5" s="1"/>
  <c r="D868" i="5"/>
  <c r="M868" i="5" s="1"/>
  <c r="AN867" i="5"/>
  <c r="AM867" i="5"/>
  <c r="AJ867" i="5"/>
  <c r="Q867" i="5"/>
  <c r="P867" i="5"/>
  <c r="N867" i="5"/>
  <c r="L867" i="5"/>
  <c r="H867" i="5"/>
  <c r="O867" i="5" s="1"/>
  <c r="D867" i="5"/>
  <c r="M867" i="5" s="1"/>
  <c r="AN866" i="5"/>
  <c r="AM866" i="5"/>
  <c r="AJ866" i="5"/>
  <c r="Q866" i="5"/>
  <c r="P866" i="5"/>
  <c r="N866" i="5"/>
  <c r="L866" i="5"/>
  <c r="H866" i="5"/>
  <c r="O866" i="5" s="1"/>
  <c r="D866" i="5"/>
  <c r="M866" i="5" s="1"/>
  <c r="AN865" i="5"/>
  <c r="AM865" i="5"/>
  <c r="AJ865" i="5"/>
  <c r="Q865" i="5"/>
  <c r="P865" i="5"/>
  <c r="N865" i="5"/>
  <c r="L865" i="5"/>
  <c r="H865" i="5"/>
  <c r="O865" i="5" s="1"/>
  <c r="D865" i="5"/>
  <c r="M865" i="5" s="1"/>
  <c r="AN864" i="5"/>
  <c r="AM864" i="5"/>
  <c r="AJ864" i="5"/>
  <c r="Q864" i="5"/>
  <c r="P864" i="5"/>
  <c r="N864" i="5"/>
  <c r="L864" i="5"/>
  <c r="H864" i="5"/>
  <c r="O864" i="5" s="1"/>
  <c r="D864" i="5"/>
  <c r="M864" i="5" s="1"/>
  <c r="AN863" i="5"/>
  <c r="AM863" i="5"/>
  <c r="AJ863" i="5"/>
  <c r="Q863" i="5"/>
  <c r="P863" i="5"/>
  <c r="N863" i="5"/>
  <c r="L863" i="5"/>
  <c r="H863" i="5"/>
  <c r="O863" i="5" s="1"/>
  <c r="D863" i="5"/>
  <c r="M863" i="5" s="1"/>
  <c r="AN862" i="5"/>
  <c r="AM862" i="5"/>
  <c r="AJ862" i="5"/>
  <c r="Q862" i="5"/>
  <c r="P862" i="5"/>
  <c r="N862" i="5"/>
  <c r="L862" i="5"/>
  <c r="H862" i="5"/>
  <c r="O862" i="5" s="1"/>
  <c r="D862" i="5"/>
  <c r="M862" i="5" s="1"/>
  <c r="AN861" i="5"/>
  <c r="AM861" i="5"/>
  <c r="AJ861" i="5"/>
  <c r="Q861" i="5"/>
  <c r="P861" i="5"/>
  <c r="N861" i="5"/>
  <c r="L861" i="5"/>
  <c r="H861" i="5"/>
  <c r="O861" i="5" s="1"/>
  <c r="D861" i="5"/>
  <c r="M861" i="5" s="1"/>
  <c r="AN860" i="5"/>
  <c r="AM860" i="5"/>
  <c r="AJ860" i="5"/>
  <c r="Q860" i="5"/>
  <c r="P860" i="5"/>
  <c r="N860" i="5"/>
  <c r="L860" i="5"/>
  <c r="H860" i="5"/>
  <c r="O860" i="5" s="1"/>
  <c r="D860" i="5"/>
  <c r="M860" i="5" s="1"/>
  <c r="AN859" i="5"/>
  <c r="AM859" i="5"/>
  <c r="AJ859" i="5"/>
  <c r="Q859" i="5"/>
  <c r="P859" i="5"/>
  <c r="N859" i="5"/>
  <c r="L859" i="5"/>
  <c r="H859" i="5"/>
  <c r="O859" i="5" s="1"/>
  <c r="D859" i="5"/>
  <c r="M859" i="5" s="1"/>
  <c r="AN858" i="5"/>
  <c r="AM858" i="5"/>
  <c r="AJ858" i="5"/>
  <c r="Q858" i="5"/>
  <c r="P858" i="5"/>
  <c r="N858" i="5"/>
  <c r="L858" i="5"/>
  <c r="H858" i="5"/>
  <c r="O858" i="5" s="1"/>
  <c r="D858" i="5"/>
  <c r="M858" i="5" s="1"/>
  <c r="AN857" i="5"/>
  <c r="AM857" i="5"/>
  <c r="AJ857" i="5"/>
  <c r="Q857" i="5"/>
  <c r="P857" i="5"/>
  <c r="N857" i="5"/>
  <c r="L857" i="5"/>
  <c r="H857" i="5"/>
  <c r="O857" i="5" s="1"/>
  <c r="D857" i="5"/>
  <c r="M857" i="5" s="1"/>
  <c r="AN856" i="5"/>
  <c r="AM856" i="5"/>
  <c r="AJ856" i="5"/>
  <c r="Q856" i="5"/>
  <c r="P856" i="5"/>
  <c r="N856" i="5"/>
  <c r="L856" i="5"/>
  <c r="H856" i="5"/>
  <c r="O856" i="5" s="1"/>
  <c r="D856" i="5"/>
  <c r="M856" i="5" s="1"/>
  <c r="AN855" i="5"/>
  <c r="AM855" i="5"/>
  <c r="AJ855" i="5"/>
  <c r="Q855" i="5"/>
  <c r="P855" i="5"/>
  <c r="N855" i="5"/>
  <c r="L855" i="5"/>
  <c r="H855" i="5"/>
  <c r="O855" i="5" s="1"/>
  <c r="D855" i="5"/>
  <c r="M855" i="5" s="1"/>
  <c r="AN854" i="5"/>
  <c r="AM854" i="5"/>
  <c r="AJ854" i="5"/>
  <c r="Q854" i="5"/>
  <c r="P854" i="5"/>
  <c r="N854" i="5"/>
  <c r="L854" i="5"/>
  <c r="H854" i="5"/>
  <c r="O854" i="5" s="1"/>
  <c r="D854" i="5"/>
  <c r="M854" i="5" s="1"/>
  <c r="AN853" i="5"/>
  <c r="AM853" i="5"/>
  <c r="AJ853" i="5"/>
  <c r="Q853" i="5"/>
  <c r="P853" i="5"/>
  <c r="N853" i="5"/>
  <c r="L853" i="5"/>
  <c r="H853" i="5"/>
  <c r="O853" i="5" s="1"/>
  <c r="D853" i="5"/>
  <c r="M853" i="5" s="1"/>
  <c r="AN852" i="5"/>
  <c r="AM852" i="5"/>
  <c r="AJ852" i="5"/>
  <c r="Q852" i="5"/>
  <c r="P852" i="5"/>
  <c r="N852" i="5"/>
  <c r="L852" i="5"/>
  <c r="H852" i="5"/>
  <c r="O852" i="5" s="1"/>
  <c r="D852" i="5"/>
  <c r="M852" i="5" s="1"/>
  <c r="AN851" i="5"/>
  <c r="AM851" i="5"/>
  <c r="AJ851" i="5"/>
  <c r="Q851" i="5"/>
  <c r="P851" i="5"/>
  <c r="N851" i="5"/>
  <c r="L851" i="5"/>
  <c r="H851" i="5"/>
  <c r="O851" i="5" s="1"/>
  <c r="D851" i="5"/>
  <c r="M851" i="5" s="1"/>
  <c r="AN850" i="5"/>
  <c r="AM850" i="5"/>
  <c r="AJ850" i="5"/>
  <c r="Q850" i="5"/>
  <c r="P850" i="5"/>
  <c r="N850" i="5"/>
  <c r="L850" i="5"/>
  <c r="H850" i="5"/>
  <c r="O850" i="5" s="1"/>
  <c r="D850" i="5"/>
  <c r="M850" i="5" s="1"/>
  <c r="AN849" i="5"/>
  <c r="AM849" i="5"/>
  <c r="AJ849" i="5"/>
  <c r="Q849" i="5"/>
  <c r="P849" i="5"/>
  <c r="N849" i="5"/>
  <c r="L849" i="5"/>
  <c r="H849" i="5"/>
  <c r="O849" i="5" s="1"/>
  <c r="D849" i="5"/>
  <c r="M849" i="5" s="1"/>
  <c r="AN848" i="5"/>
  <c r="AM848" i="5"/>
  <c r="AJ848" i="5"/>
  <c r="Q848" i="5"/>
  <c r="P848" i="5"/>
  <c r="N848" i="5"/>
  <c r="L848" i="5"/>
  <c r="H848" i="5"/>
  <c r="O848" i="5" s="1"/>
  <c r="D848" i="5"/>
  <c r="M848" i="5" s="1"/>
  <c r="AN847" i="5"/>
  <c r="AM847" i="5"/>
  <c r="AJ847" i="5"/>
  <c r="Q847" i="5"/>
  <c r="P847" i="5"/>
  <c r="N847" i="5"/>
  <c r="L847" i="5"/>
  <c r="H847" i="5"/>
  <c r="O847" i="5" s="1"/>
  <c r="D847" i="5"/>
  <c r="M847" i="5" s="1"/>
  <c r="AN846" i="5"/>
  <c r="AM846" i="5"/>
  <c r="AJ846" i="5"/>
  <c r="Q846" i="5"/>
  <c r="P846" i="5"/>
  <c r="N846" i="5"/>
  <c r="L846" i="5"/>
  <c r="H846" i="5"/>
  <c r="O846" i="5" s="1"/>
  <c r="D846" i="5"/>
  <c r="M846" i="5" s="1"/>
  <c r="AN845" i="5"/>
  <c r="AM845" i="5"/>
  <c r="AJ845" i="5"/>
  <c r="Q845" i="5"/>
  <c r="P845" i="5"/>
  <c r="N845" i="5"/>
  <c r="L845" i="5"/>
  <c r="H845" i="5"/>
  <c r="O845" i="5" s="1"/>
  <c r="D845" i="5"/>
  <c r="M845" i="5" s="1"/>
  <c r="AN844" i="5"/>
  <c r="AM844" i="5"/>
  <c r="AJ844" i="5"/>
  <c r="Q844" i="5"/>
  <c r="P844" i="5"/>
  <c r="N844" i="5"/>
  <c r="L844" i="5"/>
  <c r="H844" i="5"/>
  <c r="O844" i="5" s="1"/>
  <c r="D844" i="5"/>
  <c r="M844" i="5" s="1"/>
  <c r="AN843" i="5"/>
  <c r="AM843" i="5"/>
  <c r="AJ843" i="5"/>
  <c r="Q843" i="5"/>
  <c r="P843" i="5"/>
  <c r="N843" i="5"/>
  <c r="L843" i="5"/>
  <c r="H843" i="5"/>
  <c r="O843" i="5" s="1"/>
  <c r="D843" i="5"/>
  <c r="M843" i="5" s="1"/>
  <c r="AN842" i="5"/>
  <c r="AM842" i="5"/>
  <c r="AJ842" i="5"/>
  <c r="Q842" i="5"/>
  <c r="P842" i="5"/>
  <c r="N842" i="5"/>
  <c r="L842" i="5"/>
  <c r="H842" i="5"/>
  <c r="O842" i="5" s="1"/>
  <c r="D842" i="5"/>
  <c r="M842" i="5" s="1"/>
  <c r="AN841" i="5"/>
  <c r="AM841" i="5"/>
  <c r="AJ841" i="5"/>
  <c r="Q841" i="5"/>
  <c r="P841" i="5"/>
  <c r="N841" i="5"/>
  <c r="L841" i="5"/>
  <c r="H841" i="5"/>
  <c r="O841" i="5" s="1"/>
  <c r="D841" i="5"/>
  <c r="M841" i="5" s="1"/>
  <c r="AN840" i="5"/>
  <c r="AM840" i="5"/>
  <c r="AJ840" i="5"/>
  <c r="Q840" i="5"/>
  <c r="P840" i="5"/>
  <c r="N840" i="5"/>
  <c r="L840" i="5"/>
  <c r="H840" i="5"/>
  <c r="O840" i="5" s="1"/>
  <c r="D840" i="5"/>
  <c r="M840" i="5" s="1"/>
  <c r="AN839" i="5"/>
  <c r="AM839" i="5"/>
  <c r="AJ839" i="5"/>
  <c r="Q839" i="5"/>
  <c r="P839" i="5"/>
  <c r="N839" i="5"/>
  <c r="L839" i="5"/>
  <c r="H839" i="5"/>
  <c r="O839" i="5" s="1"/>
  <c r="D839" i="5"/>
  <c r="M839" i="5" s="1"/>
  <c r="AN838" i="5"/>
  <c r="AM838" i="5"/>
  <c r="AJ838" i="5"/>
  <c r="Q838" i="5"/>
  <c r="P838" i="5"/>
  <c r="N838" i="5"/>
  <c r="L838" i="5"/>
  <c r="H838" i="5"/>
  <c r="O838" i="5" s="1"/>
  <c r="D838" i="5"/>
  <c r="M838" i="5" s="1"/>
  <c r="AN837" i="5"/>
  <c r="AM837" i="5"/>
  <c r="AJ837" i="5"/>
  <c r="Q837" i="5"/>
  <c r="P837" i="5"/>
  <c r="N837" i="5"/>
  <c r="L837" i="5"/>
  <c r="H837" i="5"/>
  <c r="O837" i="5" s="1"/>
  <c r="D837" i="5"/>
  <c r="M837" i="5" s="1"/>
  <c r="AN836" i="5"/>
  <c r="AM836" i="5"/>
  <c r="AJ836" i="5"/>
  <c r="Q836" i="5"/>
  <c r="P836" i="5"/>
  <c r="N836" i="5"/>
  <c r="L836" i="5"/>
  <c r="H836" i="5"/>
  <c r="O836" i="5" s="1"/>
  <c r="D836" i="5"/>
  <c r="M836" i="5" s="1"/>
  <c r="AN835" i="5"/>
  <c r="AM835" i="5"/>
  <c r="AJ835" i="5"/>
  <c r="Q835" i="5"/>
  <c r="P835" i="5"/>
  <c r="N835" i="5"/>
  <c r="L835" i="5"/>
  <c r="H835" i="5"/>
  <c r="O835" i="5" s="1"/>
  <c r="D835" i="5"/>
  <c r="M835" i="5" s="1"/>
  <c r="AN834" i="5"/>
  <c r="AM834" i="5"/>
  <c r="AJ834" i="5"/>
  <c r="Q834" i="5"/>
  <c r="P834" i="5"/>
  <c r="N834" i="5"/>
  <c r="L834" i="5"/>
  <c r="H834" i="5"/>
  <c r="O834" i="5" s="1"/>
  <c r="D834" i="5"/>
  <c r="M834" i="5" s="1"/>
  <c r="AN833" i="5"/>
  <c r="AM833" i="5"/>
  <c r="AJ833" i="5"/>
  <c r="Q833" i="5"/>
  <c r="P833" i="5"/>
  <c r="N833" i="5"/>
  <c r="L833" i="5"/>
  <c r="H833" i="5"/>
  <c r="O833" i="5" s="1"/>
  <c r="D833" i="5"/>
  <c r="M833" i="5" s="1"/>
  <c r="AN832" i="5"/>
  <c r="AM832" i="5"/>
  <c r="AJ832" i="5"/>
  <c r="Q832" i="5"/>
  <c r="P832" i="5"/>
  <c r="N832" i="5"/>
  <c r="L832" i="5"/>
  <c r="H832" i="5"/>
  <c r="O832" i="5" s="1"/>
  <c r="D832" i="5"/>
  <c r="M832" i="5" s="1"/>
  <c r="AN831" i="5"/>
  <c r="AM831" i="5"/>
  <c r="AJ831" i="5"/>
  <c r="Q831" i="5"/>
  <c r="P831" i="5"/>
  <c r="N831" i="5"/>
  <c r="L831" i="5"/>
  <c r="H831" i="5"/>
  <c r="O831" i="5" s="1"/>
  <c r="D831" i="5"/>
  <c r="M831" i="5" s="1"/>
  <c r="AN830" i="5"/>
  <c r="AM830" i="5"/>
  <c r="AJ830" i="5"/>
  <c r="Q830" i="5"/>
  <c r="P830" i="5"/>
  <c r="N830" i="5"/>
  <c r="L830" i="5"/>
  <c r="H830" i="5"/>
  <c r="O830" i="5" s="1"/>
  <c r="D830" i="5"/>
  <c r="M830" i="5" s="1"/>
  <c r="AN829" i="5"/>
  <c r="AM829" i="5"/>
  <c r="AJ829" i="5"/>
  <c r="Q829" i="5"/>
  <c r="P829" i="5"/>
  <c r="N829" i="5"/>
  <c r="L829" i="5"/>
  <c r="H829" i="5"/>
  <c r="O829" i="5" s="1"/>
  <c r="D829" i="5"/>
  <c r="M829" i="5" s="1"/>
  <c r="AN828" i="5"/>
  <c r="AM828" i="5"/>
  <c r="AJ828" i="5"/>
  <c r="Q828" i="5"/>
  <c r="P828" i="5"/>
  <c r="N828" i="5"/>
  <c r="L828" i="5"/>
  <c r="H828" i="5"/>
  <c r="O828" i="5" s="1"/>
  <c r="D828" i="5"/>
  <c r="M828" i="5" s="1"/>
  <c r="AN827" i="5"/>
  <c r="AM827" i="5"/>
  <c r="AJ827" i="5"/>
  <c r="Q827" i="5"/>
  <c r="P827" i="5"/>
  <c r="N827" i="5"/>
  <c r="L827" i="5"/>
  <c r="H827" i="5"/>
  <c r="O827" i="5" s="1"/>
  <c r="D827" i="5"/>
  <c r="M827" i="5" s="1"/>
  <c r="AN826" i="5"/>
  <c r="AM826" i="5"/>
  <c r="AJ826" i="5"/>
  <c r="Q826" i="5"/>
  <c r="P826" i="5"/>
  <c r="N826" i="5"/>
  <c r="L826" i="5"/>
  <c r="H826" i="5"/>
  <c r="O826" i="5" s="1"/>
  <c r="D826" i="5"/>
  <c r="M826" i="5" s="1"/>
  <c r="AN825" i="5"/>
  <c r="AM825" i="5"/>
  <c r="AJ825" i="5"/>
  <c r="Q825" i="5"/>
  <c r="P825" i="5"/>
  <c r="N825" i="5"/>
  <c r="L825" i="5"/>
  <c r="H825" i="5"/>
  <c r="O825" i="5" s="1"/>
  <c r="D825" i="5"/>
  <c r="M825" i="5" s="1"/>
  <c r="AN824" i="5"/>
  <c r="AM824" i="5"/>
  <c r="AJ824" i="5"/>
  <c r="Q824" i="5"/>
  <c r="P824" i="5"/>
  <c r="N824" i="5"/>
  <c r="L824" i="5"/>
  <c r="H824" i="5"/>
  <c r="O824" i="5" s="1"/>
  <c r="D824" i="5"/>
  <c r="M824" i="5" s="1"/>
  <c r="AN823" i="5"/>
  <c r="AM823" i="5"/>
  <c r="AJ823" i="5"/>
  <c r="Q823" i="5"/>
  <c r="P823" i="5"/>
  <c r="N823" i="5"/>
  <c r="L823" i="5"/>
  <c r="H823" i="5"/>
  <c r="O823" i="5" s="1"/>
  <c r="D823" i="5"/>
  <c r="M823" i="5" s="1"/>
  <c r="AN822" i="5"/>
  <c r="AM822" i="5"/>
  <c r="AJ822" i="5"/>
  <c r="Q822" i="5"/>
  <c r="P822" i="5"/>
  <c r="N822" i="5"/>
  <c r="L822" i="5"/>
  <c r="H822" i="5"/>
  <c r="O822" i="5" s="1"/>
  <c r="D822" i="5"/>
  <c r="M822" i="5" s="1"/>
  <c r="AN821" i="5"/>
  <c r="AM821" i="5"/>
  <c r="AJ821" i="5"/>
  <c r="Q821" i="5"/>
  <c r="P821" i="5"/>
  <c r="N821" i="5"/>
  <c r="L821" i="5"/>
  <c r="H821" i="5"/>
  <c r="O821" i="5" s="1"/>
  <c r="D821" i="5"/>
  <c r="M821" i="5" s="1"/>
  <c r="AN820" i="5"/>
  <c r="AM820" i="5"/>
  <c r="AJ820" i="5"/>
  <c r="Q820" i="5"/>
  <c r="P820" i="5"/>
  <c r="N820" i="5"/>
  <c r="L820" i="5"/>
  <c r="H820" i="5"/>
  <c r="O820" i="5" s="1"/>
  <c r="D820" i="5"/>
  <c r="M820" i="5" s="1"/>
  <c r="AN819" i="5"/>
  <c r="AM819" i="5"/>
  <c r="AJ819" i="5"/>
  <c r="Q819" i="5"/>
  <c r="P819" i="5"/>
  <c r="N819" i="5"/>
  <c r="L819" i="5"/>
  <c r="H819" i="5"/>
  <c r="O819" i="5" s="1"/>
  <c r="D819" i="5"/>
  <c r="M819" i="5" s="1"/>
  <c r="AN818" i="5"/>
  <c r="AM818" i="5"/>
  <c r="AJ818" i="5"/>
  <c r="Q818" i="5"/>
  <c r="P818" i="5"/>
  <c r="N818" i="5"/>
  <c r="L818" i="5"/>
  <c r="H818" i="5"/>
  <c r="O818" i="5" s="1"/>
  <c r="D818" i="5"/>
  <c r="M818" i="5" s="1"/>
  <c r="AN817" i="5"/>
  <c r="AM817" i="5"/>
  <c r="AJ817" i="5"/>
  <c r="Q817" i="5"/>
  <c r="P817" i="5"/>
  <c r="N817" i="5"/>
  <c r="L817" i="5"/>
  <c r="H817" i="5"/>
  <c r="O817" i="5" s="1"/>
  <c r="D817" i="5"/>
  <c r="M817" i="5" s="1"/>
  <c r="AN816" i="5"/>
  <c r="AM816" i="5"/>
  <c r="AJ816" i="5"/>
  <c r="Q816" i="5"/>
  <c r="P816" i="5"/>
  <c r="N816" i="5"/>
  <c r="L816" i="5"/>
  <c r="H816" i="5"/>
  <c r="O816" i="5" s="1"/>
  <c r="D816" i="5"/>
  <c r="M816" i="5" s="1"/>
  <c r="AN815" i="5"/>
  <c r="AM815" i="5"/>
  <c r="AJ815" i="5"/>
  <c r="Q815" i="5"/>
  <c r="P815" i="5"/>
  <c r="N815" i="5"/>
  <c r="L815" i="5"/>
  <c r="H815" i="5"/>
  <c r="O815" i="5" s="1"/>
  <c r="D815" i="5"/>
  <c r="M815" i="5" s="1"/>
  <c r="AN814" i="5"/>
  <c r="AM814" i="5"/>
  <c r="AJ814" i="5"/>
  <c r="Q814" i="5"/>
  <c r="P814" i="5"/>
  <c r="N814" i="5"/>
  <c r="L814" i="5"/>
  <c r="H814" i="5"/>
  <c r="O814" i="5" s="1"/>
  <c r="D814" i="5"/>
  <c r="M814" i="5" s="1"/>
  <c r="AN813" i="5"/>
  <c r="AM813" i="5"/>
  <c r="AJ813" i="5"/>
  <c r="Q813" i="5"/>
  <c r="P813" i="5"/>
  <c r="N813" i="5"/>
  <c r="L813" i="5"/>
  <c r="H813" i="5"/>
  <c r="O813" i="5" s="1"/>
  <c r="D813" i="5"/>
  <c r="M813" i="5" s="1"/>
  <c r="AN812" i="5"/>
  <c r="AM812" i="5"/>
  <c r="AJ812" i="5"/>
  <c r="Q812" i="5"/>
  <c r="P812" i="5"/>
  <c r="N812" i="5"/>
  <c r="L812" i="5"/>
  <c r="H812" i="5"/>
  <c r="O812" i="5" s="1"/>
  <c r="D812" i="5"/>
  <c r="M812" i="5" s="1"/>
  <c r="AN811" i="5"/>
  <c r="AM811" i="5"/>
  <c r="AJ811" i="5"/>
  <c r="Q811" i="5"/>
  <c r="P811" i="5"/>
  <c r="N811" i="5"/>
  <c r="L811" i="5"/>
  <c r="H811" i="5"/>
  <c r="O811" i="5" s="1"/>
  <c r="D811" i="5"/>
  <c r="M811" i="5" s="1"/>
  <c r="AN810" i="5"/>
  <c r="AM810" i="5"/>
  <c r="AJ810" i="5"/>
  <c r="Q810" i="5"/>
  <c r="P810" i="5"/>
  <c r="N810" i="5"/>
  <c r="L810" i="5"/>
  <c r="H810" i="5"/>
  <c r="O810" i="5" s="1"/>
  <c r="D810" i="5"/>
  <c r="M810" i="5" s="1"/>
  <c r="AN809" i="5"/>
  <c r="AM809" i="5"/>
  <c r="AJ809" i="5"/>
  <c r="Q809" i="5"/>
  <c r="P809" i="5"/>
  <c r="N809" i="5"/>
  <c r="L809" i="5"/>
  <c r="H809" i="5"/>
  <c r="O809" i="5" s="1"/>
  <c r="D809" i="5"/>
  <c r="M809" i="5" s="1"/>
  <c r="AN808" i="5"/>
  <c r="AM808" i="5"/>
  <c r="AJ808" i="5"/>
  <c r="Q808" i="5"/>
  <c r="P808" i="5"/>
  <c r="N808" i="5"/>
  <c r="L808" i="5"/>
  <c r="H808" i="5"/>
  <c r="O808" i="5" s="1"/>
  <c r="D808" i="5"/>
  <c r="M808" i="5" s="1"/>
  <c r="AN807" i="5"/>
  <c r="AM807" i="5"/>
  <c r="AJ807" i="5"/>
  <c r="Q807" i="5"/>
  <c r="P807" i="5"/>
  <c r="N807" i="5"/>
  <c r="L807" i="5"/>
  <c r="H807" i="5"/>
  <c r="O807" i="5" s="1"/>
  <c r="D807" i="5"/>
  <c r="M807" i="5" s="1"/>
  <c r="AN806" i="5"/>
  <c r="AM806" i="5"/>
  <c r="AJ806" i="5"/>
  <c r="Q806" i="5"/>
  <c r="P806" i="5"/>
  <c r="N806" i="5"/>
  <c r="L806" i="5"/>
  <c r="H806" i="5"/>
  <c r="O806" i="5" s="1"/>
  <c r="D806" i="5"/>
  <c r="M806" i="5" s="1"/>
  <c r="AN805" i="5"/>
  <c r="AM805" i="5"/>
  <c r="AJ805" i="5"/>
  <c r="Q805" i="5"/>
  <c r="P805" i="5"/>
  <c r="N805" i="5"/>
  <c r="L805" i="5"/>
  <c r="H805" i="5"/>
  <c r="O805" i="5" s="1"/>
  <c r="D805" i="5"/>
  <c r="M805" i="5" s="1"/>
  <c r="AN804" i="5"/>
  <c r="AM804" i="5"/>
  <c r="AJ804" i="5"/>
  <c r="Q804" i="5"/>
  <c r="P804" i="5"/>
  <c r="N804" i="5"/>
  <c r="L804" i="5"/>
  <c r="H804" i="5"/>
  <c r="O804" i="5" s="1"/>
  <c r="D804" i="5"/>
  <c r="M804" i="5" s="1"/>
  <c r="AN803" i="5"/>
  <c r="AM803" i="5"/>
  <c r="AJ803" i="5"/>
  <c r="Q803" i="5"/>
  <c r="P803" i="5"/>
  <c r="N803" i="5"/>
  <c r="L803" i="5"/>
  <c r="H803" i="5"/>
  <c r="O803" i="5" s="1"/>
  <c r="D803" i="5"/>
  <c r="M803" i="5" s="1"/>
  <c r="AN802" i="5"/>
  <c r="AM802" i="5"/>
  <c r="AJ802" i="5"/>
  <c r="Q802" i="5"/>
  <c r="P802" i="5"/>
  <c r="N802" i="5"/>
  <c r="L802" i="5"/>
  <c r="H802" i="5"/>
  <c r="O802" i="5" s="1"/>
  <c r="D802" i="5"/>
  <c r="M802" i="5" s="1"/>
  <c r="AN801" i="5"/>
  <c r="AM801" i="5"/>
  <c r="AJ801" i="5"/>
  <c r="Q801" i="5"/>
  <c r="P801" i="5"/>
  <c r="N801" i="5"/>
  <c r="L801" i="5"/>
  <c r="H801" i="5"/>
  <c r="O801" i="5" s="1"/>
  <c r="D801" i="5"/>
  <c r="M801" i="5" s="1"/>
  <c r="AN800" i="5"/>
  <c r="AM800" i="5"/>
  <c r="AJ800" i="5"/>
  <c r="Q800" i="5"/>
  <c r="P800" i="5"/>
  <c r="N800" i="5"/>
  <c r="L800" i="5"/>
  <c r="H800" i="5"/>
  <c r="O800" i="5" s="1"/>
  <c r="D800" i="5"/>
  <c r="M800" i="5" s="1"/>
  <c r="AN799" i="5"/>
  <c r="AM799" i="5"/>
  <c r="AJ799" i="5"/>
  <c r="Q799" i="5"/>
  <c r="P799" i="5"/>
  <c r="N799" i="5"/>
  <c r="L799" i="5"/>
  <c r="H799" i="5"/>
  <c r="O799" i="5" s="1"/>
  <c r="D799" i="5"/>
  <c r="M799" i="5" s="1"/>
  <c r="AN798" i="5"/>
  <c r="AM798" i="5"/>
  <c r="AJ798" i="5"/>
  <c r="Q798" i="5"/>
  <c r="P798" i="5"/>
  <c r="N798" i="5"/>
  <c r="L798" i="5"/>
  <c r="H798" i="5"/>
  <c r="O798" i="5" s="1"/>
  <c r="D798" i="5"/>
  <c r="M798" i="5" s="1"/>
  <c r="AN797" i="5"/>
  <c r="AM797" i="5"/>
  <c r="AJ797" i="5"/>
  <c r="Q797" i="5"/>
  <c r="P797" i="5"/>
  <c r="N797" i="5"/>
  <c r="L797" i="5"/>
  <c r="H797" i="5"/>
  <c r="O797" i="5" s="1"/>
  <c r="D797" i="5"/>
  <c r="M797" i="5" s="1"/>
  <c r="AN796" i="5"/>
  <c r="AM796" i="5"/>
  <c r="AJ796" i="5"/>
  <c r="Q796" i="5"/>
  <c r="P796" i="5"/>
  <c r="N796" i="5"/>
  <c r="L796" i="5"/>
  <c r="H796" i="5"/>
  <c r="O796" i="5" s="1"/>
  <c r="D796" i="5"/>
  <c r="M796" i="5" s="1"/>
  <c r="AN795" i="5"/>
  <c r="AM795" i="5"/>
  <c r="AJ795" i="5"/>
  <c r="Q795" i="5"/>
  <c r="P795" i="5"/>
  <c r="N795" i="5"/>
  <c r="L795" i="5"/>
  <c r="H795" i="5"/>
  <c r="O795" i="5" s="1"/>
  <c r="D795" i="5"/>
  <c r="M795" i="5" s="1"/>
  <c r="AN794" i="5"/>
  <c r="AM794" i="5"/>
  <c r="AJ794" i="5"/>
  <c r="Q794" i="5"/>
  <c r="P794" i="5"/>
  <c r="N794" i="5"/>
  <c r="L794" i="5"/>
  <c r="H794" i="5"/>
  <c r="O794" i="5" s="1"/>
  <c r="D794" i="5"/>
  <c r="M794" i="5" s="1"/>
  <c r="AN793" i="5"/>
  <c r="AM793" i="5"/>
  <c r="AJ793" i="5"/>
  <c r="Q793" i="5"/>
  <c r="P793" i="5"/>
  <c r="N793" i="5"/>
  <c r="L793" i="5"/>
  <c r="H793" i="5"/>
  <c r="O793" i="5" s="1"/>
  <c r="D793" i="5"/>
  <c r="M793" i="5" s="1"/>
  <c r="AN792" i="5"/>
  <c r="AM792" i="5"/>
  <c r="AJ792" i="5"/>
  <c r="Q792" i="5"/>
  <c r="P792" i="5"/>
  <c r="N792" i="5"/>
  <c r="L792" i="5"/>
  <c r="H792" i="5"/>
  <c r="O792" i="5" s="1"/>
  <c r="D792" i="5"/>
  <c r="M792" i="5" s="1"/>
  <c r="AN791" i="5"/>
  <c r="AM791" i="5"/>
  <c r="AJ791" i="5"/>
  <c r="Q791" i="5"/>
  <c r="P791" i="5"/>
  <c r="N791" i="5"/>
  <c r="L791" i="5"/>
  <c r="H791" i="5"/>
  <c r="O791" i="5" s="1"/>
  <c r="D791" i="5"/>
  <c r="M791" i="5" s="1"/>
  <c r="AN790" i="5"/>
  <c r="AM790" i="5"/>
  <c r="AJ790" i="5"/>
  <c r="Q790" i="5"/>
  <c r="P790" i="5"/>
  <c r="N790" i="5"/>
  <c r="L790" i="5"/>
  <c r="H790" i="5"/>
  <c r="O790" i="5" s="1"/>
  <c r="D790" i="5"/>
  <c r="M790" i="5" s="1"/>
  <c r="AN789" i="5"/>
  <c r="AM789" i="5"/>
  <c r="AJ789" i="5"/>
  <c r="Q789" i="5"/>
  <c r="P789" i="5"/>
  <c r="N789" i="5"/>
  <c r="L789" i="5"/>
  <c r="H789" i="5"/>
  <c r="O789" i="5" s="1"/>
  <c r="D789" i="5"/>
  <c r="M789" i="5" s="1"/>
  <c r="AN788" i="5"/>
  <c r="AM788" i="5"/>
  <c r="AJ788" i="5"/>
  <c r="Q788" i="5"/>
  <c r="P788" i="5"/>
  <c r="N788" i="5"/>
  <c r="L788" i="5"/>
  <c r="H788" i="5"/>
  <c r="O788" i="5" s="1"/>
  <c r="D788" i="5"/>
  <c r="M788" i="5" s="1"/>
  <c r="AN787" i="5"/>
  <c r="AM787" i="5"/>
  <c r="AJ787" i="5"/>
  <c r="Q787" i="5"/>
  <c r="P787" i="5"/>
  <c r="N787" i="5"/>
  <c r="L787" i="5"/>
  <c r="H787" i="5"/>
  <c r="O787" i="5" s="1"/>
  <c r="D787" i="5"/>
  <c r="M787" i="5" s="1"/>
  <c r="AN786" i="5"/>
  <c r="AM786" i="5"/>
  <c r="AJ786" i="5"/>
  <c r="Q786" i="5"/>
  <c r="P786" i="5"/>
  <c r="N786" i="5"/>
  <c r="L786" i="5"/>
  <c r="H786" i="5"/>
  <c r="O786" i="5" s="1"/>
  <c r="D786" i="5"/>
  <c r="M786" i="5" s="1"/>
  <c r="AN785" i="5"/>
  <c r="AM785" i="5"/>
  <c r="AJ785" i="5"/>
  <c r="Q785" i="5"/>
  <c r="P785" i="5"/>
  <c r="N785" i="5"/>
  <c r="L785" i="5"/>
  <c r="H785" i="5"/>
  <c r="O785" i="5" s="1"/>
  <c r="D785" i="5"/>
  <c r="M785" i="5" s="1"/>
  <c r="AN784" i="5"/>
  <c r="AM784" i="5"/>
  <c r="AJ784" i="5"/>
  <c r="Q784" i="5"/>
  <c r="P784" i="5"/>
  <c r="N784" i="5"/>
  <c r="L784" i="5"/>
  <c r="H784" i="5"/>
  <c r="O784" i="5" s="1"/>
  <c r="D784" i="5"/>
  <c r="M784" i="5" s="1"/>
  <c r="AN783" i="5"/>
  <c r="AM783" i="5"/>
  <c r="AJ783" i="5"/>
  <c r="Q783" i="5"/>
  <c r="P783" i="5"/>
  <c r="N783" i="5"/>
  <c r="L783" i="5"/>
  <c r="H783" i="5"/>
  <c r="O783" i="5" s="1"/>
  <c r="D783" i="5"/>
  <c r="M783" i="5" s="1"/>
  <c r="AN782" i="5"/>
  <c r="AM782" i="5"/>
  <c r="AJ782" i="5"/>
  <c r="Q782" i="5"/>
  <c r="P782" i="5"/>
  <c r="N782" i="5"/>
  <c r="L782" i="5"/>
  <c r="H782" i="5"/>
  <c r="O782" i="5" s="1"/>
  <c r="D782" i="5"/>
  <c r="M782" i="5" s="1"/>
  <c r="AN781" i="5"/>
  <c r="AM781" i="5"/>
  <c r="AJ781" i="5"/>
  <c r="Q781" i="5"/>
  <c r="P781" i="5"/>
  <c r="N781" i="5"/>
  <c r="L781" i="5"/>
  <c r="H781" i="5"/>
  <c r="O781" i="5" s="1"/>
  <c r="D781" i="5"/>
  <c r="M781" i="5" s="1"/>
  <c r="AN780" i="5"/>
  <c r="AM780" i="5"/>
  <c r="AJ780" i="5"/>
  <c r="Q780" i="5"/>
  <c r="P780" i="5"/>
  <c r="N780" i="5"/>
  <c r="L780" i="5"/>
  <c r="H780" i="5"/>
  <c r="O780" i="5" s="1"/>
  <c r="D780" i="5"/>
  <c r="M780" i="5" s="1"/>
  <c r="AN779" i="5"/>
  <c r="AM779" i="5"/>
  <c r="AJ779" i="5"/>
  <c r="Q779" i="5"/>
  <c r="P779" i="5"/>
  <c r="N779" i="5"/>
  <c r="L779" i="5"/>
  <c r="H779" i="5"/>
  <c r="O779" i="5" s="1"/>
  <c r="D779" i="5"/>
  <c r="M779" i="5" s="1"/>
  <c r="AN778" i="5"/>
  <c r="AM778" i="5"/>
  <c r="AJ778" i="5"/>
  <c r="Q778" i="5"/>
  <c r="P778" i="5"/>
  <c r="N778" i="5"/>
  <c r="L778" i="5"/>
  <c r="H778" i="5"/>
  <c r="O778" i="5" s="1"/>
  <c r="D778" i="5"/>
  <c r="M778" i="5" s="1"/>
  <c r="AN777" i="5"/>
  <c r="AM777" i="5"/>
  <c r="AJ777" i="5"/>
  <c r="Q777" i="5"/>
  <c r="P777" i="5"/>
  <c r="N777" i="5"/>
  <c r="L777" i="5"/>
  <c r="H777" i="5"/>
  <c r="O777" i="5" s="1"/>
  <c r="D777" i="5"/>
  <c r="M777" i="5" s="1"/>
  <c r="AN776" i="5"/>
  <c r="AM776" i="5"/>
  <c r="AJ776" i="5"/>
  <c r="Q776" i="5"/>
  <c r="P776" i="5"/>
  <c r="N776" i="5"/>
  <c r="L776" i="5"/>
  <c r="H776" i="5"/>
  <c r="O776" i="5" s="1"/>
  <c r="D776" i="5"/>
  <c r="M776" i="5" s="1"/>
  <c r="AN775" i="5"/>
  <c r="AM775" i="5"/>
  <c r="AJ775" i="5"/>
  <c r="Q775" i="5"/>
  <c r="P775" i="5"/>
  <c r="N775" i="5"/>
  <c r="L775" i="5"/>
  <c r="H775" i="5"/>
  <c r="O775" i="5" s="1"/>
  <c r="D775" i="5"/>
  <c r="M775" i="5" s="1"/>
  <c r="AN774" i="5"/>
  <c r="AM774" i="5"/>
  <c r="AJ774" i="5"/>
  <c r="Q774" i="5"/>
  <c r="P774" i="5"/>
  <c r="N774" i="5"/>
  <c r="L774" i="5"/>
  <c r="H774" i="5"/>
  <c r="O774" i="5" s="1"/>
  <c r="D774" i="5"/>
  <c r="M774" i="5" s="1"/>
  <c r="AN773" i="5"/>
  <c r="AM773" i="5"/>
  <c r="AJ773" i="5"/>
  <c r="Q773" i="5"/>
  <c r="P773" i="5"/>
  <c r="N773" i="5"/>
  <c r="L773" i="5"/>
  <c r="H773" i="5"/>
  <c r="O773" i="5" s="1"/>
  <c r="D773" i="5"/>
  <c r="M773" i="5" s="1"/>
  <c r="AN772" i="5"/>
  <c r="AM772" i="5"/>
  <c r="AJ772" i="5"/>
  <c r="Q772" i="5"/>
  <c r="P772" i="5"/>
  <c r="N772" i="5"/>
  <c r="L772" i="5"/>
  <c r="H772" i="5"/>
  <c r="O772" i="5" s="1"/>
  <c r="D772" i="5"/>
  <c r="M772" i="5" s="1"/>
  <c r="AN771" i="5"/>
  <c r="AM771" i="5"/>
  <c r="AJ771" i="5"/>
  <c r="Q771" i="5"/>
  <c r="P771" i="5"/>
  <c r="N771" i="5"/>
  <c r="L771" i="5"/>
  <c r="H771" i="5"/>
  <c r="O771" i="5" s="1"/>
  <c r="D771" i="5"/>
  <c r="M771" i="5" s="1"/>
  <c r="AN770" i="5"/>
  <c r="AM770" i="5"/>
  <c r="AJ770" i="5"/>
  <c r="Q770" i="5"/>
  <c r="P770" i="5"/>
  <c r="N770" i="5"/>
  <c r="L770" i="5"/>
  <c r="H770" i="5"/>
  <c r="O770" i="5" s="1"/>
  <c r="D770" i="5"/>
  <c r="M770" i="5" s="1"/>
  <c r="AN769" i="5"/>
  <c r="AM769" i="5"/>
  <c r="AJ769" i="5"/>
  <c r="Q769" i="5"/>
  <c r="P769" i="5"/>
  <c r="N769" i="5"/>
  <c r="L769" i="5"/>
  <c r="H769" i="5"/>
  <c r="O769" i="5" s="1"/>
  <c r="D769" i="5"/>
  <c r="M769" i="5" s="1"/>
  <c r="AN768" i="5"/>
  <c r="AM768" i="5"/>
  <c r="AJ768" i="5"/>
  <c r="Q768" i="5"/>
  <c r="P768" i="5"/>
  <c r="N768" i="5"/>
  <c r="L768" i="5"/>
  <c r="H768" i="5"/>
  <c r="O768" i="5" s="1"/>
  <c r="D768" i="5"/>
  <c r="M768" i="5" s="1"/>
  <c r="AN767" i="5"/>
  <c r="AM767" i="5"/>
  <c r="AJ767" i="5"/>
  <c r="Q767" i="5"/>
  <c r="P767" i="5"/>
  <c r="N767" i="5"/>
  <c r="L767" i="5"/>
  <c r="H767" i="5"/>
  <c r="O767" i="5" s="1"/>
  <c r="D767" i="5"/>
  <c r="M767" i="5" s="1"/>
  <c r="AN766" i="5"/>
  <c r="AM766" i="5"/>
  <c r="AJ766" i="5"/>
  <c r="Q766" i="5"/>
  <c r="P766" i="5"/>
  <c r="N766" i="5"/>
  <c r="L766" i="5"/>
  <c r="H766" i="5"/>
  <c r="O766" i="5" s="1"/>
  <c r="D766" i="5"/>
  <c r="M766" i="5" s="1"/>
  <c r="AN765" i="5"/>
  <c r="AM765" i="5"/>
  <c r="AJ765" i="5"/>
  <c r="Q765" i="5"/>
  <c r="P765" i="5"/>
  <c r="N765" i="5"/>
  <c r="L765" i="5"/>
  <c r="H765" i="5"/>
  <c r="O765" i="5" s="1"/>
  <c r="D765" i="5"/>
  <c r="M765" i="5" s="1"/>
  <c r="AN764" i="5"/>
  <c r="AM764" i="5"/>
  <c r="AJ764" i="5"/>
  <c r="Q764" i="5"/>
  <c r="P764" i="5"/>
  <c r="N764" i="5"/>
  <c r="L764" i="5"/>
  <c r="H764" i="5"/>
  <c r="O764" i="5" s="1"/>
  <c r="D764" i="5"/>
  <c r="M764" i="5" s="1"/>
  <c r="AN763" i="5"/>
  <c r="AM763" i="5"/>
  <c r="AJ763" i="5"/>
  <c r="Q763" i="5"/>
  <c r="P763" i="5"/>
  <c r="N763" i="5"/>
  <c r="L763" i="5"/>
  <c r="H763" i="5"/>
  <c r="O763" i="5" s="1"/>
  <c r="D763" i="5"/>
  <c r="M763" i="5" s="1"/>
  <c r="AN762" i="5"/>
  <c r="AM762" i="5"/>
  <c r="AJ762" i="5"/>
  <c r="Q762" i="5"/>
  <c r="P762" i="5"/>
  <c r="N762" i="5"/>
  <c r="L762" i="5"/>
  <c r="H762" i="5"/>
  <c r="O762" i="5" s="1"/>
  <c r="D762" i="5"/>
  <c r="M762" i="5" s="1"/>
  <c r="AN761" i="5"/>
  <c r="AM761" i="5"/>
  <c r="AJ761" i="5"/>
  <c r="Q761" i="5"/>
  <c r="P761" i="5"/>
  <c r="N761" i="5"/>
  <c r="L761" i="5"/>
  <c r="H761" i="5"/>
  <c r="O761" i="5" s="1"/>
  <c r="D761" i="5"/>
  <c r="M761" i="5" s="1"/>
  <c r="AN760" i="5"/>
  <c r="AM760" i="5"/>
  <c r="AJ760" i="5"/>
  <c r="Q760" i="5"/>
  <c r="P760" i="5"/>
  <c r="N760" i="5"/>
  <c r="L760" i="5"/>
  <c r="H760" i="5"/>
  <c r="O760" i="5" s="1"/>
  <c r="D760" i="5"/>
  <c r="M760" i="5" s="1"/>
  <c r="AN759" i="5"/>
  <c r="AM759" i="5"/>
  <c r="AJ759" i="5"/>
  <c r="Q759" i="5"/>
  <c r="P759" i="5"/>
  <c r="N759" i="5"/>
  <c r="L759" i="5"/>
  <c r="H759" i="5"/>
  <c r="O759" i="5" s="1"/>
  <c r="D759" i="5"/>
  <c r="M759" i="5" s="1"/>
  <c r="AN758" i="5"/>
  <c r="AM758" i="5"/>
  <c r="AJ758" i="5"/>
  <c r="Q758" i="5"/>
  <c r="P758" i="5"/>
  <c r="N758" i="5"/>
  <c r="L758" i="5"/>
  <c r="H758" i="5"/>
  <c r="O758" i="5" s="1"/>
  <c r="D758" i="5"/>
  <c r="M758" i="5" s="1"/>
  <c r="AN757" i="5"/>
  <c r="AM757" i="5"/>
  <c r="AJ757" i="5"/>
  <c r="Q757" i="5"/>
  <c r="P757" i="5"/>
  <c r="N757" i="5"/>
  <c r="L757" i="5"/>
  <c r="H757" i="5"/>
  <c r="O757" i="5" s="1"/>
  <c r="D757" i="5"/>
  <c r="M757" i="5" s="1"/>
  <c r="AN756" i="5"/>
  <c r="AM756" i="5"/>
  <c r="AJ756" i="5"/>
  <c r="Q756" i="5"/>
  <c r="P756" i="5"/>
  <c r="N756" i="5"/>
  <c r="L756" i="5"/>
  <c r="H756" i="5"/>
  <c r="O756" i="5" s="1"/>
  <c r="D756" i="5"/>
  <c r="M756" i="5" s="1"/>
  <c r="AN755" i="5"/>
  <c r="AM755" i="5"/>
  <c r="AJ755" i="5"/>
  <c r="Q755" i="5"/>
  <c r="P755" i="5"/>
  <c r="N755" i="5"/>
  <c r="L755" i="5"/>
  <c r="H755" i="5"/>
  <c r="O755" i="5" s="1"/>
  <c r="D755" i="5"/>
  <c r="M755" i="5" s="1"/>
  <c r="AN754" i="5"/>
  <c r="AM754" i="5"/>
  <c r="AJ754" i="5"/>
  <c r="Q754" i="5"/>
  <c r="P754" i="5"/>
  <c r="N754" i="5"/>
  <c r="L754" i="5"/>
  <c r="H754" i="5"/>
  <c r="O754" i="5" s="1"/>
  <c r="D754" i="5"/>
  <c r="M754" i="5" s="1"/>
  <c r="AN753" i="5"/>
  <c r="AM753" i="5"/>
  <c r="AJ753" i="5"/>
  <c r="Q753" i="5"/>
  <c r="P753" i="5"/>
  <c r="N753" i="5"/>
  <c r="L753" i="5"/>
  <c r="H753" i="5"/>
  <c r="O753" i="5" s="1"/>
  <c r="D753" i="5"/>
  <c r="M753" i="5" s="1"/>
  <c r="AN752" i="5"/>
  <c r="AM752" i="5"/>
  <c r="AJ752" i="5"/>
  <c r="Q752" i="5"/>
  <c r="P752" i="5"/>
  <c r="N752" i="5"/>
  <c r="L752" i="5"/>
  <c r="H752" i="5"/>
  <c r="O752" i="5" s="1"/>
  <c r="D752" i="5"/>
  <c r="M752" i="5" s="1"/>
  <c r="AN751" i="5"/>
  <c r="AM751" i="5"/>
  <c r="AJ751" i="5"/>
  <c r="Q751" i="5"/>
  <c r="P751" i="5"/>
  <c r="N751" i="5"/>
  <c r="L751" i="5"/>
  <c r="H751" i="5"/>
  <c r="O751" i="5" s="1"/>
  <c r="D751" i="5"/>
  <c r="M751" i="5" s="1"/>
  <c r="AN750" i="5"/>
  <c r="AM750" i="5"/>
  <c r="AJ750" i="5"/>
  <c r="Q750" i="5"/>
  <c r="P750" i="5"/>
  <c r="N750" i="5"/>
  <c r="L750" i="5"/>
  <c r="H750" i="5"/>
  <c r="O750" i="5" s="1"/>
  <c r="D750" i="5"/>
  <c r="M750" i="5" s="1"/>
  <c r="AN749" i="5"/>
  <c r="AM749" i="5"/>
  <c r="AJ749" i="5"/>
  <c r="Q749" i="5"/>
  <c r="P749" i="5"/>
  <c r="N749" i="5"/>
  <c r="L749" i="5"/>
  <c r="H749" i="5"/>
  <c r="O749" i="5" s="1"/>
  <c r="D749" i="5"/>
  <c r="M749" i="5" s="1"/>
  <c r="AN748" i="5"/>
  <c r="AM748" i="5"/>
  <c r="AJ748" i="5"/>
  <c r="Q748" i="5"/>
  <c r="P748" i="5"/>
  <c r="N748" i="5"/>
  <c r="L748" i="5"/>
  <c r="H748" i="5"/>
  <c r="O748" i="5" s="1"/>
  <c r="D748" i="5"/>
  <c r="M748" i="5" s="1"/>
  <c r="AN747" i="5"/>
  <c r="AM747" i="5"/>
  <c r="AJ747" i="5"/>
  <c r="Q747" i="5"/>
  <c r="P747" i="5"/>
  <c r="N747" i="5"/>
  <c r="L747" i="5"/>
  <c r="H747" i="5"/>
  <c r="O747" i="5" s="1"/>
  <c r="D747" i="5"/>
  <c r="M747" i="5" s="1"/>
  <c r="AN746" i="5"/>
  <c r="AM746" i="5"/>
  <c r="AJ746" i="5"/>
  <c r="Q746" i="5"/>
  <c r="P746" i="5"/>
  <c r="N746" i="5"/>
  <c r="L746" i="5"/>
  <c r="H746" i="5"/>
  <c r="O746" i="5" s="1"/>
  <c r="D746" i="5"/>
  <c r="M746" i="5" s="1"/>
  <c r="AN745" i="5"/>
  <c r="AM745" i="5"/>
  <c r="AJ745" i="5"/>
  <c r="Q745" i="5"/>
  <c r="P745" i="5"/>
  <c r="N745" i="5"/>
  <c r="L745" i="5"/>
  <c r="H745" i="5"/>
  <c r="O745" i="5" s="1"/>
  <c r="D745" i="5"/>
  <c r="M745" i="5" s="1"/>
  <c r="AN744" i="5"/>
  <c r="AM744" i="5"/>
  <c r="AJ744" i="5"/>
  <c r="Q744" i="5"/>
  <c r="P744" i="5"/>
  <c r="N744" i="5"/>
  <c r="L744" i="5"/>
  <c r="H744" i="5"/>
  <c r="O744" i="5" s="1"/>
  <c r="D744" i="5"/>
  <c r="M744" i="5" s="1"/>
  <c r="AN743" i="5"/>
  <c r="AM743" i="5"/>
  <c r="AJ743" i="5"/>
  <c r="Q743" i="5"/>
  <c r="P743" i="5"/>
  <c r="N743" i="5"/>
  <c r="L743" i="5"/>
  <c r="H743" i="5"/>
  <c r="O743" i="5" s="1"/>
  <c r="D743" i="5"/>
  <c r="M743" i="5" s="1"/>
  <c r="AN742" i="5"/>
  <c r="AM742" i="5"/>
  <c r="AJ742" i="5"/>
  <c r="Q742" i="5"/>
  <c r="P742" i="5"/>
  <c r="N742" i="5"/>
  <c r="L742" i="5"/>
  <c r="H742" i="5"/>
  <c r="O742" i="5" s="1"/>
  <c r="D742" i="5"/>
  <c r="M742" i="5" s="1"/>
  <c r="AN741" i="5"/>
  <c r="AM741" i="5"/>
  <c r="AJ741" i="5"/>
  <c r="Q741" i="5"/>
  <c r="P741" i="5"/>
  <c r="N741" i="5"/>
  <c r="L741" i="5"/>
  <c r="H741" i="5"/>
  <c r="O741" i="5" s="1"/>
  <c r="D741" i="5"/>
  <c r="M741" i="5" s="1"/>
  <c r="AN740" i="5"/>
  <c r="AM740" i="5"/>
  <c r="AJ740" i="5"/>
  <c r="Q740" i="5"/>
  <c r="P740" i="5"/>
  <c r="N740" i="5"/>
  <c r="L740" i="5"/>
  <c r="H740" i="5"/>
  <c r="O740" i="5" s="1"/>
  <c r="D740" i="5"/>
  <c r="M740" i="5" s="1"/>
  <c r="AN739" i="5"/>
  <c r="AM739" i="5"/>
  <c r="AJ739" i="5"/>
  <c r="Q739" i="5"/>
  <c r="P739" i="5"/>
  <c r="N739" i="5"/>
  <c r="L739" i="5"/>
  <c r="H739" i="5"/>
  <c r="O739" i="5" s="1"/>
  <c r="D739" i="5"/>
  <c r="M739" i="5" s="1"/>
  <c r="AN738" i="5"/>
  <c r="AM738" i="5"/>
  <c r="AJ738" i="5"/>
  <c r="Q738" i="5"/>
  <c r="P738" i="5"/>
  <c r="N738" i="5"/>
  <c r="L738" i="5"/>
  <c r="H738" i="5"/>
  <c r="O738" i="5" s="1"/>
  <c r="D738" i="5"/>
  <c r="M738" i="5" s="1"/>
  <c r="AN737" i="5"/>
  <c r="AM737" i="5"/>
  <c r="AJ737" i="5"/>
  <c r="Q737" i="5"/>
  <c r="P737" i="5"/>
  <c r="N737" i="5"/>
  <c r="L737" i="5"/>
  <c r="H737" i="5"/>
  <c r="O737" i="5" s="1"/>
  <c r="D737" i="5"/>
  <c r="M737" i="5" s="1"/>
  <c r="AN736" i="5"/>
  <c r="AM736" i="5"/>
  <c r="AJ736" i="5"/>
  <c r="Q736" i="5"/>
  <c r="P736" i="5"/>
  <c r="N736" i="5"/>
  <c r="L736" i="5"/>
  <c r="H736" i="5"/>
  <c r="O736" i="5" s="1"/>
  <c r="D736" i="5"/>
  <c r="M736" i="5" s="1"/>
  <c r="AN735" i="5"/>
  <c r="AM735" i="5"/>
  <c r="AJ735" i="5"/>
  <c r="Q735" i="5"/>
  <c r="P735" i="5"/>
  <c r="N735" i="5"/>
  <c r="L735" i="5"/>
  <c r="H735" i="5"/>
  <c r="O735" i="5" s="1"/>
  <c r="D735" i="5"/>
  <c r="M735" i="5" s="1"/>
  <c r="AN734" i="5"/>
  <c r="AM734" i="5"/>
  <c r="AJ734" i="5"/>
  <c r="Q734" i="5"/>
  <c r="P734" i="5"/>
  <c r="N734" i="5"/>
  <c r="L734" i="5"/>
  <c r="H734" i="5"/>
  <c r="O734" i="5" s="1"/>
  <c r="D734" i="5"/>
  <c r="M734" i="5" s="1"/>
  <c r="AN733" i="5"/>
  <c r="AM733" i="5"/>
  <c r="AJ733" i="5"/>
  <c r="Q733" i="5"/>
  <c r="P733" i="5"/>
  <c r="N733" i="5"/>
  <c r="L733" i="5"/>
  <c r="H733" i="5"/>
  <c r="O733" i="5" s="1"/>
  <c r="D733" i="5"/>
  <c r="M733" i="5" s="1"/>
  <c r="AN732" i="5"/>
  <c r="AM732" i="5"/>
  <c r="AJ732" i="5"/>
  <c r="Q732" i="5"/>
  <c r="P732" i="5"/>
  <c r="N732" i="5"/>
  <c r="L732" i="5"/>
  <c r="H732" i="5"/>
  <c r="O732" i="5" s="1"/>
  <c r="D732" i="5"/>
  <c r="M732" i="5" s="1"/>
  <c r="AN731" i="5"/>
  <c r="AM731" i="5"/>
  <c r="AJ731" i="5"/>
  <c r="Q731" i="5"/>
  <c r="P731" i="5"/>
  <c r="N731" i="5"/>
  <c r="L731" i="5"/>
  <c r="H731" i="5"/>
  <c r="O731" i="5" s="1"/>
  <c r="D731" i="5"/>
  <c r="M731" i="5" s="1"/>
  <c r="AN730" i="5"/>
  <c r="AM730" i="5"/>
  <c r="AJ730" i="5"/>
  <c r="Q730" i="5"/>
  <c r="P730" i="5"/>
  <c r="N730" i="5"/>
  <c r="L730" i="5"/>
  <c r="H730" i="5"/>
  <c r="O730" i="5" s="1"/>
  <c r="D730" i="5"/>
  <c r="M730" i="5" s="1"/>
  <c r="AN729" i="5"/>
  <c r="AM729" i="5"/>
  <c r="AJ729" i="5"/>
  <c r="Q729" i="5"/>
  <c r="P729" i="5"/>
  <c r="N729" i="5"/>
  <c r="L729" i="5"/>
  <c r="H729" i="5"/>
  <c r="O729" i="5" s="1"/>
  <c r="D729" i="5"/>
  <c r="M729" i="5" s="1"/>
  <c r="AN728" i="5"/>
  <c r="AM728" i="5"/>
  <c r="AJ728" i="5"/>
  <c r="Q728" i="5"/>
  <c r="P728" i="5"/>
  <c r="N728" i="5"/>
  <c r="L728" i="5"/>
  <c r="H728" i="5"/>
  <c r="O728" i="5" s="1"/>
  <c r="D728" i="5"/>
  <c r="M728" i="5" s="1"/>
  <c r="AN727" i="5"/>
  <c r="AM727" i="5"/>
  <c r="AJ727" i="5"/>
  <c r="Q727" i="5"/>
  <c r="P727" i="5"/>
  <c r="N727" i="5"/>
  <c r="L727" i="5"/>
  <c r="H727" i="5"/>
  <c r="O727" i="5" s="1"/>
  <c r="D727" i="5"/>
  <c r="M727" i="5" s="1"/>
  <c r="AN726" i="5"/>
  <c r="AM726" i="5"/>
  <c r="AJ726" i="5"/>
  <c r="Q726" i="5"/>
  <c r="P726" i="5"/>
  <c r="N726" i="5"/>
  <c r="L726" i="5"/>
  <c r="H726" i="5"/>
  <c r="O726" i="5" s="1"/>
  <c r="D726" i="5"/>
  <c r="M726" i="5" s="1"/>
  <c r="AN725" i="5"/>
  <c r="AM725" i="5"/>
  <c r="AJ725" i="5"/>
  <c r="Q725" i="5"/>
  <c r="P725" i="5"/>
  <c r="N725" i="5"/>
  <c r="L725" i="5"/>
  <c r="H725" i="5"/>
  <c r="O725" i="5" s="1"/>
  <c r="D725" i="5"/>
  <c r="M725" i="5" s="1"/>
  <c r="AN724" i="5"/>
  <c r="AM724" i="5"/>
  <c r="AJ724" i="5"/>
  <c r="Q724" i="5"/>
  <c r="P724" i="5"/>
  <c r="N724" i="5"/>
  <c r="L724" i="5"/>
  <c r="H724" i="5"/>
  <c r="O724" i="5" s="1"/>
  <c r="D724" i="5"/>
  <c r="M724" i="5" s="1"/>
  <c r="AN723" i="5"/>
  <c r="AM723" i="5"/>
  <c r="AJ723" i="5"/>
  <c r="Q723" i="5"/>
  <c r="P723" i="5"/>
  <c r="N723" i="5"/>
  <c r="L723" i="5"/>
  <c r="H723" i="5"/>
  <c r="O723" i="5" s="1"/>
  <c r="D723" i="5"/>
  <c r="M723" i="5" s="1"/>
  <c r="AN722" i="5"/>
  <c r="AM722" i="5"/>
  <c r="AJ722" i="5"/>
  <c r="Q722" i="5"/>
  <c r="P722" i="5"/>
  <c r="N722" i="5"/>
  <c r="L722" i="5"/>
  <c r="H722" i="5"/>
  <c r="O722" i="5" s="1"/>
  <c r="D722" i="5"/>
  <c r="M722" i="5" s="1"/>
  <c r="AN721" i="5"/>
  <c r="AM721" i="5"/>
  <c r="AJ721" i="5"/>
  <c r="Q721" i="5"/>
  <c r="P721" i="5"/>
  <c r="N721" i="5"/>
  <c r="L721" i="5"/>
  <c r="H721" i="5"/>
  <c r="O721" i="5" s="1"/>
  <c r="D721" i="5"/>
  <c r="M721" i="5" s="1"/>
  <c r="AN720" i="5"/>
  <c r="AM720" i="5"/>
  <c r="AJ720" i="5"/>
  <c r="Q720" i="5"/>
  <c r="P720" i="5"/>
  <c r="N720" i="5"/>
  <c r="L720" i="5"/>
  <c r="H720" i="5"/>
  <c r="O720" i="5" s="1"/>
  <c r="D720" i="5"/>
  <c r="M720" i="5" s="1"/>
  <c r="AN719" i="5"/>
  <c r="AM719" i="5"/>
  <c r="AJ719" i="5"/>
  <c r="Q719" i="5"/>
  <c r="P719" i="5"/>
  <c r="N719" i="5"/>
  <c r="L719" i="5"/>
  <c r="H719" i="5"/>
  <c r="O719" i="5" s="1"/>
  <c r="D719" i="5"/>
  <c r="M719" i="5" s="1"/>
  <c r="AN718" i="5"/>
  <c r="AM718" i="5"/>
  <c r="AJ718" i="5"/>
  <c r="Q718" i="5"/>
  <c r="P718" i="5"/>
  <c r="N718" i="5"/>
  <c r="L718" i="5"/>
  <c r="H718" i="5"/>
  <c r="O718" i="5" s="1"/>
  <c r="D718" i="5"/>
  <c r="M718" i="5" s="1"/>
  <c r="AN717" i="5"/>
  <c r="AM717" i="5"/>
  <c r="AJ717" i="5"/>
  <c r="Q717" i="5"/>
  <c r="P717" i="5"/>
  <c r="N717" i="5"/>
  <c r="L717" i="5"/>
  <c r="H717" i="5"/>
  <c r="O717" i="5" s="1"/>
  <c r="D717" i="5"/>
  <c r="M717" i="5" s="1"/>
  <c r="AN716" i="5"/>
  <c r="AM716" i="5"/>
  <c r="AJ716" i="5"/>
  <c r="Q716" i="5"/>
  <c r="P716" i="5"/>
  <c r="N716" i="5"/>
  <c r="L716" i="5"/>
  <c r="H716" i="5"/>
  <c r="O716" i="5" s="1"/>
  <c r="D716" i="5"/>
  <c r="M716" i="5" s="1"/>
  <c r="AN715" i="5"/>
  <c r="AM715" i="5"/>
  <c r="AJ715" i="5"/>
  <c r="Q715" i="5"/>
  <c r="P715" i="5"/>
  <c r="N715" i="5"/>
  <c r="L715" i="5"/>
  <c r="H715" i="5"/>
  <c r="O715" i="5" s="1"/>
  <c r="D715" i="5"/>
  <c r="M715" i="5" s="1"/>
  <c r="AN714" i="5"/>
  <c r="AM714" i="5"/>
  <c r="AJ714" i="5"/>
  <c r="Q714" i="5"/>
  <c r="P714" i="5"/>
  <c r="N714" i="5"/>
  <c r="L714" i="5"/>
  <c r="H714" i="5"/>
  <c r="O714" i="5" s="1"/>
  <c r="D714" i="5"/>
  <c r="M714" i="5" s="1"/>
  <c r="AN713" i="5"/>
  <c r="AM713" i="5"/>
  <c r="AJ713" i="5"/>
  <c r="Q713" i="5"/>
  <c r="P713" i="5"/>
  <c r="N713" i="5"/>
  <c r="L713" i="5"/>
  <c r="H713" i="5"/>
  <c r="O713" i="5" s="1"/>
  <c r="D713" i="5"/>
  <c r="M713" i="5" s="1"/>
  <c r="AN712" i="5"/>
  <c r="AM712" i="5"/>
  <c r="AJ712" i="5"/>
  <c r="Q712" i="5"/>
  <c r="P712" i="5"/>
  <c r="N712" i="5"/>
  <c r="L712" i="5"/>
  <c r="H712" i="5"/>
  <c r="O712" i="5" s="1"/>
  <c r="D712" i="5"/>
  <c r="M712" i="5" s="1"/>
  <c r="AN711" i="5"/>
  <c r="AM711" i="5"/>
  <c r="AJ711" i="5"/>
  <c r="Q711" i="5"/>
  <c r="P711" i="5"/>
  <c r="N711" i="5"/>
  <c r="L711" i="5"/>
  <c r="H711" i="5"/>
  <c r="O711" i="5" s="1"/>
  <c r="D711" i="5"/>
  <c r="M711" i="5" s="1"/>
  <c r="AN710" i="5"/>
  <c r="AM710" i="5"/>
  <c r="AJ710" i="5"/>
  <c r="Q710" i="5"/>
  <c r="P710" i="5"/>
  <c r="N710" i="5"/>
  <c r="L710" i="5"/>
  <c r="H710" i="5"/>
  <c r="O710" i="5" s="1"/>
  <c r="D710" i="5"/>
  <c r="M710" i="5" s="1"/>
  <c r="AN709" i="5"/>
  <c r="AM709" i="5"/>
  <c r="AJ709" i="5"/>
  <c r="Q709" i="5"/>
  <c r="P709" i="5"/>
  <c r="N709" i="5"/>
  <c r="L709" i="5"/>
  <c r="H709" i="5"/>
  <c r="O709" i="5" s="1"/>
  <c r="D709" i="5"/>
  <c r="M709" i="5" s="1"/>
  <c r="AN708" i="5"/>
  <c r="AM708" i="5"/>
  <c r="AJ708" i="5"/>
  <c r="Q708" i="5"/>
  <c r="P708" i="5"/>
  <c r="N708" i="5"/>
  <c r="L708" i="5"/>
  <c r="H708" i="5"/>
  <c r="O708" i="5" s="1"/>
  <c r="D708" i="5"/>
  <c r="M708" i="5" s="1"/>
  <c r="AN707" i="5"/>
  <c r="AM707" i="5"/>
  <c r="AJ707" i="5"/>
  <c r="Q707" i="5"/>
  <c r="P707" i="5"/>
  <c r="N707" i="5"/>
  <c r="L707" i="5"/>
  <c r="H707" i="5"/>
  <c r="O707" i="5" s="1"/>
  <c r="D707" i="5"/>
  <c r="M707" i="5" s="1"/>
  <c r="AN706" i="5"/>
  <c r="AM706" i="5"/>
  <c r="AJ706" i="5"/>
  <c r="Q706" i="5"/>
  <c r="P706" i="5"/>
  <c r="N706" i="5"/>
  <c r="L706" i="5"/>
  <c r="H706" i="5"/>
  <c r="O706" i="5" s="1"/>
  <c r="D706" i="5"/>
  <c r="M706" i="5" s="1"/>
  <c r="AN705" i="5"/>
  <c r="AM705" i="5"/>
  <c r="AJ705" i="5"/>
  <c r="Q705" i="5"/>
  <c r="P705" i="5"/>
  <c r="N705" i="5"/>
  <c r="L705" i="5"/>
  <c r="H705" i="5"/>
  <c r="O705" i="5" s="1"/>
  <c r="D705" i="5"/>
  <c r="M705" i="5" s="1"/>
  <c r="AN704" i="5"/>
  <c r="AM704" i="5"/>
  <c r="AJ704" i="5"/>
  <c r="Q704" i="5"/>
  <c r="P704" i="5"/>
  <c r="N704" i="5"/>
  <c r="L704" i="5"/>
  <c r="H704" i="5"/>
  <c r="O704" i="5" s="1"/>
  <c r="D704" i="5"/>
  <c r="M704" i="5" s="1"/>
  <c r="AN703" i="5"/>
  <c r="AM703" i="5"/>
  <c r="AJ703" i="5"/>
  <c r="Q703" i="5"/>
  <c r="P703" i="5"/>
  <c r="N703" i="5"/>
  <c r="L703" i="5"/>
  <c r="H703" i="5"/>
  <c r="O703" i="5" s="1"/>
  <c r="D703" i="5"/>
  <c r="M703" i="5" s="1"/>
  <c r="AN702" i="5"/>
  <c r="AM702" i="5"/>
  <c r="AJ702" i="5"/>
  <c r="Q702" i="5"/>
  <c r="P702" i="5"/>
  <c r="N702" i="5"/>
  <c r="L702" i="5"/>
  <c r="H702" i="5"/>
  <c r="O702" i="5" s="1"/>
  <c r="D702" i="5"/>
  <c r="M702" i="5" s="1"/>
  <c r="AN701" i="5"/>
  <c r="AM701" i="5"/>
  <c r="AJ701" i="5"/>
  <c r="Q701" i="5"/>
  <c r="P701" i="5"/>
  <c r="N701" i="5"/>
  <c r="L701" i="5"/>
  <c r="H701" i="5"/>
  <c r="O701" i="5" s="1"/>
  <c r="D701" i="5"/>
  <c r="M701" i="5" s="1"/>
  <c r="AN700" i="5"/>
  <c r="AM700" i="5"/>
  <c r="AJ700" i="5"/>
  <c r="Q700" i="5"/>
  <c r="P700" i="5"/>
  <c r="N700" i="5"/>
  <c r="L700" i="5"/>
  <c r="H700" i="5"/>
  <c r="O700" i="5" s="1"/>
  <c r="D700" i="5"/>
  <c r="M700" i="5" s="1"/>
  <c r="AN699" i="5"/>
  <c r="AM699" i="5"/>
  <c r="AJ699" i="5"/>
  <c r="Q699" i="5"/>
  <c r="P699" i="5"/>
  <c r="N699" i="5"/>
  <c r="L699" i="5"/>
  <c r="H699" i="5"/>
  <c r="O699" i="5" s="1"/>
  <c r="D699" i="5"/>
  <c r="M699" i="5" s="1"/>
  <c r="AN698" i="5"/>
  <c r="AM698" i="5"/>
  <c r="AJ698" i="5"/>
  <c r="Q698" i="5"/>
  <c r="P698" i="5"/>
  <c r="N698" i="5"/>
  <c r="L698" i="5"/>
  <c r="H698" i="5"/>
  <c r="O698" i="5" s="1"/>
  <c r="D698" i="5"/>
  <c r="M698" i="5" s="1"/>
  <c r="AN697" i="5"/>
  <c r="AM697" i="5"/>
  <c r="AJ697" i="5"/>
  <c r="Q697" i="5"/>
  <c r="P697" i="5"/>
  <c r="N697" i="5"/>
  <c r="L697" i="5"/>
  <c r="H697" i="5"/>
  <c r="O697" i="5" s="1"/>
  <c r="D697" i="5"/>
  <c r="M697" i="5" s="1"/>
  <c r="AN696" i="5"/>
  <c r="AM696" i="5"/>
  <c r="AJ696" i="5"/>
  <c r="Q696" i="5"/>
  <c r="P696" i="5"/>
  <c r="N696" i="5"/>
  <c r="L696" i="5"/>
  <c r="H696" i="5"/>
  <c r="O696" i="5" s="1"/>
  <c r="D696" i="5"/>
  <c r="M696" i="5" s="1"/>
  <c r="AN695" i="5"/>
  <c r="AM695" i="5"/>
  <c r="AJ695" i="5"/>
  <c r="Q695" i="5"/>
  <c r="P695" i="5"/>
  <c r="N695" i="5"/>
  <c r="L695" i="5"/>
  <c r="H695" i="5"/>
  <c r="O695" i="5" s="1"/>
  <c r="D695" i="5"/>
  <c r="M695" i="5" s="1"/>
  <c r="AN694" i="5"/>
  <c r="AM694" i="5"/>
  <c r="AJ694" i="5"/>
  <c r="Q694" i="5"/>
  <c r="P694" i="5"/>
  <c r="N694" i="5"/>
  <c r="L694" i="5"/>
  <c r="H694" i="5"/>
  <c r="O694" i="5" s="1"/>
  <c r="D694" i="5"/>
  <c r="M694" i="5" s="1"/>
  <c r="AN693" i="5"/>
  <c r="AM693" i="5"/>
  <c r="AJ693" i="5"/>
  <c r="Q693" i="5"/>
  <c r="P693" i="5"/>
  <c r="N693" i="5"/>
  <c r="L693" i="5"/>
  <c r="H693" i="5"/>
  <c r="O693" i="5" s="1"/>
  <c r="D693" i="5"/>
  <c r="M693" i="5" s="1"/>
  <c r="AN692" i="5"/>
  <c r="AM692" i="5"/>
  <c r="AJ692" i="5"/>
  <c r="Q692" i="5"/>
  <c r="P692" i="5"/>
  <c r="N692" i="5"/>
  <c r="L692" i="5"/>
  <c r="H692" i="5"/>
  <c r="O692" i="5" s="1"/>
  <c r="D692" i="5"/>
  <c r="M692" i="5" s="1"/>
  <c r="AN691" i="5"/>
  <c r="AM691" i="5"/>
  <c r="AJ691" i="5"/>
  <c r="Q691" i="5"/>
  <c r="P691" i="5"/>
  <c r="N691" i="5"/>
  <c r="L691" i="5"/>
  <c r="H691" i="5"/>
  <c r="O691" i="5" s="1"/>
  <c r="D691" i="5"/>
  <c r="M691" i="5" s="1"/>
  <c r="AN690" i="5"/>
  <c r="AM690" i="5"/>
  <c r="AJ690" i="5"/>
  <c r="Q690" i="5"/>
  <c r="P690" i="5"/>
  <c r="N690" i="5"/>
  <c r="L690" i="5"/>
  <c r="H690" i="5"/>
  <c r="O690" i="5" s="1"/>
  <c r="D690" i="5"/>
  <c r="M690" i="5" s="1"/>
  <c r="AN689" i="5"/>
  <c r="AM689" i="5"/>
  <c r="AJ689" i="5"/>
  <c r="Q689" i="5"/>
  <c r="P689" i="5"/>
  <c r="N689" i="5"/>
  <c r="L689" i="5"/>
  <c r="H689" i="5"/>
  <c r="O689" i="5" s="1"/>
  <c r="D689" i="5"/>
  <c r="M689" i="5" s="1"/>
  <c r="AN688" i="5"/>
  <c r="AM688" i="5"/>
  <c r="AJ688" i="5"/>
  <c r="Q688" i="5"/>
  <c r="P688" i="5"/>
  <c r="N688" i="5"/>
  <c r="L688" i="5"/>
  <c r="H688" i="5"/>
  <c r="O688" i="5" s="1"/>
  <c r="D688" i="5"/>
  <c r="M688" i="5" s="1"/>
  <c r="AN687" i="5"/>
  <c r="AM687" i="5"/>
  <c r="AJ687" i="5"/>
  <c r="Q687" i="5"/>
  <c r="P687" i="5"/>
  <c r="N687" i="5"/>
  <c r="L687" i="5"/>
  <c r="H687" i="5"/>
  <c r="O687" i="5" s="1"/>
  <c r="D687" i="5"/>
  <c r="M687" i="5" s="1"/>
  <c r="AN686" i="5"/>
  <c r="AM686" i="5"/>
  <c r="AJ686" i="5"/>
  <c r="Q686" i="5"/>
  <c r="P686" i="5"/>
  <c r="N686" i="5"/>
  <c r="L686" i="5"/>
  <c r="H686" i="5"/>
  <c r="O686" i="5" s="1"/>
  <c r="D686" i="5"/>
  <c r="M686" i="5" s="1"/>
  <c r="AN685" i="5"/>
  <c r="AM685" i="5"/>
  <c r="AJ685" i="5"/>
  <c r="Q685" i="5"/>
  <c r="P685" i="5"/>
  <c r="N685" i="5"/>
  <c r="L685" i="5"/>
  <c r="H685" i="5"/>
  <c r="O685" i="5" s="1"/>
  <c r="D685" i="5"/>
  <c r="M685" i="5" s="1"/>
  <c r="AN684" i="5"/>
  <c r="AM684" i="5"/>
  <c r="AJ684" i="5"/>
  <c r="Q684" i="5"/>
  <c r="P684" i="5"/>
  <c r="N684" i="5"/>
  <c r="L684" i="5"/>
  <c r="H684" i="5"/>
  <c r="O684" i="5" s="1"/>
  <c r="D684" i="5"/>
  <c r="M684" i="5" s="1"/>
  <c r="AN683" i="5"/>
  <c r="AM683" i="5"/>
  <c r="AJ683" i="5"/>
  <c r="Q683" i="5"/>
  <c r="P683" i="5"/>
  <c r="N683" i="5"/>
  <c r="L683" i="5"/>
  <c r="H683" i="5"/>
  <c r="O683" i="5" s="1"/>
  <c r="D683" i="5"/>
  <c r="M683" i="5" s="1"/>
  <c r="AN682" i="5"/>
  <c r="AM682" i="5"/>
  <c r="AJ682" i="5"/>
  <c r="Q682" i="5"/>
  <c r="P682" i="5"/>
  <c r="N682" i="5"/>
  <c r="L682" i="5"/>
  <c r="H682" i="5"/>
  <c r="O682" i="5" s="1"/>
  <c r="D682" i="5"/>
  <c r="M682" i="5" s="1"/>
  <c r="AN681" i="5"/>
  <c r="AM681" i="5"/>
  <c r="AJ681" i="5"/>
  <c r="Q681" i="5"/>
  <c r="P681" i="5"/>
  <c r="N681" i="5"/>
  <c r="L681" i="5"/>
  <c r="H681" i="5"/>
  <c r="O681" i="5" s="1"/>
  <c r="D681" i="5"/>
  <c r="M681" i="5" s="1"/>
  <c r="AN680" i="5"/>
  <c r="AM680" i="5"/>
  <c r="AJ680" i="5"/>
  <c r="Q680" i="5"/>
  <c r="P680" i="5"/>
  <c r="N680" i="5"/>
  <c r="L680" i="5"/>
  <c r="H680" i="5"/>
  <c r="O680" i="5" s="1"/>
  <c r="D680" i="5"/>
  <c r="M680" i="5" s="1"/>
  <c r="AN679" i="5"/>
  <c r="AM679" i="5"/>
  <c r="AJ679" i="5"/>
  <c r="Q679" i="5"/>
  <c r="P679" i="5"/>
  <c r="N679" i="5"/>
  <c r="L679" i="5"/>
  <c r="H679" i="5"/>
  <c r="O679" i="5" s="1"/>
  <c r="D679" i="5"/>
  <c r="M679" i="5" s="1"/>
  <c r="AN678" i="5"/>
  <c r="AM678" i="5"/>
  <c r="AJ678" i="5"/>
  <c r="Q678" i="5"/>
  <c r="P678" i="5"/>
  <c r="N678" i="5"/>
  <c r="L678" i="5"/>
  <c r="H678" i="5"/>
  <c r="O678" i="5" s="1"/>
  <c r="D678" i="5"/>
  <c r="M678" i="5" s="1"/>
  <c r="AN677" i="5"/>
  <c r="AM677" i="5"/>
  <c r="AJ677" i="5"/>
  <c r="Q677" i="5"/>
  <c r="P677" i="5"/>
  <c r="N677" i="5"/>
  <c r="L677" i="5"/>
  <c r="H677" i="5"/>
  <c r="O677" i="5" s="1"/>
  <c r="D677" i="5"/>
  <c r="M677" i="5" s="1"/>
  <c r="AN676" i="5"/>
  <c r="AM676" i="5"/>
  <c r="AJ676" i="5"/>
  <c r="Q676" i="5"/>
  <c r="P676" i="5"/>
  <c r="N676" i="5"/>
  <c r="L676" i="5"/>
  <c r="H676" i="5"/>
  <c r="O676" i="5" s="1"/>
  <c r="D676" i="5"/>
  <c r="M676" i="5" s="1"/>
  <c r="AN675" i="5"/>
  <c r="AM675" i="5"/>
  <c r="AJ675" i="5"/>
  <c r="Q675" i="5"/>
  <c r="P675" i="5"/>
  <c r="N675" i="5"/>
  <c r="L675" i="5"/>
  <c r="H675" i="5"/>
  <c r="O675" i="5" s="1"/>
  <c r="D675" i="5"/>
  <c r="M675" i="5" s="1"/>
  <c r="AN674" i="5"/>
  <c r="AM674" i="5"/>
  <c r="AJ674" i="5"/>
  <c r="Q674" i="5"/>
  <c r="P674" i="5"/>
  <c r="N674" i="5"/>
  <c r="L674" i="5"/>
  <c r="H674" i="5"/>
  <c r="O674" i="5" s="1"/>
  <c r="D674" i="5"/>
  <c r="M674" i="5" s="1"/>
  <c r="AN673" i="5"/>
  <c r="AM673" i="5"/>
  <c r="AJ673" i="5"/>
  <c r="Q673" i="5"/>
  <c r="P673" i="5"/>
  <c r="N673" i="5"/>
  <c r="L673" i="5"/>
  <c r="H673" i="5"/>
  <c r="O673" i="5" s="1"/>
  <c r="D673" i="5"/>
  <c r="M673" i="5" s="1"/>
  <c r="AN672" i="5"/>
  <c r="AM672" i="5"/>
  <c r="AJ672" i="5"/>
  <c r="Q672" i="5"/>
  <c r="P672" i="5"/>
  <c r="N672" i="5"/>
  <c r="L672" i="5"/>
  <c r="H672" i="5"/>
  <c r="O672" i="5" s="1"/>
  <c r="D672" i="5"/>
  <c r="M672" i="5" s="1"/>
  <c r="AN671" i="5"/>
  <c r="AM671" i="5"/>
  <c r="AJ671" i="5"/>
  <c r="Q671" i="5"/>
  <c r="P671" i="5"/>
  <c r="N671" i="5"/>
  <c r="L671" i="5"/>
  <c r="H671" i="5"/>
  <c r="O671" i="5" s="1"/>
  <c r="D671" i="5"/>
  <c r="M671" i="5" s="1"/>
  <c r="AN670" i="5"/>
  <c r="AM670" i="5"/>
  <c r="AJ670" i="5"/>
  <c r="Q670" i="5"/>
  <c r="P670" i="5"/>
  <c r="N670" i="5"/>
  <c r="L670" i="5"/>
  <c r="H670" i="5"/>
  <c r="O670" i="5" s="1"/>
  <c r="D670" i="5"/>
  <c r="M670" i="5" s="1"/>
  <c r="AN669" i="5"/>
  <c r="AM669" i="5"/>
  <c r="AJ669" i="5"/>
  <c r="Q669" i="5"/>
  <c r="P669" i="5"/>
  <c r="N669" i="5"/>
  <c r="L669" i="5"/>
  <c r="H669" i="5"/>
  <c r="O669" i="5" s="1"/>
  <c r="D669" i="5"/>
  <c r="M669" i="5" s="1"/>
  <c r="AN668" i="5"/>
  <c r="AM668" i="5"/>
  <c r="AJ668" i="5"/>
  <c r="Q668" i="5"/>
  <c r="P668" i="5"/>
  <c r="N668" i="5"/>
  <c r="L668" i="5"/>
  <c r="H668" i="5"/>
  <c r="O668" i="5" s="1"/>
  <c r="D668" i="5"/>
  <c r="M668" i="5" s="1"/>
  <c r="AN667" i="5"/>
  <c r="AM667" i="5"/>
  <c r="AJ667" i="5"/>
  <c r="Q667" i="5"/>
  <c r="P667" i="5"/>
  <c r="N667" i="5"/>
  <c r="L667" i="5"/>
  <c r="H667" i="5"/>
  <c r="O667" i="5" s="1"/>
  <c r="D667" i="5"/>
  <c r="M667" i="5" s="1"/>
  <c r="AN666" i="5"/>
  <c r="AM666" i="5"/>
  <c r="AJ666" i="5"/>
  <c r="Q666" i="5"/>
  <c r="P666" i="5"/>
  <c r="N666" i="5"/>
  <c r="L666" i="5"/>
  <c r="H666" i="5"/>
  <c r="O666" i="5" s="1"/>
  <c r="D666" i="5"/>
  <c r="M666" i="5" s="1"/>
  <c r="AN665" i="5"/>
  <c r="AM665" i="5"/>
  <c r="AJ665" i="5"/>
  <c r="Q665" i="5"/>
  <c r="P665" i="5"/>
  <c r="N665" i="5"/>
  <c r="L665" i="5"/>
  <c r="H665" i="5"/>
  <c r="O665" i="5" s="1"/>
  <c r="D665" i="5"/>
  <c r="M665" i="5" s="1"/>
  <c r="AN664" i="5"/>
  <c r="AM664" i="5"/>
  <c r="AJ664" i="5"/>
  <c r="Q664" i="5"/>
  <c r="P664" i="5"/>
  <c r="N664" i="5"/>
  <c r="L664" i="5"/>
  <c r="H664" i="5"/>
  <c r="O664" i="5" s="1"/>
  <c r="D664" i="5"/>
  <c r="M664" i="5" s="1"/>
  <c r="AN663" i="5"/>
  <c r="AM663" i="5"/>
  <c r="AJ663" i="5"/>
  <c r="Q663" i="5"/>
  <c r="P663" i="5"/>
  <c r="N663" i="5"/>
  <c r="L663" i="5"/>
  <c r="H663" i="5"/>
  <c r="O663" i="5" s="1"/>
  <c r="D663" i="5"/>
  <c r="M663" i="5" s="1"/>
  <c r="AN662" i="5"/>
  <c r="AM662" i="5"/>
  <c r="AJ662" i="5"/>
  <c r="Q662" i="5"/>
  <c r="P662" i="5"/>
  <c r="N662" i="5"/>
  <c r="L662" i="5"/>
  <c r="H662" i="5"/>
  <c r="O662" i="5" s="1"/>
  <c r="D662" i="5"/>
  <c r="M662" i="5" s="1"/>
  <c r="AN661" i="5"/>
  <c r="AM661" i="5"/>
  <c r="AJ661" i="5"/>
  <c r="Q661" i="5"/>
  <c r="P661" i="5"/>
  <c r="N661" i="5"/>
  <c r="L661" i="5"/>
  <c r="H661" i="5"/>
  <c r="O661" i="5" s="1"/>
  <c r="D661" i="5"/>
  <c r="M661" i="5" s="1"/>
  <c r="AN660" i="5"/>
  <c r="AM660" i="5"/>
  <c r="AJ660" i="5"/>
  <c r="Q660" i="5"/>
  <c r="P660" i="5"/>
  <c r="N660" i="5"/>
  <c r="L660" i="5"/>
  <c r="H660" i="5"/>
  <c r="O660" i="5" s="1"/>
  <c r="D660" i="5"/>
  <c r="M660" i="5" s="1"/>
  <c r="AN659" i="5"/>
  <c r="AM659" i="5"/>
  <c r="AJ659" i="5"/>
  <c r="Q659" i="5"/>
  <c r="P659" i="5"/>
  <c r="N659" i="5"/>
  <c r="L659" i="5"/>
  <c r="H659" i="5"/>
  <c r="O659" i="5" s="1"/>
  <c r="D659" i="5"/>
  <c r="M659" i="5" s="1"/>
  <c r="AN658" i="5"/>
  <c r="AM658" i="5"/>
  <c r="AJ658" i="5"/>
  <c r="Q658" i="5"/>
  <c r="P658" i="5"/>
  <c r="N658" i="5"/>
  <c r="L658" i="5"/>
  <c r="H658" i="5"/>
  <c r="O658" i="5" s="1"/>
  <c r="D658" i="5"/>
  <c r="M658" i="5" s="1"/>
  <c r="AN657" i="5"/>
  <c r="AM657" i="5"/>
  <c r="AJ657" i="5"/>
  <c r="Q657" i="5"/>
  <c r="P657" i="5"/>
  <c r="N657" i="5"/>
  <c r="L657" i="5"/>
  <c r="H657" i="5"/>
  <c r="O657" i="5" s="1"/>
  <c r="D657" i="5"/>
  <c r="M657" i="5" s="1"/>
  <c r="AN656" i="5"/>
  <c r="AM656" i="5"/>
  <c r="AJ656" i="5"/>
  <c r="Q656" i="5"/>
  <c r="P656" i="5"/>
  <c r="N656" i="5"/>
  <c r="L656" i="5"/>
  <c r="H656" i="5"/>
  <c r="O656" i="5" s="1"/>
  <c r="D656" i="5"/>
  <c r="M656" i="5" s="1"/>
  <c r="AN655" i="5"/>
  <c r="AM655" i="5"/>
  <c r="AJ655" i="5"/>
  <c r="Q655" i="5"/>
  <c r="P655" i="5"/>
  <c r="N655" i="5"/>
  <c r="L655" i="5"/>
  <c r="H655" i="5"/>
  <c r="O655" i="5" s="1"/>
  <c r="D655" i="5"/>
  <c r="M655" i="5" s="1"/>
  <c r="AN654" i="5"/>
  <c r="AM654" i="5"/>
  <c r="AJ654" i="5"/>
  <c r="Q654" i="5"/>
  <c r="P654" i="5"/>
  <c r="N654" i="5"/>
  <c r="L654" i="5"/>
  <c r="H654" i="5"/>
  <c r="O654" i="5" s="1"/>
  <c r="D654" i="5"/>
  <c r="M654" i="5" s="1"/>
  <c r="AN653" i="5"/>
  <c r="AM653" i="5"/>
  <c r="AJ653" i="5"/>
  <c r="Q653" i="5"/>
  <c r="P653" i="5"/>
  <c r="N653" i="5"/>
  <c r="L653" i="5"/>
  <c r="H653" i="5"/>
  <c r="O653" i="5" s="1"/>
  <c r="D653" i="5"/>
  <c r="M653" i="5" s="1"/>
  <c r="AN652" i="5"/>
  <c r="AM652" i="5"/>
  <c r="AJ652" i="5"/>
  <c r="Q652" i="5"/>
  <c r="P652" i="5"/>
  <c r="N652" i="5"/>
  <c r="L652" i="5"/>
  <c r="H652" i="5"/>
  <c r="O652" i="5" s="1"/>
  <c r="D652" i="5"/>
  <c r="M652" i="5" s="1"/>
  <c r="AN651" i="5"/>
  <c r="AM651" i="5"/>
  <c r="AJ651" i="5"/>
  <c r="Q651" i="5"/>
  <c r="P651" i="5"/>
  <c r="N651" i="5"/>
  <c r="L651" i="5"/>
  <c r="H651" i="5"/>
  <c r="O651" i="5" s="1"/>
  <c r="D651" i="5"/>
  <c r="M651" i="5" s="1"/>
  <c r="AN650" i="5"/>
  <c r="AM650" i="5"/>
  <c r="AJ650" i="5"/>
  <c r="Q650" i="5"/>
  <c r="P650" i="5"/>
  <c r="N650" i="5"/>
  <c r="L650" i="5"/>
  <c r="H650" i="5"/>
  <c r="O650" i="5" s="1"/>
  <c r="D650" i="5"/>
  <c r="M650" i="5" s="1"/>
  <c r="AN649" i="5"/>
  <c r="AM649" i="5"/>
  <c r="AJ649" i="5"/>
  <c r="Q649" i="5"/>
  <c r="P649" i="5"/>
  <c r="N649" i="5"/>
  <c r="L649" i="5"/>
  <c r="H649" i="5"/>
  <c r="O649" i="5" s="1"/>
  <c r="D649" i="5"/>
  <c r="M649" i="5" s="1"/>
  <c r="AN648" i="5"/>
  <c r="AM648" i="5"/>
  <c r="AJ648" i="5"/>
  <c r="Q648" i="5"/>
  <c r="P648" i="5"/>
  <c r="N648" i="5"/>
  <c r="L648" i="5"/>
  <c r="H648" i="5"/>
  <c r="O648" i="5" s="1"/>
  <c r="D648" i="5"/>
  <c r="M648" i="5" s="1"/>
  <c r="AN647" i="5"/>
  <c r="AM647" i="5"/>
  <c r="AJ647" i="5"/>
  <c r="Q647" i="5"/>
  <c r="P647" i="5"/>
  <c r="N647" i="5"/>
  <c r="L647" i="5"/>
  <c r="H647" i="5"/>
  <c r="O647" i="5" s="1"/>
  <c r="D647" i="5"/>
  <c r="M647" i="5" s="1"/>
  <c r="AN646" i="5"/>
  <c r="AM646" i="5"/>
  <c r="AJ646" i="5"/>
  <c r="Q646" i="5"/>
  <c r="P646" i="5"/>
  <c r="N646" i="5"/>
  <c r="L646" i="5"/>
  <c r="H646" i="5"/>
  <c r="O646" i="5" s="1"/>
  <c r="D646" i="5"/>
  <c r="M646" i="5" s="1"/>
  <c r="AN645" i="5"/>
  <c r="AM645" i="5"/>
  <c r="AJ645" i="5"/>
  <c r="Q645" i="5"/>
  <c r="P645" i="5"/>
  <c r="N645" i="5"/>
  <c r="L645" i="5"/>
  <c r="H645" i="5"/>
  <c r="O645" i="5" s="1"/>
  <c r="D645" i="5"/>
  <c r="M645" i="5" s="1"/>
  <c r="AN644" i="5"/>
  <c r="AM644" i="5"/>
  <c r="AJ644" i="5"/>
  <c r="Q644" i="5"/>
  <c r="P644" i="5"/>
  <c r="N644" i="5"/>
  <c r="L644" i="5"/>
  <c r="H644" i="5"/>
  <c r="O644" i="5" s="1"/>
  <c r="D644" i="5"/>
  <c r="M644" i="5" s="1"/>
  <c r="AN643" i="5"/>
  <c r="AM643" i="5"/>
  <c r="AJ643" i="5"/>
  <c r="Q643" i="5"/>
  <c r="P643" i="5"/>
  <c r="N643" i="5"/>
  <c r="L643" i="5"/>
  <c r="H643" i="5"/>
  <c r="O643" i="5" s="1"/>
  <c r="D643" i="5"/>
  <c r="M643" i="5" s="1"/>
  <c r="AN642" i="5"/>
  <c r="AM642" i="5"/>
  <c r="AJ642" i="5"/>
  <c r="Q642" i="5"/>
  <c r="P642" i="5"/>
  <c r="N642" i="5"/>
  <c r="L642" i="5"/>
  <c r="H642" i="5"/>
  <c r="O642" i="5" s="1"/>
  <c r="D642" i="5"/>
  <c r="M642" i="5" s="1"/>
  <c r="AN641" i="5"/>
  <c r="AM641" i="5"/>
  <c r="AJ641" i="5"/>
  <c r="Q641" i="5"/>
  <c r="P641" i="5"/>
  <c r="N641" i="5"/>
  <c r="L641" i="5"/>
  <c r="H641" i="5"/>
  <c r="O641" i="5" s="1"/>
  <c r="D641" i="5"/>
  <c r="M641" i="5" s="1"/>
  <c r="AN640" i="5"/>
  <c r="AM640" i="5"/>
  <c r="AJ640" i="5"/>
  <c r="Q640" i="5"/>
  <c r="P640" i="5"/>
  <c r="N640" i="5"/>
  <c r="L640" i="5"/>
  <c r="H640" i="5"/>
  <c r="O640" i="5" s="1"/>
  <c r="D640" i="5"/>
  <c r="M640" i="5" s="1"/>
  <c r="AN639" i="5"/>
  <c r="AM639" i="5"/>
  <c r="AJ639" i="5"/>
  <c r="Q639" i="5"/>
  <c r="P639" i="5"/>
  <c r="N639" i="5"/>
  <c r="L639" i="5"/>
  <c r="H639" i="5"/>
  <c r="O639" i="5" s="1"/>
  <c r="D639" i="5"/>
  <c r="M639" i="5" s="1"/>
  <c r="AN638" i="5"/>
  <c r="AM638" i="5"/>
  <c r="AJ638" i="5"/>
  <c r="Q638" i="5"/>
  <c r="P638" i="5"/>
  <c r="N638" i="5"/>
  <c r="L638" i="5"/>
  <c r="H638" i="5"/>
  <c r="O638" i="5" s="1"/>
  <c r="D638" i="5"/>
  <c r="M638" i="5" s="1"/>
  <c r="AN637" i="5"/>
  <c r="AM637" i="5"/>
  <c r="AJ637" i="5"/>
  <c r="Q637" i="5"/>
  <c r="P637" i="5"/>
  <c r="N637" i="5"/>
  <c r="L637" i="5"/>
  <c r="H637" i="5"/>
  <c r="O637" i="5" s="1"/>
  <c r="D637" i="5"/>
  <c r="M637" i="5" s="1"/>
  <c r="AN636" i="5"/>
  <c r="AM636" i="5"/>
  <c r="AJ636" i="5"/>
  <c r="Q636" i="5"/>
  <c r="P636" i="5"/>
  <c r="N636" i="5"/>
  <c r="L636" i="5"/>
  <c r="H636" i="5"/>
  <c r="O636" i="5" s="1"/>
  <c r="D636" i="5"/>
  <c r="M636" i="5" s="1"/>
  <c r="AN635" i="5"/>
  <c r="AM635" i="5"/>
  <c r="AJ635" i="5"/>
  <c r="Q635" i="5"/>
  <c r="P635" i="5"/>
  <c r="N635" i="5"/>
  <c r="L635" i="5"/>
  <c r="H635" i="5"/>
  <c r="O635" i="5" s="1"/>
  <c r="D635" i="5"/>
  <c r="M635" i="5" s="1"/>
  <c r="AN634" i="5"/>
  <c r="AM634" i="5"/>
  <c r="AJ634" i="5"/>
  <c r="Q634" i="5"/>
  <c r="P634" i="5"/>
  <c r="N634" i="5"/>
  <c r="L634" i="5"/>
  <c r="H634" i="5"/>
  <c r="O634" i="5" s="1"/>
  <c r="D634" i="5"/>
  <c r="M634" i="5" s="1"/>
  <c r="AN633" i="5"/>
  <c r="AM633" i="5"/>
  <c r="AJ633" i="5"/>
  <c r="Q633" i="5"/>
  <c r="P633" i="5"/>
  <c r="N633" i="5"/>
  <c r="L633" i="5"/>
  <c r="H633" i="5"/>
  <c r="O633" i="5" s="1"/>
  <c r="D633" i="5"/>
  <c r="M633" i="5" s="1"/>
  <c r="AN632" i="5"/>
  <c r="AM632" i="5"/>
  <c r="AJ632" i="5"/>
  <c r="Q632" i="5"/>
  <c r="P632" i="5"/>
  <c r="N632" i="5"/>
  <c r="L632" i="5"/>
  <c r="H632" i="5"/>
  <c r="O632" i="5" s="1"/>
  <c r="D632" i="5"/>
  <c r="M632" i="5" s="1"/>
  <c r="AN631" i="5"/>
  <c r="AM631" i="5"/>
  <c r="AJ631" i="5"/>
  <c r="Q631" i="5"/>
  <c r="P631" i="5"/>
  <c r="N631" i="5"/>
  <c r="L631" i="5"/>
  <c r="H631" i="5"/>
  <c r="O631" i="5" s="1"/>
  <c r="D631" i="5"/>
  <c r="M631" i="5" s="1"/>
  <c r="AN630" i="5"/>
  <c r="AM630" i="5"/>
  <c r="AJ630" i="5"/>
  <c r="Q630" i="5"/>
  <c r="P630" i="5"/>
  <c r="N630" i="5"/>
  <c r="L630" i="5"/>
  <c r="H630" i="5"/>
  <c r="O630" i="5" s="1"/>
  <c r="D630" i="5"/>
  <c r="M630" i="5" s="1"/>
  <c r="AN629" i="5"/>
  <c r="AM629" i="5"/>
  <c r="AJ629" i="5"/>
  <c r="Q629" i="5"/>
  <c r="P629" i="5"/>
  <c r="N629" i="5"/>
  <c r="L629" i="5"/>
  <c r="H629" i="5"/>
  <c r="O629" i="5" s="1"/>
  <c r="D629" i="5"/>
  <c r="M629" i="5" s="1"/>
  <c r="AN628" i="5"/>
  <c r="AM628" i="5"/>
  <c r="AJ628" i="5"/>
  <c r="Q628" i="5"/>
  <c r="P628" i="5"/>
  <c r="N628" i="5"/>
  <c r="L628" i="5"/>
  <c r="H628" i="5"/>
  <c r="O628" i="5" s="1"/>
  <c r="D628" i="5"/>
  <c r="M628" i="5" s="1"/>
  <c r="AN627" i="5"/>
  <c r="AM627" i="5"/>
  <c r="AJ627" i="5"/>
  <c r="Q627" i="5"/>
  <c r="P627" i="5"/>
  <c r="N627" i="5"/>
  <c r="L627" i="5"/>
  <c r="H627" i="5"/>
  <c r="O627" i="5" s="1"/>
  <c r="D627" i="5"/>
  <c r="M627" i="5" s="1"/>
  <c r="AN626" i="5"/>
  <c r="AM626" i="5"/>
  <c r="AJ626" i="5"/>
  <c r="Q626" i="5"/>
  <c r="P626" i="5"/>
  <c r="N626" i="5"/>
  <c r="L626" i="5"/>
  <c r="H626" i="5"/>
  <c r="O626" i="5" s="1"/>
  <c r="D626" i="5"/>
  <c r="M626" i="5" s="1"/>
  <c r="AN625" i="5"/>
  <c r="AM625" i="5"/>
  <c r="AJ625" i="5"/>
  <c r="Q625" i="5"/>
  <c r="P625" i="5"/>
  <c r="N625" i="5"/>
  <c r="L625" i="5"/>
  <c r="H625" i="5"/>
  <c r="O625" i="5" s="1"/>
  <c r="D625" i="5"/>
  <c r="M625" i="5" s="1"/>
  <c r="AN624" i="5"/>
  <c r="AM624" i="5"/>
  <c r="AJ624" i="5"/>
  <c r="Q624" i="5"/>
  <c r="P624" i="5"/>
  <c r="N624" i="5"/>
  <c r="L624" i="5"/>
  <c r="H624" i="5"/>
  <c r="O624" i="5" s="1"/>
  <c r="D624" i="5"/>
  <c r="M624" i="5" s="1"/>
  <c r="AN623" i="5"/>
  <c r="AM623" i="5"/>
  <c r="AJ623" i="5"/>
  <c r="Q623" i="5"/>
  <c r="P623" i="5"/>
  <c r="N623" i="5"/>
  <c r="L623" i="5"/>
  <c r="H623" i="5"/>
  <c r="O623" i="5" s="1"/>
  <c r="D623" i="5"/>
  <c r="M623" i="5" s="1"/>
  <c r="AN622" i="5"/>
  <c r="AM622" i="5"/>
  <c r="AJ622" i="5"/>
  <c r="Q622" i="5"/>
  <c r="P622" i="5"/>
  <c r="N622" i="5"/>
  <c r="L622" i="5"/>
  <c r="H622" i="5"/>
  <c r="O622" i="5" s="1"/>
  <c r="D622" i="5"/>
  <c r="M622" i="5" s="1"/>
  <c r="AN621" i="5"/>
  <c r="AM621" i="5"/>
  <c r="AJ621" i="5"/>
  <c r="Q621" i="5"/>
  <c r="P621" i="5"/>
  <c r="N621" i="5"/>
  <c r="L621" i="5"/>
  <c r="H621" i="5"/>
  <c r="O621" i="5" s="1"/>
  <c r="D621" i="5"/>
  <c r="M621" i="5" s="1"/>
  <c r="AN620" i="5"/>
  <c r="AM620" i="5"/>
  <c r="AJ620" i="5"/>
  <c r="Q620" i="5"/>
  <c r="P620" i="5"/>
  <c r="N620" i="5"/>
  <c r="L620" i="5"/>
  <c r="H620" i="5"/>
  <c r="O620" i="5" s="1"/>
  <c r="D620" i="5"/>
  <c r="M620" i="5" s="1"/>
  <c r="AN619" i="5"/>
  <c r="AM619" i="5"/>
  <c r="AJ619" i="5"/>
  <c r="Q619" i="5"/>
  <c r="P619" i="5"/>
  <c r="N619" i="5"/>
  <c r="L619" i="5"/>
  <c r="H619" i="5"/>
  <c r="O619" i="5" s="1"/>
  <c r="D619" i="5"/>
  <c r="M619" i="5" s="1"/>
  <c r="AN618" i="5"/>
  <c r="AM618" i="5"/>
  <c r="AJ618" i="5"/>
  <c r="Q618" i="5"/>
  <c r="P618" i="5"/>
  <c r="N618" i="5"/>
  <c r="L618" i="5"/>
  <c r="H618" i="5"/>
  <c r="O618" i="5" s="1"/>
  <c r="D618" i="5"/>
  <c r="M618" i="5" s="1"/>
  <c r="AN617" i="5"/>
  <c r="AM617" i="5"/>
  <c r="AJ617" i="5"/>
  <c r="Q617" i="5"/>
  <c r="P617" i="5"/>
  <c r="N617" i="5"/>
  <c r="L617" i="5"/>
  <c r="H617" i="5"/>
  <c r="O617" i="5" s="1"/>
  <c r="D617" i="5"/>
  <c r="M617" i="5" s="1"/>
  <c r="AN616" i="5"/>
  <c r="AM616" i="5"/>
  <c r="AJ616" i="5"/>
  <c r="Q616" i="5"/>
  <c r="P616" i="5"/>
  <c r="N616" i="5"/>
  <c r="L616" i="5"/>
  <c r="H616" i="5"/>
  <c r="O616" i="5" s="1"/>
  <c r="D616" i="5"/>
  <c r="M616" i="5" s="1"/>
  <c r="AN615" i="5"/>
  <c r="AM615" i="5"/>
  <c r="AJ615" i="5"/>
  <c r="Q615" i="5"/>
  <c r="P615" i="5"/>
  <c r="N615" i="5"/>
  <c r="L615" i="5"/>
  <c r="H615" i="5"/>
  <c r="O615" i="5" s="1"/>
  <c r="D615" i="5"/>
  <c r="M615" i="5" s="1"/>
  <c r="AN614" i="5"/>
  <c r="AM614" i="5"/>
  <c r="AJ614" i="5"/>
  <c r="Q614" i="5"/>
  <c r="P614" i="5"/>
  <c r="N614" i="5"/>
  <c r="L614" i="5"/>
  <c r="H614" i="5"/>
  <c r="O614" i="5" s="1"/>
  <c r="D614" i="5"/>
  <c r="M614" i="5" s="1"/>
  <c r="AN613" i="5"/>
  <c r="AM613" i="5"/>
  <c r="AJ613" i="5"/>
  <c r="Q613" i="5"/>
  <c r="P613" i="5"/>
  <c r="N613" i="5"/>
  <c r="L613" i="5"/>
  <c r="H613" i="5"/>
  <c r="O613" i="5" s="1"/>
  <c r="D613" i="5"/>
  <c r="M613" i="5" s="1"/>
  <c r="AN612" i="5"/>
  <c r="AM612" i="5"/>
  <c r="AJ612" i="5"/>
  <c r="Q612" i="5"/>
  <c r="P612" i="5"/>
  <c r="N612" i="5"/>
  <c r="L612" i="5"/>
  <c r="H612" i="5"/>
  <c r="O612" i="5" s="1"/>
  <c r="D612" i="5"/>
  <c r="M612" i="5" s="1"/>
  <c r="AN611" i="5"/>
  <c r="AM611" i="5"/>
  <c r="AJ611" i="5"/>
  <c r="Q611" i="5"/>
  <c r="P611" i="5"/>
  <c r="N611" i="5"/>
  <c r="L611" i="5"/>
  <c r="H611" i="5"/>
  <c r="O611" i="5" s="1"/>
  <c r="D611" i="5"/>
  <c r="M611" i="5" s="1"/>
  <c r="AN610" i="5"/>
  <c r="AM610" i="5"/>
  <c r="AJ610" i="5"/>
  <c r="Q610" i="5"/>
  <c r="P610" i="5"/>
  <c r="N610" i="5"/>
  <c r="L610" i="5"/>
  <c r="H610" i="5"/>
  <c r="O610" i="5" s="1"/>
  <c r="D610" i="5"/>
  <c r="M610" i="5" s="1"/>
  <c r="AN609" i="5"/>
  <c r="AM609" i="5"/>
  <c r="AJ609" i="5"/>
  <c r="Q609" i="5"/>
  <c r="P609" i="5"/>
  <c r="N609" i="5"/>
  <c r="L609" i="5"/>
  <c r="H609" i="5"/>
  <c r="O609" i="5" s="1"/>
  <c r="D609" i="5"/>
  <c r="M609" i="5" s="1"/>
  <c r="AN608" i="5"/>
  <c r="AM608" i="5"/>
  <c r="AJ608" i="5"/>
  <c r="Q608" i="5"/>
  <c r="P608" i="5"/>
  <c r="N608" i="5"/>
  <c r="L608" i="5"/>
  <c r="H608" i="5"/>
  <c r="O608" i="5" s="1"/>
  <c r="D608" i="5"/>
  <c r="M608" i="5" s="1"/>
  <c r="AN607" i="5"/>
  <c r="AM607" i="5"/>
  <c r="AJ607" i="5"/>
  <c r="Q607" i="5"/>
  <c r="P607" i="5"/>
  <c r="N607" i="5"/>
  <c r="L607" i="5"/>
  <c r="H607" i="5"/>
  <c r="O607" i="5" s="1"/>
  <c r="D607" i="5"/>
  <c r="M607" i="5" s="1"/>
  <c r="AN606" i="5"/>
  <c r="AM606" i="5"/>
  <c r="AJ606" i="5"/>
  <c r="Q606" i="5"/>
  <c r="P606" i="5"/>
  <c r="N606" i="5"/>
  <c r="L606" i="5"/>
  <c r="H606" i="5"/>
  <c r="O606" i="5" s="1"/>
  <c r="D606" i="5"/>
  <c r="M606" i="5" s="1"/>
  <c r="AN605" i="5"/>
  <c r="AM605" i="5"/>
  <c r="AJ605" i="5"/>
  <c r="Q605" i="5"/>
  <c r="P605" i="5"/>
  <c r="N605" i="5"/>
  <c r="L605" i="5"/>
  <c r="H605" i="5"/>
  <c r="O605" i="5" s="1"/>
  <c r="D605" i="5"/>
  <c r="M605" i="5" s="1"/>
  <c r="AN604" i="5"/>
  <c r="AM604" i="5"/>
  <c r="AJ604" i="5"/>
  <c r="Q604" i="5"/>
  <c r="P604" i="5"/>
  <c r="N604" i="5"/>
  <c r="L604" i="5"/>
  <c r="H604" i="5"/>
  <c r="O604" i="5" s="1"/>
  <c r="D604" i="5"/>
  <c r="M604" i="5" s="1"/>
  <c r="AN603" i="5"/>
  <c r="AM603" i="5"/>
  <c r="AJ603" i="5"/>
  <c r="Q603" i="5"/>
  <c r="P603" i="5"/>
  <c r="N603" i="5"/>
  <c r="L603" i="5"/>
  <c r="H603" i="5"/>
  <c r="O603" i="5" s="1"/>
  <c r="D603" i="5"/>
  <c r="M603" i="5" s="1"/>
  <c r="AN602" i="5"/>
  <c r="AM602" i="5"/>
  <c r="AJ602" i="5"/>
  <c r="Q602" i="5"/>
  <c r="P602" i="5"/>
  <c r="N602" i="5"/>
  <c r="L602" i="5"/>
  <c r="H602" i="5"/>
  <c r="O602" i="5" s="1"/>
  <c r="D602" i="5"/>
  <c r="M602" i="5" s="1"/>
  <c r="AN601" i="5"/>
  <c r="AM601" i="5"/>
  <c r="AJ601" i="5"/>
  <c r="Q601" i="5"/>
  <c r="P601" i="5"/>
  <c r="N601" i="5"/>
  <c r="L601" i="5"/>
  <c r="H601" i="5"/>
  <c r="O601" i="5" s="1"/>
  <c r="D601" i="5"/>
  <c r="M601" i="5" s="1"/>
  <c r="AN600" i="5"/>
  <c r="AM600" i="5"/>
  <c r="AJ600" i="5"/>
  <c r="Q600" i="5"/>
  <c r="P600" i="5"/>
  <c r="N600" i="5"/>
  <c r="L600" i="5"/>
  <c r="H600" i="5"/>
  <c r="O600" i="5" s="1"/>
  <c r="D600" i="5"/>
  <c r="M600" i="5" s="1"/>
  <c r="AN599" i="5"/>
  <c r="AM599" i="5"/>
  <c r="AJ599" i="5"/>
  <c r="Q599" i="5"/>
  <c r="P599" i="5"/>
  <c r="N599" i="5"/>
  <c r="L599" i="5"/>
  <c r="H599" i="5"/>
  <c r="O599" i="5" s="1"/>
  <c r="D599" i="5"/>
  <c r="M599" i="5" s="1"/>
  <c r="AN598" i="5"/>
  <c r="AM598" i="5"/>
  <c r="AJ598" i="5"/>
  <c r="Q598" i="5"/>
  <c r="P598" i="5"/>
  <c r="N598" i="5"/>
  <c r="L598" i="5"/>
  <c r="H598" i="5"/>
  <c r="O598" i="5" s="1"/>
  <c r="D598" i="5"/>
  <c r="M598" i="5" s="1"/>
  <c r="AN597" i="5"/>
  <c r="AM597" i="5"/>
  <c r="AJ597" i="5"/>
  <c r="Q597" i="5"/>
  <c r="P597" i="5"/>
  <c r="N597" i="5"/>
  <c r="L597" i="5"/>
  <c r="H597" i="5"/>
  <c r="O597" i="5" s="1"/>
  <c r="D597" i="5"/>
  <c r="M597" i="5" s="1"/>
  <c r="AN596" i="5"/>
  <c r="AM596" i="5"/>
  <c r="AJ596" i="5"/>
  <c r="Q596" i="5"/>
  <c r="P596" i="5"/>
  <c r="N596" i="5"/>
  <c r="L596" i="5"/>
  <c r="H596" i="5"/>
  <c r="O596" i="5" s="1"/>
  <c r="D596" i="5"/>
  <c r="M596" i="5" s="1"/>
  <c r="AN595" i="5"/>
  <c r="AM595" i="5"/>
  <c r="AJ595" i="5"/>
  <c r="Q595" i="5"/>
  <c r="P595" i="5"/>
  <c r="N595" i="5"/>
  <c r="L595" i="5"/>
  <c r="H595" i="5"/>
  <c r="O595" i="5" s="1"/>
  <c r="D595" i="5"/>
  <c r="M595" i="5" s="1"/>
  <c r="AN594" i="5"/>
  <c r="AM594" i="5"/>
  <c r="AJ594" i="5"/>
  <c r="Q594" i="5"/>
  <c r="P594" i="5"/>
  <c r="N594" i="5"/>
  <c r="L594" i="5"/>
  <c r="H594" i="5"/>
  <c r="O594" i="5" s="1"/>
  <c r="D594" i="5"/>
  <c r="M594" i="5" s="1"/>
  <c r="AN593" i="5"/>
  <c r="AM593" i="5"/>
  <c r="AJ593" i="5"/>
  <c r="Q593" i="5"/>
  <c r="P593" i="5"/>
  <c r="N593" i="5"/>
  <c r="L593" i="5"/>
  <c r="H593" i="5"/>
  <c r="O593" i="5" s="1"/>
  <c r="D593" i="5"/>
  <c r="M593" i="5" s="1"/>
  <c r="AN592" i="5"/>
  <c r="AM592" i="5"/>
  <c r="AJ592" i="5"/>
  <c r="Q592" i="5"/>
  <c r="P592" i="5"/>
  <c r="N592" i="5"/>
  <c r="L592" i="5"/>
  <c r="H592" i="5"/>
  <c r="O592" i="5" s="1"/>
  <c r="D592" i="5"/>
  <c r="M592" i="5" s="1"/>
  <c r="AN591" i="5"/>
  <c r="AM591" i="5"/>
  <c r="AJ591" i="5"/>
  <c r="Q591" i="5"/>
  <c r="P591" i="5"/>
  <c r="N591" i="5"/>
  <c r="L591" i="5"/>
  <c r="H591" i="5"/>
  <c r="O591" i="5" s="1"/>
  <c r="D591" i="5"/>
  <c r="M591" i="5" s="1"/>
  <c r="AN590" i="5"/>
  <c r="AM590" i="5"/>
  <c r="AJ590" i="5"/>
  <c r="Q590" i="5"/>
  <c r="P590" i="5"/>
  <c r="N590" i="5"/>
  <c r="L590" i="5"/>
  <c r="H590" i="5"/>
  <c r="O590" i="5" s="1"/>
  <c r="D590" i="5"/>
  <c r="M590" i="5" s="1"/>
  <c r="AN589" i="5"/>
  <c r="AM589" i="5"/>
  <c r="AJ589" i="5"/>
  <c r="Q589" i="5"/>
  <c r="P589" i="5"/>
  <c r="N589" i="5"/>
  <c r="L589" i="5"/>
  <c r="H589" i="5"/>
  <c r="O589" i="5" s="1"/>
  <c r="D589" i="5"/>
  <c r="M589" i="5" s="1"/>
  <c r="AN588" i="5"/>
  <c r="AM588" i="5"/>
  <c r="AJ588" i="5"/>
  <c r="Q588" i="5"/>
  <c r="P588" i="5"/>
  <c r="N588" i="5"/>
  <c r="L588" i="5"/>
  <c r="H588" i="5"/>
  <c r="O588" i="5" s="1"/>
  <c r="D588" i="5"/>
  <c r="M588" i="5" s="1"/>
  <c r="AN587" i="5"/>
  <c r="AM587" i="5"/>
  <c r="AJ587" i="5"/>
  <c r="Q587" i="5"/>
  <c r="P587" i="5"/>
  <c r="N587" i="5"/>
  <c r="L587" i="5"/>
  <c r="H587" i="5"/>
  <c r="O587" i="5" s="1"/>
  <c r="D587" i="5"/>
  <c r="M587" i="5" s="1"/>
  <c r="AN586" i="5"/>
  <c r="AM586" i="5"/>
  <c r="AJ586" i="5"/>
  <c r="Q586" i="5"/>
  <c r="P586" i="5"/>
  <c r="N586" i="5"/>
  <c r="L586" i="5"/>
  <c r="H586" i="5"/>
  <c r="O586" i="5" s="1"/>
  <c r="D586" i="5"/>
  <c r="M586" i="5" s="1"/>
  <c r="AN585" i="5"/>
  <c r="AM585" i="5"/>
  <c r="AJ585" i="5"/>
  <c r="Q585" i="5"/>
  <c r="P585" i="5"/>
  <c r="N585" i="5"/>
  <c r="L585" i="5"/>
  <c r="H585" i="5"/>
  <c r="O585" i="5" s="1"/>
  <c r="D585" i="5"/>
  <c r="M585" i="5" s="1"/>
  <c r="AN584" i="5"/>
  <c r="AM584" i="5"/>
  <c r="AJ584" i="5"/>
  <c r="Q584" i="5"/>
  <c r="P584" i="5"/>
  <c r="N584" i="5"/>
  <c r="L584" i="5"/>
  <c r="H584" i="5"/>
  <c r="O584" i="5" s="1"/>
  <c r="D584" i="5"/>
  <c r="M584" i="5" s="1"/>
  <c r="AN583" i="5"/>
  <c r="AM583" i="5"/>
  <c r="AJ583" i="5"/>
  <c r="Q583" i="5"/>
  <c r="P583" i="5"/>
  <c r="N583" i="5"/>
  <c r="L583" i="5"/>
  <c r="H583" i="5"/>
  <c r="O583" i="5" s="1"/>
  <c r="D583" i="5"/>
  <c r="M583" i="5" s="1"/>
  <c r="AN582" i="5"/>
  <c r="AM582" i="5"/>
  <c r="AJ582" i="5"/>
  <c r="Q582" i="5"/>
  <c r="P582" i="5"/>
  <c r="N582" i="5"/>
  <c r="L582" i="5"/>
  <c r="H582" i="5"/>
  <c r="O582" i="5" s="1"/>
  <c r="D582" i="5"/>
  <c r="M582" i="5" s="1"/>
  <c r="AN581" i="5"/>
  <c r="AM581" i="5"/>
  <c r="AJ581" i="5"/>
  <c r="Q581" i="5"/>
  <c r="P581" i="5"/>
  <c r="N581" i="5"/>
  <c r="L581" i="5"/>
  <c r="H581" i="5"/>
  <c r="O581" i="5" s="1"/>
  <c r="D581" i="5"/>
  <c r="M581" i="5" s="1"/>
  <c r="AN580" i="5"/>
  <c r="AM580" i="5"/>
  <c r="AJ580" i="5"/>
  <c r="Q580" i="5"/>
  <c r="P580" i="5"/>
  <c r="N580" i="5"/>
  <c r="L580" i="5"/>
  <c r="H580" i="5"/>
  <c r="O580" i="5" s="1"/>
  <c r="D580" i="5"/>
  <c r="M580" i="5" s="1"/>
  <c r="AN579" i="5"/>
  <c r="AM579" i="5"/>
  <c r="AJ579" i="5"/>
  <c r="Q579" i="5"/>
  <c r="P579" i="5"/>
  <c r="N579" i="5"/>
  <c r="L579" i="5"/>
  <c r="H579" i="5"/>
  <c r="O579" i="5" s="1"/>
  <c r="D579" i="5"/>
  <c r="M579" i="5" s="1"/>
  <c r="AN578" i="5"/>
  <c r="AM578" i="5"/>
  <c r="AJ578" i="5"/>
  <c r="Q578" i="5"/>
  <c r="P578" i="5"/>
  <c r="N578" i="5"/>
  <c r="L578" i="5"/>
  <c r="H578" i="5"/>
  <c r="O578" i="5" s="1"/>
  <c r="D578" i="5"/>
  <c r="M578" i="5" s="1"/>
  <c r="AN577" i="5"/>
  <c r="AM577" i="5"/>
  <c r="AJ577" i="5"/>
  <c r="Q577" i="5"/>
  <c r="P577" i="5"/>
  <c r="N577" i="5"/>
  <c r="L577" i="5"/>
  <c r="H577" i="5"/>
  <c r="O577" i="5" s="1"/>
  <c r="D577" i="5"/>
  <c r="M577" i="5" s="1"/>
  <c r="AN576" i="5"/>
  <c r="AM576" i="5"/>
  <c r="AJ576" i="5"/>
  <c r="Q576" i="5"/>
  <c r="P576" i="5"/>
  <c r="N576" i="5"/>
  <c r="L576" i="5"/>
  <c r="H576" i="5"/>
  <c r="O576" i="5" s="1"/>
  <c r="D576" i="5"/>
  <c r="M576" i="5" s="1"/>
  <c r="AN575" i="5"/>
  <c r="AM575" i="5"/>
  <c r="AJ575" i="5"/>
  <c r="Q575" i="5"/>
  <c r="P575" i="5"/>
  <c r="N575" i="5"/>
  <c r="L575" i="5"/>
  <c r="H575" i="5"/>
  <c r="O575" i="5" s="1"/>
  <c r="D575" i="5"/>
  <c r="M575" i="5" s="1"/>
  <c r="AN574" i="5"/>
  <c r="AM574" i="5"/>
  <c r="AJ574" i="5"/>
  <c r="Q574" i="5"/>
  <c r="P574" i="5"/>
  <c r="N574" i="5"/>
  <c r="L574" i="5"/>
  <c r="H574" i="5"/>
  <c r="O574" i="5" s="1"/>
  <c r="D574" i="5"/>
  <c r="M574" i="5" s="1"/>
  <c r="AN573" i="5"/>
  <c r="AM573" i="5"/>
  <c r="AJ573" i="5"/>
  <c r="Q573" i="5"/>
  <c r="P573" i="5"/>
  <c r="N573" i="5"/>
  <c r="L573" i="5"/>
  <c r="H573" i="5"/>
  <c r="O573" i="5" s="1"/>
  <c r="D573" i="5"/>
  <c r="M573" i="5" s="1"/>
  <c r="AN572" i="5"/>
  <c r="AM572" i="5"/>
  <c r="AJ572" i="5"/>
  <c r="Q572" i="5"/>
  <c r="P572" i="5"/>
  <c r="N572" i="5"/>
  <c r="L572" i="5"/>
  <c r="H572" i="5"/>
  <c r="O572" i="5" s="1"/>
  <c r="D572" i="5"/>
  <c r="M572" i="5" s="1"/>
  <c r="AN571" i="5"/>
  <c r="AM571" i="5"/>
  <c r="AJ571" i="5"/>
  <c r="Q571" i="5"/>
  <c r="P571" i="5"/>
  <c r="N571" i="5"/>
  <c r="L571" i="5"/>
  <c r="H571" i="5"/>
  <c r="O571" i="5" s="1"/>
  <c r="D571" i="5"/>
  <c r="M571" i="5" s="1"/>
  <c r="AN570" i="5"/>
  <c r="AM570" i="5"/>
  <c r="AJ570" i="5"/>
  <c r="Q570" i="5"/>
  <c r="P570" i="5"/>
  <c r="N570" i="5"/>
  <c r="L570" i="5"/>
  <c r="H570" i="5"/>
  <c r="O570" i="5" s="1"/>
  <c r="D570" i="5"/>
  <c r="M570" i="5" s="1"/>
  <c r="AN569" i="5"/>
  <c r="AM569" i="5"/>
  <c r="AJ569" i="5"/>
  <c r="Q569" i="5"/>
  <c r="P569" i="5"/>
  <c r="N569" i="5"/>
  <c r="L569" i="5"/>
  <c r="H569" i="5"/>
  <c r="O569" i="5" s="1"/>
  <c r="D569" i="5"/>
  <c r="M569" i="5" s="1"/>
  <c r="AN568" i="5"/>
  <c r="AM568" i="5"/>
  <c r="AJ568" i="5"/>
  <c r="Q568" i="5"/>
  <c r="P568" i="5"/>
  <c r="N568" i="5"/>
  <c r="L568" i="5"/>
  <c r="H568" i="5"/>
  <c r="O568" i="5" s="1"/>
  <c r="D568" i="5"/>
  <c r="M568" i="5" s="1"/>
  <c r="AN567" i="5"/>
  <c r="AM567" i="5"/>
  <c r="AJ567" i="5"/>
  <c r="Q567" i="5"/>
  <c r="P567" i="5"/>
  <c r="N567" i="5"/>
  <c r="L567" i="5"/>
  <c r="H567" i="5"/>
  <c r="O567" i="5" s="1"/>
  <c r="D567" i="5"/>
  <c r="M567" i="5" s="1"/>
  <c r="AN566" i="5"/>
  <c r="AM566" i="5"/>
  <c r="AJ566" i="5"/>
  <c r="Q566" i="5"/>
  <c r="P566" i="5"/>
  <c r="N566" i="5"/>
  <c r="L566" i="5"/>
  <c r="H566" i="5"/>
  <c r="O566" i="5" s="1"/>
  <c r="D566" i="5"/>
  <c r="M566" i="5" s="1"/>
  <c r="AN565" i="5"/>
  <c r="AM565" i="5"/>
  <c r="AJ565" i="5"/>
  <c r="Q565" i="5"/>
  <c r="P565" i="5"/>
  <c r="N565" i="5"/>
  <c r="L565" i="5"/>
  <c r="H565" i="5"/>
  <c r="O565" i="5" s="1"/>
  <c r="D565" i="5"/>
  <c r="M565" i="5" s="1"/>
  <c r="AN564" i="5"/>
  <c r="AM564" i="5"/>
  <c r="AJ564" i="5"/>
  <c r="Q564" i="5"/>
  <c r="P564" i="5"/>
  <c r="N564" i="5"/>
  <c r="L564" i="5"/>
  <c r="H564" i="5"/>
  <c r="O564" i="5" s="1"/>
  <c r="D564" i="5"/>
  <c r="M564" i="5" s="1"/>
  <c r="AN563" i="5"/>
  <c r="AM563" i="5"/>
  <c r="AJ563" i="5"/>
  <c r="Q563" i="5"/>
  <c r="P563" i="5"/>
  <c r="N563" i="5"/>
  <c r="L563" i="5"/>
  <c r="H563" i="5"/>
  <c r="O563" i="5" s="1"/>
  <c r="D563" i="5"/>
  <c r="M563" i="5" s="1"/>
  <c r="AN562" i="5"/>
  <c r="AM562" i="5"/>
  <c r="AJ562" i="5"/>
  <c r="Q562" i="5"/>
  <c r="P562" i="5"/>
  <c r="N562" i="5"/>
  <c r="L562" i="5"/>
  <c r="H562" i="5"/>
  <c r="O562" i="5" s="1"/>
  <c r="D562" i="5"/>
  <c r="M562" i="5" s="1"/>
  <c r="AN561" i="5"/>
  <c r="AM561" i="5"/>
  <c r="AJ561" i="5"/>
  <c r="Q561" i="5"/>
  <c r="P561" i="5"/>
  <c r="N561" i="5"/>
  <c r="L561" i="5"/>
  <c r="H561" i="5"/>
  <c r="O561" i="5" s="1"/>
  <c r="D561" i="5"/>
  <c r="M561" i="5" s="1"/>
  <c r="AN560" i="5"/>
  <c r="AM560" i="5"/>
  <c r="AJ560" i="5"/>
  <c r="Q560" i="5"/>
  <c r="P560" i="5"/>
  <c r="N560" i="5"/>
  <c r="L560" i="5"/>
  <c r="H560" i="5"/>
  <c r="O560" i="5" s="1"/>
  <c r="D560" i="5"/>
  <c r="M560" i="5" s="1"/>
  <c r="AN559" i="5"/>
  <c r="AM559" i="5"/>
  <c r="AJ559" i="5"/>
  <c r="Q559" i="5"/>
  <c r="P559" i="5"/>
  <c r="N559" i="5"/>
  <c r="L559" i="5"/>
  <c r="H559" i="5"/>
  <c r="O559" i="5" s="1"/>
  <c r="D559" i="5"/>
  <c r="M559" i="5" s="1"/>
  <c r="AN558" i="5"/>
  <c r="AM558" i="5"/>
  <c r="AJ558" i="5"/>
  <c r="Q558" i="5"/>
  <c r="P558" i="5"/>
  <c r="N558" i="5"/>
  <c r="L558" i="5"/>
  <c r="H558" i="5"/>
  <c r="O558" i="5" s="1"/>
  <c r="D558" i="5"/>
  <c r="M558" i="5" s="1"/>
  <c r="AN557" i="5"/>
  <c r="AM557" i="5"/>
  <c r="AJ557" i="5"/>
  <c r="Q557" i="5"/>
  <c r="P557" i="5"/>
  <c r="N557" i="5"/>
  <c r="L557" i="5"/>
  <c r="H557" i="5"/>
  <c r="O557" i="5" s="1"/>
  <c r="D557" i="5"/>
  <c r="M557" i="5" s="1"/>
  <c r="AN556" i="5"/>
  <c r="AM556" i="5"/>
  <c r="AJ556" i="5"/>
  <c r="Q556" i="5"/>
  <c r="P556" i="5"/>
  <c r="N556" i="5"/>
  <c r="L556" i="5"/>
  <c r="H556" i="5"/>
  <c r="O556" i="5" s="1"/>
  <c r="D556" i="5"/>
  <c r="M556" i="5" s="1"/>
  <c r="AN555" i="5"/>
  <c r="AM555" i="5"/>
  <c r="AJ555" i="5"/>
  <c r="Q555" i="5"/>
  <c r="P555" i="5"/>
  <c r="N555" i="5"/>
  <c r="L555" i="5"/>
  <c r="H555" i="5"/>
  <c r="O555" i="5" s="1"/>
  <c r="D555" i="5"/>
  <c r="M555" i="5" s="1"/>
  <c r="AN554" i="5"/>
  <c r="AM554" i="5"/>
  <c r="AJ554" i="5"/>
  <c r="Q554" i="5"/>
  <c r="P554" i="5"/>
  <c r="N554" i="5"/>
  <c r="L554" i="5"/>
  <c r="H554" i="5"/>
  <c r="O554" i="5" s="1"/>
  <c r="D554" i="5"/>
  <c r="M554" i="5" s="1"/>
  <c r="AN553" i="5"/>
  <c r="AM553" i="5"/>
  <c r="AJ553" i="5"/>
  <c r="Q553" i="5"/>
  <c r="P553" i="5"/>
  <c r="N553" i="5"/>
  <c r="L553" i="5"/>
  <c r="H553" i="5"/>
  <c r="O553" i="5" s="1"/>
  <c r="D553" i="5"/>
  <c r="M553" i="5" s="1"/>
  <c r="AN552" i="5"/>
  <c r="AM552" i="5"/>
  <c r="AJ552" i="5"/>
  <c r="Q552" i="5"/>
  <c r="P552" i="5"/>
  <c r="N552" i="5"/>
  <c r="L552" i="5"/>
  <c r="H552" i="5"/>
  <c r="O552" i="5" s="1"/>
  <c r="D552" i="5"/>
  <c r="M552" i="5" s="1"/>
  <c r="AN551" i="5"/>
  <c r="AM551" i="5"/>
  <c r="AJ551" i="5"/>
  <c r="Q551" i="5"/>
  <c r="P551" i="5"/>
  <c r="N551" i="5"/>
  <c r="L551" i="5"/>
  <c r="H551" i="5"/>
  <c r="O551" i="5" s="1"/>
  <c r="D551" i="5"/>
  <c r="M551" i="5" s="1"/>
  <c r="AN550" i="5"/>
  <c r="AM550" i="5"/>
  <c r="AJ550" i="5"/>
  <c r="Q550" i="5"/>
  <c r="P550" i="5"/>
  <c r="N550" i="5"/>
  <c r="L550" i="5"/>
  <c r="H550" i="5"/>
  <c r="O550" i="5" s="1"/>
  <c r="D550" i="5"/>
  <c r="M550" i="5" s="1"/>
  <c r="AN549" i="5"/>
  <c r="AM549" i="5"/>
  <c r="AJ549" i="5"/>
  <c r="Q549" i="5"/>
  <c r="P549" i="5"/>
  <c r="N549" i="5"/>
  <c r="L549" i="5"/>
  <c r="H549" i="5"/>
  <c r="O549" i="5" s="1"/>
  <c r="D549" i="5"/>
  <c r="M549" i="5" s="1"/>
  <c r="AN548" i="5"/>
  <c r="AM548" i="5"/>
  <c r="AJ548" i="5"/>
  <c r="Q548" i="5"/>
  <c r="P548" i="5"/>
  <c r="N548" i="5"/>
  <c r="L548" i="5"/>
  <c r="H548" i="5"/>
  <c r="O548" i="5" s="1"/>
  <c r="D548" i="5"/>
  <c r="M548" i="5" s="1"/>
  <c r="AN547" i="5"/>
  <c r="AM547" i="5"/>
  <c r="AJ547" i="5"/>
  <c r="Q547" i="5"/>
  <c r="P547" i="5"/>
  <c r="N547" i="5"/>
  <c r="L547" i="5"/>
  <c r="H547" i="5"/>
  <c r="O547" i="5" s="1"/>
  <c r="D547" i="5"/>
  <c r="M547" i="5" s="1"/>
  <c r="AN546" i="5"/>
  <c r="AM546" i="5"/>
  <c r="AJ546" i="5"/>
  <c r="Q546" i="5"/>
  <c r="P546" i="5"/>
  <c r="N546" i="5"/>
  <c r="L546" i="5"/>
  <c r="H546" i="5"/>
  <c r="O546" i="5" s="1"/>
  <c r="D546" i="5"/>
  <c r="M546" i="5" s="1"/>
  <c r="AN545" i="5"/>
  <c r="AM545" i="5"/>
  <c r="AJ545" i="5"/>
  <c r="Q545" i="5"/>
  <c r="P545" i="5"/>
  <c r="N545" i="5"/>
  <c r="L545" i="5"/>
  <c r="H545" i="5"/>
  <c r="O545" i="5" s="1"/>
  <c r="D545" i="5"/>
  <c r="M545" i="5" s="1"/>
  <c r="AN544" i="5"/>
  <c r="AM544" i="5"/>
  <c r="AJ544" i="5"/>
  <c r="Q544" i="5"/>
  <c r="P544" i="5"/>
  <c r="N544" i="5"/>
  <c r="L544" i="5"/>
  <c r="H544" i="5"/>
  <c r="O544" i="5" s="1"/>
  <c r="D544" i="5"/>
  <c r="M544" i="5" s="1"/>
  <c r="AN543" i="5"/>
  <c r="AM543" i="5"/>
  <c r="AJ543" i="5"/>
  <c r="Q543" i="5"/>
  <c r="P543" i="5"/>
  <c r="N543" i="5"/>
  <c r="L543" i="5"/>
  <c r="H543" i="5"/>
  <c r="O543" i="5" s="1"/>
  <c r="D543" i="5"/>
  <c r="M543" i="5" s="1"/>
  <c r="AN542" i="5"/>
  <c r="AM542" i="5"/>
  <c r="AJ542" i="5"/>
  <c r="Q542" i="5"/>
  <c r="P542" i="5"/>
  <c r="N542" i="5"/>
  <c r="L542" i="5"/>
  <c r="H542" i="5"/>
  <c r="O542" i="5" s="1"/>
  <c r="D542" i="5"/>
  <c r="M542" i="5" s="1"/>
  <c r="AN541" i="5"/>
  <c r="AM541" i="5"/>
  <c r="AJ541" i="5"/>
  <c r="Q541" i="5"/>
  <c r="P541" i="5"/>
  <c r="N541" i="5"/>
  <c r="L541" i="5"/>
  <c r="H541" i="5"/>
  <c r="O541" i="5" s="1"/>
  <c r="D541" i="5"/>
  <c r="M541" i="5" s="1"/>
  <c r="AN540" i="5"/>
  <c r="AM540" i="5"/>
  <c r="AJ540" i="5"/>
  <c r="Q540" i="5"/>
  <c r="P540" i="5"/>
  <c r="N540" i="5"/>
  <c r="L540" i="5"/>
  <c r="H540" i="5"/>
  <c r="O540" i="5" s="1"/>
  <c r="D540" i="5"/>
  <c r="M540" i="5" s="1"/>
  <c r="AN539" i="5"/>
  <c r="AM539" i="5"/>
  <c r="AJ539" i="5"/>
  <c r="Q539" i="5"/>
  <c r="P539" i="5"/>
  <c r="N539" i="5"/>
  <c r="L539" i="5"/>
  <c r="H539" i="5"/>
  <c r="O539" i="5" s="1"/>
  <c r="D539" i="5"/>
  <c r="M539" i="5" s="1"/>
  <c r="AN538" i="5"/>
  <c r="AM538" i="5"/>
  <c r="AJ538" i="5"/>
  <c r="Q538" i="5"/>
  <c r="P538" i="5"/>
  <c r="N538" i="5"/>
  <c r="L538" i="5"/>
  <c r="H538" i="5"/>
  <c r="O538" i="5" s="1"/>
  <c r="D538" i="5"/>
  <c r="M538" i="5" s="1"/>
  <c r="AN537" i="5"/>
  <c r="AM537" i="5"/>
  <c r="AJ537" i="5"/>
  <c r="Q537" i="5"/>
  <c r="P537" i="5"/>
  <c r="N537" i="5"/>
  <c r="L537" i="5"/>
  <c r="H537" i="5"/>
  <c r="O537" i="5" s="1"/>
  <c r="D537" i="5"/>
  <c r="M537" i="5" s="1"/>
  <c r="AN536" i="5"/>
  <c r="AM536" i="5"/>
  <c r="AJ536" i="5"/>
  <c r="Q536" i="5"/>
  <c r="P536" i="5"/>
  <c r="N536" i="5"/>
  <c r="L536" i="5"/>
  <c r="H536" i="5"/>
  <c r="O536" i="5" s="1"/>
  <c r="D536" i="5"/>
  <c r="M536" i="5" s="1"/>
  <c r="AN535" i="5"/>
  <c r="AM535" i="5"/>
  <c r="AJ535" i="5"/>
  <c r="Q535" i="5"/>
  <c r="P535" i="5"/>
  <c r="N535" i="5"/>
  <c r="L535" i="5"/>
  <c r="H535" i="5"/>
  <c r="O535" i="5" s="1"/>
  <c r="D535" i="5"/>
  <c r="M535" i="5" s="1"/>
  <c r="AN534" i="5"/>
  <c r="AM534" i="5"/>
  <c r="AJ534" i="5"/>
  <c r="Q534" i="5"/>
  <c r="P534" i="5"/>
  <c r="N534" i="5"/>
  <c r="L534" i="5"/>
  <c r="H534" i="5"/>
  <c r="O534" i="5" s="1"/>
  <c r="D534" i="5"/>
  <c r="M534" i="5" s="1"/>
  <c r="AN533" i="5"/>
  <c r="AM533" i="5"/>
  <c r="AJ533" i="5"/>
  <c r="Q533" i="5"/>
  <c r="P533" i="5"/>
  <c r="N533" i="5"/>
  <c r="L533" i="5"/>
  <c r="H533" i="5"/>
  <c r="O533" i="5" s="1"/>
  <c r="D533" i="5"/>
  <c r="M533" i="5" s="1"/>
  <c r="AN532" i="5"/>
  <c r="AM532" i="5"/>
  <c r="AJ532" i="5"/>
  <c r="Q532" i="5"/>
  <c r="P532" i="5"/>
  <c r="N532" i="5"/>
  <c r="L532" i="5"/>
  <c r="H532" i="5"/>
  <c r="O532" i="5" s="1"/>
  <c r="D532" i="5"/>
  <c r="M532" i="5" s="1"/>
  <c r="AN531" i="5"/>
  <c r="AM531" i="5"/>
  <c r="AJ531" i="5"/>
  <c r="Q531" i="5"/>
  <c r="P531" i="5"/>
  <c r="N531" i="5"/>
  <c r="L531" i="5"/>
  <c r="H531" i="5"/>
  <c r="O531" i="5" s="1"/>
  <c r="D531" i="5"/>
  <c r="M531" i="5" s="1"/>
  <c r="AN530" i="5"/>
  <c r="AM530" i="5"/>
  <c r="AJ530" i="5"/>
  <c r="Q530" i="5"/>
  <c r="P530" i="5"/>
  <c r="N530" i="5"/>
  <c r="L530" i="5"/>
  <c r="H530" i="5"/>
  <c r="O530" i="5" s="1"/>
  <c r="D530" i="5"/>
  <c r="M530" i="5" s="1"/>
  <c r="AN529" i="5"/>
  <c r="AM529" i="5"/>
  <c r="AJ529" i="5"/>
  <c r="Q529" i="5"/>
  <c r="P529" i="5"/>
  <c r="N529" i="5"/>
  <c r="L529" i="5"/>
  <c r="H529" i="5"/>
  <c r="O529" i="5" s="1"/>
  <c r="D529" i="5"/>
  <c r="M529" i="5" s="1"/>
  <c r="AN528" i="5"/>
  <c r="AM528" i="5"/>
  <c r="AJ528" i="5"/>
  <c r="Q528" i="5"/>
  <c r="P528" i="5"/>
  <c r="N528" i="5"/>
  <c r="L528" i="5"/>
  <c r="H528" i="5"/>
  <c r="O528" i="5" s="1"/>
  <c r="D528" i="5"/>
  <c r="M528" i="5" s="1"/>
  <c r="AN527" i="5"/>
  <c r="AM527" i="5"/>
  <c r="AJ527" i="5"/>
  <c r="Q527" i="5"/>
  <c r="P527" i="5"/>
  <c r="N527" i="5"/>
  <c r="L527" i="5"/>
  <c r="H527" i="5"/>
  <c r="O527" i="5" s="1"/>
  <c r="D527" i="5"/>
  <c r="M527" i="5" s="1"/>
  <c r="AN526" i="5"/>
  <c r="AM526" i="5"/>
  <c r="AJ526" i="5"/>
  <c r="Q526" i="5"/>
  <c r="P526" i="5"/>
  <c r="N526" i="5"/>
  <c r="L526" i="5"/>
  <c r="H526" i="5"/>
  <c r="O526" i="5" s="1"/>
  <c r="D526" i="5"/>
  <c r="M526" i="5" s="1"/>
  <c r="AN525" i="5"/>
  <c r="AM525" i="5"/>
  <c r="AJ525" i="5"/>
  <c r="Q525" i="5"/>
  <c r="P525" i="5"/>
  <c r="N525" i="5"/>
  <c r="L525" i="5"/>
  <c r="H525" i="5"/>
  <c r="O525" i="5" s="1"/>
  <c r="D525" i="5"/>
  <c r="M525" i="5" s="1"/>
  <c r="AN524" i="5"/>
  <c r="AM524" i="5"/>
  <c r="AJ524" i="5"/>
  <c r="Q524" i="5"/>
  <c r="P524" i="5"/>
  <c r="N524" i="5"/>
  <c r="L524" i="5"/>
  <c r="H524" i="5"/>
  <c r="O524" i="5" s="1"/>
  <c r="D524" i="5"/>
  <c r="M524" i="5" s="1"/>
  <c r="AN523" i="5"/>
  <c r="AM523" i="5"/>
  <c r="AJ523" i="5"/>
  <c r="Q523" i="5"/>
  <c r="P523" i="5"/>
  <c r="N523" i="5"/>
  <c r="L523" i="5"/>
  <c r="H523" i="5"/>
  <c r="O523" i="5" s="1"/>
  <c r="D523" i="5"/>
  <c r="M523" i="5" s="1"/>
  <c r="AN522" i="5"/>
  <c r="AM522" i="5"/>
  <c r="AJ522" i="5"/>
  <c r="Q522" i="5"/>
  <c r="P522" i="5"/>
  <c r="N522" i="5"/>
  <c r="L522" i="5"/>
  <c r="H522" i="5"/>
  <c r="O522" i="5" s="1"/>
  <c r="D522" i="5"/>
  <c r="M522" i="5" s="1"/>
  <c r="AN521" i="5"/>
  <c r="AM521" i="5"/>
  <c r="AJ521" i="5"/>
  <c r="Q521" i="5"/>
  <c r="P521" i="5"/>
  <c r="N521" i="5"/>
  <c r="L521" i="5"/>
  <c r="H521" i="5"/>
  <c r="O521" i="5" s="1"/>
  <c r="D521" i="5"/>
  <c r="M521" i="5" s="1"/>
  <c r="AN520" i="5"/>
  <c r="AM520" i="5"/>
  <c r="AJ520" i="5"/>
  <c r="Q520" i="5"/>
  <c r="P520" i="5"/>
  <c r="N520" i="5"/>
  <c r="L520" i="5"/>
  <c r="H520" i="5"/>
  <c r="O520" i="5" s="1"/>
  <c r="D520" i="5"/>
  <c r="M520" i="5" s="1"/>
  <c r="AN519" i="5"/>
  <c r="AM519" i="5"/>
  <c r="AJ519" i="5"/>
  <c r="Q519" i="5"/>
  <c r="P519" i="5"/>
  <c r="N519" i="5"/>
  <c r="L519" i="5"/>
  <c r="H519" i="5"/>
  <c r="O519" i="5" s="1"/>
  <c r="D519" i="5"/>
  <c r="M519" i="5" s="1"/>
  <c r="AN518" i="5"/>
  <c r="AM518" i="5"/>
  <c r="AJ518" i="5"/>
  <c r="Q518" i="5"/>
  <c r="P518" i="5"/>
  <c r="N518" i="5"/>
  <c r="L518" i="5"/>
  <c r="H518" i="5"/>
  <c r="O518" i="5" s="1"/>
  <c r="D518" i="5"/>
  <c r="M518" i="5" s="1"/>
  <c r="AN517" i="5"/>
  <c r="AM517" i="5"/>
  <c r="AJ517" i="5"/>
  <c r="Q517" i="5"/>
  <c r="P517" i="5"/>
  <c r="N517" i="5"/>
  <c r="L517" i="5"/>
  <c r="H517" i="5"/>
  <c r="O517" i="5" s="1"/>
  <c r="D517" i="5"/>
  <c r="M517" i="5" s="1"/>
  <c r="AN516" i="5"/>
  <c r="AM516" i="5"/>
  <c r="AJ516" i="5"/>
  <c r="Q516" i="5"/>
  <c r="P516" i="5"/>
  <c r="N516" i="5"/>
  <c r="L516" i="5"/>
  <c r="H516" i="5"/>
  <c r="O516" i="5" s="1"/>
  <c r="D516" i="5"/>
  <c r="M516" i="5" s="1"/>
  <c r="AN515" i="5"/>
  <c r="AM515" i="5"/>
  <c r="AJ515" i="5"/>
  <c r="Q515" i="5"/>
  <c r="P515" i="5"/>
  <c r="N515" i="5"/>
  <c r="L515" i="5"/>
  <c r="H515" i="5"/>
  <c r="O515" i="5" s="1"/>
  <c r="D515" i="5"/>
  <c r="M515" i="5" s="1"/>
  <c r="AN514" i="5"/>
  <c r="AM514" i="5"/>
  <c r="AJ514" i="5"/>
  <c r="Q514" i="5"/>
  <c r="P514" i="5"/>
  <c r="N514" i="5"/>
  <c r="L514" i="5"/>
  <c r="H514" i="5"/>
  <c r="O514" i="5" s="1"/>
  <c r="D514" i="5"/>
  <c r="M514" i="5" s="1"/>
  <c r="AN513" i="5"/>
  <c r="AM513" i="5"/>
  <c r="AJ513" i="5"/>
  <c r="Q513" i="5"/>
  <c r="P513" i="5"/>
  <c r="N513" i="5"/>
  <c r="L513" i="5"/>
  <c r="H513" i="5"/>
  <c r="O513" i="5" s="1"/>
  <c r="D513" i="5"/>
  <c r="M513" i="5" s="1"/>
  <c r="AN512" i="5"/>
  <c r="AM512" i="5"/>
  <c r="AJ512" i="5"/>
  <c r="Q512" i="5"/>
  <c r="P512" i="5"/>
  <c r="N512" i="5"/>
  <c r="L512" i="5"/>
  <c r="H512" i="5"/>
  <c r="O512" i="5" s="1"/>
  <c r="D512" i="5"/>
  <c r="M512" i="5" s="1"/>
  <c r="AN511" i="5"/>
  <c r="AM511" i="5"/>
  <c r="AJ511" i="5"/>
  <c r="Q511" i="5"/>
  <c r="P511" i="5"/>
  <c r="N511" i="5"/>
  <c r="L511" i="5"/>
  <c r="H511" i="5"/>
  <c r="O511" i="5" s="1"/>
  <c r="D511" i="5"/>
  <c r="M511" i="5" s="1"/>
  <c r="AN510" i="5"/>
  <c r="AM510" i="5"/>
  <c r="AJ510" i="5"/>
  <c r="Q510" i="5"/>
  <c r="P510" i="5"/>
  <c r="N510" i="5"/>
  <c r="L510" i="5"/>
  <c r="H510" i="5"/>
  <c r="O510" i="5" s="1"/>
  <c r="D510" i="5"/>
  <c r="M510" i="5" s="1"/>
  <c r="AN509" i="5"/>
  <c r="AM509" i="5"/>
  <c r="AJ509" i="5"/>
  <c r="Q509" i="5"/>
  <c r="P509" i="5"/>
  <c r="N509" i="5"/>
  <c r="L509" i="5"/>
  <c r="H509" i="5"/>
  <c r="O509" i="5" s="1"/>
  <c r="D509" i="5"/>
  <c r="M509" i="5" s="1"/>
  <c r="AN508" i="5"/>
  <c r="AM508" i="5"/>
  <c r="AJ508" i="5"/>
  <c r="Q508" i="5"/>
  <c r="P508" i="5"/>
  <c r="N508" i="5"/>
  <c r="L508" i="5"/>
  <c r="H508" i="5"/>
  <c r="O508" i="5" s="1"/>
  <c r="D508" i="5"/>
  <c r="M508" i="5" s="1"/>
  <c r="AN507" i="5"/>
  <c r="AM507" i="5"/>
  <c r="AJ507" i="5"/>
  <c r="Q507" i="5"/>
  <c r="P507" i="5"/>
  <c r="N507" i="5"/>
  <c r="L507" i="5"/>
  <c r="H507" i="5"/>
  <c r="O507" i="5" s="1"/>
  <c r="D507" i="5"/>
  <c r="M507" i="5" s="1"/>
  <c r="AN506" i="5"/>
  <c r="AM506" i="5"/>
  <c r="AJ506" i="5"/>
  <c r="Q506" i="5"/>
  <c r="P506" i="5"/>
  <c r="N506" i="5"/>
  <c r="L506" i="5"/>
  <c r="H506" i="5"/>
  <c r="O506" i="5" s="1"/>
  <c r="D506" i="5"/>
  <c r="M506" i="5" s="1"/>
  <c r="AN505" i="5"/>
  <c r="AM505" i="5"/>
  <c r="AJ505" i="5"/>
  <c r="Q505" i="5"/>
  <c r="P505" i="5"/>
  <c r="N505" i="5"/>
  <c r="L505" i="5"/>
  <c r="H505" i="5"/>
  <c r="O505" i="5" s="1"/>
  <c r="D505" i="5"/>
  <c r="M505" i="5" s="1"/>
  <c r="AN504" i="5"/>
  <c r="AM504" i="5"/>
  <c r="AJ504" i="5"/>
  <c r="Q504" i="5"/>
  <c r="P504" i="5"/>
  <c r="N504" i="5"/>
  <c r="L504" i="5"/>
  <c r="H504" i="5"/>
  <c r="O504" i="5" s="1"/>
  <c r="D504" i="5"/>
  <c r="M504" i="5" s="1"/>
  <c r="AN503" i="5"/>
  <c r="AM503" i="5"/>
  <c r="AJ503" i="5"/>
  <c r="Q503" i="5"/>
  <c r="P503" i="5"/>
  <c r="N503" i="5"/>
  <c r="L503" i="5"/>
  <c r="H503" i="5"/>
  <c r="O503" i="5" s="1"/>
  <c r="D503" i="5"/>
  <c r="M503" i="5" s="1"/>
  <c r="AN502" i="5"/>
  <c r="AM502" i="5"/>
  <c r="AJ502" i="5"/>
  <c r="Q502" i="5"/>
  <c r="P502" i="5"/>
  <c r="N502" i="5"/>
  <c r="L502" i="5"/>
  <c r="H502" i="5"/>
  <c r="O502" i="5" s="1"/>
  <c r="D502" i="5"/>
  <c r="M502" i="5" s="1"/>
  <c r="AN501" i="5"/>
  <c r="AM501" i="5"/>
  <c r="AJ501" i="5"/>
  <c r="Q501" i="5"/>
  <c r="P501" i="5"/>
  <c r="N501" i="5"/>
  <c r="L501" i="5"/>
  <c r="H501" i="5"/>
  <c r="O501" i="5" s="1"/>
  <c r="D501" i="5"/>
  <c r="M501" i="5" s="1"/>
  <c r="AN500" i="5"/>
  <c r="AM500" i="5"/>
  <c r="AJ500" i="5"/>
  <c r="Q500" i="5"/>
  <c r="P500" i="5"/>
  <c r="N500" i="5"/>
  <c r="L500" i="5"/>
  <c r="H500" i="5"/>
  <c r="O500" i="5" s="1"/>
  <c r="D500" i="5"/>
  <c r="M500" i="5" s="1"/>
  <c r="AN499" i="5"/>
  <c r="AM499" i="5"/>
  <c r="AJ499" i="5"/>
  <c r="Q499" i="5"/>
  <c r="P499" i="5"/>
  <c r="N499" i="5"/>
  <c r="L499" i="5"/>
  <c r="H499" i="5"/>
  <c r="O499" i="5" s="1"/>
  <c r="D499" i="5"/>
  <c r="M499" i="5" s="1"/>
  <c r="AN498" i="5"/>
  <c r="AM498" i="5"/>
  <c r="AJ498" i="5"/>
  <c r="Q498" i="5"/>
  <c r="P498" i="5"/>
  <c r="N498" i="5"/>
  <c r="L498" i="5"/>
  <c r="H498" i="5"/>
  <c r="O498" i="5" s="1"/>
  <c r="D498" i="5"/>
  <c r="M498" i="5" s="1"/>
  <c r="AN497" i="5"/>
  <c r="AM497" i="5"/>
  <c r="AJ497" i="5"/>
  <c r="Q497" i="5"/>
  <c r="P497" i="5"/>
  <c r="N497" i="5"/>
  <c r="L497" i="5"/>
  <c r="H497" i="5"/>
  <c r="O497" i="5" s="1"/>
  <c r="D497" i="5"/>
  <c r="M497" i="5" s="1"/>
  <c r="AN496" i="5"/>
  <c r="AM496" i="5"/>
  <c r="AJ496" i="5"/>
  <c r="Q496" i="5"/>
  <c r="P496" i="5"/>
  <c r="N496" i="5"/>
  <c r="L496" i="5"/>
  <c r="H496" i="5"/>
  <c r="O496" i="5" s="1"/>
  <c r="D496" i="5"/>
  <c r="M496" i="5" s="1"/>
  <c r="AN495" i="5"/>
  <c r="AM495" i="5"/>
  <c r="AJ495" i="5"/>
  <c r="Q495" i="5"/>
  <c r="P495" i="5"/>
  <c r="N495" i="5"/>
  <c r="L495" i="5"/>
  <c r="H495" i="5"/>
  <c r="O495" i="5" s="1"/>
  <c r="D495" i="5"/>
  <c r="M495" i="5" s="1"/>
  <c r="AN494" i="5"/>
  <c r="AM494" i="5"/>
  <c r="AJ494" i="5"/>
  <c r="Q494" i="5"/>
  <c r="P494" i="5"/>
  <c r="N494" i="5"/>
  <c r="L494" i="5"/>
  <c r="H494" i="5"/>
  <c r="O494" i="5" s="1"/>
  <c r="D494" i="5"/>
  <c r="M494" i="5" s="1"/>
  <c r="AN493" i="5"/>
  <c r="AM493" i="5"/>
  <c r="AJ493" i="5"/>
  <c r="Q493" i="5"/>
  <c r="P493" i="5"/>
  <c r="N493" i="5"/>
  <c r="L493" i="5"/>
  <c r="H493" i="5"/>
  <c r="O493" i="5" s="1"/>
  <c r="D493" i="5"/>
  <c r="M493" i="5" s="1"/>
  <c r="AN492" i="5"/>
  <c r="AM492" i="5"/>
  <c r="AJ492" i="5"/>
  <c r="Q492" i="5"/>
  <c r="P492" i="5"/>
  <c r="N492" i="5"/>
  <c r="L492" i="5"/>
  <c r="H492" i="5"/>
  <c r="O492" i="5" s="1"/>
  <c r="D492" i="5"/>
  <c r="M492" i="5" s="1"/>
  <c r="AN491" i="5"/>
  <c r="AM491" i="5"/>
  <c r="AJ491" i="5"/>
  <c r="Q491" i="5"/>
  <c r="P491" i="5"/>
  <c r="N491" i="5"/>
  <c r="L491" i="5"/>
  <c r="H491" i="5"/>
  <c r="O491" i="5" s="1"/>
  <c r="D491" i="5"/>
  <c r="M491" i="5" s="1"/>
  <c r="AN490" i="5"/>
  <c r="AM490" i="5"/>
  <c r="AJ490" i="5"/>
  <c r="Q490" i="5"/>
  <c r="P490" i="5"/>
  <c r="N490" i="5"/>
  <c r="L490" i="5"/>
  <c r="H490" i="5"/>
  <c r="O490" i="5" s="1"/>
  <c r="D490" i="5"/>
  <c r="M490" i="5" s="1"/>
  <c r="AN489" i="5"/>
  <c r="AM489" i="5"/>
  <c r="AJ489" i="5"/>
  <c r="Q489" i="5"/>
  <c r="P489" i="5"/>
  <c r="N489" i="5"/>
  <c r="L489" i="5"/>
  <c r="H489" i="5"/>
  <c r="O489" i="5" s="1"/>
  <c r="D489" i="5"/>
  <c r="M489" i="5" s="1"/>
  <c r="AN488" i="5"/>
  <c r="AM488" i="5"/>
  <c r="AJ488" i="5"/>
  <c r="Q488" i="5"/>
  <c r="P488" i="5"/>
  <c r="N488" i="5"/>
  <c r="L488" i="5"/>
  <c r="H488" i="5"/>
  <c r="O488" i="5" s="1"/>
  <c r="D488" i="5"/>
  <c r="M488" i="5" s="1"/>
  <c r="AN487" i="5"/>
  <c r="AM487" i="5"/>
  <c r="AJ487" i="5"/>
  <c r="Q487" i="5"/>
  <c r="P487" i="5"/>
  <c r="N487" i="5"/>
  <c r="L487" i="5"/>
  <c r="H487" i="5"/>
  <c r="O487" i="5" s="1"/>
  <c r="D487" i="5"/>
  <c r="M487" i="5" s="1"/>
  <c r="AN486" i="5"/>
  <c r="AM486" i="5"/>
  <c r="AJ486" i="5"/>
  <c r="Q486" i="5"/>
  <c r="P486" i="5"/>
  <c r="N486" i="5"/>
  <c r="L486" i="5"/>
  <c r="H486" i="5"/>
  <c r="O486" i="5" s="1"/>
  <c r="D486" i="5"/>
  <c r="M486" i="5" s="1"/>
  <c r="AN485" i="5"/>
  <c r="AM485" i="5"/>
  <c r="AJ485" i="5"/>
  <c r="Q485" i="5"/>
  <c r="P485" i="5"/>
  <c r="N485" i="5"/>
  <c r="L485" i="5"/>
  <c r="H485" i="5"/>
  <c r="O485" i="5" s="1"/>
  <c r="D485" i="5"/>
  <c r="M485" i="5" s="1"/>
  <c r="AN484" i="5"/>
  <c r="AM484" i="5"/>
  <c r="AJ484" i="5"/>
  <c r="Q484" i="5"/>
  <c r="P484" i="5"/>
  <c r="N484" i="5"/>
  <c r="L484" i="5"/>
  <c r="H484" i="5"/>
  <c r="O484" i="5" s="1"/>
  <c r="D484" i="5"/>
  <c r="M484" i="5" s="1"/>
  <c r="AN483" i="5"/>
  <c r="AM483" i="5"/>
  <c r="AJ483" i="5"/>
  <c r="Q483" i="5"/>
  <c r="P483" i="5"/>
  <c r="N483" i="5"/>
  <c r="L483" i="5"/>
  <c r="H483" i="5"/>
  <c r="O483" i="5" s="1"/>
  <c r="D483" i="5"/>
  <c r="M483" i="5" s="1"/>
  <c r="AN482" i="5"/>
  <c r="AM482" i="5"/>
  <c r="AJ482" i="5"/>
  <c r="Q482" i="5"/>
  <c r="P482" i="5"/>
  <c r="N482" i="5"/>
  <c r="L482" i="5"/>
  <c r="H482" i="5"/>
  <c r="O482" i="5" s="1"/>
  <c r="D482" i="5"/>
  <c r="M482" i="5" s="1"/>
  <c r="AN481" i="5"/>
  <c r="AM481" i="5"/>
  <c r="AJ481" i="5"/>
  <c r="Q481" i="5"/>
  <c r="P481" i="5"/>
  <c r="N481" i="5"/>
  <c r="L481" i="5"/>
  <c r="H481" i="5"/>
  <c r="O481" i="5" s="1"/>
  <c r="D481" i="5"/>
  <c r="M481" i="5" s="1"/>
  <c r="AN480" i="5"/>
  <c r="AM480" i="5"/>
  <c r="AJ480" i="5"/>
  <c r="Q480" i="5"/>
  <c r="P480" i="5"/>
  <c r="N480" i="5"/>
  <c r="L480" i="5"/>
  <c r="H480" i="5"/>
  <c r="O480" i="5" s="1"/>
  <c r="D480" i="5"/>
  <c r="M480" i="5" s="1"/>
  <c r="AN479" i="5"/>
  <c r="AM479" i="5"/>
  <c r="AJ479" i="5"/>
  <c r="Q479" i="5"/>
  <c r="P479" i="5"/>
  <c r="N479" i="5"/>
  <c r="L479" i="5"/>
  <c r="H479" i="5"/>
  <c r="O479" i="5" s="1"/>
  <c r="D479" i="5"/>
  <c r="M479" i="5" s="1"/>
  <c r="AN478" i="5"/>
  <c r="AM478" i="5"/>
  <c r="AJ478" i="5"/>
  <c r="Q478" i="5"/>
  <c r="P478" i="5"/>
  <c r="N478" i="5"/>
  <c r="L478" i="5"/>
  <c r="H478" i="5"/>
  <c r="O478" i="5" s="1"/>
  <c r="D478" i="5"/>
  <c r="M478" i="5" s="1"/>
  <c r="AN477" i="5"/>
  <c r="AM477" i="5"/>
  <c r="AJ477" i="5"/>
  <c r="Q477" i="5"/>
  <c r="P477" i="5"/>
  <c r="N477" i="5"/>
  <c r="L477" i="5"/>
  <c r="H477" i="5"/>
  <c r="O477" i="5" s="1"/>
  <c r="D477" i="5"/>
  <c r="M477" i="5" s="1"/>
  <c r="AN476" i="5"/>
  <c r="AM476" i="5"/>
  <c r="AJ476" i="5"/>
  <c r="Q476" i="5"/>
  <c r="P476" i="5"/>
  <c r="N476" i="5"/>
  <c r="L476" i="5"/>
  <c r="H476" i="5"/>
  <c r="O476" i="5" s="1"/>
  <c r="D476" i="5"/>
  <c r="M476" i="5" s="1"/>
  <c r="AN475" i="5"/>
  <c r="AM475" i="5"/>
  <c r="AJ475" i="5"/>
  <c r="Q475" i="5"/>
  <c r="P475" i="5"/>
  <c r="N475" i="5"/>
  <c r="L475" i="5"/>
  <c r="H475" i="5"/>
  <c r="O475" i="5" s="1"/>
  <c r="D475" i="5"/>
  <c r="M475" i="5" s="1"/>
  <c r="AN474" i="5"/>
  <c r="AM474" i="5"/>
  <c r="AJ474" i="5"/>
  <c r="Q474" i="5"/>
  <c r="P474" i="5"/>
  <c r="N474" i="5"/>
  <c r="L474" i="5"/>
  <c r="H474" i="5"/>
  <c r="O474" i="5" s="1"/>
  <c r="D474" i="5"/>
  <c r="M474" i="5" s="1"/>
  <c r="AN473" i="5"/>
  <c r="AM473" i="5"/>
  <c r="AJ473" i="5"/>
  <c r="Q473" i="5"/>
  <c r="P473" i="5"/>
  <c r="N473" i="5"/>
  <c r="L473" i="5"/>
  <c r="H473" i="5"/>
  <c r="O473" i="5" s="1"/>
  <c r="D473" i="5"/>
  <c r="M473" i="5" s="1"/>
  <c r="AN472" i="5"/>
  <c r="AM472" i="5"/>
  <c r="AJ472" i="5"/>
  <c r="Q472" i="5"/>
  <c r="P472" i="5"/>
  <c r="N472" i="5"/>
  <c r="L472" i="5"/>
  <c r="H472" i="5"/>
  <c r="O472" i="5" s="1"/>
  <c r="D472" i="5"/>
  <c r="M472" i="5" s="1"/>
  <c r="AN471" i="5"/>
  <c r="AM471" i="5"/>
  <c r="AJ471" i="5"/>
  <c r="Q471" i="5"/>
  <c r="P471" i="5"/>
  <c r="N471" i="5"/>
  <c r="L471" i="5"/>
  <c r="H471" i="5"/>
  <c r="O471" i="5" s="1"/>
  <c r="D471" i="5"/>
  <c r="M471" i="5" s="1"/>
  <c r="AN470" i="5"/>
  <c r="AM470" i="5"/>
  <c r="AJ470" i="5"/>
  <c r="Q470" i="5"/>
  <c r="P470" i="5"/>
  <c r="N470" i="5"/>
  <c r="L470" i="5"/>
  <c r="H470" i="5"/>
  <c r="O470" i="5" s="1"/>
  <c r="D470" i="5"/>
  <c r="M470" i="5" s="1"/>
  <c r="AN469" i="5"/>
  <c r="AM469" i="5"/>
  <c r="AJ469" i="5"/>
  <c r="Q469" i="5"/>
  <c r="P469" i="5"/>
  <c r="N469" i="5"/>
  <c r="L469" i="5"/>
  <c r="H469" i="5"/>
  <c r="O469" i="5" s="1"/>
  <c r="D469" i="5"/>
  <c r="M469" i="5" s="1"/>
  <c r="AN468" i="5"/>
  <c r="AM468" i="5"/>
  <c r="AJ468" i="5"/>
  <c r="Q468" i="5"/>
  <c r="P468" i="5"/>
  <c r="N468" i="5"/>
  <c r="L468" i="5"/>
  <c r="H468" i="5"/>
  <c r="O468" i="5" s="1"/>
  <c r="D468" i="5"/>
  <c r="M468" i="5" s="1"/>
  <c r="AN467" i="5"/>
  <c r="AM467" i="5"/>
  <c r="AJ467" i="5"/>
  <c r="Q467" i="5"/>
  <c r="P467" i="5"/>
  <c r="N467" i="5"/>
  <c r="L467" i="5"/>
  <c r="H467" i="5"/>
  <c r="O467" i="5" s="1"/>
  <c r="D467" i="5"/>
  <c r="M467" i="5" s="1"/>
  <c r="AN466" i="5"/>
  <c r="AM466" i="5"/>
  <c r="AJ466" i="5"/>
  <c r="Q466" i="5"/>
  <c r="P466" i="5"/>
  <c r="N466" i="5"/>
  <c r="L466" i="5"/>
  <c r="H466" i="5"/>
  <c r="O466" i="5" s="1"/>
  <c r="D466" i="5"/>
  <c r="M466" i="5" s="1"/>
  <c r="AN465" i="5"/>
  <c r="AM465" i="5"/>
  <c r="AJ465" i="5"/>
  <c r="Q465" i="5"/>
  <c r="P465" i="5"/>
  <c r="N465" i="5"/>
  <c r="L465" i="5"/>
  <c r="H465" i="5"/>
  <c r="O465" i="5" s="1"/>
  <c r="D465" i="5"/>
  <c r="M465" i="5" s="1"/>
  <c r="AN464" i="5"/>
  <c r="AM464" i="5"/>
  <c r="AJ464" i="5"/>
  <c r="Q464" i="5"/>
  <c r="P464" i="5"/>
  <c r="N464" i="5"/>
  <c r="L464" i="5"/>
  <c r="H464" i="5"/>
  <c r="O464" i="5" s="1"/>
  <c r="D464" i="5"/>
  <c r="M464" i="5" s="1"/>
  <c r="AN463" i="5"/>
  <c r="AM463" i="5"/>
  <c r="AJ463" i="5"/>
  <c r="Q463" i="5"/>
  <c r="P463" i="5"/>
  <c r="N463" i="5"/>
  <c r="L463" i="5"/>
  <c r="H463" i="5"/>
  <c r="O463" i="5" s="1"/>
  <c r="D463" i="5"/>
  <c r="M463" i="5" s="1"/>
  <c r="AN462" i="5"/>
  <c r="AM462" i="5"/>
  <c r="AJ462" i="5"/>
  <c r="Q462" i="5"/>
  <c r="P462" i="5"/>
  <c r="N462" i="5"/>
  <c r="L462" i="5"/>
  <c r="H462" i="5"/>
  <c r="O462" i="5" s="1"/>
  <c r="D462" i="5"/>
  <c r="M462" i="5" s="1"/>
  <c r="AN461" i="5"/>
  <c r="AM461" i="5"/>
  <c r="AJ461" i="5"/>
  <c r="Q461" i="5"/>
  <c r="P461" i="5"/>
  <c r="N461" i="5"/>
  <c r="L461" i="5"/>
  <c r="H461" i="5"/>
  <c r="O461" i="5" s="1"/>
  <c r="D461" i="5"/>
  <c r="M461" i="5" s="1"/>
  <c r="AN460" i="5"/>
  <c r="AM460" i="5"/>
  <c r="AJ460" i="5"/>
  <c r="Q460" i="5"/>
  <c r="P460" i="5"/>
  <c r="N460" i="5"/>
  <c r="L460" i="5"/>
  <c r="H460" i="5"/>
  <c r="O460" i="5" s="1"/>
  <c r="D460" i="5"/>
  <c r="M460" i="5" s="1"/>
  <c r="AN459" i="5"/>
  <c r="AM459" i="5"/>
  <c r="AJ459" i="5"/>
  <c r="Q459" i="5"/>
  <c r="P459" i="5"/>
  <c r="N459" i="5"/>
  <c r="L459" i="5"/>
  <c r="H459" i="5"/>
  <c r="O459" i="5" s="1"/>
  <c r="D459" i="5"/>
  <c r="M459" i="5" s="1"/>
  <c r="AN458" i="5"/>
  <c r="AM458" i="5"/>
  <c r="AJ458" i="5"/>
  <c r="Q458" i="5"/>
  <c r="P458" i="5"/>
  <c r="N458" i="5"/>
  <c r="L458" i="5"/>
  <c r="H458" i="5"/>
  <c r="O458" i="5" s="1"/>
  <c r="D458" i="5"/>
  <c r="M458" i="5" s="1"/>
  <c r="AN457" i="5"/>
  <c r="AM457" i="5"/>
  <c r="AJ457" i="5"/>
  <c r="Q457" i="5"/>
  <c r="P457" i="5"/>
  <c r="N457" i="5"/>
  <c r="L457" i="5"/>
  <c r="H457" i="5"/>
  <c r="O457" i="5" s="1"/>
  <c r="D457" i="5"/>
  <c r="M457" i="5" s="1"/>
  <c r="AN456" i="5"/>
  <c r="AM456" i="5"/>
  <c r="AJ456" i="5"/>
  <c r="Q456" i="5"/>
  <c r="P456" i="5"/>
  <c r="N456" i="5"/>
  <c r="L456" i="5"/>
  <c r="H456" i="5"/>
  <c r="O456" i="5" s="1"/>
  <c r="D456" i="5"/>
  <c r="M456" i="5" s="1"/>
  <c r="AN455" i="5"/>
  <c r="AM455" i="5"/>
  <c r="AJ455" i="5"/>
  <c r="Q455" i="5"/>
  <c r="P455" i="5"/>
  <c r="N455" i="5"/>
  <c r="L455" i="5"/>
  <c r="H455" i="5"/>
  <c r="O455" i="5" s="1"/>
  <c r="D455" i="5"/>
  <c r="M455" i="5" s="1"/>
  <c r="AN454" i="5"/>
  <c r="AM454" i="5"/>
  <c r="AJ454" i="5"/>
  <c r="Q454" i="5"/>
  <c r="P454" i="5"/>
  <c r="N454" i="5"/>
  <c r="L454" i="5"/>
  <c r="H454" i="5"/>
  <c r="O454" i="5" s="1"/>
  <c r="D454" i="5"/>
  <c r="M454" i="5" s="1"/>
  <c r="AN453" i="5"/>
  <c r="AM453" i="5"/>
  <c r="AJ453" i="5"/>
  <c r="Q453" i="5"/>
  <c r="P453" i="5"/>
  <c r="N453" i="5"/>
  <c r="L453" i="5"/>
  <c r="H453" i="5"/>
  <c r="O453" i="5" s="1"/>
  <c r="D453" i="5"/>
  <c r="M453" i="5" s="1"/>
  <c r="AN452" i="5"/>
  <c r="AM452" i="5"/>
  <c r="AJ452" i="5"/>
  <c r="Q452" i="5"/>
  <c r="P452" i="5"/>
  <c r="N452" i="5"/>
  <c r="L452" i="5"/>
  <c r="H452" i="5"/>
  <c r="O452" i="5" s="1"/>
  <c r="D452" i="5"/>
  <c r="M452" i="5" s="1"/>
  <c r="AN451" i="5"/>
  <c r="AM451" i="5"/>
  <c r="AJ451" i="5"/>
  <c r="Q451" i="5"/>
  <c r="P451" i="5"/>
  <c r="N451" i="5"/>
  <c r="L451" i="5"/>
  <c r="H451" i="5"/>
  <c r="O451" i="5" s="1"/>
  <c r="D451" i="5"/>
  <c r="M451" i="5" s="1"/>
  <c r="AN450" i="5"/>
  <c r="AM450" i="5"/>
  <c r="AJ450" i="5"/>
  <c r="Q450" i="5"/>
  <c r="P450" i="5"/>
  <c r="N450" i="5"/>
  <c r="L450" i="5"/>
  <c r="H450" i="5"/>
  <c r="O450" i="5" s="1"/>
  <c r="D450" i="5"/>
  <c r="M450" i="5" s="1"/>
  <c r="AN449" i="5"/>
  <c r="AM449" i="5"/>
  <c r="AJ449" i="5"/>
  <c r="Q449" i="5"/>
  <c r="P449" i="5"/>
  <c r="N449" i="5"/>
  <c r="L449" i="5"/>
  <c r="H449" i="5"/>
  <c r="O449" i="5" s="1"/>
  <c r="D449" i="5"/>
  <c r="M449" i="5" s="1"/>
  <c r="AN448" i="5"/>
  <c r="AM448" i="5"/>
  <c r="AJ448" i="5"/>
  <c r="Q448" i="5"/>
  <c r="P448" i="5"/>
  <c r="N448" i="5"/>
  <c r="L448" i="5"/>
  <c r="H448" i="5"/>
  <c r="O448" i="5" s="1"/>
  <c r="D448" i="5"/>
  <c r="M448" i="5" s="1"/>
  <c r="AN447" i="5"/>
  <c r="AM447" i="5"/>
  <c r="AJ447" i="5"/>
  <c r="Q447" i="5"/>
  <c r="P447" i="5"/>
  <c r="N447" i="5"/>
  <c r="L447" i="5"/>
  <c r="H447" i="5"/>
  <c r="O447" i="5" s="1"/>
  <c r="D447" i="5"/>
  <c r="M447" i="5" s="1"/>
  <c r="AN446" i="5"/>
  <c r="AM446" i="5"/>
  <c r="AJ446" i="5"/>
  <c r="Q446" i="5"/>
  <c r="P446" i="5"/>
  <c r="N446" i="5"/>
  <c r="L446" i="5"/>
  <c r="H446" i="5"/>
  <c r="O446" i="5" s="1"/>
  <c r="D446" i="5"/>
  <c r="M446" i="5" s="1"/>
  <c r="AN445" i="5"/>
  <c r="AM445" i="5"/>
  <c r="AJ445" i="5"/>
  <c r="Q445" i="5"/>
  <c r="P445" i="5"/>
  <c r="N445" i="5"/>
  <c r="L445" i="5"/>
  <c r="H445" i="5"/>
  <c r="O445" i="5" s="1"/>
  <c r="D445" i="5"/>
  <c r="M445" i="5" s="1"/>
  <c r="AN444" i="5"/>
  <c r="AM444" i="5"/>
  <c r="AJ444" i="5"/>
  <c r="Q444" i="5"/>
  <c r="P444" i="5"/>
  <c r="N444" i="5"/>
  <c r="L444" i="5"/>
  <c r="H444" i="5"/>
  <c r="O444" i="5" s="1"/>
  <c r="D444" i="5"/>
  <c r="M444" i="5" s="1"/>
  <c r="AN443" i="5"/>
  <c r="AM443" i="5"/>
  <c r="AJ443" i="5"/>
  <c r="Q443" i="5"/>
  <c r="P443" i="5"/>
  <c r="N443" i="5"/>
  <c r="L443" i="5"/>
  <c r="H443" i="5"/>
  <c r="O443" i="5" s="1"/>
  <c r="D443" i="5"/>
  <c r="M443" i="5" s="1"/>
  <c r="AN442" i="5"/>
  <c r="AM442" i="5"/>
  <c r="AJ442" i="5"/>
  <c r="Q442" i="5"/>
  <c r="P442" i="5"/>
  <c r="N442" i="5"/>
  <c r="L442" i="5"/>
  <c r="H442" i="5"/>
  <c r="O442" i="5" s="1"/>
  <c r="D442" i="5"/>
  <c r="M442" i="5" s="1"/>
  <c r="AN441" i="5"/>
  <c r="AM441" i="5"/>
  <c r="AJ441" i="5"/>
  <c r="Q441" i="5"/>
  <c r="P441" i="5"/>
  <c r="N441" i="5"/>
  <c r="L441" i="5"/>
  <c r="H441" i="5"/>
  <c r="O441" i="5" s="1"/>
  <c r="D441" i="5"/>
  <c r="M441" i="5" s="1"/>
  <c r="AN440" i="5"/>
  <c r="AM440" i="5"/>
  <c r="AJ440" i="5"/>
  <c r="Q440" i="5"/>
  <c r="P440" i="5"/>
  <c r="N440" i="5"/>
  <c r="L440" i="5"/>
  <c r="H440" i="5"/>
  <c r="O440" i="5" s="1"/>
  <c r="D440" i="5"/>
  <c r="M440" i="5" s="1"/>
  <c r="AN439" i="5"/>
  <c r="AM439" i="5"/>
  <c r="AJ439" i="5"/>
  <c r="Q439" i="5"/>
  <c r="P439" i="5"/>
  <c r="N439" i="5"/>
  <c r="L439" i="5"/>
  <c r="H439" i="5"/>
  <c r="O439" i="5" s="1"/>
  <c r="D439" i="5"/>
  <c r="M439" i="5" s="1"/>
  <c r="AN438" i="5"/>
  <c r="AM438" i="5"/>
  <c r="AJ438" i="5"/>
  <c r="Q438" i="5"/>
  <c r="P438" i="5"/>
  <c r="N438" i="5"/>
  <c r="L438" i="5"/>
  <c r="H438" i="5"/>
  <c r="O438" i="5" s="1"/>
  <c r="D438" i="5"/>
  <c r="M438" i="5" s="1"/>
  <c r="AN437" i="5"/>
  <c r="AM437" i="5"/>
  <c r="AJ437" i="5"/>
  <c r="Q437" i="5"/>
  <c r="P437" i="5"/>
  <c r="N437" i="5"/>
  <c r="L437" i="5"/>
  <c r="H437" i="5"/>
  <c r="O437" i="5" s="1"/>
  <c r="D437" i="5"/>
  <c r="M437" i="5" s="1"/>
  <c r="AN436" i="5"/>
  <c r="AM436" i="5"/>
  <c r="AJ436" i="5"/>
  <c r="Q436" i="5"/>
  <c r="P436" i="5"/>
  <c r="N436" i="5"/>
  <c r="L436" i="5"/>
  <c r="H436" i="5"/>
  <c r="O436" i="5" s="1"/>
  <c r="D436" i="5"/>
  <c r="M436" i="5" s="1"/>
  <c r="AN435" i="5"/>
  <c r="AM435" i="5"/>
  <c r="AJ435" i="5"/>
  <c r="Q435" i="5"/>
  <c r="P435" i="5"/>
  <c r="N435" i="5"/>
  <c r="L435" i="5"/>
  <c r="H435" i="5"/>
  <c r="O435" i="5" s="1"/>
  <c r="D435" i="5"/>
  <c r="M435" i="5" s="1"/>
  <c r="AN434" i="5"/>
  <c r="AM434" i="5"/>
  <c r="AJ434" i="5"/>
  <c r="Q434" i="5"/>
  <c r="P434" i="5"/>
  <c r="N434" i="5"/>
  <c r="L434" i="5"/>
  <c r="H434" i="5"/>
  <c r="O434" i="5" s="1"/>
  <c r="D434" i="5"/>
  <c r="M434" i="5" s="1"/>
  <c r="AN433" i="5"/>
  <c r="AM433" i="5"/>
  <c r="AJ433" i="5"/>
  <c r="Q433" i="5"/>
  <c r="P433" i="5"/>
  <c r="N433" i="5"/>
  <c r="L433" i="5"/>
  <c r="H433" i="5"/>
  <c r="O433" i="5" s="1"/>
  <c r="D433" i="5"/>
  <c r="M433" i="5" s="1"/>
  <c r="AN432" i="5"/>
  <c r="AM432" i="5"/>
  <c r="AJ432" i="5"/>
  <c r="Q432" i="5"/>
  <c r="P432" i="5"/>
  <c r="N432" i="5"/>
  <c r="L432" i="5"/>
  <c r="H432" i="5"/>
  <c r="O432" i="5" s="1"/>
  <c r="D432" i="5"/>
  <c r="M432" i="5" s="1"/>
  <c r="AN431" i="5"/>
  <c r="AM431" i="5"/>
  <c r="AJ431" i="5"/>
  <c r="Q431" i="5"/>
  <c r="P431" i="5"/>
  <c r="N431" i="5"/>
  <c r="L431" i="5"/>
  <c r="H431" i="5"/>
  <c r="O431" i="5" s="1"/>
  <c r="D431" i="5"/>
  <c r="M431" i="5" s="1"/>
  <c r="AN430" i="5"/>
  <c r="AM430" i="5"/>
  <c r="AJ430" i="5"/>
  <c r="Q430" i="5"/>
  <c r="P430" i="5"/>
  <c r="N430" i="5"/>
  <c r="L430" i="5"/>
  <c r="H430" i="5"/>
  <c r="O430" i="5" s="1"/>
  <c r="D430" i="5"/>
  <c r="M430" i="5" s="1"/>
  <c r="AN429" i="5"/>
  <c r="AM429" i="5"/>
  <c r="AJ429" i="5"/>
  <c r="Q429" i="5"/>
  <c r="P429" i="5"/>
  <c r="N429" i="5"/>
  <c r="L429" i="5"/>
  <c r="H429" i="5"/>
  <c r="O429" i="5" s="1"/>
  <c r="D429" i="5"/>
  <c r="M429" i="5" s="1"/>
  <c r="AN428" i="5"/>
  <c r="AM428" i="5"/>
  <c r="AJ428" i="5"/>
  <c r="Q428" i="5"/>
  <c r="P428" i="5"/>
  <c r="N428" i="5"/>
  <c r="L428" i="5"/>
  <c r="H428" i="5"/>
  <c r="O428" i="5" s="1"/>
  <c r="D428" i="5"/>
  <c r="M428" i="5" s="1"/>
  <c r="AN427" i="5"/>
  <c r="AM427" i="5"/>
  <c r="AJ427" i="5"/>
  <c r="Q427" i="5"/>
  <c r="P427" i="5"/>
  <c r="N427" i="5"/>
  <c r="L427" i="5"/>
  <c r="H427" i="5"/>
  <c r="O427" i="5" s="1"/>
  <c r="D427" i="5"/>
  <c r="M427" i="5" s="1"/>
  <c r="AN426" i="5"/>
  <c r="AM426" i="5"/>
  <c r="AJ426" i="5"/>
  <c r="Q426" i="5"/>
  <c r="P426" i="5"/>
  <c r="N426" i="5"/>
  <c r="L426" i="5"/>
  <c r="H426" i="5"/>
  <c r="O426" i="5" s="1"/>
  <c r="D426" i="5"/>
  <c r="M426" i="5" s="1"/>
  <c r="AN425" i="5"/>
  <c r="AM425" i="5"/>
  <c r="AJ425" i="5"/>
  <c r="Q425" i="5"/>
  <c r="P425" i="5"/>
  <c r="N425" i="5"/>
  <c r="L425" i="5"/>
  <c r="H425" i="5"/>
  <c r="O425" i="5" s="1"/>
  <c r="D425" i="5"/>
  <c r="M425" i="5" s="1"/>
  <c r="AN424" i="5"/>
  <c r="AM424" i="5"/>
  <c r="AJ424" i="5"/>
  <c r="Q424" i="5"/>
  <c r="P424" i="5"/>
  <c r="N424" i="5"/>
  <c r="L424" i="5"/>
  <c r="H424" i="5"/>
  <c r="O424" i="5" s="1"/>
  <c r="D424" i="5"/>
  <c r="M424" i="5" s="1"/>
  <c r="AN423" i="5"/>
  <c r="AM423" i="5"/>
  <c r="AJ423" i="5"/>
  <c r="Q423" i="5"/>
  <c r="P423" i="5"/>
  <c r="N423" i="5"/>
  <c r="L423" i="5"/>
  <c r="H423" i="5"/>
  <c r="O423" i="5" s="1"/>
  <c r="D423" i="5"/>
  <c r="M423" i="5" s="1"/>
  <c r="AN422" i="5"/>
  <c r="AM422" i="5"/>
  <c r="AJ422" i="5"/>
  <c r="Q422" i="5"/>
  <c r="P422" i="5"/>
  <c r="N422" i="5"/>
  <c r="L422" i="5"/>
  <c r="H422" i="5"/>
  <c r="O422" i="5" s="1"/>
  <c r="D422" i="5"/>
  <c r="M422" i="5" s="1"/>
  <c r="AN421" i="5"/>
  <c r="AM421" i="5"/>
  <c r="AJ421" i="5"/>
  <c r="Q421" i="5"/>
  <c r="P421" i="5"/>
  <c r="N421" i="5"/>
  <c r="L421" i="5"/>
  <c r="H421" i="5"/>
  <c r="O421" i="5" s="1"/>
  <c r="D421" i="5"/>
  <c r="M421" i="5" s="1"/>
  <c r="AN420" i="5"/>
  <c r="AM420" i="5"/>
  <c r="AJ420" i="5"/>
  <c r="Q420" i="5"/>
  <c r="P420" i="5"/>
  <c r="N420" i="5"/>
  <c r="L420" i="5"/>
  <c r="H420" i="5"/>
  <c r="O420" i="5" s="1"/>
  <c r="D420" i="5"/>
  <c r="M420" i="5" s="1"/>
  <c r="AN419" i="5"/>
  <c r="AM419" i="5"/>
  <c r="AJ419" i="5"/>
  <c r="Q419" i="5"/>
  <c r="P419" i="5"/>
  <c r="N419" i="5"/>
  <c r="L419" i="5"/>
  <c r="H419" i="5"/>
  <c r="O419" i="5" s="1"/>
  <c r="D419" i="5"/>
  <c r="M419" i="5" s="1"/>
  <c r="AN418" i="5"/>
  <c r="AM418" i="5"/>
  <c r="AJ418" i="5"/>
  <c r="Q418" i="5"/>
  <c r="P418" i="5"/>
  <c r="N418" i="5"/>
  <c r="L418" i="5"/>
  <c r="H418" i="5"/>
  <c r="O418" i="5" s="1"/>
  <c r="D418" i="5"/>
  <c r="M418" i="5" s="1"/>
  <c r="AN417" i="5"/>
  <c r="AM417" i="5"/>
  <c r="AJ417" i="5"/>
  <c r="Q417" i="5"/>
  <c r="P417" i="5"/>
  <c r="N417" i="5"/>
  <c r="L417" i="5"/>
  <c r="H417" i="5"/>
  <c r="O417" i="5" s="1"/>
  <c r="D417" i="5"/>
  <c r="M417" i="5" s="1"/>
  <c r="AN416" i="5"/>
  <c r="AM416" i="5"/>
  <c r="AJ416" i="5"/>
  <c r="Q416" i="5"/>
  <c r="P416" i="5"/>
  <c r="N416" i="5"/>
  <c r="L416" i="5"/>
  <c r="H416" i="5"/>
  <c r="O416" i="5" s="1"/>
  <c r="D416" i="5"/>
  <c r="M416" i="5" s="1"/>
  <c r="AN415" i="5"/>
  <c r="AM415" i="5"/>
  <c r="AJ415" i="5"/>
  <c r="Q415" i="5"/>
  <c r="P415" i="5"/>
  <c r="N415" i="5"/>
  <c r="L415" i="5"/>
  <c r="H415" i="5"/>
  <c r="O415" i="5" s="1"/>
  <c r="D415" i="5"/>
  <c r="M415" i="5" s="1"/>
  <c r="AN414" i="5"/>
  <c r="AM414" i="5"/>
  <c r="AJ414" i="5"/>
  <c r="Q414" i="5"/>
  <c r="P414" i="5"/>
  <c r="N414" i="5"/>
  <c r="L414" i="5"/>
  <c r="H414" i="5"/>
  <c r="O414" i="5" s="1"/>
  <c r="D414" i="5"/>
  <c r="M414" i="5" s="1"/>
  <c r="AN413" i="5"/>
  <c r="AM413" i="5"/>
  <c r="AJ413" i="5"/>
  <c r="Q413" i="5"/>
  <c r="P413" i="5"/>
  <c r="N413" i="5"/>
  <c r="L413" i="5"/>
  <c r="H413" i="5"/>
  <c r="O413" i="5" s="1"/>
  <c r="D413" i="5"/>
  <c r="M413" i="5" s="1"/>
  <c r="AN412" i="5"/>
  <c r="AM412" i="5"/>
  <c r="AJ412" i="5"/>
  <c r="Q412" i="5"/>
  <c r="P412" i="5"/>
  <c r="N412" i="5"/>
  <c r="L412" i="5"/>
  <c r="H412" i="5"/>
  <c r="O412" i="5" s="1"/>
  <c r="D412" i="5"/>
  <c r="M412" i="5" s="1"/>
  <c r="AN411" i="5"/>
  <c r="AM411" i="5"/>
  <c r="AJ411" i="5"/>
  <c r="Q411" i="5"/>
  <c r="P411" i="5"/>
  <c r="N411" i="5"/>
  <c r="L411" i="5"/>
  <c r="H411" i="5"/>
  <c r="O411" i="5" s="1"/>
  <c r="D411" i="5"/>
  <c r="M411" i="5" s="1"/>
  <c r="AN410" i="5"/>
  <c r="AM410" i="5"/>
  <c r="AJ410" i="5"/>
  <c r="Q410" i="5"/>
  <c r="P410" i="5"/>
  <c r="N410" i="5"/>
  <c r="L410" i="5"/>
  <c r="H410" i="5"/>
  <c r="O410" i="5" s="1"/>
  <c r="D410" i="5"/>
  <c r="M410" i="5" s="1"/>
  <c r="AN409" i="5"/>
  <c r="AM409" i="5"/>
  <c r="AJ409" i="5"/>
  <c r="Q409" i="5"/>
  <c r="P409" i="5"/>
  <c r="N409" i="5"/>
  <c r="L409" i="5"/>
  <c r="H409" i="5"/>
  <c r="O409" i="5" s="1"/>
  <c r="D409" i="5"/>
  <c r="M409" i="5" s="1"/>
  <c r="AN408" i="5"/>
  <c r="AM408" i="5"/>
  <c r="AJ408" i="5"/>
  <c r="Q408" i="5"/>
  <c r="P408" i="5"/>
  <c r="N408" i="5"/>
  <c r="L408" i="5"/>
  <c r="H408" i="5"/>
  <c r="O408" i="5" s="1"/>
  <c r="D408" i="5"/>
  <c r="M408" i="5" s="1"/>
  <c r="AN407" i="5"/>
  <c r="AM407" i="5"/>
  <c r="AJ407" i="5"/>
  <c r="Q407" i="5"/>
  <c r="P407" i="5"/>
  <c r="N407" i="5"/>
  <c r="L407" i="5"/>
  <c r="H407" i="5"/>
  <c r="O407" i="5" s="1"/>
  <c r="D407" i="5"/>
  <c r="M407" i="5" s="1"/>
  <c r="AN406" i="5"/>
  <c r="AM406" i="5"/>
  <c r="AJ406" i="5"/>
  <c r="Q406" i="5"/>
  <c r="P406" i="5"/>
  <c r="N406" i="5"/>
  <c r="L406" i="5"/>
  <c r="H406" i="5"/>
  <c r="O406" i="5" s="1"/>
  <c r="D406" i="5"/>
  <c r="M406" i="5" s="1"/>
  <c r="AN405" i="5"/>
  <c r="AM405" i="5"/>
  <c r="AJ405" i="5"/>
  <c r="Q405" i="5"/>
  <c r="P405" i="5"/>
  <c r="N405" i="5"/>
  <c r="L405" i="5"/>
  <c r="H405" i="5"/>
  <c r="O405" i="5" s="1"/>
  <c r="D405" i="5"/>
  <c r="M405" i="5" s="1"/>
  <c r="AN404" i="5"/>
  <c r="AM404" i="5"/>
  <c r="AJ404" i="5"/>
  <c r="Q404" i="5"/>
  <c r="P404" i="5"/>
  <c r="N404" i="5"/>
  <c r="L404" i="5"/>
  <c r="H404" i="5"/>
  <c r="O404" i="5" s="1"/>
  <c r="D404" i="5"/>
  <c r="M404" i="5" s="1"/>
  <c r="AN403" i="5"/>
  <c r="AM403" i="5"/>
  <c r="AJ403" i="5"/>
  <c r="Q403" i="5"/>
  <c r="P403" i="5"/>
  <c r="N403" i="5"/>
  <c r="L403" i="5"/>
  <c r="H403" i="5"/>
  <c r="O403" i="5" s="1"/>
  <c r="D403" i="5"/>
  <c r="M403" i="5" s="1"/>
  <c r="AN402" i="5"/>
  <c r="AM402" i="5"/>
  <c r="AJ402" i="5"/>
  <c r="Q402" i="5"/>
  <c r="P402" i="5"/>
  <c r="N402" i="5"/>
  <c r="L402" i="5"/>
  <c r="H402" i="5"/>
  <c r="O402" i="5" s="1"/>
  <c r="D402" i="5"/>
  <c r="M402" i="5" s="1"/>
  <c r="AN401" i="5"/>
  <c r="AM401" i="5"/>
  <c r="AJ401" i="5"/>
  <c r="Q401" i="5"/>
  <c r="P401" i="5"/>
  <c r="N401" i="5"/>
  <c r="L401" i="5"/>
  <c r="H401" i="5"/>
  <c r="O401" i="5" s="1"/>
  <c r="D401" i="5"/>
  <c r="M401" i="5" s="1"/>
  <c r="AN400" i="5"/>
  <c r="AM400" i="5"/>
  <c r="AJ400" i="5"/>
  <c r="Q400" i="5"/>
  <c r="P400" i="5"/>
  <c r="N400" i="5"/>
  <c r="L400" i="5"/>
  <c r="H400" i="5"/>
  <c r="O400" i="5" s="1"/>
  <c r="D400" i="5"/>
  <c r="M400" i="5" s="1"/>
  <c r="AN399" i="5"/>
  <c r="AM399" i="5"/>
  <c r="AJ399" i="5"/>
  <c r="Q399" i="5"/>
  <c r="P399" i="5"/>
  <c r="N399" i="5"/>
  <c r="L399" i="5"/>
  <c r="H399" i="5"/>
  <c r="O399" i="5" s="1"/>
  <c r="D399" i="5"/>
  <c r="M399" i="5" s="1"/>
  <c r="AN398" i="5"/>
  <c r="AM398" i="5"/>
  <c r="AJ398" i="5"/>
  <c r="Q398" i="5"/>
  <c r="P398" i="5"/>
  <c r="N398" i="5"/>
  <c r="L398" i="5"/>
  <c r="H398" i="5"/>
  <c r="O398" i="5" s="1"/>
  <c r="D398" i="5"/>
  <c r="M398" i="5" s="1"/>
  <c r="AN397" i="5"/>
  <c r="AM397" i="5"/>
  <c r="AJ397" i="5"/>
  <c r="Q397" i="5"/>
  <c r="P397" i="5"/>
  <c r="N397" i="5"/>
  <c r="L397" i="5"/>
  <c r="H397" i="5"/>
  <c r="O397" i="5" s="1"/>
  <c r="D397" i="5"/>
  <c r="M397" i="5" s="1"/>
  <c r="AN396" i="5"/>
  <c r="AM396" i="5"/>
  <c r="AJ396" i="5"/>
  <c r="Q396" i="5"/>
  <c r="P396" i="5"/>
  <c r="N396" i="5"/>
  <c r="L396" i="5"/>
  <c r="H396" i="5"/>
  <c r="O396" i="5" s="1"/>
  <c r="D396" i="5"/>
  <c r="M396" i="5" s="1"/>
  <c r="AN395" i="5"/>
  <c r="AM395" i="5"/>
  <c r="AJ395" i="5"/>
  <c r="Q395" i="5"/>
  <c r="P395" i="5"/>
  <c r="N395" i="5"/>
  <c r="L395" i="5"/>
  <c r="H395" i="5"/>
  <c r="O395" i="5" s="1"/>
  <c r="D395" i="5"/>
  <c r="M395" i="5" s="1"/>
  <c r="AN394" i="5"/>
  <c r="AM394" i="5"/>
  <c r="AJ394" i="5"/>
  <c r="Q394" i="5"/>
  <c r="P394" i="5"/>
  <c r="N394" i="5"/>
  <c r="L394" i="5"/>
  <c r="H394" i="5"/>
  <c r="O394" i="5" s="1"/>
  <c r="D394" i="5"/>
  <c r="M394" i="5" s="1"/>
  <c r="AN393" i="5"/>
  <c r="AM393" i="5"/>
  <c r="AJ393" i="5"/>
  <c r="Q393" i="5"/>
  <c r="P393" i="5"/>
  <c r="N393" i="5"/>
  <c r="L393" i="5"/>
  <c r="H393" i="5"/>
  <c r="O393" i="5" s="1"/>
  <c r="D393" i="5"/>
  <c r="M393" i="5" s="1"/>
  <c r="AN392" i="5"/>
  <c r="AM392" i="5"/>
  <c r="AJ392" i="5"/>
  <c r="Q392" i="5"/>
  <c r="P392" i="5"/>
  <c r="N392" i="5"/>
  <c r="L392" i="5"/>
  <c r="H392" i="5"/>
  <c r="O392" i="5" s="1"/>
  <c r="D392" i="5"/>
  <c r="M392" i="5" s="1"/>
  <c r="AN391" i="5"/>
  <c r="AM391" i="5"/>
  <c r="AJ391" i="5"/>
  <c r="Q391" i="5"/>
  <c r="P391" i="5"/>
  <c r="N391" i="5"/>
  <c r="L391" i="5"/>
  <c r="H391" i="5"/>
  <c r="O391" i="5" s="1"/>
  <c r="D391" i="5"/>
  <c r="M391" i="5" s="1"/>
  <c r="AN390" i="5"/>
  <c r="AM390" i="5"/>
  <c r="AJ390" i="5"/>
  <c r="Q390" i="5"/>
  <c r="P390" i="5"/>
  <c r="N390" i="5"/>
  <c r="L390" i="5"/>
  <c r="H390" i="5"/>
  <c r="O390" i="5" s="1"/>
  <c r="D390" i="5"/>
  <c r="M390" i="5" s="1"/>
  <c r="AN389" i="5"/>
  <c r="AM389" i="5"/>
  <c r="AJ389" i="5"/>
  <c r="Q389" i="5"/>
  <c r="P389" i="5"/>
  <c r="N389" i="5"/>
  <c r="L389" i="5"/>
  <c r="H389" i="5"/>
  <c r="O389" i="5" s="1"/>
  <c r="D389" i="5"/>
  <c r="M389" i="5" s="1"/>
  <c r="AN388" i="5"/>
  <c r="AM388" i="5"/>
  <c r="AJ388" i="5"/>
  <c r="Q388" i="5"/>
  <c r="P388" i="5"/>
  <c r="N388" i="5"/>
  <c r="L388" i="5"/>
  <c r="H388" i="5"/>
  <c r="O388" i="5" s="1"/>
  <c r="D388" i="5"/>
  <c r="M388" i="5" s="1"/>
  <c r="AN387" i="5"/>
  <c r="AM387" i="5"/>
  <c r="AJ387" i="5"/>
  <c r="Q387" i="5"/>
  <c r="P387" i="5"/>
  <c r="N387" i="5"/>
  <c r="L387" i="5"/>
  <c r="H387" i="5"/>
  <c r="O387" i="5" s="1"/>
  <c r="D387" i="5"/>
  <c r="M387" i="5" s="1"/>
  <c r="AN386" i="5"/>
  <c r="AM386" i="5"/>
  <c r="AJ386" i="5"/>
  <c r="Q386" i="5"/>
  <c r="P386" i="5"/>
  <c r="N386" i="5"/>
  <c r="L386" i="5"/>
  <c r="H386" i="5"/>
  <c r="O386" i="5" s="1"/>
  <c r="D386" i="5"/>
  <c r="M386" i="5" s="1"/>
  <c r="AN385" i="5"/>
  <c r="AM385" i="5"/>
  <c r="AJ385" i="5"/>
  <c r="Q385" i="5"/>
  <c r="P385" i="5"/>
  <c r="N385" i="5"/>
  <c r="L385" i="5"/>
  <c r="H385" i="5"/>
  <c r="O385" i="5" s="1"/>
  <c r="D385" i="5"/>
  <c r="M385" i="5" s="1"/>
  <c r="AN384" i="5"/>
  <c r="AM384" i="5"/>
  <c r="AJ384" i="5"/>
  <c r="Q384" i="5"/>
  <c r="P384" i="5"/>
  <c r="N384" i="5"/>
  <c r="L384" i="5"/>
  <c r="H384" i="5"/>
  <c r="O384" i="5" s="1"/>
  <c r="D384" i="5"/>
  <c r="M384" i="5" s="1"/>
  <c r="AN383" i="5"/>
  <c r="AM383" i="5"/>
  <c r="AJ383" i="5"/>
  <c r="Q383" i="5"/>
  <c r="P383" i="5"/>
  <c r="N383" i="5"/>
  <c r="L383" i="5"/>
  <c r="H383" i="5"/>
  <c r="O383" i="5" s="1"/>
  <c r="D383" i="5"/>
  <c r="M383" i="5" s="1"/>
  <c r="AN382" i="5"/>
  <c r="AM382" i="5"/>
  <c r="AJ382" i="5"/>
  <c r="Q382" i="5"/>
  <c r="P382" i="5"/>
  <c r="N382" i="5"/>
  <c r="L382" i="5"/>
  <c r="H382" i="5"/>
  <c r="O382" i="5" s="1"/>
  <c r="D382" i="5"/>
  <c r="M382" i="5" s="1"/>
  <c r="AN381" i="5"/>
  <c r="AM381" i="5"/>
  <c r="AJ381" i="5"/>
  <c r="Q381" i="5"/>
  <c r="P381" i="5"/>
  <c r="N381" i="5"/>
  <c r="L381" i="5"/>
  <c r="H381" i="5"/>
  <c r="O381" i="5" s="1"/>
  <c r="D381" i="5"/>
  <c r="M381" i="5" s="1"/>
  <c r="AN380" i="5"/>
  <c r="AM380" i="5"/>
  <c r="AJ380" i="5"/>
  <c r="Q380" i="5"/>
  <c r="P380" i="5"/>
  <c r="N380" i="5"/>
  <c r="L380" i="5"/>
  <c r="H380" i="5"/>
  <c r="O380" i="5" s="1"/>
  <c r="D380" i="5"/>
  <c r="M380" i="5" s="1"/>
  <c r="AN379" i="5"/>
  <c r="AM379" i="5"/>
  <c r="AJ379" i="5"/>
  <c r="Q379" i="5"/>
  <c r="P379" i="5"/>
  <c r="N379" i="5"/>
  <c r="L379" i="5"/>
  <c r="H379" i="5"/>
  <c r="O379" i="5" s="1"/>
  <c r="D379" i="5"/>
  <c r="M379" i="5" s="1"/>
  <c r="AN378" i="5"/>
  <c r="AM378" i="5"/>
  <c r="AJ378" i="5"/>
  <c r="Q378" i="5"/>
  <c r="P378" i="5"/>
  <c r="N378" i="5"/>
  <c r="L378" i="5"/>
  <c r="H378" i="5"/>
  <c r="O378" i="5" s="1"/>
  <c r="D378" i="5"/>
  <c r="M378" i="5" s="1"/>
  <c r="AN377" i="5"/>
  <c r="AM377" i="5"/>
  <c r="AJ377" i="5"/>
  <c r="Q377" i="5"/>
  <c r="P377" i="5"/>
  <c r="N377" i="5"/>
  <c r="L377" i="5"/>
  <c r="H377" i="5"/>
  <c r="O377" i="5" s="1"/>
  <c r="D377" i="5"/>
  <c r="M377" i="5" s="1"/>
  <c r="AN376" i="5"/>
  <c r="AM376" i="5"/>
  <c r="AJ376" i="5"/>
  <c r="Q376" i="5"/>
  <c r="P376" i="5"/>
  <c r="N376" i="5"/>
  <c r="L376" i="5"/>
  <c r="H376" i="5"/>
  <c r="O376" i="5" s="1"/>
  <c r="D376" i="5"/>
  <c r="M376" i="5" s="1"/>
  <c r="AN375" i="5"/>
  <c r="AM375" i="5"/>
  <c r="AJ375" i="5"/>
  <c r="Q375" i="5"/>
  <c r="P375" i="5"/>
  <c r="N375" i="5"/>
  <c r="L375" i="5"/>
  <c r="H375" i="5"/>
  <c r="O375" i="5" s="1"/>
  <c r="D375" i="5"/>
  <c r="M375" i="5" s="1"/>
  <c r="AN374" i="5"/>
  <c r="AM374" i="5"/>
  <c r="AJ374" i="5"/>
  <c r="Q374" i="5"/>
  <c r="P374" i="5"/>
  <c r="N374" i="5"/>
  <c r="L374" i="5"/>
  <c r="H374" i="5"/>
  <c r="O374" i="5" s="1"/>
  <c r="D374" i="5"/>
  <c r="M374" i="5" s="1"/>
  <c r="AN373" i="5"/>
  <c r="AM373" i="5"/>
  <c r="AJ373" i="5"/>
  <c r="Q373" i="5"/>
  <c r="P373" i="5"/>
  <c r="N373" i="5"/>
  <c r="L373" i="5"/>
  <c r="H373" i="5"/>
  <c r="O373" i="5" s="1"/>
  <c r="D373" i="5"/>
  <c r="M373" i="5" s="1"/>
  <c r="AN372" i="5"/>
  <c r="AM372" i="5"/>
  <c r="AJ372" i="5"/>
  <c r="Q372" i="5"/>
  <c r="P372" i="5"/>
  <c r="N372" i="5"/>
  <c r="L372" i="5"/>
  <c r="H372" i="5"/>
  <c r="O372" i="5" s="1"/>
  <c r="D372" i="5"/>
  <c r="M372" i="5" s="1"/>
  <c r="AN371" i="5"/>
  <c r="AM371" i="5"/>
  <c r="AJ371" i="5"/>
  <c r="Q371" i="5"/>
  <c r="P371" i="5"/>
  <c r="N371" i="5"/>
  <c r="L371" i="5"/>
  <c r="H371" i="5"/>
  <c r="O371" i="5" s="1"/>
  <c r="D371" i="5"/>
  <c r="M371" i="5" s="1"/>
  <c r="AN370" i="5"/>
  <c r="AM370" i="5"/>
  <c r="AJ370" i="5"/>
  <c r="Q370" i="5"/>
  <c r="P370" i="5"/>
  <c r="N370" i="5"/>
  <c r="L370" i="5"/>
  <c r="H370" i="5"/>
  <c r="O370" i="5" s="1"/>
  <c r="D370" i="5"/>
  <c r="M370" i="5" s="1"/>
  <c r="AN369" i="5"/>
  <c r="AM369" i="5"/>
  <c r="AJ369" i="5"/>
  <c r="Q369" i="5"/>
  <c r="P369" i="5"/>
  <c r="N369" i="5"/>
  <c r="L369" i="5"/>
  <c r="H369" i="5"/>
  <c r="O369" i="5" s="1"/>
  <c r="D369" i="5"/>
  <c r="M369" i="5" s="1"/>
  <c r="AN368" i="5"/>
  <c r="AM368" i="5"/>
  <c r="AJ368" i="5"/>
  <c r="Q368" i="5"/>
  <c r="P368" i="5"/>
  <c r="N368" i="5"/>
  <c r="L368" i="5"/>
  <c r="H368" i="5"/>
  <c r="O368" i="5" s="1"/>
  <c r="D368" i="5"/>
  <c r="M368" i="5" s="1"/>
  <c r="AN367" i="5"/>
  <c r="AM367" i="5"/>
  <c r="AJ367" i="5"/>
  <c r="Q367" i="5"/>
  <c r="P367" i="5"/>
  <c r="N367" i="5"/>
  <c r="L367" i="5"/>
  <c r="H367" i="5"/>
  <c r="O367" i="5" s="1"/>
  <c r="D367" i="5"/>
  <c r="M367" i="5" s="1"/>
  <c r="AN366" i="5"/>
  <c r="AM366" i="5"/>
  <c r="AJ366" i="5"/>
  <c r="Q366" i="5"/>
  <c r="P366" i="5"/>
  <c r="N366" i="5"/>
  <c r="L366" i="5"/>
  <c r="H366" i="5"/>
  <c r="O366" i="5" s="1"/>
  <c r="D366" i="5"/>
  <c r="M366" i="5" s="1"/>
  <c r="AN365" i="5"/>
  <c r="AM365" i="5"/>
  <c r="AJ365" i="5"/>
  <c r="Q365" i="5"/>
  <c r="P365" i="5"/>
  <c r="N365" i="5"/>
  <c r="L365" i="5"/>
  <c r="H365" i="5"/>
  <c r="O365" i="5" s="1"/>
  <c r="D365" i="5"/>
  <c r="M365" i="5" s="1"/>
  <c r="AN364" i="5"/>
  <c r="AM364" i="5"/>
  <c r="AJ364" i="5"/>
  <c r="Q364" i="5"/>
  <c r="P364" i="5"/>
  <c r="N364" i="5"/>
  <c r="L364" i="5"/>
  <c r="H364" i="5"/>
  <c r="O364" i="5" s="1"/>
  <c r="D364" i="5"/>
  <c r="M364" i="5" s="1"/>
  <c r="AN363" i="5"/>
  <c r="AM363" i="5"/>
  <c r="AJ363" i="5"/>
  <c r="Q363" i="5"/>
  <c r="P363" i="5"/>
  <c r="N363" i="5"/>
  <c r="L363" i="5"/>
  <c r="H363" i="5"/>
  <c r="O363" i="5" s="1"/>
  <c r="D363" i="5"/>
  <c r="M363" i="5" s="1"/>
  <c r="AN362" i="5"/>
  <c r="AM362" i="5"/>
  <c r="AJ362" i="5"/>
  <c r="Q362" i="5"/>
  <c r="P362" i="5"/>
  <c r="N362" i="5"/>
  <c r="L362" i="5"/>
  <c r="H362" i="5"/>
  <c r="O362" i="5" s="1"/>
  <c r="D362" i="5"/>
  <c r="M362" i="5" s="1"/>
  <c r="AN361" i="5"/>
  <c r="AM361" i="5"/>
  <c r="AJ361" i="5"/>
  <c r="Q361" i="5"/>
  <c r="P361" i="5"/>
  <c r="N361" i="5"/>
  <c r="L361" i="5"/>
  <c r="H361" i="5"/>
  <c r="O361" i="5" s="1"/>
  <c r="D361" i="5"/>
  <c r="M361" i="5" s="1"/>
  <c r="AN360" i="5"/>
  <c r="AM360" i="5"/>
  <c r="AJ360" i="5"/>
  <c r="Q360" i="5"/>
  <c r="P360" i="5"/>
  <c r="N360" i="5"/>
  <c r="L360" i="5"/>
  <c r="H360" i="5"/>
  <c r="O360" i="5" s="1"/>
  <c r="D360" i="5"/>
  <c r="M360" i="5" s="1"/>
  <c r="AN359" i="5"/>
  <c r="AM359" i="5"/>
  <c r="AJ359" i="5"/>
  <c r="Q359" i="5"/>
  <c r="P359" i="5"/>
  <c r="N359" i="5"/>
  <c r="L359" i="5"/>
  <c r="H359" i="5"/>
  <c r="O359" i="5" s="1"/>
  <c r="D359" i="5"/>
  <c r="M359" i="5" s="1"/>
  <c r="AN358" i="5"/>
  <c r="AM358" i="5"/>
  <c r="AJ358" i="5"/>
  <c r="Q358" i="5"/>
  <c r="P358" i="5"/>
  <c r="N358" i="5"/>
  <c r="L358" i="5"/>
  <c r="H358" i="5"/>
  <c r="O358" i="5" s="1"/>
  <c r="D358" i="5"/>
  <c r="M358" i="5" s="1"/>
  <c r="AN357" i="5"/>
  <c r="AM357" i="5"/>
  <c r="AJ357" i="5"/>
  <c r="Q357" i="5"/>
  <c r="P357" i="5"/>
  <c r="N357" i="5"/>
  <c r="L357" i="5"/>
  <c r="H357" i="5"/>
  <c r="O357" i="5" s="1"/>
  <c r="D357" i="5"/>
  <c r="M357" i="5" s="1"/>
  <c r="AN356" i="5"/>
  <c r="AM356" i="5"/>
  <c r="AJ356" i="5"/>
  <c r="Q356" i="5"/>
  <c r="P356" i="5"/>
  <c r="N356" i="5"/>
  <c r="L356" i="5"/>
  <c r="H356" i="5"/>
  <c r="O356" i="5" s="1"/>
  <c r="D356" i="5"/>
  <c r="M356" i="5" s="1"/>
  <c r="AN355" i="5"/>
  <c r="AM355" i="5"/>
  <c r="AJ355" i="5"/>
  <c r="Q355" i="5"/>
  <c r="P355" i="5"/>
  <c r="N355" i="5"/>
  <c r="L355" i="5"/>
  <c r="H355" i="5"/>
  <c r="O355" i="5" s="1"/>
  <c r="D355" i="5"/>
  <c r="M355" i="5" s="1"/>
  <c r="AN354" i="5"/>
  <c r="AM354" i="5"/>
  <c r="AJ354" i="5"/>
  <c r="Q354" i="5"/>
  <c r="P354" i="5"/>
  <c r="N354" i="5"/>
  <c r="L354" i="5"/>
  <c r="H354" i="5"/>
  <c r="O354" i="5" s="1"/>
  <c r="D354" i="5"/>
  <c r="M354" i="5" s="1"/>
  <c r="AM353" i="5"/>
  <c r="AJ353" i="5"/>
  <c r="Q353" i="5"/>
  <c r="P353" i="5"/>
  <c r="N353" i="5"/>
  <c r="L353" i="5"/>
  <c r="H353" i="5"/>
  <c r="O353" i="5" s="1"/>
  <c r="D353" i="5"/>
  <c r="M353" i="5" s="1"/>
  <c r="AM352" i="5"/>
  <c r="AJ352" i="5"/>
  <c r="Q352" i="5"/>
  <c r="P352" i="5"/>
  <c r="N352" i="5"/>
  <c r="L352" i="5"/>
  <c r="H352" i="5"/>
  <c r="O352" i="5" s="1"/>
  <c r="D352" i="5"/>
  <c r="M352" i="5" s="1"/>
  <c r="AM351" i="5"/>
  <c r="AJ351" i="5"/>
  <c r="Q351" i="5"/>
  <c r="P351" i="5"/>
  <c r="N351" i="5"/>
  <c r="L351" i="5"/>
  <c r="H351" i="5"/>
  <c r="O351" i="5" s="1"/>
  <c r="D351" i="5"/>
  <c r="M351" i="5" s="1"/>
  <c r="AM350" i="5"/>
  <c r="AJ350" i="5"/>
  <c r="Q350" i="5"/>
  <c r="P350" i="5"/>
  <c r="N350" i="5"/>
  <c r="L350" i="5"/>
  <c r="H350" i="5"/>
  <c r="O350" i="5" s="1"/>
  <c r="D350" i="5"/>
  <c r="M350" i="5" s="1"/>
  <c r="AM349" i="5"/>
  <c r="AJ349" i="5"/>
  <c r="Q349" i="5"/>
  <c r="P349" i="5"/>
  <c r="N349" i="5"/>
  <c r="L349" i="5"/>
  <c r="H349" i="5"/>
  <c r="O349" i="5" s="1"/>
  <c r="D349" i="5"/>
  <c r="M349" i="5" s="1"/>
  <c r="AM348" i="5"/>
  <c r="AJ348" i="5"/>
  <c r="Q348" i="5"/>
  <c r="P348" i="5"/>
  <c r="N348" i="5"/>
  <c r="L348" i="5"/>
  <c r="H348" i="5"/>
  <c r="O348" i="5" s="1"/>
  <c r="D348" i="5"/>
  <c r="M348" i="5" s="1"/>
  <c r="AM347" i="5"/>
  <c r="AJ347" i="5"/>
  <c r="Q347" i="5"/>
  <c r="P347" i="5"/>
  <c r="N347" i="5"/>
  <c r="L347" i="5"/>
  <c r="H347" i="5"/>
  <c r="O347" i="5" s="1"/>
  <c r="D347" i="5"/>
  <c r="M347" i="5" s="1"/>
  <c r="AM346" i="5"/>
  <c r="AJ346" i="5"/>
  <c r="Q346" i="5"/>
  <c r="P346" i="5"/>
  <c r="N346" i="5"/>
  <c r="L346" i="5"/>
  <c r="H346" i="5"/>
  <c r="O346" i="5" s="1"/>
  <c r="D346" i="5"/>
  <c r="M346" i="5" s="1"/>
  <c r="AM345" i="5"/>
  <c r="AJ345" i="5"/>
  <c r="Q345" i="5"/>
  <c r="P345" i="5"/>
  <c r="N345" i="5"/>
  <c r="L345" i="5"/>
  <c r="H345" i="5"/>
  <c r="O345" i="5" s="1"/>
  <c r="D345" i="5"/>
  <c r="M345" i="5" s="1"/>
  <c r="AM344" i="5"/>
  <c r="AJ344" i="5"/>
  <c r="Q344" i="5"/>
  <c r="P344" i="5"/>
  <c r="N344" i="5"/>
  <c r="L344" i="5"/>
  <c r="H344" i="5"/>
  <c r="O344" i="5" s="1"/>
  <c r="D344" i="5"/>
  <c r="M344" i="5" s="1"/>
  <c r="AM343" i="5"/>
  <c r="AJ343" i="5"/>
  <c r="Q343" i="5"/>
  <c r="P343" i="5"/>
  <c r="N343" i="5"/>
  <c r="L343" i="5"/>
  <c r="H343" i="5"/>
  <c r="O343" i="5" s="1"/>
  <c r="D343" i="5"/>
  <c r="M343" i="5" s="1"/>
  <c r="AM342" i="5"/>
  <c r="AJ342" i="5"/>
  <c r="Q342" i="5"/>
  <c r="P342" i="5"/>
  <c r="N342" i="5"/>
  <c r="L342" i="5"/>
  <c r="H342" i="5"/>
  <c r="O342" i="5" s="1"/>
  <c r="D342" i="5"/>
  <c r="M342" i="5" s="1"/>
  <c r="AM341" i="5"/>
  <c r="AJ341" i="5"/>
  <c r="Q341" i="5"/>
  <c r="P341" i="5"/>
  <c r="N341" i="5"/>
  <c r="L341" i="5"/>
  <c r="H341" i="5"/>
  <c r="O341" i="5" s="1"/>
  <c r="D341" i="5"/>
  <c r="M341" i="5" s="1"/>
  <c r="AM340" i="5"/>
  <c r="AJ340" i="5"/>
  <c r="Q340" i="5"/>
  <c r="P340" i="5"/>
  <c r="N340" i="5"/>
  <c r="L340" i="5"/>
  <c r="H340" i="5"/>
  <c r="O340" i="5" s="1"/>
  <c r="D340" i="5"/>
  <c r="M340" i="5" s="1"/>
  <c r="AM339" i="5"/>
  <c r="AJ339" i="5"/>
  <c r="Q339" i="5"/>
  <c r="P339" i="5"/>
  <c r="N339" i="5"/>
  <c r="L339" i="5"/>
  <c r="H339" i="5"/>
  <c r="O339" i="5" s="1"/>
  <c r="D339" i="5"/>
  <c r="M339" i="5" s="1"/>
  <c r="AM338" i="5"/>
  <c r="AJ338" i="5"/>
  <c r="Q338" i="5"/>
  <c r="P338" i="5"/>
  <c r="N338" i="5"/>
  <c r="L338" i="5"/>
  <c r="H338" i="5"/>
  <c r="O338" i="5" s="1"/>
  <c r="D338" i="5"/>
  <c r="M338" i="5" s="1"/>
  <c r="AM337" i="5"/>
  <c r="AJ337" i="5"/>
  <c r="Q337" i="5"/>
  <c r="P337" i="5"/>
  <c r="N337" i="5"/>
  <c r="L337" i="5"/>
  <c r="H337" i="5"/>
  <c r="O337" i="5" s="1"/>
  <c r="D337" i="5"/>
  <c r="M337" i="5" s="1"/>
  <c r="AM336" i="5"/>
  <c r="AJ336" i="5"/>
  <c r="Q336" i="5"/>
  <c r="P336" i="5"/>
  <c r="N336" i="5"/>
  <c r="L336" i="5"/>
  <c r="H336" i="5"/>
  <c r="O336" i="5" s="1"/>
  <c r="D336" i="5"/>
  <c r="M336" i="5" s="1"/>
  <c r="AM335" i="5"/>
  <c r="AJ335" i="5"/>
  <c r="Q335" i="5"/>
  <c r="P335" i="5"/>
  <c r="N335" i="5"/>
  <c r="L335" i="5"/>
  <c r="H335" i="5"/>
  <c r="O335" i="5" s="1"/>
  <c r="D335" i="5"/>
  <c r="M335" i="5" s="1"/>
  <c r="AM334" i="5"/>
  <c r="AJ334" i="5"/>
  <c r="Q334" i="5"/>
  <c r="P334" i="5"/>
  <c r="N334" i="5"/>
  <c r="L334" i="5"/>
  <c r="H334" i="5"/>
  <c r="O334" i="5" s="1"/>
  <c r="D334" i="5"/>
  <c r="M334" i="5" s="1"/>
  <c r="AM333" i="5"/>
  <c r="AJ333" i="5"/>
  <c r="Q333" i="5"/>
  <c r="P333" i="5"/>
  <c r="N333" i="5"/>
  <c r="L333" i="5"/>
  <c r="H333" i="5"/>
  <c r="O333" i="5" s="1"/>
  <c r="D333" i="5"/>
  <c r="M333" i="5" s="1"/>
  <c r="AM332" i="5"/>
  <c r="AJ332" i="5"/>
  <c r="Q332" i="5"/>
  <c r="P332" i="5"/>
  <c r="N332" i="5"/>
  <c r="L332" i="5"/>
  <c r="H332" i="5"/>
  <c r="O332" i="5" s="1"/>
  <c r="D332" i="5"/>
  <c r="M332" i="5" s="1"/>
  <c r="AM331" i="5"/>
  <c r="AJ331" i="5"/>
  <c r="Q331" i="5"/>
  <c r="P331" i="5"/>
  <c r="N331" i="5"/>
  <c r="L331" i="5"/>
  <c r="H331" i="5"/>
  <c r="O331" i="5" s="1"/>
  <c r="D331" i="5"/>
  <c r="M331" i="5" s="1"/>
  <c r="AM330" i="5"/>
  <c r="AJ330" i="5"/>
  <c r="Q330" i="5"/>
  <c r="P330" i="5"/>
  <c r="N330" i="5"/>
  <c r="L330" i="5"/>
  <c r="H330" i="5"/>
  <c r="O330" i="5" s="1"/>
  <c r="D330" i="5"/>
  <c r="M330" i="5" s="1"/>
  <c r="AM329" i="5"/>
  <c r="AJ329" i="5"/>
  <c r="Q329" i="5"/>
  <c r="P329" i="5"/>
  <c r="N329" i="5"/>
  <c r="L329" i="5"/>
  <c r="H329" i="5"/>
  <c r="O329" i="5" s="1"/>
  <c r="D329" i="5"/>
  <c r="M329" i="5" s="1"/>
  <c r="AM328" i="5"/>
  <c r="AJ328" i="5"/>
  <c r="Q328" i="5"/>
  <c r="P328" i="5"/>
  <c r="N328" i="5"/>
  <c r="L328" i="5"/>
  <c r="H328" i="5"/>
  <c r="O328" i="5" s="1"/>
  <c r="D328" i="5"/>
  <c r="M328" i="5" s="1"/>
  <c r="AM327" i="5"/>
  <c r="AJ327" i="5"/>
  <c r="Q327" i="5"/>
  <c r="P327" i="5"/>
  <c r="N327" i="5"/>
  <c r="L327" i="5"/>
  <c r="H327" i="5"/>
  <c r="O327" i="5" s="1"/>
  <c r="D327" i="5"/>
  <c r="M327" i="5" s="1"/>
  <c r="AM326" i="5"/>
  <c r="AJ326" i="5"/>
  <c r="Q326" i="5"/>
  <c r="P326" i="5"/>
  <c r="N326" i="5"/>
  <c r="L326" i="5"/>
  <c r="H326" i="5"/>
  <c r="O326" i="5" s="1"/>
  <c r="D326" i="5"/>
  <c r="M326" i="5" s="1"/>
  <c r="AM325" i="5"/>
  <c r="AJ325" i="5"/>
  <c r="Q325" i="5"/>
  <c r="P325" i="5"/>
  <c r="N325" i="5"/>
  <c r="L325" i="5"/>
  <c r="H325" i="5"/>
  <c r="O325" i="5" s="1"/>
  <c r="D325" i="5"/>
  <c r="M325" i="5" s="1"/>
  <c r="AM324" i="5"/>
  <c r="AJ324" i="5"/>
  <c r="Q324" i="5"/>
  <c r="P324" i="5"/>
  <c r="N324" i="5"/>
  <c r="L324" i="5"/>
  <c r="H324" i="5"/>
  <c r="O324" i="5" s="1"/>
  <c r="D324" i="5"/>
  <c r="M324" i="5" s="1"/>
  <c r="AM323" i="5"/>
  <c r="AJ323" i="5"/>
  <c r="Q323" i="5"/>
  <c r="P323" i="5"/>
  <c r="N323" i="5"/>
  <c r="L323" i="5"/>
  <c r="H323" i="5"/>
  <c r="O323" i="5" s="1"/>
  <c r="D323" i="5"/>
  <c r="M323" i="5" s="1"/>
  <c r="AM322" i="5"/>
  <c r="AJ322" i="5"/>
  <c r="Q322" i="5"/>
  <c r="P322" i="5"/>
  <c r="N322" i="5"/>
  <c r="L322" i="5"/>
  <c r="H322" i="5"/>
  <c r="O322" i="5" s="1"/>
  <c r="D322" i="5"/>
  <c r="M322" i="5" s="1"/>
  <c r="AM321" i="5"/>
  <c r="AJ321" i="5"/>
  <c r="Q321" i="5"/>
  <c r="P321" i="5"/>
  <c r="N321" i="5"/>
  <c r="L321" i="5"/>
  <c r="H321" i="5"/>
  <c r="O321" i="5" s="1"/>
  <c r="D321" i="5"/>
  <c r="M321" i="5" s="1"/>
  <c r="AM320" i="5"/>
  <c r="AJ320" i="5"/>
  <c r="Q320" i="5"/>
  <c r="P320" i="5"/>
  <c r="N320" i="5"/>
  <c r="L320" i="5"/>
  <c r="H320" i="5"/>
  <c r="O320" i="5" s="1"/>
  <c r="D320" i="5"/>
  <c r="M320" i="5" s="1"/>
  <c r="AM319" i="5"/>
  <c r="AJ319" i="5"/>
  <c r="Q319" i="5"/>
  <c r="P319" i="5"/>
  <c r="N319" i="5"/>
  <c r="L319" i="5"/>
  <c r="H319" i="5"/>
  <c r="O319" i="5" s="1"/>
  <c r="D319" i="5"/>
  <c r="M319" i="5" s="1"/>
  <c r="AM318" i="5"/>
  <c r="AJ318" i="5"/>
  <c r="Q318" i="5"/>
  <c r="P318" i="5"/>
  <c r="N318" i="5"/>
  <c r="L318" i="5"/>
  <c r="H318" i="5"/>
  <c r="O318" i="5" s="1"/>
  <c r="D318" i="5"/>
  <c r="M318" i="5" s="1"/>
  <c r="AM317" i="5"/>
  <c r="AJ317" i="5"/>
  <c r="Q317" i="5"/>
  <c r="P317" i="5"/>
  <c r="N317" i="5"/>
  <c r="L317" i="5"/>
  <c r="H317" i="5"/>
  <c r="O317" i="5" s="1"/>
  <c r="D317" i="5"/>
  <c r="M317" i="5" s="1"/>
  <c r="AM316" i="5"/>
  <c r="AJ316" i="5"/>
  <c r="Q316" i="5"/>
  <c r="P316" i="5"/>
  <c r="N316" i="5"/>
  <c r="L316" i="5"/>
  <c r="H316" i="5"/>
  <c r="O316" i="5" s="1"/>
  <c r="D316" i="5"/>
  <c r="M316" i="5" s="1"/>
  <c r="AM315" i="5"/>
  <c r="AJ315" i="5"/>
  <c r="Q315" i="5"/>
  <c r="P315" i="5"/>
  <c r="N315" i="5"/>
  <c r="L315" i="5"/>
  <c r="H315" i="5"/>
  <c r="O315" i="5" s="1"/>
  <c r="D315" i="5"/>
  <c r="M315" i="5" s="1"/>
  <c r="AM314" i="5"/>
  <c r="AJ314" i="5"/>
  <c r="Q314" i="5"/>
  <c r="P314" i="5"/>
  <c r="N314" i="5"/>
  <c r="L314" i="5"/>
  <c r="H314" i="5"/>
  <c r="O314" i="5" s="1"/>
  <c r="D314" i="5"/>
  <c r="M314" i="5" s="1"/>
  <c r="AM313" i="5"/>
  <c r="AJ313" i="5"/>
  <c r="Q313" i="5"/>
  <c r="P313" i="5"/>
  <c r="N313" i="5"/>
  <c r="L313" i="5"/>
  <c r="H313" i="5"/>
  <c r="O313" i="5" s="1"/>
  <c r="D313" i="5"/>
  <c r="M313" i="5" s="1"/>
  <c r="AM312" i="5"/>
  <c r="AJ312" i="5"/>
  <c r="Q312" i="5"/>
  <c r="P312" i="5"/>
  <c r="N312" i="5"/>
  <c r="L312" i="5"/>
  <c r="H312" i="5"/>
  <c r="O312" i="5" s="1"/>
  <c r="D312" i="5"/>
  <c r="M312" i="5" s="1"/>
  <c r="AM311" i="5"/>
  <c r="AJ311" i="5"/>
  <c r="Q311" i="5"/>
  <c r="P311" i="5"/>
  <c r="N311" i="5"/>
  <c r="L311" i="5"/>
  <c r="H311" i="5"/>
  <c r="O311" i="5" s="1"/>
  <c r="D311" i="5"/>
  <c r="M311" i="5" s="1"/>
  <c r="AM310" i="5"/>
  <c r="AJ310" i="5"/>
  <c r="Q310" i="5"/>
  <c r="P310" i="5"/>
  <c r="N310" i="5"/>
  <c r="L310" i="5"/>
  <c r="H310" i="5"/>
  <c r="O310" i="5" s="1"/>
  <c r="D310" i="5"/>
  <c r="M310" i="5" s="1"/>
  <c r="AM309" i="5"/>
  <c r="AJ309" i="5"/>
  <c r="Q309" i="5"/>
  <c r="P309" i="5"/>
  <c r="N309" i="5"/>
  <c r="L309" i="5"/>
  <c r="H309" i="5"/>
  <c r="O309" i="5" s="1"/>
  <c r="D309" i="5"/>
  <c r="M309" i="5" s="1"/>
  <c r="AM308" i="5"/>
  <c r="AJ308" i="5"/>
  <c r="Q308" i="5"/>
  <c r="P308" i="5"/>
  <c r="N308" i="5"/>
  <c r="L308" i="5"/>
  <c r="H308" i="5"/>
  <c r="O308" i="5" s="1"/>
  <c r="D308" i="5"/>
  <c r="M308" i="5" s="1"/>
  <c r="AM307" i="5"/>
  <c r="AJ307" i="5"/>
  <c r="Q307" i="5"/>
  <c r="P307" i="5"/>
  <c r="N307" i="5"/>
  <c r="L307" i="5"/>
  <c r="H307" i="5"/>
  <c r="O307" i="5" s="1"/>
  <c r="D307" i="5"/>
  <c r="M307" i="5" s="1"/>
  <c r="AM306" i="5"/>
  <c r="AJ306" i="5"/>
  <c r="Q306" i="5"/>
  <c r="P306" i="5"/>
  <c r="N306" i="5"/>
  <c r="L306" i="5"/>
  <c r="H306" i="5"/>
  <c r="O306" i="5" s="1"/>
  <c r="D306" i="5"/>
  <c r="M306" i="5" s="1"/>
  <c r="AM305" i="5"/>
  <c r="AJ305" i="5"/>
  <c r="Q305" i="5"/>
  <c r="P305" i="5"/>
  <c r="N305" i="5"/>
  <c r="L305" i="5"/>
  <c r="H305" i="5"/>
  <c r="O305" i="5" s="1"/>
  <c r="D305" i="5"/>
  <c r="M305" i="5" s="1"/>
  <c r="AM304" i="5"/>
  <c r="AJ304" i="5"/>
  <c r="Q304" i="5"/>
  <c r="P304" i="5"/>
  <c r="N304" i="5"/>
  <c r="L304" i="5"/>
  <c r="H304" i="5"/>
  <c r="O304" i="5" s="1"/>
  <c r="D304" i="5"/>
  <c r="M304" i="5" s="1"/>
  <c r="AM303" i="5"/>
  <c r="AJ303" i="5"/>
  <c r="Q303" i="5"/>
  <c r="P303" i="5"/>
  <c r="N303" i="5"/>
  <c r="L303" i="5"/>
  <c r="H303" i="5"/>
  <c r="O303" i="5" s="1"/>
  <c r="D303" i="5"/>
  <c r="M303" i="5" s="1"/>
  <c r="AM302" i="5"/>
  <c r="AJ302" i="5"/>
  <c r="Q302" i="5"/>
  <c r="P302" i="5"/>
  <c r="N302" i="5"/>
  <c r="L302" i="5"/>
  <c r="H302" i="5"/>
  <c r="O302" i="5" s="1"/>
  <c r="D302" i="5"/>
  <c r="M302" i="5" s="1"/>
  <c r="AM301" i="5"/>
  <c r="AJ301" i="5"/>
  <c r="Q301" i="5"/>
  <c r="P301" i="5"/>
  <c r="N301" i="5"/>
  <c r="L301" i="5"/>
  <c r="H301" i="5"/>
  <c r="O301" i="5" s="1"/>
  <c r="D301" i="5"/>
  <c r="M301" i="5" s="1"/>
  <c r="AM300" i="5"/>
  <c r="AJ300" i="5"/>
  <c r="Q300" i="5"/>
  <c r="P300" i="5"/>
  <c r="N300" i="5"/>
  <c r="L300" i="5"/>
  <c r="H300" i="5"/>
  <c r="O300" i="5" s="1"/>
  <c r="D300" i="5"/>
  <c r="M300" i="5" s="1"/>
  <c r="AM299" i="5"/>
  <c r="AJ299" i="5"/>
  <c r="Q299" i="5"/>
  <c r="P299" i="5"/>
  <c r="N299" i="5"/>
  <c r="L299" i="5"/>
  <c r="H299" i="5"/>
  <c r="O299" i="5" s="1"/>
  <c r="D299" i="5"/>
  <c r="M299" i="5" s="1"/>
  <c r="AM298" i="5"/>
  <c r="AJ298" i="5"/>
  <c r="Q298" i="5"/>
  <c r="P298" i="5"/>
  <c r="N298" i="5"/>
  <c r="L298" i="5"/>
  <c r="H298" i="5"/>
  <c r="O298" i="5" s="1"/>
  <c r="D298" i="5"/>
  <c r="M298" i="5" s="1"/>
  <c r="AM297" i="5"/>
  <c r="AJ297" i="5"/>
  <c r="Q297" i="5"/>
  <c r="P297" i="5"/>
  <c r="N297" i="5"/>
  <c r="L297" i="5"/>
  <c r="H297" i="5"/>
  <c r="O297" i="5" s="1"/>
  <c r="D297" i="5"/>
  <c r="M297" i="5" s="1"/>
  <c r="AM296" i="5"/>
  <c r="AJ296" i="5"/>
  <c r="Q296" i="5"/>
  <c r="P296" i="5"/>
  <c r="N296" i="5"/>
  <c r="L296" i="5"/>
  <c r="H296" i="5"/>
  <c r="O296" i="5" s="1"/>
  <c r="D296" i="5"/>
  <c r="M296" i="5" s="1"/>
  <c r="AM295" i="5"/>
  <c r="AJ295" i="5"/>
  <c r="Q295" i="5"/>
  <c r="P295" i="5"/>
  <c r="N295" i="5"/>
  <c r="L295" i="5"/>
  <c r="H295" i="5"/>
  <c r="O295" i="5" s="1"/>
  <c r="D295" i="5"/>
  <c r="M295" i="5" s="1"/>
  <c r="AM294" i="5"/>
  <c r="AJ294" i="5"/>
  <c r="Q294" i="5"/>
  <c r="P294" i="5"/>
  <c r="N294" i="5"/>
  <c r="L294" i="5"/>
  <c r="H294" i="5"/>
  <c r="O294" i="5" s="1"/>
  <c r="D294" i="5"/>
  <c r="M294" i="5" s="1"/>
  <c r="AM293" i="5"/>
  <c r="AJ293" i="5"/>
  <c r="Q293" i="5"/>
  <c r="P293" i="5"/>
  <c r="N293" i="5"/>
  <c r="L293" i="5"/>
  <c r="H293" i="5"/>
  <c r="O293" i="5" s="1"/>
  <c r="D293" i="5"/>
  <c r="M293" i="5" s="1"/>
  <c r="AM292" i="5"/>
  <c r="AJ292" i="5"/>
  <c r="Q292" i="5"/>
  <c r="P292" i="5"/>
  <c r="N292" i="5"/>
  <c r="L292" i="5"/>
  <c r="H292" i="5"/>
  <c r="O292" i="5" s="1"/>
  <c r="D292" i="5"/>
  <c r="M292" i="5" s="1"/>
  <c r="AM291" i="5"/>
  <c r="AJ291" i="5"/>
  <c r="Q291" i="5"/>
  <c r="P291" i="5"/>
  <c r="N291" i="5"/>
  <c r="L291" i="5"/>
  <c r="H291" i="5"/>
  <c r="O291" i="5" s="1"/>
  <c r="D291" i="5"/>
  <c r="M291" i="5" s="1"/>
  <c r="AM290" i="5"/>
  <c r="AJ290" i="5"/>
  <c r="Q290" i="5"/>
  <c r="P290" i="5"/>
  <c r="N290" i="5"/>
  <c r="L290" i="5"/>
  <c r="H290" i="5"/>
  <c r="O290" i="5" s="1"/>
  <c r="D290" i="5"/>
  <c r="M290" i="5" s="1"/>
  <c r="AM289" i="5"/>
  <c r="AJ289" i="5"/>
  <c r="Q289" i="5"/>
  <c r="P289" i="5"/>
  <c r="N289" i="5"/>
  <c r="L289" i="5"/>
  <c r="H289" i="5"/>
  <c r="O289" i="5" s="1"/>
  <c r="D289" i="5"/>
  <c r="M289" i="5" s="1"/>
  <c r="AM288" i="5"/>
  <c r="AJ288" i="5"/>
  <c r="Q288" i="5"/>
  <c r="P288" i="5"/>
  <c r="N288" i="5"/>
  <c r="L288" i="5"/>
  <c r="H288" i="5"/>
  <c r="O288" i="5" s="1"/>
  <c r="D288" i="5"/>
  <c r="M288" i="5" s="1"/>
  <c r="AM287" i="5"/>
  <c r="AJ287" i="5"/>
  <c r="Q287" i="5"/>
  <c r="P287" i="5"/>
  <c r="N287" i="5"/>
  <c r="L287" i="5"/>
  <c r="H287" i="5"/>
  <c r="O287" i="5" s="1"/>
  <c r="D287" i="5"/>
  <c r="M287" i="5" s="1"/>
  <c r="AM286" i="5"/>
  <c r="AJ286" i="5"/>
  <c r="Q286" i="5"/>
  <c r="P286" i="5"/>
  <c r="N286" i="5"/>
  <c r="L286" i="5"/>
  <c r="H286" i="5"/>
  <c r="O286" i="5" s="1"/>
  <c r="D286" i="5"/>
  <c r="M286" i="5" s="1"/>
  <c r="AM285" i="5"/>
  <c r="AJ285" i="5"/>
  <c r="Q285" i="5"/>
  <c r="P285" i="5"/>
  <c r="N285" i="5"/>
  <c r="L285" i="5"/>
  <c r="H285" i="5"/>
  <c r="O285" i="5" s="1"/>
  <c r="D285" i="5"/>
  <c r="M285" i="5" s="1"/>
  <c r="AM284" i="5"/>
  <c r="AJ284" i="5"/>
  <c r="Q284" i="5"/>
  <c r="P284" i="5"/>
  <c r="N284" i="5"/>
  <c r="L284" i="5"/>
  <c r="H284" i="5"/>
  <c r="O284" i="5" s="1"/>
  <c r="D284" i="5"/>
  <c r="M284" i="5" s="1"/>
  <c r="AM283" i="5"/>
  <c r="AJ283" i="5"/>
  <c r="Q283" i="5"/>
  <c r="P283" i="5"/>
  <c r="N283" i="5"/>
  <c r="L283" i="5"/>
  <c r="H283" i="5"/>
  <c r="O283" i="5" s="1"/>
  <c r="D283" i="5"/>
  <c r="M283" i="5" s="1"/>
  <c r="AM282" i="5"/>
  <c r="AJ282" i="5"/>
  <c r="Q282" i="5"/>
  <c r="P282" i="5"/>
  <c r="N282" i="5"/>
  <c r="L282" i="5"/>
  <c r="H282" i="5"/>
  <c r="O282" i="5" s="1"/>
  <c r="D282" i="5"/>
  <c r="M282" i="5" s="1"/>
  <c r="AM281" i="5"/>
  <c r="AJ281" i="5"/>
  <c r="Q281" i="5"/>
  <c r="P281" i="5"/>
  <c r="N281" i="5"/>
  <c r="L281" i="5"/>
  <c r="H281" i="5"/>
  <c r="O281" i="5" s="1"/>
  <c r="D281" i="5"/>
  <c r="M281" i="5" s="1"/>
  <c r="AM280" i="5"/>
  <c r="AJ280" i="5"/>
  <c r="Q280" i="5"/>
  <c r="P280" i="5"/>
  <c r="N280" i="5"/>
  <c r="L280" i="5"/>
  <c r="H280" i="5"/>
  <c r="O280" i="5" s="1"/>
  <c r="D280" i="5"/>
  <c r="M280" i="5" s="1"/>
  <c r="AM279" i="5"/>
  <c r="AJ279" i="5"/>
  <c r="Q279" i="5"/>
  <c r="P279" i="5"/>
  <c r="N279" i="5"/>
  <c r="L279" i="5"/>
  <c r="H279" i="5"/>
  <c r="O279" i="5" s="1"/>
  <c r="D279" i="5"/>
  <c r="M279" i="5" s="1"/>
  <c r="AM278" i="5"/>
  <c r="AJ278" i="5"/>
  <c r="Q278" i="5"/>
  <c r="P278" i="5"/>
  <c r="N278" i="5"/>
  <c r="L278" i="5"/>
  <c r="H278" i="5"/>
  <c r="O278" i="5" s="1"/>
  <c r="D278" i="5"/>
  <c r="M278" i="5" s="1"/>
  <c r="AM277" i="5"/>
  <c r="AJ277" i="5"/>
  <c r="Q277" i="5"/>
  <c r="P277" i="5"/>
  <c r="N277" i="5"/>
  <c r="L277" i="5"/>
  <c r="H277" i="5"/>
  <c r="O277" i="5" s="1"/>
  <c r="D277" i="5"/>
  <c r="M277" i="5" s="1"/>
  <c r="AM276" i="5"/>
  <c r="AJ276" i="5"/>
  <c r="Q276" i="5"/>
  <c r="P276" i="5"/>
  <c r="N276" i="5"/>
  <c r="L276" i="5"/>
  <c r="H276" i="5"/>
  <c r="O276" i="5" s="1"/>
  <c r="D276" i="5"/>
  <c r="M276" i="5" s="1"/>
  <c r="AM275" i="5"/>
  <c r="AJ275" i="5"/>
  <c r="Q275" i="5"/>
  <c r="P275" i="5"/>
  <c r="N275" i="5"/>
  <c r="L275" i="5"/>
  <c r="H275" i="5"/>
  <c r="O275" i="5" s="1"/>
  <c r="D275" i="5"/>
  <c r="M275" i="5" s="1"/>
  <c r="AM274" i="5"/>
  <c r="AJ274" i="5"/>
  <c r="Q274" i="5"/>
  <c r="P274" i="5"/>
  <c r="N274" i="5"/>
  <c r="L274" i="5"/>
  <c r="H274" i="5"/>
  <c r="O274" i="5" s="1"/>
  <c r="D274" i="5"/>
  <c r="M274" i="5" s="1"/>
  <c r="AM273" i="5"/>
  <c r="AJ273" i="5"/>
  <c r="Q273" i="5"/>
  <c r="P273" i="5"/>
  <c r="N273" i="5"/>
  <c r="L273" i="5"/>
  <c r="H273" i="5"/>
  <c r="O273" i="5" s="1"/>
  <c r="D273" i="5"/>
  <c r="M273" i="5" s="1"/>
  <c r="AM272" i="5"/>
  <c r="AJ272" i="5"/>
  <c r="Q272" i="5"/>
  <c r="P272" i="5"/>
  <c r="N272" i="5"/>
  <c r="L272" i="5"/>
  <c r="H272" i="5"/>
  <c r="O272" i="5" s="1"/>
  <c r="D272" i="5"/>
  <c r="M272" i="5" s="1"/>
  <c r="AM271" i="5"/>
  <c r="AJ271" i="5"/>
  <c r="Q271" i="5"/>
  <c r="P271" i="5"/>
  <c r="N271" i="5"/>
  <c r="L271" i="5"/>
  <c r="H271" i="5"/>
  <c r="O271" i="5" s="1"/>
  <c r="D271" i="5"/>
  <c r="M271" i="5" s="1"/>
  <c r="AM270" i="5"/>
  <c r="AJ270" i="5"/>
  <c r="Q270" i="5"/>
  <c r="P270" i="5"/>
  <c r="N270" i="5"/>
  <c r="L270" i="5"/>
  <c r="H270" i="5"/>
  <c r="O270" i="5" s="1"/>
  <c r="D270" i="5"/>
  <c r="M270" i="5" s="1"/>
  <c r="AM269" i="5"/>
  <c r="AJ269" i="5"/>
  <c r="Q269" i="5"/>
  <c r="P269" i="5"/>
  <c r="N269" i="5"/>
  <c r="L269" i="5"/>
  <c r="H269" i="5"/>
  <c r="O269" i="5" s="1"/>
  <c r="D269" i="5"/>
  <c r="M269" i="5" s="1"/>
  <c r="AM268" i="5"/>
  <c r="AJ268" i="5"/>
  <c r="Q268" i="5"/>
  <c r="P268" i="5"/>
  <c r="N268" i="5"/>
  <c r="L268" i="5"/>
  <c r="H268" i="5"/>
  <c r="O268" i="5" s="1"/>
  <c r="D268" i="5"/>
  <c r="M268" i="5" s="1"/>
  <c r="AM267" i="5"/>
  <c r="AJ267" i="5"/>
  <c r="Q267" i="5"/>
  <c r="P267" i="5"/>
  <c r="N267" i="5"/>
  <c r="L267" i="5"/>
  <c r="H267" i="5"/>
  <c r="O267" i="5" s="1"/>
  <c r="D267" i="5"/>
  <c r="M267" i="5" s="1"/>
  <c r="AM266" i="5"/>
  <c r="AJ266" i="5"/>
  <c r="Q266" i="5"/>
  <c r="P266" i="5"/>
  <c r="N266" i="5"/>
  <c r="L266" i="5"/>
  <c r="H266" i="5"/>
  <c r="O266" i="5" s="1"/>
  <c r="D266" i="5"/>
  <c r="M266" i="5" s="1"/>
  <c r="AM265" i="5"/>
  <c r="AJ265" i="5"/>
  <c r="Q265" i="5"/>
  <c r="P265" i="5"/>
  <c r="N265" i="5"/>
  <c r="L265" i="5"/>
  <c r="H265" i="5"/>
  <c r="O265" i="5" s="1"/>
  <c r="D265" i="5"/>
  <c r="M265" i="5" s="1"/>
  <c r="AM264" i="5"/>
  <c r="AJ264" i="5"/>
  <c r="Q264" i="5"/>
  <c r="P264" i="5"/>
  <c r="N264" i="5"/>
  <c r="L264" i="5"/>
  <c r="H264" i="5"/>
  <c r="O264" i="5" s="1"/>
  <c r="D264" i="5"/>
  <c r="M264" i="5" s="1"/>
  <c r="AM263" i="5"/>
  <c r="AJ263" i="5"/>
  <c r="Q263" i="5"/>
  <c r="P263" i="5"/>
  <c r="N263" i="5"/>
  <c r="L263" i="5"/>
  <c r="H263" i="5"/>
  <c r="O263" i="5" s="1"/>
  <c r="D263" i="5"/>
  <c r="M263" i="5" s="1"/>
  <c r="AM262" i="5"/>
  <c r="AJ262" i="5"/>
  <c r="Q262" i="5"/>
  <c r="P262" i="5"/>
  <c r="N262" i="5"/>
  <c r="L262" i="5"/>
  <c r="H262" i="5"/>
  <c r="O262" i="5" s="1"/>
  <c r="D262" i="5"/>
  <c r="M262" i="5" s="1"/>
  <c r="AM261" i="5"/>
  <c r="AJ261" i="5"/>
  <c r="Q261" i="5"/>
  <c r="P261" i="5"/>
  <c r="N261" i="5"/>
  <c r="L261" i="5"/>
  <c r="H261" i="5"/>
  <c r="O261" i="5" s="1"/>
  <c r="D261" i="5"/>
  <c r="M261" i="5" s="1"/>
  <c r="AM260" i="5"/>
  <c r="AJ260" i="5"/>
  <c r="Q260" i="5"/>
  <c r="P260" i="5"/>
  <c r="N260" i="5"/>
  <c r="L260" i="5"/>
  <c r="H260" i="5"/>
  <c r="O260" i="5" s="1"/>
  <c r="D260" i="5"/>
  <c r="M260" i="5" s="1"/>
  <c r="AM259" i="5"/>
  <c r="AJ259" i="5"/>
  <c r="Q259" i="5"/>
  <c r="P259" i="5"/>
  <c r="N259" i="5"/>
  <c r="L259" i="5"/>
  <c r="H259" i="5"/>
  <c r="O259" i="5" s="1"/>
  <c r="D259" i="5"/>
  <c r="M259" i="5" s="1"/>
  <c r="AM258" i="5"/>
  <c r="AJ258" i="5"/>
  <c r="Q258" i="5"/>
  <c r="P258" i="5"/>
  <c r="N258" i="5"/>
  <c r="L258" i="5"/>
  <c r="H258" i="5"/>
  <c r="O258" i="5" s="1"/>
  <c r="D258" i="5"/>
  <c r="M258" i="5" s="1"/>
  <c r="AM257" i="5"/>
  <c r="AJ257" i="5"/>
  <c r="Q257" i="5"/>
  <c r="P257" i="5"/>
  <c r="N257" i="5"/>
  <c r="L257" i="5"/>
  <c r="H257" i="5"/>
  <c r="O257" i="5" s="1"/>
  <c r="D257" i="5"/>
  <c r="M257" i="5" s="1"/>
  <c r="AM256" i="5"/>
  <c r="AJ256" i="5"/>
  <c r="Q256" i="5"/>
  <c r="P256" i="5"/>
  <c r="N256" i="5"/>
  <c r="L256" i="5"/>
  <c r="H256" i="5"/>
  <c r="O256" i="5" s="1"/>
  <c r="D256" i="5"/>
  <c r="M256" i="5" s="1"/>
  <c r="AM255" i="5"/>
  <c r="AJ255" i="5"/>
  <c r="Q255" i="5"/>
  <c r="P255" i="5"/>
  <c r="N255" i="5"/>
  <c r="L255" i="5"/>
  <c r="H255" i="5"/>
  <c r="O255" i="5" s="1"/>
  <c r="D255" i="5"/>
  <c r="M255" i="5" s="1"/>
  <c r="AM254" i="5"/>
  <c r="AJ254" i="5"/>
  <c r="Q254" i="5"/>
  <c r="P254" i="5"/>
  <c r="N254" i="5"/>
  <c r="L254" i="5"/>
  <c r="H254" i="5"/>
  <c r="O254" i="5" s="1"/>
  <c r="D254" i="5"/>
  <c r="M254" i="5" s="1"/>
  <c r="AM253" i="5"/>
  <c r="AJ253" i="5"/>
  <c r="Q253" i="5"/>
  <c r="P253" i="5"/>
  <c r="N253" i="5"/>
  <c r="L253" i="5"/>
  <c r="H253" i="5"/>
  <c r="O253" i="5" s="1"/>
  <c r="D253" i="5"/>
  <c r="M253" i="5" s="1"/>
  <c r="AM252" i="5"/>
  <c r="AJ252" i="5"/>
  <c r="Q252" i="5"/>
  <c r="P252" i="5"/>
  <c r="N252" i="5"/>
  <c r="L252" i="5"/>
  <c r="H252" i="5"/>
  <c r="O252" i="5" s="1"/>
  <c r="D252" i="5"/>
  <c r="M252" i="5" s="1"/>
  <c r="AM251" i="5"/>
  <c r="AJ251" i="5"/>
  <c r="Q251" i="5"/>
  <c r="P251" i="5"/>
  <c r="N251" i="5"/>
  <c r="L251" i="5"/>
  <c r="H251" i="5"/>
  <c r="O251" i="5" s="1"/>
  <c r="D251" i="5"/>
  <c r="M251" i="5" s="1"/>
  <c r="AM250" i="5"/>
  <c r="AJ250" i="5"/>
  <c r="Q250" i="5"/>
  <c r="P250" i="5"/>
  <c r="N250" i="5"/>
  <c r="L250" i="5"/>
  <c r="H250" i="5"/>
  <c r="O250" i="5" s="1"/>
  <c r="D250" i="5"/>
  <c r="M250" i="5" s="1"/>
  <c r="AM249" i="5"/>
  <c r="AJ249" i="5"/>
  <c r="Q249" i="5"/>
  <c r="P249" i="5"/>
  <c r="N249" i="5"/>
  <c r="L249" i="5"/>
  <c r="H249" i="5"/>
  <c r="O249" i="5" s="1"/>
  <c r="D249" i="5"/>
  <c r="M249" i="5" s="1"/>
  <c r="AM248" i="5"/>
  <c r="AJ248" i="5"/>
  <c r="Q248" i="5"/>
  <c r="P248" i="5"/>
  <c r="N248" i="5"/>
  <c r="L248" i="5"/>
  <c r="H248" i="5"/>
  <c r="O248" i="5" s="1"/>
  <c r="D248" i="5"/>
  <c r="M248" i="5" s="1"/>
  <c r="AM247" i="5"/>
  <c r="AJ247" i="5"/>
  <c r="Q247" i="5"/>
  <c r="P247" i="5"/>
  <c r="N247" i="5"/>
  <c r="L247" i="5"/>
  <c r="H247" i="5"/>
  <c r="O247" i="5" s="1"/>
  <c r="D247" i="5"/>
  <c r="M247" i="5" s="1"/>
  <c r="AM246" i="5"/>
  <c r="AJ246" i="5"/>
  <c r="Q246" i="5"/>
  <c r="P246" i="5"/>
  <c r="N246" i="5"/>
  <c r="L246" i="5"/>
  <c r="H246" i="5"/>
  <c r="O246" i="5" s="1"/>
  <c r="D246" i="5"/>
  <c r="M246" i="5" s="1"/>
  <c r="AM245" i="5"/>
  <c r="AJ245" i="5"/>
  <c r="Q245" i="5"/>
  <c r="P245" i="5"/>
  <c r="N245" i="5"/>
  <c r="L245" i="5"/>
  <c r="H245" i="5"/>
  <c r="O245" i="5" s="1"/>
  <c r="D245" i="5"/>
  <c r="M245" i="5" s="1"/>
  <c r="AM244" i="5"/>
  <c r="AJ244" i="5"/>
  <c r="Q244" i="5"/>
  <c r="P244" i="5"/>
  <c r="N244" i="5"/>
  <c r="L244" i="5"/>
  <c r="H244" i="5"/>
  <c r="O244" i="5" s="1"/>
  <c r="D244" i="5"/>
  <c r="M244" i="5" s="1"/>
  <c r="AM243" i="5"/>
  <c r="AJ243" i="5"/>
  <c r="Q243" i="5"/>
  <c r="P243" i="5"/>
  <c r="N243" i="5"/>
  <c r="L243" i="5"/>
  <c r="H243" i="5"/>
  <c r="O243" i="5" s="1"/>
  <c r="D243" i="5"/>
  <c r="M243" i="5" s="1"/>
  <c r="AM242" i="5"/>
  <c r="AJ242" i="5"/>
  <c r="Q242" i="5"/>
  <c r="P242" i="5"/>
  <c r="N242" i="5"/>
  <c r="L242" i="5"/>
  <c r="H242" i="5"/>
  <c r="O242" i="5" s="1"/>
  <c r="D242" i="5"/>
  <c r="M242" i="5" s="1"/>
  <c r="AM241" i="5"/>
  <c r="AJ241" i="5"/>
  <c r="Q241" i="5"/>
  <c r="P241" i="5"/>
  <c r="N241" i="5"/>
  <c r="L241" i="5"/>
  <c r="H241" i="5"/>
  <c r="O241" i="5" s="1"/>
  <c r="D241" i="5"/>
  <c r="M241" i="5" s="1"/>
  <c r="AN240" i="5"/>
  <c r="AM240" i="5"/>
  <c r="AJ240" i="5"/>
  <c r="Q240" i="5"/>
  <c r="P240" i="5"/>
  <c r="N240" i="5"/>
  <c r="L240" i="5"/>
  <c r="H240" i="5"/>
  <c r="O240" i="5" s="1"/>
  <c r="D240" i="5"/>
  <c r="M240" i="5" s="1"/>
  <c r="AN239" i="5"/>
  <c r="AM239" i="5"/>
  <c r="AJ239" i="5"/>
  <c r="Q239" i="5"/>
  <c r="P239" i="5"/>
  <c r="N239" i="5"/>
  <c r="L239" i="5"/>
  <c r="H239" i="5"/>
  <c r="O239" i="5" s="1"/>
  <c r="D239" i="5"/>
  <c r="M239" i="5" s="1"/>
  <c r="AN238" i="5"/>
  <c r="AM238" i="5"/>
  <c r="AJ238" i="5"/>
  <c r="Q238" i="5"/>
  <c r="P238" i="5"/>
  <c r="N238" i="5"/>
  <c r="L238" i="5"/>
  <c r="H238" i="5"/>
  <c r="O238" i="5" s="1"/>
  <c r="D238" i="5"/>
  <c r="M238" i="5" s="1"/>
  <c r="AN237" i="5"/>
  <c r="AM237" i="5"/>
  <c r="AJ237" i="5"/>
  <c r="Q237" i="5"/>
  <c r="P237" i="5"/>
  <c r="N237" i="5"/>
  <c r="L237" i="5"/>
  <c r="H237" i="5"/>
  <c r="O237" i="5" s="1"/>
  <c r="D237" i="5"/>
  <c r="M237" i="5" s="1"/>
  <c r="AN236" i="5"/>
  <c r="AM236" i="5"/>
  <c r="AJ236" i="5"/>
  <c r="Q236" i="5"/>
  <c r="P236" i="5"/>
  <c r="N236" i="5"/>
  <c r="L236" i="5"/>
  <c r="H236" i="5"/>
  <c r="O236" i="5" s="1"/>
  <c r="D236" i="5"/>
  <c r="M236" i="5" s="1"/>
  <c r="AN235" i="5"/>
  <c r="AM235" i="5"/>
  <c r="AJ235" i="5"/>
  <c r="Q235" i="5"/>
  <c r="P235" i="5"/>
  <c r="N235" i="5"/>
  <c r="L235" i="5"/>
  <c r="H235" i="5"/>
  <c r="O235" i="5" s="1"/>
  <c r="D235" i="5"/>
  <c r="M235" i="5" s="1"/>
  <c r="AN234" i="5"/>
  <c r="AM234" i="5"/>
  <c r="AJ234" i="5"/>
  <c r="Q234" i="5"/>
  <c r="P234" i="5"/>
  <c r="N234" i="5"/>
  <c r="L234" i="5"/>
  <c r="H234" i="5"/>
  <c r="O234" i="5" s="1"/>
  <c r="D234" i="5"/>
  <c r="M234" i="5" s="1"/>
  <c r="AN233" i="5"/>
  <c r="AM233" i="5"/>
  <c r="AJ233" i="5"/>
  <c r="Q233" i="5"/>
  <c r="P233" i="5"/>
  <c r="N233" i="5"/>
  <c r="L233" i="5"/>
  <c r="H233" i="5"/>
  <c r="O233" i="5" s="1"/>
  <c r="D233" i="5"/>
  <c r="M233" i="5" s="1"/>
  <c r="AN232" i="5"/>
  <c r="AM232" i="5"/>
  <c r="AJ232" i="5"/>
  <c r="Q232" i="5"/>
  <c r="P232" i="5"/>
  <c r="N232" i="5"/>
  <c r="L232" i="5"/>
  <c r="H232" i="5"/>
  <c r="O232" i="5" s="1"/>
  <c r="D232" i="5"/>
  <c r="M232" i="5" s="1"/>
  <c r="AN231" i="5"/>
  <c r="AM231" i="5"/>
  <c r="AJ231" i="5"/>
  <c r="Q231" i="5"/>
  <c r="P231" i="5"/>
  <c r="N231" i="5"/>
  <c r="L231" i="5"/>
  <c r="H231" i="5"/>
  <c r="O231" i="5" s="1"/>
  <c r="D231" i="5"/>
  <c r="M231" i="5" s="1"/>
  <c r="AN230" i="5"/>
  <c r="AM230" i="5"/>
  <c r="AJ230" i="5"/>
  <c r="Q230" i="5"/>
  <c r="P230" i="5"/>
  <c r="N230" i="5"/>
  <c r="L230" i="5"/>
  <c r="H230" i="5"/>
  <c r="O230" i="5" s="1"/>
  <c r="D230" i="5"/>
  <c r="M230" i="5" s="1"/>
  <c r="AN229" i="5"/>
  <c r="AM229" i="5"/>
  <c r="AJ229" i="5"/>
  <c r="Q229" i="5"/>
  <c r="P229" i="5"/>
  <c r="N229" i="5"/>
  <c r="L229" i="5"/>
  <c r="H229" i="5"/>
  <c r="O229" i="5" s="1"/>
  <c r="D229" i="5"/>
  <c r="M229" i="5" s="1"/>
  <c r="AN228" i="5"/>
  <c r="AM228" i="5"/>
  <c r="AJ228" i="5"/>
  <c r="Q228" i="5"/>
  <c r="P228" i="5"/>
  <c r="N228" i="5"/>
  <c r="L228" i="5"/>
  <c r="H228" i="5"/>
  <c r="O228" i="5" s="1"/>
  <c r="D228" i="5"/>
  <c r="M228" i="5" s="1"/>
  <c r="AN227" i="5"/>
  <c r="AM227" i="5"/>
  <c r="AJ227" i="5"/>
  <c r="Q227" i="5"/>
  <c r="P227" i="5"/>
  <c r="N227" i="5"/>
  <c r="L227" i="5"/>
  <c r="H227" i="5"/>
  <c r="O227" i="5" s="1"/>
  <c r="D227" i="5"/>
  <c r="M227" i="5" s="1"/>
  <c r="AN226" i="5"/>
  <c r="AM226" i="5"/>
  <c r="AJ226" i="5"/>
  <c r="Q226" i="5"/>
  <c r="P226" i="5"/>
  <c r="N226" i="5"/>
  <c r="L226" i="5"/>
  <c r="H226" i="5"/>
  <c r="O226" i="5" s="1"/>
  <c r="D226" i="5"/>
  <c r="M226" i="5" s="1"/>
  <c r="AN225" i="5"/>
  <c r="AM225" i="5"/>
  <c r="AJ225" i="5"/>
  <c r="Q225" i="5"/>
  <c r="P225" i="5"/>
  <c r="N225" i="5"/>
  <c r="L225" i="5"/>
  <c r="H225" i="5"/>
  <c r="O225" i="5" s="1"/>
  <c r="D225" i="5"/>
  <c r="M225" i="5" s="1"/>
  <c r="AN224" i="5"/>
  <c r="AM224" i="5"/>
  <c r="AJ224" i="5"/>
  <c r="Q224" i="5"/>
  <c r="P224" i="5"/>
  <c r="N224" i="5"/>
  <c r="L224" i="5"/>
  <c r="H224" i="5"/>
  <c r="O224" i="5" s="1"/>
  <c r="D224" i="5"/>
  <c r="M224" i="5" s="1"/>
  <c r="AN223" i="5"/>
  <c r="AM223" i="5"/>
  <c r="AJ223" i="5"/>
  <c r="Q223" i="5"/>
  <c r="P223" i="5"/>
  <c r="N223" i="5"/>
  <c r="L223" i="5"/>
  <c r="H223" i="5"/>
  <c r="O223" i="5" s="1"/>
  <c r="D223" i="5"/>
  <c r="M223" i="5" s="1"/>
  <c r="AN222" i="5"/>
  <c r="AM222" i="5"/>
  <c r="AJ222" i="5"/>
  <c r="Q222" i="5"/>
  <c r="P222" i="5"/>
  <c r="N222" i="5"/>
  <c r="L222" i="5"/>
  <c r="H222" i="5"/>
  <c r="O222" i="5" s="1"/>
  <c r="D222" i="5"/>
  <c r="M222" i="5" s="1"/>
  <c r="AN221" i="5"/>
  <c r="AM221" i="5"/>
  <c r="AJ221" i="5"/>
  <c r="Q221" i="5"/>
  <c r="P221" i="5"/>
  <c r="N221" i="5"/>
  <c r="L221" i="5"/>
  <c r="H221" i="5"/>
  <c r="O221" i="5" s="1"/>
  <c r="D221" i="5"/>
  <c r="M221" i="5" s="1"/>
  <c r="AN220" i="5"/>
  <c r="AM220" i="5"/>
  <c r="AJ220" i="5"/>
  <c r="Q220" i="5"/>
  <c r="P220" i="5"/>
  <c r="N220" i="5"/>
  <c r="L220" i="5"/>
  <c r="H220" i="5"/>
  <c r="O220" i="5" s="1"/>
  <c r="D220" i="5"/>
  <c r="M220" i="5" s="1"/>
  <c r="AN219" i="5"/>
  <c r="AM219" i="5"/>
  <c r="AJ219" i="5"/>
  <c r="Q219" i="5"/>
  <c r="P219" i="5"/>
  <c r="N219" i="5"/>
  <c r="L219" i="5"/>
  <c r="H219" i="5"/>
  <c r="O219" i="5" s="1"/>
  <c r="D219" i="5"/>
  <c r="M219" i="5" s="1"/>
  <c r="AN218" i="5"/>
  <c r="AM218" i="5"/>
  <c r="AJ218" i="5"/>
  <c r="Q218" i="5"/>
  <c r="P218" i="5"/>
  <c r="N218" i="5"/>
  <c r="L218" i="5"/>
  <c r="H218" i="5"/>
  <c r="O218" i="5" s="1"/>
  <c r="D218" i="5"/>
  <c r="M218" i="5" s="1"/>
  <c r="AN217" i="5"/>
  <c r="AM217" i="5"/>
  <c r="AJ217" i="5"/>
  <c r="Q217" i="5"/>
  <c r="P217" i="5"/>
  <c r="N217" i="5"/>
  <c r="L217" i="5"/>
  <c r="H217" i="5"/>
  <c r="O217" i="5" s="1"/>
  <c r="D217" i="5"/>
  <c r="M217" i="5" s="1"/>
  <c r="AN216" i="5"/>
  <c r="AM216" i="5"/>
  <c r="AJ216" i="5"/>
  <c r="Q216" i="5"/>
  <c r="P216" i="5"/>
  <c r="N216" i="5"/>
  <c r="L216" i="5"/>
  <c r="H216" i="5"/>
  <c r="O216" i="5" s="1"/>
  <c r="D216" i="5"/>
  <c r="M216" i="5" s="1"/>
  <c r="AN215" i="5"/>
  <c r="AM215" i="5"/>
  <c r="AJ215" i="5"/>
  <c r="Q215" i="5"/>
  <c r="P215" i="5"/>
  <c r="N215" i="5"/>
  <c r="L215" i="5"/>
  <c r="H215" i="5"/>
  <c r="O215" i="5" s="1"/>
  <c r="D215" i="5"/>
  <c r="M215" i="5" s="1"/>
  <c r="AN214" i="5"/>
  <c r="AM214" i="5"/>
  <c r="AJ214" i="5"/>
  <c r="Q214" i="5"/>
  <c r="P214" i="5"/>
  <c r="N214" i="5"/>
  <c r="L214" i="5"/>
  <c r="H214" i="5"/>
  <c r="O214" i="5" s="1"/>
  <c r="D214" i="5"/>
  <c r="M214" i="5" s="1"/>
  <c r="AN213" i="5"/>
  <c r="AM213" i="5"/>
  <c r="AJ213" i="5"/>
  <c r="Q213" i="5"/>
  <c r="P213" i="5"/>
  <c r="N213" i="5"/>
  <c r="L213" i="5"/>
  <c r="H213" i="5"/>
  <c r="O213" i="5" s="1"/>
  <c r="D213" i="5"/>
  <c r="M213" i="5" s="1"/>
  <c r="AN212" i="5"/>
  <c r="AM212" i="5"/>
  <c r="AJ212" i="5"/>
  <c r="Q212" i="5"/>
  <c r="P212" i="5"/>
  <c r="N212" i="5"/>
  <c r="L212" i="5"/>
  <c r="H212" i="5"/>
  <c r="O212" i="5" s="1"/>
  <c r="D212" i="5"/>
  <c r="M212" i="5" s="1"/>
  <c r="AN211" i="5"/>
  <c r="AM211" i="5"/>
  <c r="AJ211" i="5"/>
  <c r="Q211" i="5"/>
  <c r="P211" i="5"/>
  <c r="N211" i="5"/>
  <c r="L211" i="5"/>
  <c r="H211" i="5"/>
  <c r="O211" i="5" s="1"/>
  <c r="D211" i="5"/>
  <c r="M211" i="5" s="1"/>
  <c r="AN210" i="5"/>
  <c r="AM210" i="5"/>
  <c r="AJ210" i="5"/>
  <c r="Q210" i="5"/>
  <c r="P210" i="5"/>
  <c r="N210" i="5"/>
  <c r="L210" i="5"/>
  <c r="H210" i="5"/>
  <c r="O210" i="5" s="1"/>
  <c r="D210" i="5"/>
  <c r="M210" i="5" s="1"/>
  <c r="AN209" i="5"/>
  <c r="AM209" i="5"/>
  <c r="AJ209" i="5"/>
  <c r="Q209" i="5"/>
  <c r="P209" i="5"/>
  <c r="N209" i="5"/>
  <c r="L209" i="5"/>
  <c r="H209" i="5"/>
  <c r="O209" i="5" s="1"/>
  <c r="D209" i="5"/>
  <c r="M209" i="5" s="1"/>
  <c r="AN208" i="5"/>
  <c r="AM208" i="5"/>
  <c r="AJ208" i="5"/>
  <c r="Q208" i="5"/>
  <c r="P208" i="5"/>
  <c r="N208" i="5"/>
  <c r="L208" i="5"/>
  <c r="H208" i="5"/>
  <c r="O208" i="5" s="1"/>
  <c r="D208" i="5"/>
  <c r="M208" i="5" s="1"/>
  <c r="AN207" i="5"/>
  <c r="AM207" i="5"/>
  <c r="AJ207" i="5"/>
  <c r="Q207" i="5"/>
  <c r="P207" i="5"/>
  <c r="N207" i="5"/>
  <c r="L207" i="5"/>
  <c r="H207" i="5"/>
  <c r="O207" i="5" s="1"/>
  <c r="D207" i="5"/>
  <c r="M207" i="5" s="1"/>
  <c r="AN206" i="5"/>
  <c r="AM206" i="5"/>
  <c r="AJ206" i="5"/>
  <c r="Q206" i="5"/>
  <c r="P206" i="5"/>
  <c r="N206" i="5"/>
  <c r="L206" i="5"/>
  <c r="H206" i="5"/>
  <c r="O206" i="5" s="1"/>
  <c r="D206" i="5"/>
  <c r="M206" i="5" s="1"/>
  <c r="AN205" i="5"/>
  <c r="AM205" i="5"/>
  <c r="AJ205" i="5"/>
  <c r="Q205" i="5"/>
  <c r="P205" i="5"/>
  <c r="N205" i="5"/>
  <c r="L205" i="5"/>
  <c r="H205" i="5"/>
  <c r="O205" i="5" s="1"/>
  <c r="D205" i="5"/>
  <c r="M205" i="5" s="1"/>
  <c r="AN204" i="5"/>
  <c r="AM204" i="5"/>
  <c r="AJ204" i="5"/>
  <c r="Q204" i="5"/>
  <c r="P204" i="5"/>
  <c r="N204" i="5"/>
  <c r="L204" i="5"/>
  <c r="H204" i="5"/>
  <c r="O204" i="5" s="1"/>
  <c r="D204" i="5"/>
  <c r="M204" i="5" s="1"/>
  <c r="AN203" i="5"/>
  <c r="AM203" i="5"/>
  <c r="AJ203" i="5"/>
  <c r="Q203" i="5"/>
  <c r="P203" i="5"/>
  <c r="N203" i="5"/>
  <c r="L203" i="5"/>
  <c r="H203" i="5"/>
  <c r="O203" i="5" s="1"/>
  <c r="D203" i="5"/>
  <c r="M203" i="5" s="1"/>
  <c r="AN202" i="5"/>
  <c r="AM202" i="5"/>
  <c r="AJ202" i="5"/>
  <c r="Q202" i="5"/>
  <c r="P202" i="5"/>
  <c r="N202" i="5"/>
  <c r="L202" i="5"/>
  <c r="H202" i="5"/>
  <c r="O202" i="5" s="1"/>
  <c r="D202" i="5"/>
  <c r="M202" i="5" s="1"/>
  <c r="AN201" i="5"/>
  <c r="AM201" i="5"/>
  <c r="AJ201" i="5"/>
  <c r="Q201" i="5"/>
  <c r="P201" i="5"/>
  <c r="N201" i="5"/>
  <c r="L201" i="5"/>
  <c r="H201" i="5"/>
  <c r="O201" i="5" s="1"/>
  <c r="D201" i="5"/>
  <c r="M201" i="5" s="1"/>
  <c r="AN200" i="5"/>
  <c r="AM200" i="5"/>
  <c r="AJ200" i="5"/>
  <c r="Q200" i="5"/>
  <c r="P200" i="5"/>
  <c r="N200" i="5"/>
  <c r="L200" i="5"/>
  <c r="H200" i="5"/>
  <c r="O200" i="5" s="1"/>
  <c r="D200" i="5"/>
  <c r="M200" i="5" s="1"/>
  <c r="AN199" i="5"/>
  <c r="AM199" i="5"/>
  <c r="AJ199" i="5"/>
  <c r="Q199" i="5"/>
  <c r="P199" i="5"/>
  <c r="N199" i="5"/>
  <c r="L199" i="5"/>
  <c r="H199" i="5"/>
  <c r="O199" i="5" s="1"/>
  <c r="D199" i="5"/>
  <c r="M199" i="5" s="1"/>
  <c r="AN198" i="5"/>
  <c r="AM198" i="5"/>
  <c r="AJ198" i="5"/>
  <c r="Q198" i="5"/>
  <c r="P198" i="5"/>
  <c r="N198" i="5"/>
  <c r="L198" i="5"/>
  <c r="H198" i="5"/>
  <c r="O198" i="5" s="1"/>
  <c r="D198" i="5"/>
  <c r="M198" i="5" s="1"/>
  <c r="AN197" i="5"/>
  <c r="AM197" i="5"/>
  <c r="AJ197" i="5"/>
  <c r="Q197" i="5"/>
  <c r="P197" i="5"/>
  <c r="N197" i="5"/>
  <c r="L197" i="5"/>
  <c r="H197" i="5"/>
  <c r="O197" i="5" s="1"/>
  <c r="D197" i="5"/>
  <c r="M197" i="5" s="1"/>
  <c r="AN196" i="5"/>
  <c r="AM196" i="5"/>
  <c r="AJ196" i="5"/>
  <c r="Q196" i="5"/>
  <c r="P196" i="5"/>
  <c r="N196" i="5"/>
  <c r="L196" i="5"/>
  <c r="H196" i="5"/>
  <c r="O196" i="5" s="1"/>
  <c r="D196" i="5"/>
  <c r="M196" i="5" s="1"/>
  <c r="AN195" i="5"/>
  <c r="AM195" i="5"/>
  <c r="AJ195" i="5"/>
  <c r="Q195" i="5"/>
  <c r="P195" i="5"/>
  <c r="N195" i="5"/>
  <c r="L195" i="5"/>
  <c r="H195" i="5"/>
  <c r="O195" i="5" s="1"/>
  <c r="D195" i="5"/>
  <c r="M195" i="5" s="1"/>
  <c r="AN194" i="5"/>
  <c r="AM194" i="5"/>
  <c r="AJ194" i="5"/>
  <c r="Q194" i="5"/>
  <c r="P194" i="5"/>
  <c r="N194" i="5"/>
  <c r="L194" i="5"/>
  <c r="H194" i="5"/>
  <c r="O194" i="5" s="1"/>
  <c r="D194" i="5"/>
  <c r="M194" i="5" s="1"/>
  <c r="AN193" i="5"/>
  <c r="AM193" i="5"/>
  <c r="AJ193" i="5"/>
  <c r="Q193" i="5"/>
  <c r="P193" i="5"/>
  <c r="N193" i="5"/>
  <c r="L193" i="5"/>
  <c r="H193" i="5"/>
  <c r="O193" i="5" s="1"/>
  <c r="D193" i="5"/>
  <c r="M193" i="5" s="1"/>
  <c r="AN192" i="5"/>
  <c r="AM192" i="5"/>
  <c r="AJ192" i="5"/>
  <c r="Q192" i="5"/>
  <c r="P192" i="5"/>
  <c r="N192" i="5"/>
  <c r="L192" i="5"/>
  <c r="H192" i="5"/>
  <c r="O192" i="5" s="1"/>
  <c r="D192" i="5"/>
  <c r="M192" i="5" s="1"/>
  <c r="AN191" i="5"/>
  <c r="AM191" i="5"/>
  <c r="AJ191" i="5"/>
  <c r="Q191" i="5"/>
  <c r="P191" i="5"/>
  <c r="N191" i="5"/>
  <c r="L191" i="5"/>
  <c r="H191" i="5"/>
  <c r="O191" i="5" s="1"/>
  <c r="D191" i="5"/>
  <c r="M191" i="5" s="1"/>
  <c r="AN190" i="5"/>
  <c r="AM190" i="5"/>
  <c r="AJ190" i="5"/>
  <c r="Q190" i="5"/>
  <c r="P190" i="5"/>
  <c r="N190" i="5"/>
  <c r="L190" i="5"/>
  <c r="H190" i="5"/>
  <c r="O190" i="5" s="1"/>
  <c r="D190" i="5"/>
  <c r="M190" i="5" s="1"/>
  <c r="AN189" i="5"/>
  <c r="AM189" i="5"/>
  <c r="AJ189" i="5"/>
  <c r="Q189" i="5"/>
  <c r="P189" i="5"/>
  <c r="N189" i="5"/>
  <c r="L189" i="5"/>
  <c r="H189" i="5"/>
  <c r="O189" i="5" s="1"/>
  <c r="D189" i="5"/>
  <c r="M189" i="5" s="1"/>
  <c r="AN188" i="5"/>
  <c r="AM188" i="5"/>
  <c r="AJ188" i="5"/>
  <c r="Q188" i="5"/>
  <c r="P188" i="5"/>
  <c r="N188" i="5"/>
  <c r="L188" i="5"/>
  <c r="H188" i="5"/>
  <c r="O188" i="5" s="1"/>
  <c r="D188" i="5"/>
  <c r="M188" i="5" s="1"/>
  <c r="AN187" i="5"/>
  <c r="AM187" i="5"/>
  <c r="AJ187" i="5"/>
  <c r="Q187" i="5"/>
  <c r="P187" i="5"/>
  <c r="N187" i="5"/>
  <c r="L187" i="5"/>
  <c r="H187" i="5"/>
  <c r="O187" i="5" s="1"/>
  <c r="D187" i="5"/>
  <c r="M187" i="5" s="1"/>
  <c r="AN186" i="5"/>
  <c r="AM186" i="5"/>
  <c r="AJ186" i="5"/>
  <c r="Q186" i="5"/>
  <c r="P186" i="5"/>
  <c r="N186" i="5"/>
  <c r="L186" i="5"/>
  <c r="H186" i="5"/>
  <c r="O186" i="5" s="1"/>
  <c r="D186" i="5"/>
  <c r="M186" i="5" s="1"/>
  <c r="AN185" i="5"/>
  <c r="AM185" i="5"/>
  <c r="AJ185" i="5"/>
  <c r="Q185" i="5"/>
  <c r="P185" i="5"/>
  <c r="N185" i="5"/>
  <c r="L185" i="5"/>
  <c r="H185" i="5"/>
  <c r="O185" i="5" s="1"/>
  <c r="D185" i="5"/>
  <c r="M185" i="5" s="1"/>
  <c r="AN184" i="5"/>
  <c r="AM184" i="5"/>
  <c r="AJ184" i="5"/>
  <c r="Q184" i="5"/>
  <c r="P184" i="5"/>
  <c r="N184" i="5"/>
  <c r="L184" i="5"/>
  <c r="H184" i="5"/>
  <c r="O184" i="5" s="1"/>
  <c r="D184" i="5"/>
  <c r="M184" i="5" s="1"/>
  <c r="AN183" i="5"/>
  <c r="AM183" i="5"/>
  <c r="AJ183" i="5"/>
  <c r="Q183" i="5"/>
  <c r="P183" i="5"/>
  <c r="N183" i="5"/>
  <c r="L183" i="5"/>
  <c r="H183" i="5"/>
  <c r="O183" i="5" s="1"/>
  <c r="D183" i="5"/>
  <c r="M183" i="5" s="1"/>
  <c r="AN182" i="5"/>
  <c r="AM182" i="5"/>
  <c r="AJ182" i="5"/>
  <c r="Q182" i="5"/>
  <c r="P182" i="5"/>
  <c r="N182" i="5"/>
  <c r="L182" i="5"/>
  <c r="H182" i="5"/>
  <c r="O182" i="5" s="1"/>
  <c r="D182" i="5"/>
  <c r="M182" i="5" s="1"/>
  <c r="AN181" i="5"/>
  <c r="AM181" i="5"/>
  <c r="AJ181" i="5"/>
  <c r="Q181" i="5"/>
  <c r="P181" i="5"/>
  <c r="N181" i="5"/>
  <c r="L181" i="5"/>
  <c r="H181" i="5"/>
  <c r="O181" i="5" s="1"/>
  <c r="D181" i="5"/>
  <c r="M181" i="5" s="1"/>
  <c r="AN180" i="5"/>
  <c r="AM180" i="5"/>
  <c r="AJ180" i="5"/>
  <c r="Q180" i="5"/>
  <c r="P180" i="5"/>
  <c r="N180" i="5"/>
  <c r="L180" i="5"/>
  <c r="H180" i="5"/>
  <c r="O180" i="5" s="1"/>
  <c r="D180" i="5"/>
  <c r="M180" i="5" s="1"/>
  <c r="AN179" i="5"/>
  <c r="AM179" i="5"/>
  <c r="AJ179" i="5"/>
  <c r="Q179" i="5"/>
  <c r="P179" i="5"/>
  <c r="N179" i="5"/>
  <c r="L179" i="5"/>
  <c r="H179" i="5"/>
  <c r="O179" i="5" s="1"/>
  <c r="D179" i="5"/>
  <c r="M179" i="5" s="1"/>
  <c r="AN178" i="5"/>
  <c r="AM178" i="5"/>
  <c r="AJ178" i="5"/>
  <c r="Q178" i="5"/>
  <c r="P178" i="5"/>
  <c r="N178" i="5"/>
  <c r="L178" i="5"/>
  <c r="H178" i="5"/>
  <c r="O178" i="5" s="1"/>
  <c r="D178" i="5"/>
  <c r="M178" i="5" s="1"/>
  <c r="AN177" i="5"/>
  <c r="AM177" i="5"/>
  <c r="AJ177" i="5"/>
  <c r="Q177" i="5"/>
  <c r="P177" i="5"/>
  <c r="N177" i="5"/>
  <c r="L177" i="5"/>
  <c r="H177" i="5"/>
  <c r="O177" i="5" s="1"/>
  <c r="D177" i="5"/>
  <c r="M177" i="5" s="1"/>
  <c r="AN176" i="5"/>
  <c r="AM176" i="5"/>
  <c r="AJ176" i="5"/>
  <c r="Q176" i="5"/>
  <c r="P176" i="5"/>
  <c r="N176" i="5"/>
  <c r="L176" i="5"/>
  <c r="H176" i="5"/>
  <c r="O176" i="5" s="1"/>
  <c r="D176" i="5"/>
  <c r="M176" i="5" s="1"/>
  <c r="AN175" i="5"/>
  <c r="AM175" i="5"/>
  <c r="AJ175" i="5"/>
  <c r="Q175" i="5"/>
  <c r="P175" i="5"/>
  <c r="N175" i="5"/>
  <c r="L175" i="5"/>
  <c r="H175" i="5"/>
  <c r="O175" i="5" s="1"/>
  <c r="D175" i="5"/>
  <c r="M175" i="5" s="1"/>
  <c r="AN174" i="5"/>
  <c r="AM174" i="5"/>
  <c r="AJ174" i="5"/>
  <c r="Q174" i="5"/>
  <c r="P174" i="5"/>
  <c r="N174" i="5"/>
  <c r="L174" i="5"/>
  <c r="H174" i="5"/>
  <c r="O174" i="5" s="1"/>
  <c r="D174" i="5"/>
  <c r="M174" i="5" s="1"/>
  <c r="AN173" i="5"/>
  <c r="AM173" i="5"/>
  <c r="AJ173" i="5"/>
  <c r="Q173" i="5"/>
  <c r="P173" i="5"/>
  <c r="N173" i="5"/>
  <c r="L173" i="5"/>
  <c r="H173" i="5"/>
  <c r="O173" i="5" s="1"/>
  <c r="D173" i="5"/>
  <c r="M173" i="5" s="1"/>
  <c r="AN172" i="5"/>
  <c r="AM172" i="5"/>
  <c r="AJ172" i="5"/>
  <c r="Q172" i="5"/>
  <c r="P172" i="5"/>
  <c r="N172" i="5"/>
  <c r="L172" i="5"/>
  <c r="H172" i="5"/>
  <c r="O172" i="5" s="1"/>
  <c r="D172" i="5"/>
  <c r="M172" i="5" s="1"/>
  <c r="AN171" i="5"/>
  <c r="AM171" i="5"/>
  <c r="AJ171" i="5"/>
  <c r="Q171" i="5"/>
  <c r="P171" i="5"/>
  <c r="N171" i="5"/>
  <c r="L171" i="5"/>
  <c r="H171" i="5"/>
  <c r="O171" i="5" s="1"/>
  <c r="D171" i="5"/>
  <c r="M171" i="5" s="1"/>
  <c r="AN170" i="5"/>
  <c r="AM170" i="5"/>
  <c r="AJ170" i="5"/>
  <c r="Q170" i="5"/>
  <c r="P170" i="5"/>
  <c r="N170" i="5"/>
  <c r="L170" i="5"/>
  <c r="H170" i="5"/>
  <c r="O170" i="5" s="1"/>
  <c r="D170" i="5"/>
  <c r="M170" i="5" s="1"/>
  <c r="AN169" i="5"/>
  <c r="AM169" i="5"/>
  <c r="AJ169" i="5"/>
  <c r="Q169" i="5"/>
  <c r="P169" i="5"/>
  <c r="N169" i="5"/>
  <c r="L169" i="5"/>
  <c r="H169" i="5"/>
  <c r="O169" i="5" s="1"/>
  <c r="D169" i="5"/>
  <c r="M169" i="5" s="1"/>
  <c r="AN168" i="5"/>
  <c r="AM168" i="5"/>
  <c r="AJ168" i="5"/>
  <c r="Q168" i="5"/>
  <c r="P168" i="5"/>
  <c r="N168" i="5"/>
  <c r="L168" i="5"/>
  <c r="H168" i="5"/>
  <c r="O168" i="5" s="1"/>
  <c r="D168" i="5"/>
  <c r="M168" i="5" s="1"/>
  <c r="AN167" i="5"/>
  <c r="AM167" i="5"/>
  <c r="AJ167" i="5"/>
  <c r="Q167" i="5"/>
  <c r="P167" i="5"/>
  <c r="N167" i="5"/>
  <c r="L167" i="5"/>
  <c r="H167" i="5"/>
  <c r="O167" i="5" s="1"/>
  <c r="D167" i="5"/>
  <c r="M167" i="5" s="1"/>
  <c r="AN166" i="5"/>
  <c r="AM166" i="5"/>
  <c r="AJ166" i="5"/>
  <c r="Q166" i="5"/>
  <c r="P166" i="5"/>
  <c r="N166" i="5"/>
  <c r="L166" i="5"/>
  <c r="H166" i="5"/>
  <c r="O166" i="5" s="1"/>
  <c r="D166" i="5"/>
  <c r="M166" i="5" s="1"/>
  <c r="AN165" i="5"/>
  <c r="AM165" i="5"/>
  <c r="AJ165" i="5"/>
  <c r="Q165" i="5"/>
  <c r="P165" i="5"/>
  <c r="N165" i="5"/>
  <c r="L165" i="5"/>
  <c r="H165" i="5"/>
  <c r="O165" i="5" s="1"/>
  <c r="D165" i="5"/>
  <c r="M165" i="5" s="1"/>
  <c r="AN164" i="5"/>
  <c r="AM164" i="5"/>
  <c r="AJ164" i="5"/>
  <c r="Q164" i="5"/>
  <c r="P164" i="5"/>
  <c r="N164" i="5"/>
  <c r="L164" i="5"/>
  <c r="H164" i="5"/>
  <c r="O164" i="5" s="1"/>
  <c r="D164" i="5"/>
  <c r="M164" i="5" s="1"/>
  <c r="AN163" i="5"/>
  <c r="AM163" i="5"/>
  <c r="AJ163" i="5"/>
  <c r="Q163" i="5"/>
  <c r="P163" i="5"/>
  <c r="N163" i="5"/>
  <c r="L163" i="5"/>
  <c r="H163" i="5"/>
  <c r="O163" i="5" s="1"/>
  <c r="D163" i="5"/>
  <c r="M163" i="5" s="1"/>
  <c r="AN162" i="5"/>
  <c r="AM162" i="5"/>
  <c r="AJ162" i="5"/>
  <c r="Q162" i="5"/>
  <c r="P162" i="5"/>
  <c r="N162" i="5"/>
  <c r="L162" i="5"/>
  <c r="H162" i="5"/>
  <c r="O162" i="5" s="1"/>
  <c r="D162" i="5"/>
  <c r="M162" i="5" s="1"/>
  <c r="AN161" i="5"/>
  <c r="AM161" i="5"/>
  <c r="AJ161" i="5"/>
  <c r="Q161" i="5"/>
  <c r="P161" i="5"/>
  <c r="N161" i="5"/>
  <c r="L161" i="5"/>
  <c r="H161" i="5"/>
  <c r="O161" i="5" s="1"/>
  <c r="D161" i="5"/>
  <c r="M161" i="5" s="1"/>
  <c r="AN160" i="5"/>
  <c r="AM160" i="5"/>
  <c r="AJ160" i="5"/>
  <c r="Q160" i="5"/>
  <c r="P160" i="5"/>
  <c r="N160" i="5"/>
  <c r="L160" i="5"/>
  <c r="H160" i="5"/>
  <c r="O160" i="5" s="1"/>
  <c r="D160" i="5"/>
  <c r="M160" i="5" s="1"/>
  <c r="AN159" i="5"/>
  <c r="AM159" i="5"/>
  <c r="AJ159" i="5"/>
  <c r="Q159" i="5"/>
  <c r="P159" i="5"/>
  <c r="N159" i="5"/>
  <c r="L159" i="5"/>
  <c r="H159" i="5"/>
  <c r="O159" i="5" s="1"/>
  <c r="D159" i="5"/>
  <c r="M159" i="5" s="1"/>
  <c r="AN158" i="5"/>
  <c r="AM158" i="5"/>
  <c r="AJ158" i="5"/>
  <c r="Q158" i="5"/>
  <c r="P158" i="5"/>
  <c r="N158" i="5"/>
  <c r="L158" i="5"/>
  <c r="H158" i="5"/>
  <c r="O158" i="5" s="1"/>
  <c r="D158" i="5"/>
  <c r="M158" i="5" s="1"/>
  <c r="AN157" i="5"/>
  <c r="AM157" i="5"/>
  <c r="AJ157" i="5"/>
  <c r="Q157" i="5"/>
  <c r="P157" i="5"/>
  <c r="N157" i="5"/>
  <c r="L157" i="5"/>
  <c r="H157" i="5"/>
  <c r="O157" i="5" s="1"/>
  <c r="D157" i="5"/>
  <c r="M157" i="5" s="1"/>
  <c r="AN156" i="5"/>
  <c r="AM156" i="5"/>
  <c r="AJ156" i="5"/>
  <c r="Q156" i="5"/>
  <c r="P156" i="5"/>
  <c r="N156" i="5"/>
  <c r="L156" i="5"/>
  <c r="H156" i="5"/>
  <c r="O156" i="5" s="1"/>
  <c r="D156" i="5"/>
  <c r="M156" i="5" s="1"/>
  <c r="AN155" i="5"/>
  <c r="AM155" i="5"/>
  <c r="AJ155" i="5"/>
  <c r="Q155" i="5"/>
  <c r="P155" i="5"/>
  <c r="N155" i="5"/>
  <c r="L155" i="5"/>
  <c r="H155" i="5"/>
  <c r="O155" i="5" s="1"/>
  <c r="D155" i="5"/>
  <c r="M155" i="5" s="1"/>
  <c r="AN154" i="5"/>
  <c r="AM154" i="5"/>
  <c r="AJ154" i="5"/>
  <c r="Q154" i="5"/>
  <c r="P154" i="5"/>
  <c r="N154" i="5"/>
  <c r="L154" i="5"/>
  <c r="H154" i="5"/>
  <c r="O154" i="5" s="1"/>
  <c r="D154" i="5"/>
  <c r="M154" i="5" s="1"/>
  <c r="AM153" i="5"/>
  <c r="AJ153" i="5"/>
  <c r="Q153" i="5"/>
  <c r="P153" i="5"/>
  <c r="N153" i="5"/>
  <c r="L153" i="5"/>
  <c r="H153" i="5"/>
  <c r="O153" i="5" s="1"/>
  <c r="D153" i="5"/>
  <c r="M153" i="5" s="1"/>
  <c r="AM152" i="5"/>
  <c r="AJ152" i="5"/>
  <c r="Q152" i="5"/>
  <c r="P152" i="5"/>
  <c r="N152" i="5"/>
  <c r="L152" i="5"/>
  <c r="H152" i="5"/>
  <c r="O152" i="5" s="1"/>
  <c r="D152" i="5"/>
  <c r="M152" i="5" s="1"/>
  <c r="AM151" i="5"/>
  <c r="AJ151" i="5"/>
  <c r="Q151" i="5"/>
  <c r="P151" i="5"/>
  <c r="N151" i="5"/>
  <c r="L151" i="5"/>
  <c r="H151" i="5"/>
  <c r="O151" i="5" s="1"/>
  <c r="D151" i="5"/>
  <c r="M151" i="5" s="1"/>
  <c r="AM150" i="5"/>
  <c r="AJ150" i="5"/>
  <c r="Q150" i="5"/>
  <c r="P150" i="5"/>
  <c r="N150" i="5"/>
  <c r="L150" i="5"/>
  <c r="H150" i="5"/>
  <c r="O150" i="5" s="1"/>
  <c r="D150" i="5"/>
  <c r="M150" i="5" s="1"/>
  <c r="AM149" i="5"/>
  <c r="AJ149" i="5"/>
  <c r="Q149" i="5"/>
  <c r="P149" i="5"/>
  <c r="N149" i="5"/>
  <c r="L149" i="5"/>
  <c r="H149" i="5"/>
  <c r="O149" i="5" s="1"/>
  <c r="D149" i="5"/>
  <c r="M149" i="5" s="1"/>
  <c r="AM148" i="5"/>
  <c r="AJ148" i="5"/>
  <c r="Q148" i="5"/>
  <c r="P148" i="5"/>
  <c r="N148" i="5"/>
  <c r="L148" i="5"/>
  <c r="H148" i="5"/>
  <c r="O148" i="5" s="1"/>
  <c r="D148" i="5"/>
  <c r="M148" i="5" s="1"/>
  <c r="AM147" i="5"/>
  <c r="AJ147" i="5"/>
  <c r="Q147" i="5"/>
  <c r="P147" i="5"/>
  <c r="N147" i="5"/>
  <c r="L147" i="5"/>
  <c r="H147" i="5"/>
  <c r="O147" i="5" s="1"/>
  <c r="D147" i="5"/>
  <c r="M147" i="5" s="1"/>
  <c r="AM146" i="5"/>
  <c r="AJ146" i="5"/>
  <c r="Q146" i="5"/>
  <c r="P146" i="5"/>
  <c r="N146" i="5"/>
  <c r="L146" i="5"/>
  <c r="H146" i="5"/>
  <c r="O146" i="5" s="1"/>
  <c r="D146" i="5"/>
  <c r="M146" i="5" s="1"/>
  <c r="AM145" i="5"/>
  <c r="AJ145" i="5"/>
  <c r="Q145" i="5"/>
  <c r="P145" i="5"/>
  <c r="N145" i="5"/>
  <c r="L145" i="5"/>
  <c r="H145" i="5"/>
  <c r="O145" i="5" s="1"/>
  <c r="D145" i="5"/>
  <c r="M145" i="5" s="1"/>
  <c r="AM144" i="5"/>
  <c r="AJ144" i="5"/>
  <c r="Q144" i="5"/>
  <c r="P144" i="5"/>
  <c r="N144" i="5"/>
  <c r="L144" i="5"/>
  <c r="H144" i="5"/>
  <c r="O144" i="5" s="1"/>
  <c r="D144" i="5"/>
  <c r="M144" i="5" s="1"/>
  <c r="AM143" i="5"/>
  <c r="AJ143" i="5"/>
  <c r="Q143" i="5"/>
  <c r="P143" i="5"/>
  <c r="N143" i="5"/>
  <c r="L143" i="5"/>
  <c r="H143" i="5"/>
  <c r="O143" i="5" s="1"/>
  <c r="D143" i="5"/>
  <c r="M143" i="5" s="1"/>
  <c r="AM142" i="5"/>
  <c r="AJ142" i="5"/>
  <c r="Q142" i="5"/>
  <c r="P142" i="5"/>
  <c r="N142" i="5"/>
  <c r="L142" i="5"/>
  <c r="H142" i="5"/>
  <c r="O142" i="5" s="1"/>
  <c r="D142" i="5"/>
  <c r="M142" i="5" s="1"/>
  <c r="AM141" i="5"/>
  <c r="AJ141" i="5"/>
  <c r="Q141" i="5"/>
  <c r="P141" i="5"/>
  <c r="N141" i="5"/>
  <c r="L141" i="5"/>
  <c r="H141" i="5"/>
  <c r="O141" i="5" s="1"/>
  <c r="D141" i="5"/>
  <c r="M141" i="5" s="1"/>
  <c r="AM140" i="5"/>
  <c r="AJ140" i="5"/>
  <c r="Q140" i="5"/>
  <c r="P140" i="5"/>
  <c r="N140" i="5"/>
  <c r="L140" i="5"/>
  <c r="H140" i="5"/>
  <c r="O140" i="5" s="1"/>
  <c r="D140" i="5"/>
  <c r="M140" i="5" s="1"/>
  <c r="AM139" i="5"/>
  <c r="AJ139" i="5"/>
  <c r="Q139" i="5"/>
  <c r="P139" i="5"/>
  <c r="N139" i="5"/>
  <c r="L139" i="5"/>
  <c r="H139" i="5"/>
  <c r="O139" i="5" s="1"/>
  <c r="D139" i="5"/>
  <c r="M139" i="5" s="1"/>
  <c r="AM138" i="5"/>
  <c r="AJ138" i="5"/>
  <c r="Q138" i="5"/>
  <c r="P138" i="5"/>
  <c r="N138" i="5"/>
  <c r="L138" i="5"/>
  <c r="H138" i="5"/>
  <c r="O138" i="5" s="1"/>
  <c r="D138" i="5"/>
  <c r="M138" i="5" s="1"/>
  <c r="AM137" i="5"/>
  <c r="AJ137" i="5"/>
  <c r="Q137" i="5"/>
  <c r="P137" i="5"/>
  <c r="N137" i="5"/>
  <c r="L137" i="5"/>
  <c r="H137" i="5"/>
  <c r="O137" i="5" s="1"/>
  <c r="D137" i="5"/>
  <c r="M137" i="5" s="1"/>
  <c r="AM136" i="5"/>
  <c r="AJ136" i="5"/>
  <c r="Q136" i="5"/>
  <c r="P136" i="5"/>
  <c r="N136" i="5"/>
  <c r="L136" i="5"/>
  <c r="H136" i="5"/>
  <c r="O136" i="5" s="1"/>
  <c r="D136" i="5"/>
  <c r="M136" i="5" s="1"/>
  <c r="AM135" i="5"/>
  <c r="AJ135" i="5"/>
  <c r="Q135" i="5"/>
  <c r="P135" i="5"/>
  <c r="N135" i="5"/>
  <c r="L135" i="5"/>
  <c r="H135" i="5"/>
  <c r="O135" i="5" s="1"/>
  <c r="D135" i="5"/>
  <c r="M135" i="5" s="1"/>
  <c r="AM134" i="5"/>
  <c r="AJ134" i="5"/>
  <c r="Q134" i="5"/>
  <c r="P134" i="5"/>
  <c r="N134" i="5"/>
  <c r="L134" i="5"/>
  <c r="H134" i="5"/>
  <c r="O134" i="5" s="1"/>
  <c r="D134" i="5"/>
  <c r="M134" i="5" s="1"/>
  <c r="AM133" i="5"/>
  <c r="AJ133" i="5"/>
  <c r="Q133" i="5"/>
  <c r="P133" i="5"/>
  <c r="N133" i="5"/>
  <c r="L133" i="5"/>
  <c r="H133" i="5"/>
  <c r="O133" i="5" s="1"/>
  <c r="D133" i="5"/>
  <c r="M133" i="5" s="1"/>
  <c r="AM132" i="5"/>
  <c r="AJ132" i="5"/>
  <c r="Q132" i="5"/>
  <c r="P132" i="5"/>
  <c r="N132" i="5"/>
  <c r="L132" i="5"/>
  <c r="H132" i="5"/>
  <c r="O132" i="5" s="1"/>
  <c r="D132" i="5"/>
  <c r="M132" i="5" s="1"/>
  <c r="AM131" i="5"/>
  <c r="AJ131" i="5"/>
  <c r="Q131" i="5"/>
  <c r="P131" i="5"/>
  <c r="N131" i="5"/>
  <c r="L131" i="5"/>
  <c r="H131" i="5"/>
  <c r="O131" i="5" s="1"/>
  <c r="D131" i="5"/>
  <c r="M131" i="5" s="1"/>
  <c r="AM130" i="5"/>
  <c r="AJ130" i="5"/>
  <c r="Q130" i="5"/>
  <c r="P130" i="5"/>
  <c r="N130" i="5"/>
  <c r="L130" i="5"/>
  <c r="H130" i="5"/>
  <c r="O130" i="5" s="1"/>
  <c r="D130" i="5"/>
  <c r="M130" i="5" s="1"/>
  <c r="AM129" i="5"/>
  <c r="AJ129" i="5"/>
  <c r="Q129" i="5"/>
  <c r="P129" i="5"/>
  <c r="N129" i="5"/>
  <c r="L129" i="5"/>
  <c r="H129" i="5"/>
  <c r="O129" i="5" s="1"/>
  <c r="D129" i="5"/>
  <c r="M129" i="5" s="1"/>
  <c r="AM128" i="5"/>
  <c r="AJ128" i="5"/>
  <c r="Q128" i="5"/>
  <c r="P128" i="5"/>
  <c r="N128" i="5"/>
  <c r="L128" i="5"/>
  <c r="H128" i="5"/>
  <c r="O128" i="5" s="1"/>
  <c r="D128" i="5"/>
  <c r="M128" i="5" s="1"/>
  <c r="AM127" i="5"/>
  <c r="AJ127" i="5"/>
  <c r="Q127" i="5"/>
  <c r="P127" i="5"/>
  <c r="N127" i="5"/>
  <c r="L127" i="5"/>
  <c r="H127" i="5"/>
  <c r="O127" i="5" s="1"/>
  <c r="D127" i="5"/>
  <c r="M127" i="5" s="1"/>
  <c r="AM126" i="5"/>
  <c r="AJ126" i="5"/>
  <c r="Q126" i="5"/>
  <c r="P126" i="5"/>
  <c r="N126" i="5"/>
  <c r="L126" i="5"/>
  <c r="H126" i="5"/>
  <c r="O126" i="5" s="1"/>
  <c r="D126" i="5"/>
  <c r="M126" i="5" s="1"/>
  <c r="AM125" i="5"/>
  <c r="AJ125" i="5"/>
  <c r="Q125" i="5"/>
  <c r="P125" i="5"/>
  <c r="N125" i="5"/>
  <c r="L125" i="5"/>
  <c r="H125" i="5"/>
  <c r="O125" i="5" s="1"/>
  <c r="D125" i="5"/>
  <c r="M125" i="5" s="1"/>
  <c r="AM124" i="5"/>
  <c r="AJ124" i="5"/>
  <c r="Q124" i="5"/>
  <c r="P124" i="5"/>
  <c r="N124" i="5"/>
  <c r="L124" i="5"/>
  <c r="H124" i="5"/>
  <c r="O124" i="5" s="1"/>
  <c r="D124" i="5"/>
  <c r="M124" i="5" s="1"/>
  <c r="AM123" i="5"/>
  <c r="AJ123" i="5"/>
  <c r="Q123" i="5"/>
  <c r="P123" i="5"/>
  <c r="N123" i="5"/>
  <c r="L123" i="5"/>
  <c r="H123" i="5"/>
  <c r="O123" i="5" s="1"/>
  <c r="D123" i="5"/>
  <c r="M123" i="5" s="1"/>
  <c r="AM122" i="5"/>
  <c r="AJ122" i="5"/>
  <c r="Q122" i="5"/>
  <c r="P122" i="5"/>
  <c r="N122" i="5"/>
  <c r="L122" i="5"/>
  <c r="H122" i="5"/>
  <c r="O122" i="5" s="1"/>
  <c r="D122" i="5"/>
  <c r="M122" i="5" s="1"/>
  <c r="AM121" i="5"/>
  <c r="AJ121" i="5"/>
  <c r="Q121" i="5"/>
  <c r="P121" i="5"/>
  <c r="N121" i="5"/>
  <c r="L121" i="5"/>
  <c r="H121" i="5"/>
  <c r="O121" i="5" s="1"/>
  <c r="D121" i="5"/>
  <c r="M121" i="5" s="1"/>
  <c r="AM120" i="5"/>
  <c r="AJ120" i="5"/>
  <c r="Q120" i="5"/>
  <c r="P120" i="5"/>
  <c r="N120" i="5"/>
  <c r="L120" i="5"/>
  <c r="H120" i="5"/>
  <c r="O120" i="5" s="1"/>
  <c r="D120" i="5"/>
  <c r="M120" i="5" s="1"/>
  <c r="AM119" i="5"/>
  <c r="AJ119" i="5"/>
  <c r="Q119" i="5"/>
  <c r="P119" i="5"/>
  <c r="N119" i="5"/>
  <c r="L119" i="5"/>
  <c r="H119" i="5"/>
  <c r="O119" i="5" s="1"/>
  <c r="D119" i="5"/>
  <c r="M119" i="5" s="1"/>
  <c r="AM118" i="5"/>
  <c r="AJ118" i="5"/>
  <c r="Q118" i="5"/>
  <c r="P118" i="5"/>
  <c r="N118" i="5"/>
  <c r="L118" i="5"/>
  <c r="H118" i="5"/>
  <c r="O118" i="5" s="1"/>
  <c r="D118" i="5"/>
  <c r="M118" i="5" s="1"/>
  <c r="AM117" i="5"/>
  <c r="AJ117" i="5"/>
  <c r="Q117" i="5"/>
  <c r="P117" i="5"/>
  <c r="N117" i="5"/>
  <c r="L117" i="5"/>
  <c r="H117" i="5"/>
  <c r="O117" i="5" s="1"/>
  <c r="D117" i="5"/>
  <c r="M117" i="5" s="1"/>
  <c r="AM116" i="5"/>
  <c r="AJ116" i="5"/>
  <c r="Q116" i="5"/>
  <c r="P116" i="5"/>
  <c r="N116" i="5"/>
  <c r="L116" i="5"/>
  <c r="H116" i="5"/>
  <c r="O116" i="5" s="1"/>
  <c r="D116" i="5"/>
  <c r="M116" i="5" s="1"/>
  <c r="AM115" i="5"/>
  <c r="AJ115" i="5"/>
  <c r="Q115" i="5"/>
  <c r="P115" i="5"/>
  <c r="N115" i="5"/>
  <c r="L115" i="5"/>
  <c r="H115" i="5"/>
  <c r="O115" i="5" s="1"/>
  <c r="D115" i="5"/>
  <c r="M115" i="5" s="1"/>
  <c r="AM114" i="5"/>
  <c r="AJ114" i="5"/>
  <c r="Q114" i="5"/>
  <c r="P114" i="5"/>
  <c r="N114" i="5"/>
  <c r="L114" i="5"/>
  <c r="H114" i="5"/>
  <c r="O114" i="5" s="1"/>
  <c r="D114" i="5"/>
  <c r="M114" i="5" s="1"/>
  <c r="AM113" i="5"/>
  <c r="AJ113" i="5"/>
  <c r="Q113" i="5"/>
  <c r="P113" i="5"/>
  <c r="N113" i="5"/>
  <c r="L113" i="5"/>
  <c r="H113" i="5"/>
  <c r="O113" i="5" s="1"/>
  <c r="D113" i="5"/>
  <c r="M113" i="5" s="1"/>
  <c r="AM112" i="5"/>
  <c r="AJ112" i="5"/>
  <c r="Q112" i="5"/>
  <c r="P112" i="5"/>
  <c r="N112" i="5"/>
  <c r="L112" i="5"/>
  <c r="H112" i="5"/>
  <c r="O112" i="5" s="1"/>
  <c r="D112" i="5"/>
  <c r="M112" i="5" s="1"/>
  <c r="AM111" i="5"/>
  <c r="AJ111" i="5"/>
  <c r="Q111" i="5"/>
  <c r="P111" i="5"/>
  <c r="N111" i="5"/>
  <c r="L111" i="5"/>
  <c r="H111" i="5"/>
  <c r="O111" i="5" s="1"/>
  <c r="D111" i="5"/>
  <c r="M111" i="5" s="1"/>
  <c r="AM110" i="5"/>
  <c r="AJ110" i="5"/>
  <c r="Q110" i="5"/>
  <c r="P110" i="5"/>
  <c r="N110" i="5"/>
  <c r="L110" i="5"/>
  <c r="H110" i="5"/>
  <c r="O110" i="5" s="1"/>
  <c r="D110" i="5"/>
  <c r="M110" i="5" s="1"/>
  <c r="AM109" i="5"/>
  <c r="AJ109" i="5"/>
  <c r="Q109" i="5"/>
  <c r="P109" i="5"/>
  <c r="N109" i="5"/>
  <c r="L109" i="5"/>
  <c r="H109" i="5"/>
  <c r="O109" i="5" s="1"/>
  <c r="D109" i="5"/>
  <c r="M109" i="5" s="1"/>
  <c r="AM108" i="5"/>
  <c r="AJ108" i="5"/>
  <c r="Q108" i="5"/>
  <c r="P108" i="5"/>
  <c r="N108" i="5"/>
  <c r="L108" i="5"/>
  <c r="H108" i="5"/>
  <c r="O108" i="5" s="1"/>
  <c r="D108" i="5"/>
  <c r="M108" i="5" s="1"/>
  <c r="AM107" i="5"/>
  <c r="AJ107" i="5"/>
  <c r="Q107" i="5"/>
  <c r="P107" i="5"/>
  <c r="N107" i="5"/>
  <c r="L107" i="5"/>
  <c r="H107" i="5"/>
  <c r="O107" i="5" s="1"/>
  <c r="D107" i="5"/>
  <c r="M107" i="5" s="1"/>
  <c r="AM106" i="5"/>
  <c r="AJ106" i="5"/>
  <c r="Q106" i="5"/>
  <c r="P106" i="5"/>
  <c r="N106" i="5"/>
  <c r="L106" i="5"/>
  <c r="H106" i="5"/>
  <c r="O106" i="5" s="1"/>
  <c r="D106" i="5"/>
  <c r="M106" i="5" s="1"/>
  <c r="AM105" i="5"/>
  <c r="AJ105" i="5"/>
  <c r="Q105" i="5"/>
  <c r="P105" i="5"/>
  <c r="N105" i="5"/>
  <c r="L105" i="5"/>
  <c r="H105" i="5"/>
  <c r="O105" i="5" s="1"/>
  <c r="D105" i="5"/>
  <c r="M105" i="5" s="1"/>
  <c r="AM104" i="5"/>
  <c r="AJ104" i="5"/>
  <c r="Q104" i="5"/>
  <c r="P104" i="5"/>
  <c r="N104" i="5"/>
  <c r="L104" i="5"/>
  <c r="H104" i="5"/>
  <c r="O104" i="5" s="1"/>
  <c r="D104" i="5"/>
  <c r="M104" i="5" s="1"/>
  <c r="AM103" i="5"/>
  <c r="AJ103" i="5"/>
  <c r="Q103" i="5"/>
  <c r="P103" i="5"/>
  <c r="N103" i="5"/>
  <c r="L103" i="5"/>
  <c r="H103" i="5"/>
  <c r="O103" i="5" s="1"/>
  <c r="D103" i="5"/>
  <c r="M103" i="5" s="1"/>
  <c r="AM102" i="5"/>
  <c r="AJ102" i="5"/>
  <c r="Q102" i="5"/>
  <c r="P102" i="5"/>
  <c r="N102" i="5"/>
  <c r="L102" i="5"/>
  <c r="H102" i="5"/>
  <c r="O102" i="5" s="1"/>
  <c r="D102" i="5"/>
  <c r="M102" i="5" s="1"/>
  <c r="AM101" i="5"/>
  <c r="AJ101" i="5"/>
  <c r="Q101" i="5"/>
  <c r="P101" i="5"/>
  <c r="N101" i="5"/>
  <c r="L101" i="5"/>
  <c r="H101" i="5"/>
  <c r="O101" i="5" s="1"/>
  <c r="D101" i="5"/>
  <c r="M101" i="5" s="1"/>
  <c r="AM100" i="5"/>
  <c r="AJ100" i="5"/>
  <c r="Q100" i="5"/>
  <c r="P100" i="5"/>
  <c r="N100" i="5"/>
  <c r="L100" i="5"/>
  <c r="H100" i="5"/>
  <c r="O100" i="5" s="1"/>
  <c r="D100" i="5"/>
  <c r="M100" i="5" s="1"/>
  <c r="AM99" i="5"/>
  <c r="AJ99" i="5"/>
  <c r="Q99" i="5"/>
  <c r="P99" i="5"/>
  <c r="N99" i="5"/>
  <c r="L99" i="5"/>
  <c r="H99" i="5"/>
  <c r="O99" i="5" s="1"/>
  <c r="D99" i="5"/>
  <c r="M99" i="5" s="1"/>
  <c r="AM98" i="5"/>
  <c r="AJ98" i="5"/>
  <c r="Q98" i="5"/>
  <c r="P98" i="5"/>
  <c r="N98" i="5"/>
  <c r="L98" i="5"/>
  <c r="H98" i="5"/>
  <c r="O98" i="5" s="1"/>
  <c r="D98" i="5"/>
  <c r="M98" i="5" s="1"/>
  <c r="AM97" i="5"/>
  <c r="AJ97" i="5"/>
  <c r="Q97" i="5"/>
  <c r="P97" i="5"/>
  <c r="N97" i="5"/>
  <c r="L97" i="5"/>
  <c r="H97" i="5"/>
  <c r="O97" i="5" s="1"/>
  <c r="D97" i="5"/>
  <c r="M97" i="5" s="1"/>
  <c r="AM96" i="5"/>
  <c r="AJ96" i="5"/>
  <c r="Q96" i="5"/>
  <c r="P96" i="5"/>
  <c r="N96" i="5"/>
  <c r="L96" i="5"/>
  <c r="H96" i="5"/>
  <c r="O96" i="5" s="1"/>
  <c r="D96" i="5"/>
  <c r="M96" i="5" s="1"/>
  <c r="AM95" i="5"/>
  <c r="AJ95" i="5"/>
  <c r="Q95" i="5"/>
  <c r="P95" i="5"/>
  <c r="N95" i="5"/>
  <c r="L95" i="5"/>
  <c r="H95" i="5"/>
  <c r="O95" i="5" s="1"/>
  <c r="D95" i="5"/>
  <c r="M95" i="5" s="1"/>
  <c r="AM94" i="5"/>
  <c r="AJ94" i="5"/>
  <c r="Q94" i="5"/>
  <c r="P94" i="5"/>
  <c r="N94" i="5"/>
  <c r="L94" i="5"/>
  <c r="H94" i="5"/>
  <c r="O94" i="5" s="1"/>
  <c r="D94" i="5"/>
  <c r="M94" i="5" s="1"/>
  <c r="AM93" i="5"/>
  <c r="AJ93" i="5"/>
  <c r="Q93" i="5"/>
  <c r="P93" i="5"/>
  <c r="N93" i="5"/>
  <c r="L93" i="5"/>
  <c r="H93" i="5"/>
  <c r="O93" i="5" s="1"/>
  <c r="D93" i="5"/>
  <c r="M93" i="5" s="1"/>
  <c r="AM92" i="5"/>
  <c r="AJ92" i="5"/>
  <c r="Q92" i="5"/>
  <c r="P92" i="5"/>
  <c r="N92" i="5"/>
  <c r="L92" i="5"/>
  <c r="H92" i="5"/>
  <c r="O92" i="5" s="1"/>
  <c r="D92" i="5"/>
  <c r="M92" i="5" s="1"/>
  <c r="AM91" i="5"/>
  <c r="AJ91" i="5"/>
  <c r="Q91" i="5"/>
  <c r="P91" i="5"/>
  <c r="N91" i="5"/>
  <c r="L91" i="5"/>
  <c r="H91" i="5"/>
  <c r="O91" i="5" s="1"/>
  <c r="D91" i="5"/>
  <c r="M91" i="5" s="1"/>
  <c r="AM90" i="5"/>
  <c r="AJ90" i="5"/>
  <c r="Q90" i="5"/>
  <c r="P90" i="5"/>
  <c r="N90" i="5"/>
  <c r="L90" i="5"/>
  <c r="H90" i="5"/>
  <c r="O90" i="5" s="1"/>
  <c r="D90" i="5"/>
  <c r="M90" i="5" s="1"/>
  <c r="AM89" i="5"/>
  <c r="AJ89" i="5"/>
  <c r="Q89" i="5"/>
  <c r="P89" i="5"/>
  <c r="N89" i="5"/>
  <c r="L89" i="5"/>
  <c r="H89" i="5"/>
  <c r="O89" i="5" s="1"/>
  <c r="D89" i="5"/>
  <c r="M89" i="5" s="1"/>
  <c r="AM88" i="5"/>
  <c r="AJ88" i="5"/>
  <c r="Q88" i="5"/>
  <c r="P88" i="5"/>
  <c r="N88" i="5"/>
  <c r="L88" i="5"/>
  <c r="H88" i="5"/>
  <c r="O88" i="5" s="1"/>
  <c r="D88" i="5"/>
  <c r="M88" i="5" s="1"/>
  <c r="AM87" i="5"/>
  <c r="AJ87" i="5"/>
  <c r="Q87" i="5"/>
  <c r="P87" i="5"/>
  <c r="N87" i="5"/>
  <c r="L87" i="5"/>
  <c r="H87" i="5"/>
  <c r="O87" i="5" s="1"/>
  <c r="D87" i="5"/>
  <c r="M87" i="5" s="1"/>
  <c r="AM86" i="5"/>
  <c r="AJ86" i="5"/>
  <c r="Q86" i="5"/>
  <c r="P86" i="5"/>
  <c r="N86" i="5"/>
  <c r="L86" i="5"/>
  <c r="H86" i="5"/>
  <c r="O86" i="5" s="1"/>
  <c r="D86" i="5"/>
  <c r="M86" i="5" s="1"/>
  <c r="AM85" i="5"/>
  <c r="AJ85" i="5"/>
  <c r="Q85" i="5"/>
  <c r="P85" i="5"/>
  <c r="N85" i="5"/>
  <c r="L85" i="5"/>
  <c r="H85" i="5"/>
  <c r="O85" i="5" s="1"/>
  <c r="D85" i="5"/>
  <c r="M85" i="5" s="1"/>
  <c r="AM84" i="5"/>
  <c r="AJ84" i="5"/>
  <c r="Q84" i="5"/>
  <c r="P84" i="5"/>
  <c r="N84" i="5"/>
  <c r="L84" i="5"/>
  <c r="H84" i="5"/>
  <c r="O84" i="5" s="1"/>
  <c r="D84" i="5"/>
  <c r="M84" i="5" s="1"/>
  <c r="AM83" i="5"/>
  <c r="AJ83" i="5"/>
  <c r="Q83" i="5"/>
  <c r="P83" i="5"/>
  <c r="N83" i="5"/>
  <c r="L83" i="5"/>
  <c r="H83" i="5"/>
  <c r="O83" i="5" s="1"/>
  <c r="D83" i="5"/>
  <c r="M83" i="5" s="1"/>
  <c r="AM82" i="5"/>
  <c r="AJ82" i="5"/>
  <c r="Q82" i="5"/>
  <c r="P82" i="5"/>
  <c r="N82" i="5"/>
  <c r="L82" i="5"/>
  <c r="H82" i="5"/>
  <c r="O82" i="5" s="1"/>
  <c r="D82" i="5"/>
  <c r="M82" i="5" s="1"/>
  <c r="AN81" i="5"/>
  <c r="AM81" i="5"/>
  <c r="AJ81" i="5"/>
  <c r="Q81" i="5"/>
  <c r="P81" i="5"/>
  <c r="N81" i="5"/>
  <c r="L81" i="5"/>
  <c r="H81" i="5"/>
  <c r="O81" i="5" s="1"/>
  <c r="D81" i="5"/>
  <c r="M81" i="5" s="1"/>
  <c r="AN80" i="5"/>
  <c r="AM80" i="5"/>
  <c r="AJ80" i="5"/>
  <c r="Q80" i="5"/>
  <c r="P80" i="5"/>
  <c r="N80" i="5"/>
  <c r="L80" i="5"/>
  <c r="H80" i="5"/>
  <c r="O80" i="5" s="1"/>
  <c r="D80" i="5"/>
  <c r="M80" i="5" s="1"/>
  <c r="AN79" i="5"/>
  <c r="AM79" i="5"/>
  <c r="AJ79" i="5"/>
  <c r="Q79" i="5"/>
  <c r="P79" i="5"/>
  <c r="N79" i="5"/>
  <c r="L79" i="5"/>
  <c r="H79" i="5"/>
  <c r="O79" i="5" s="1"/>
  <c r="D79" i="5"/>
  <c r="M79" i="5" s="1"/>
  <c r="AN78" i="5"/>
  <c r="AM78" i="5"/>
  <c r="AJ78" i="5"/>
  <c r="Q78" i="5"/>
  <c r="P78" i="5"/>
  <c r="N78" i="5"/>
  <c r="L78" i="5"/>
  <c r="H78" i="5"/>
  <c r="O78" i="5" s="1"/>
  <c r="D78" i="5"/>
  <c r="M78" i="5" s="1"/>
  <c r="AN77" i="5"/>
  <c r="AM77" i="5"/>
  <c r="AJ77" i="5"/>
  <c r="Q77" i="5"/>
  <c r="P77" i="5"/>
  <c r="N77" i="5"/>
  <c r="L77" i="5"/>
  <c r="H77" i="5"/>
  <c r="O77" i="5" s="1"/>
  <c r="D77" i="5"/>
  <c r="M77" i="5" s="1"/>
  <c r="AN76" i="5"/>
  <c r="AM76" i="5"/>
  <c r="AJ76" i="5"/>
  <c r="Q76" i="5"/>
  <c r="P76" i="5"/>
  <c r="N76" i="5"/>
  <c r="L76" i="5"/>
  <c r="H76" i="5"/>
  <c r="O76" i="5" s="1"/>
  <c r="D76" i="5"/>
  <c r="M76" i="5" s="1"/>
  <c r="AN75" i="5"/>
  <c r="AM75" i="5"/>
  <c r="AJ75" i="5"/>
  <c r="Q75" i="5"/>
  <c r="P75" i="5"/>
  <c r="N75" i="5"/>
  <c r="L75" i="5"/>
  <c r="H75" i="5"/>
  <c r="O75" i="5" s="1"/>
  <c r="D75" i="5"/>
  <c r="M75" i="5" s="1"/>
  <c r="AN74" i="5"/>
  <c r="AM74" i="5"/>
  <c r="AJ74" i="5"/>
  <c r="Q74" i="5"/>
  <c r="P74" i="5"/>
  <c r="N74" i="5"/>
  <c r="L74" i="5"/>
  <c r="H74" i="5"/>
  <c r="O74" i="5" s="1"/>
  <c r="D74" i="5"/>
  <c r="M74" i="5" s="1"/>
  <c r="AN73" i="5"/>
  <c r="AM73" i="5"/>
  <c r="AJ73" i="5"/>
  <c r="Q73" i="5"/>
  <c r="P73" i="5"/>
  <c r="N73" i="5"/>
  <c r="L73" i="5"/>
  <c r="H73" i="5"/>
  <c r="O73" i="5" s="1"/>
  <c r="D73" i="5"/>
  <c r="M73" i="5" s="1"/>
  <c r="AN72" i="5"/>
  <c r="AM72" i="5"/>
  <c r="AJ72" i="5"/>
  <c r="Q72" i="5"/>
  <c r="P72" i="5"/>
  <c r="N72" i="5"/>
  <c r="L72" i="5"/>
  <c r="H72" i="5"/>
  <c r="O72" i="5" s="1"/>
  <c r="D72" i="5"/>
  <c r="M72" i="5" s="1"/>
  <c r="AN71" i="5"/>
  <c r="AM71" i="5"/>
  <c r="AJ71" i="5"/>
  <c r="Q71" i="5"/>
  <c r="P71" i="5"/>
  <c r="N71" i="5"/>
  <c r="L71" i="5"/>
  <c r="H71" i="5"/>
  <c r="O71" i="5" s="1"/>
  <c r="D71" i="5"/>
  <c r="M71" i="5" s="1"/>
  <c r="AN70" i="5"/>
  <c r="AM70" i="5"/>
  <c r="AJ70" i="5"/>
  <c r="Q70" i="5"/>
  <c r="P70" i="5"/>
  <c r="N70" i="5"/>
  <c r="L70" i="5"/>
  <c r="H70" i="5"/>
  <c r="O70" i="5" s="1"/>
  <c r="D70" i="5"/>
  <c r="M70" i="5" s="1"/>
  <c r="AN69" i="5"/>
  <c r="AM69" i="5"/>
  <c r="AJ69" i="5"/>
  <c r="Q69" i="5"/>
  <c r="P69" i="5"/>
  <c r="N69" i="5"/>
  <c r="L69" i="5"/>
  <c r="H69" i="5"/>
  <c r="O69" i="5" s="1"/>
  <c r="D69" i="5"/>
  <c r="M69" i="5" s="1"/>
  <c r="AN68" i="5"/>
  <c r="AM68" i="5"/>
  <c r="AJ68" i="5"/>
  <c r="Q68" i="5"/>
  <c r="P68" i="5"/>
  <c r="N68" i="5"/>
  <c r="L68" i="5"/>
  <c r="H68" i="5"/>
  <c r="O68" i="5" s="1"/>
  <c r="D68" i="5"/>
  <c r="M68" i="5" s="1"/>
  <c r="AN67" i="5"/>
  <c r="AM67" i="5"/>
  <c r="AJ67" i="5"/>
  <c r="Q67" i="5"/>
  <c r="P67" i="5"/>
  <c r="N67" i="5"/>
  <c r="L67" i="5"/>
  <c r="H67" i="5"/>
  <c r="O67" i="5" s="1"/>
  <c r="D67" i="5"/>
  <c r="M67" i="5" s="1"/>
  <c r="AN66" i="5"/>
  <c r="AM66" i="5"/>
  <c r="AJ66" i="5"/>
  <c r="Q66" i="5"/>
  <c r="P66" i="5"/>
  <c r="N66" i="5"/>
  <c r="L66" i="5"/>
  <c r="H66" i="5"/>
  <c r="O66" i="5" s="1"/>
  <c r="D66" i="5"/>
  <c r="M66" i="5" s="1"/>
  <c r="AN65" i="5"/>
  <c r="AM65" i="5"/>
  <c r="AJ65" i="5"/>
  <c r="Q65" i="5"/>
  <c r="P65" i="5"/>
  <c r="N65" i="5"/>
  <c r="L65" i="5"/>
  <c r="H65" i="5"/>
  <c r="O65" i="5" s="1"/>
  <c r="D65" i="5"/>
  <c r="M65" i="5" s="1"/>
  <c r="AN64" i="5"/>
  <c r="AM64" i="5"/>
  <c r="AJ64" i="5"/>
  <c r="Q64" i="5"/>
  <c r="P64" i="5"/>
  <c r="N64" i="5"/>
  <c r="L64" i="5"/>
  <c r="H64" i="5"/>
  <c r="O64" i="5" s="1"/>
  <c r="D64" i="5"/>
  <c r="M64" i="5" s="1"/>
  <c r="AN63" i="5"/>
  <c r="AM63" i="5"/>
  <c r="AJ63" i="5"/>
  <c r="Q63" i="5"/>
  <c r="P63" i="5"/>
  <c r="N63" i="5"/>
  <c r="L63" i="5"/>
  <c r="H63" i="5"/>
  <c r="O63" i="5" s="1"/>
  <c r="D63" i="5"/>
  <c r="M63" i="5" s="1"/>
  <c r="AN62" i="5"/>
  <c r="AM62" i="5"/>
  <c r="AJ62" i="5"/>
  <c r="Q62" i="5"/>
  <c r="P62" i="5"/>
  <c r="N62" i="5"/>
  <c r="L62" i="5"/>
  <c r="H62" i="5"/>
  <c r="O62" i="5" s="1"/>
  <c r="D62" i="5"/>
  <c r="M62" i="5" s="1"/>
  <c r="AN61" i="5"/>
  <c r="AM61" i="5"/>
  <c r="AJ61" i="5"/>
  <c r="Q61" i="5"/>
  <c r="P61" i="5"/>
  <c r="N61" i="5"/>
  <c r="L61" i="5"/>
  <c r="H61" i="5"/>
  <c r="O61" i="5" s="1"/>
  <c r="D61" i="5"/>
  <c r="M61" i="5" s="1"/>
  <c r="AN60" i="5"/>
  <c r="AM60" i="5"/>
  <c r="AJ60" i="5"/>
  <c r="Q60" i="5"/>
  <c r="P60" i="5"/>
  <c r="N60" i="5"/>
  <c r="L60" i="5"/>
  <c r="H60" i="5"/>
  <c r="O60" i="5" s="1"/>
  <c r="D60" i="5"/>
  <c r="M60" i="5" s="1"/>
  <c r="AN59" i="5"/>
  <c r="AM59" i="5"/>
  <c r="AJ59" i="5"/>
  <c r="Q59" i="5"/>
  <c r="P59" i="5"/>
  <c r="N59" i="5"/>
  <c r="L59" i="5"/>
  <c r="H59" i="5"/>
  <c r="O59" i="5" s="1"/>
  <c r="D59" i="5"/>
  <c r="M59" i="5" s="1"/>
  <c r="AN58" i="5"/>
  <c r="AM58" i="5"/>
  <c r="AJ58" i="5"/>
  <c r="Q58" i="5"/>
  <c r="P58" i="5"/>
  <c r="N58" i="5"/>
  <c r="L58" i="5"/>
  <c r="H58" i="5"/>
  <c r="O58" i="5" s="1"/>
  <c r="D58" i="5"/>
  <c r="M58" i="5" s="1"/>
  <c r="AN57" i="5"/>
  <c r="AM57" i="5"/>
  <c r="AJ57" i="5"/>
  <c r="Q57" i="5"/>
  <c r="P57" i="5"/>
  <c r="N57" i="5"/>
  <c r="L57" i="5"/>
  <c r="H57" i="5"/>
  <c r="O57" i="5" s="1"/>
  <c r="D57" i="5"/>
  <c r="M57" i="5" s="1"/>
  <c r="AN56" i="5"/>
  <c r="AM56" i="5"/>
  <c r="AJ56" i="5"/>
  <c r="Q56" i="5"/>
  <c r="P56" i="5"/>
  <c r="N56" i="5"/>
  <c r="L56" i="5"/>
  <c r="H56" i="5"/>
  <c r="O56" i="5" s="1"/>
  <c r="D56" i="5"/>
  <c r="M56" i="5" s="1"/>
  <c r="AN55" i="5"/>
  <c r="AM55" i="5"/>
  <c r="AJ55" i="5"/>
  <c r="Q55" i="5"/>
  <c r="P55" i="5"/>
  <c r="N55" i="5"/>
  <c r="L55" i="5"/>
  <c r="H55" i="5"/>
  <c r="O55" i="5" s="1"/>
  <c r="D55" i="5"/>
  <c r="M55" i="5" s="1"/>
  <c r="AN54" i="5"/>
  <c r="AM54" i="5"/>
  <c r="AJ54" i="5"/>
  <c r="Q54" i="5"/>
  <c r="P54" i="5"/>
  <c r="N54" i="5"/>
  <c r="L54" i="5"/>
  <c r="H54" i="5"/>
  <c r="O54" i="5" s="1"/>
  <c r="D54" i="5"/>
  <c r="M54" i="5" s="1"/>
  <c r="AN53" i="5"/>
  <c r="AM53" i="5"/>
  <c r="AJ53" i="5"/>
  <c r="Q53" i="5"/>
  <c r="P53" i="5"/>
  <c r="N53" i="5"/>
  <c r="L53" i="5"/>
  <c r="H53" i="5"/>
  <c r="O53" i="5" s="1"/>
  <c r="D53" i="5"/>
  <c r="M53" i="5" s="1"/>
  <c r="AN52" i="5"/>
  <c r="AM52" i="5"/>
  <c r="AJ52" i="5"/>
  <c r="Q52" i="5"/>
  <c r="P52" i="5"/>
  <c r="N52" i="5"/>
  <c r="L52" i="5"/>
  <c r="H52" i="5"/>
  <c r="O52" i="5" s="1"/>
  <c r="D52" i="5"/>
  <c r="M52" i="5" s="1"/>
  <c r="AN51" i="5"/>
  <c r="AM51" i="5"/>
  <c r="AJ51" i="5"/>
  <c r="Q51" i="5"/>
  <c r="P51" i="5"/>
  <c r="N51" i="5"/>
  <c r="L51" i="5"/>
  <c r="H51" i="5"/>
  <c r="O51" i="5" s="1"/>
  <c r="D51" i="5"/>
  <c r="M51" i="5" s="1"/>
  <c r="AN50" i="5"/>
  <c r="AM50" i="5"/>
  <c r="AJ50" i="5"/>
  <c r="Q50" i="5"/>
  <c r="P50" i="5"/>
  <c r="N50" i="5"/>
  <c r="L50" i="5"/>
  <c r="H50" i="5"/>
  <c r="O50" i="5" s="1"/>
  <c r="D50" i="5"/>
  <c r="M50" i="5" s="1"/>
  <c r="AN49" i="5"/>
  <c r="AM49" i="5"/>
  <c r="AJ49" i="5"/>
  <c r="Q49" i="5"/>
  <c r="P49" i="5"/>
  <c r="N49" i="5"/>
  <c r="L49" i="5"/>
  <c r="H49" i="5"/>
  <c r="O49" i="5" s="1"/>
  <c r="D49" i="5"/>
  <c r="M49" i="5" s="1"/>
  <c r="AN48" i="5"/>
  <c r="AM48" i="5"/>
  <c r="AJ48" i="5"/>
  <c r="Q48" i="5"/>
  <c r="P48" i="5"/>
  <c r="N48" i="5"/>
  <c r="L48" i="5"/>
  <c r="H48" i="5"/>
  <c r="O48" i="5" s="1"/>
  <c r="D48" i="5"/>
  <c r="M48" i="5" s="1"/>
  <c r="AN47" i="5"/>
  <c r="AM47" i="5"/>
  <c r="AJ47" i="5"/>
  <c r="Q47" i="5"/>
  <c r="P47" i="5"/>
  <c r="N47" i="5"/>
  <c r="L47" i="5"/>
  <c r="H47" i="5"/>
  <c r="O47" i="5" s="1"/>
  <c r="D47" i="5"/>
  <c r="M47" i="5" s="1"/>
  <c r="AN46" i="5"/>
  <c r="AM46" i="5"/>
  <c r="AJ46" i="5"/>
  <c r="Q46" i="5"/>
  <c r="P46" i="5"/>
  <c r="N46" i="5"/>
  <c r="L46" i="5"/>
  <c r="H46" i="5"/>
  <c r="O46" i="5" s="1"/>
  <c r="D46" i="5"/>
  <c r="M46" i="5" s="1"/>
  <c r="AN45" i="5"/>
  <c r="AM45" i="5"/>
  <c r="AJ45" i="5"/>
  <c r="Q45" i="5"/>
  <c r="P45" i="5"/>
  <c r="N45" i="5"/>
  <c r="L45" i="5"/>
  <c r="H45" i="5"/>
  <c r="O45" i="5" s="1"/>
  <c r="D45" i="5"/>
  <c r="M45" i="5" s="1"/>
  <c r="AN44" i="5"/>
  <c r="AM44" i="5"/>
  <c r="AJ44" i="5"/>
  <c r="Q44" i="5"/>
  <c r="P44" i="5"/>
  <c r="N44" i="5"/>
  <c r="L44" i="5"/>
  <c r="H44" i="5"/>
  <c r="O44" i="5" s="1"/>
  <c r="D44" i="5"/>
  <c r="M44" i="5" s="1"/>
  <c r="AN43" i="5"/>
  <c r="AM43" i="5"/>
  <c r="AJ43" i="5"/>
  <c r="Q43" i="5"/>
  <c r="P43" i="5"/>
  <c r="N43" i="5"/>
  <c r="L43" i="5"/>
  <c r="H43" i="5"/>
  <c r="O43" i="5" s="1"/>
  <c r="D43" i="5"/>
  <c r="M43" i="5" s="1"/>
  <c r="AN42" i="5"/>
  <c r="AM42" i="5"/>
  <c r="AJ42" i="5"/>
  <c r="Q42" i="5"/>
  <c r="P42" i="5"/>
  <c r="N42" i="5"/>
  <c r="L42" i="5"/>
  <c r="H42" i="5"/>
  <c r="O42" i="5" s="1"/>
  <c r="D42" i="5"/>
  <c r="M42" i="5" s="1"/>
  <c r="AN41" i="5"/>
  <c r="AM41" i="5"/>
  <c r="AJ41" i="5"/>
  <c r="Q41" i="5"/>
  <c r="P41" i="5"/>
  <c r="N41" i="5"/>
  <c r="L41" i="5"/>
  <c r="H41" i="5"/>
  <c r="O41" i="5" s="1"/>
  <c r="D41" i="5"/>
  <c r="M41" i="5" s="1"/>
  <c r="AN40" i="5"/>
  <c r="AM40" i="5"/>
  <c r="AJ40" i="5"/>
  <c r="Q40" i="5"/>
  <c r="P40" i="5"/>
  <c r="N40" i="5"/>
  <c r="L40" i="5"/>
  <c r="H40" i="5"/>
  <c r="O40" i="5" s="1"/>
  <c r="D40" i="5"/>
  <c r="M40" i="5" s="1"/>
  <c r="AN39" i="5"/>
  <c r="AM39" i="5"/>
  <c r="AJ39" i="5"/>
  <c r="Q39" i="5"/>
  <c r="P39" i="5"/>
  <c r="N39" i="5"/>
  <c r="L39" i="5"/>
  <c r="H39" i="5"/>
  <c r="O39" i="5" s="1"/>
  <c r="D39" i="5"/>
  <c r="M39" i="5" s="1"/>
  <c r="AN38" i="5"/>
  <c r="AM38" i="5"/>
  <c r="AJ38" i="5"/>
  <c r="Q38" i="5"/>
  <c r="P38" i="5"/>
  <c r="N38" i="5"/>
  <c r="L38" i="5"/>
  <c r="H38" i="5"/>
  <c r="O38" i="5" s="1"/>
  <c r="D38" i="5"/>
  <c r="M38" i="5" s="1"/>
  <c r="AN37" i="5"/>
  <c r="AM37" i="5"/>
  <c r="AJ37" i="5"/>
  <c r="Q37" i="5"/>
  <c r="P37" i="5"/>
  <c r="N37" i="5"/>
  <c r="L37" i="5"/>
  <c r="H37" i="5"/>
  <c r="O37" i="5" s="1"/>
  <c r="D37" i="5"/>
  <c r="M37" i="5" s="1"/>
  <c r="AN36" i="5"/>
  <c r="AM36" i="5"/>
  <c r="AJ36" i="5"/>
  <c r="Q36" i="5"/>
  <c r="P36" i="5"/>
  <c r="N36" i="5"/>
  <c r="L36" i="5"/>
  <c r="H36" i="5"/>
  <c r="O36" i="5" s="1"/>
  <c r="D36" i="5"/>
  <c r="M36" i="5" s="1"/>
  <c r="AN35" i="5"/>
  <c r="AM35" i="5"/>
  <c r="AJ35" i="5"/>
  <c r="Q35" i="5"/>
  <c r="P35" i="5"/>
  <c r="N35" i="5"/>
  <c r="L35" i="5"/>
  <c r="H35" i="5"/>
  <c r="O35" i="5" s="1"/>
  <c r="D35" i="5"/>
  <c r="M35" i="5" s="1"/>
  <c r="AN34" i="5"/>
  <c r="AM34" i="5"/>
  <c r="AJ34" i="5"/>
  <c r="Q34" i="5"/>
  <c r="P34" i="5"/>
  <c r="N34" i="5"/>
  <c r="L34" i="5"/>
  <c r="H34" i="5"/>
  <c r="O34" i="5" s="1"/>
  <c r="D34" i="5"/>
  <c r="M34" i="5" s="1"/>
  <c r="AN33" i="5"/>
  <c r="AM33" i="5"/>
  <c r="AJ33" i="5"/>
  <c r="Q33" i="5"/>
  <c r="P33" i="5"/>
  <c r="N33" i="5"/>
  <c r="L33" i="5"/>
  <c r="H33" i="5"/>
  <c r="O33" i="5" s="1"/>
  <c r="D33" i="5"/>
  <c r="M33" i="5" s="1"/>
  <c r="AN32" i="5"/>
  <c r="AM32" i="5"/>
  <c r="AJ32" i="5"/>
  <c r="Q32" i="5"/>
  <c r="P32" i="5"/>
  <c r="N32" i="5"/>
  <c r="L32" i="5"/>
  <c r="H32" i="5"/>
  <c r="O32" i="5" s="1"/>
  <c r="D32" i="5"/>
  <c r="M32" i="5" s="1"/>
  <c r="AN31" i="5"/>
  <c r="AM31" i="5"/>
  <c r="AJ31" i="5"/>
  <c r="Q31" i="5"/>
  <c r="P31" i="5"/>
  <c r="N31" i="5"/>
  <c r="L31" i="5"/>
  <c r="H31" i="5"/>
  <c r="O31" i="5" s="1"/>
  <c r="D31" i="5"/>
  <c r="M31" i="5" s="1"/>
  <c r="AN30" i="5"/>
  <c r="AM30" i="5"/>
  <c r="AJ30" i="5"/>
  <c r="Q30" i="5"/>
  <c r="P30" i="5"/>
  <c r="N30" i="5"/>
  <c r="L30" i="5"/>
  <c r="H30" i="5"/>
  <c r="O30" i="5" s="1"/>
  <c r="D30" i="5"/>
  <c r="M30" i="5" s="1"/>
  <c r="AN29" i="5"/>
  <c r="AM29" i="5"/>
  <c r="AJ29" i="5"/>
  <c r="Q29" i="5"/>
  <c r="P29" i="5"/>
  <c r="N29" i="5"/>
  <c r="L29" i="5"/>
  <c r="H29" i="5"/>
  <c r="O29" i="5" s="1"/>
  <c r="D29" i="5"/>
  <c r="M29" i="5" s="1"/>
  <c r="AN28" i="5"/>
  <c r="AM28" i="5"/>
  <c r="AJ28" i="5"/>
  <c r="Q28" i="5"/>
  <c r="P28" i="5"/>
  <c r="N28" i="5"/>
  <c r="L28" i="5"/>
  <c r="H28" i="5"/>
  <c r="O28" i="5" s="1"/>
  <c r="D28" i="5"/>
  <c r="M28" i="5" s="1"/>
  <c r="AN27" i="5"/>
  <c r="AM27" i="5"/>
  <c r="AJ27" i="5"/>
  <c r="Q27" i="5"/>
  <c r="P27" i="5"/>
  <c r="N27" i="5"/>
  <c r="L27" i="5"/>
  <c r="H27" i="5"/>
  <c r="O27" i="5" s="1"/>
  <c r="D27" i="5"/>
  <c r="M27" i="5" s="1"/>
  <c r="AN26" i="5"/>
  <c r="AM26" i="5"/>
  <c r="AJ26" i="5"/>
  <c r="Q26" i="5"/>
  <c r="P26" i="5"/>
  <c r="N26" i="5"/>
  <c r="L26" i="5"/>
  <c r="H26" i="5"/>
  <c r="O26" i="5" s="1"/>
  <c r="D26" i="5"/>
  <c r="M26" i="5" s="1"/>
  <c r="AN25" i="5"/>
  <c r="AM25" i="5"/>
  <c r="AJ25" i="5"/>
  <c r="Q25" i="5"/>
  <c r="P25" i="5"/>
  <c r="N25" i="5"/>
  <c r="L25" i="5"/>
  <c r="H25" i="5"/>
  <c r="O25" i="5" s="1"/>
  <c r="D25" i="5"/>
  <c r="M25" i="5" s="1"/>
  <c r="AN24" i="5"/>
  <c r="AM24" i="5"/>
  <c r="AJ24" i="5"/>
  <c r="Q24" i="5"/>
  <c r="P24" i="5"/>
  <c r="N24" i="5"/>
  <c r="L24" i="5"/>
  <c r="H24" i="5"/>
  <c r="O24" i="5" s="1"/>
  <c r="D24" i="5"/>
  <c r="M24" i="5" s="1"/>
  <c r="AN23" i="5"/>
  <c r="AM23" i="5"/>
  <c r="AJ23" i="5"/>
  <c r="Q23" i="5"/>
  <c r="P23" i="5"/>
  <c r="N23" i="5"/>
  <c r="L23" i="5"/>
  <c r="H23" i="5"/>
  <c r="O23" i="5" s="1"/>
  <c r="D23" i="5"/>
  <c r="M23" i="5" s="1"/>
  <c r="AN22" i="5"/>
  <c r="AM22" i="5"/>
  <c r="AJ22" i="5"/>
  <c r="Q22" i="5"/>
  <c r="P22" i="5"/>
  <c r="N22" i="5"/>
  <c r="L22" i="5"/>
  <c r="H22" i="5"/>
  <c r="O22" i="5" s="1"/>
  <c r="D22" i="5"/>
  <c r="M22" i="5" s="1"/>
  <c r="AN21" i="5"/>
  <c r="AM21" i="5"/>
  <c r="AJ21" i="5"/>
  <c r="Q21" i="5"/>
  <c r="P21" i="5"/>
  <c r="N21" i="5"/>
  <c r="L21" i="5"/>
  <c r="H21" i="5"/>
  <c r="O21" i="5" s="1"/>
  <c r="D21" i="5"/>
  <c r="M21" i="5" s="1"/>
  <c r="AN20" i="5"/>
  <c r="AM20" i="5"/>
  <c r="AJ20" i="5"/>
  <c r="Q20" i="5"/>
  <c r="P20" i="5"/>
  <c r="N20" i="5"/>
  <c r="L20" i="5"/>
  <c r="H20" i="5"/>
  <c r="O20" i="5" s="1"/>
  <c r="D20" i="5"/>
  <c r="M20" i="5" s="1"/>
  <c r="AN19" i="5"/>
  <c r="AM19" i="5"/>
  <c r="AJ19" i="5"/>
  <c r="Q19" i="5"/>
  <c r="P19" i="5"/>
  <c r="N19" i="5"/>
  <c r="L19" i="5"/>
  <c r="H19" i="5"/>
  <c r="O19" i="5" s="1"/>
  <c r="D19" i="5"/>
  <c r="M19" i="5" s="1"/>
  <c r="AN18" i="5"/>
  <c r="AM18" i="5"/>
  <c r="AJ18" i="5"/>
  <c r="Q18" i="5"/>
  <c r="P18" i="5"/>
  <c r="N18" i="5"/>
  <c r="L18" i="5"/>
  <c r="H18" i="5"/>
  <c r="O18" i="5" s="1"/>
  <c r="D18" i="5"/>
  <c r="M18" i="5" s="1"/>
  <c r="AN17" i="5"/>
  <c r="AM17" i="5"/>
  <c r="AJ17" i="5"/>
  <c r="Q17" i="5"/>
  <c r="P17" i="5"/>
  <c r="N17" i="5"/>
  <c r="L17" i="5"/>
  <c r="H17" i="5"/>
  <c r="O17" i="5" s="1"/>
  <c r="D17" i="5"/>
  <c r="M17" i="5" s="1"/>
  <c r="AN16" i="5"/>
  <c r="AM16" i="5"/>
  <c r="AJ16" i="5"/>
  <c r="Q16" i="5"/>
  <c r="P16" i="5"/>
  <c r="N16" i="5"/>
  <c r="L16" i="5"/>
  <c r="H16" i="5"/>
  <c r="O16" i="5" s="1"/>
  <c r="D16" i="5"/>
  <c r="M16" i="5" s="1"/>
  <c r="AN15" i="5"/>
  <c r="AM15" i="5"/>
  <c r="AJ15" i="5"/>
  <c r="Q15" i="5"/>
  <c r="P15" i="5"/>
  <c r="N15" i="5"/>
  <c r="L15" i="5"/>
  <c r="H15" i="5"/>
  <c r="O15" i="5" s="1"/>
  <c r="D15" i="5"/>
  <c r="M15" i="5" s="1"/>
  <c r="AN14" i="5"/>
  <c r="AM14" i="5"/>
  <c r="AJ14" i="5"/>
  <c r="Q14" i="5"/>
  <c r="P14" i="5"/>
  <c r="N14" i="5"/>
  <c r="L14" i="5"/>
  <c r="H14" i="5"/>
  <c r="O14" i="5" s="1"/>
  <c r="D14" i="5"/>
  <c r="M14" i="5" s="1"/>
  <c r="AN13" i="5"/>
  <c r="AM13" i="5"/>
  <c r="AJ13" i="5"/>
  <c r="Q13" i="5"/>
  <c r="P13" i="5"/>
  <c r="N13" i="5"/>
  <c r="L13" i="5"/>
  <c r="H13" i="5"/>
  <c r="O13" i="5" s="1"/>
  <c r="D13" i="5"/>
  <c r="M13" i="5" s="1"/>
  <c r="AN12" i="5"/>
  <c r="AM12" i="5"/>
  <c r="AJ12" i="5"/>
  <c r="Q12" i="5"/>
  <c r="P12" i="5"/>
  <c r="N12" i="5"/>
  <c r="L12" i="5"/>
  <c r="H12" i="5"/>
  <c r="O12" i="5" s="1"/>
  <c r="D12" i="5"/>
  <c r="M12" i="5" s="1"/>
  <c r="AN11" i="5"/>
  <c r="AM11" i="5"/>
  <c r="AJ11" i="5"/>
  <c r="Q11" i="5"/>
  <c r="P11" i="5"/>
  <c r="N11" i="5"/>
  <c r="L11" i="5"/>
  <c r="H11" i="5"/>
  <c r="O11" i="5" s="1"/>
  <c r="D11" i="5"/>
  <c r="M11" i="5" s="1"/>
  <c r="AN10" i="5"/>
  <c r="AM10" i="5"/>
  <c r="AJ10" i="5"/>
  <c r="Q10" i="5"/>
  <c r="P10" i="5"/>
  <c r="N10" i="5"/>
  <c r="L10" i="5"/>
  <c r="H10" i="5"/>
  <c r="O10" i="5" s="1"/>
  <c r="D10" i="5"/>
  <c r="M10" i="5" s="1"/>
  <c r="AN9" i="5"/>
  <c r="AM9" i="5"/>
  <c r="AJ9" i="5"/>
  <c r="Q9" i="5"/>
  <c r="P9" i="5"/>
  <c r="N9" i="5"/>
  <c r="L9" i="5"/>
  <c r="H9" i="5"/>
  <c r="O9" i="5" s="1"/>
  <c r="D9" i="5"/>
  <c r="M9" i="5" s="1"/>
  <c r="AN8" i="5"/>
  <c r="AM8" i="5"/>
  <c r="AJ8" i="5"/>
  <c r="Q8" i="5"/>
  <c r="P8" i="5"/>
  <c r="N8" i="5"/>
  <c r="L8" i="5"/>
  <c r="H8" i="5"/>
  <c r="O8" i="5" s="1"/>
  <c r="D8" i="5"/>
  <c r="M8" i="5" s="1"/>
  <c r="AN7" i="5"/>
  <c r="AM7" i="5"/>
  <c r="AJ7" i="5"/>
  <c r="Q7" i="5"/>
  <c r="P7" i="5"/>
  <c r="N7" i="5"/>
  <c r="L7" i="5"/>
  <c r="H7" i="5"/>
  <c r="O7" i="5" s="1"/>
  <c r="D7" i="5"/>
  <c r="M7" i="5" s="1"/>
  <c r="AN6" i="5"/>
  <c r="AM6" i="5"/>
  <c r="AJ6" i="5"/>
  <c r="Q6" i="5"/>
  <c r="P6" i="5"/>
  <c r="N6" i="5"/>
  <c r="L6" i="5"/>
  <c r="H6" i="5"/>
  <c r="O6" i="5" s="1"/>
  <c r="D6" i="5"/>
  <c r="M6" i="5" s="1"/>
  <c r="AN5" i="5"/>
  <c r="AM5" i="5"/>
  <c r="AJ5" i="5"/>
  <c r="Q5" i="5"/>
  <c r="P5" i="5"/>
  <c r="N5" i="5"/>
  <c r="L5" i="5"/>
  <c r="H5" i="5"/>
  <c r="O5" i="5" s="1"/>
  <c r="D5" i="5"/>
  <c r="M5" i="5" s="1"/>
  <c r="Q8" i="2" l="1"/>
  <c r="Q10" i="2"/>
  <c r="Q12" i="2"/>
  <c r="Q14" i="2"/>
  <c r="O6" i="2"/>
  <c r="O10" i="2"/>
  <c r="O14" i="2"/>
  <c r="N7" i="2"/>
  <c r="N11" i="2"/>
  <c r="R8" i="2"/>
  <c r="R10" i="2"/>
  <c r="R12" i="2"/>
  <c r="R14" i="2"/>
  <c r="O7" i="2"/>
  <c r="O11" i="2"/>
  <c r="N4" i="2"/>
  <c r="N8" i="2"/>
  <c r="N12" i="2"/>
  <c r="Q9" i="2"/>
  <c r="Q11" i="2"/>
  <c r="Q13" i="2"/>
  <c r="O4" i="2"/>
  <c r="O8" i="2"/>
  <c r="O12" i="2"/>
  <c r="N5" i="2"/>
  <c r="N9" i="2"/>
  <c r="N13" i="2"/>
  <c r="R9" i="2"/>
  <c r="R11" i="2"/>
  <c r="R13" i="2"/>
  <c r="O5" i="2"/>
  <c r="O9" i="2"/>
  <c r="O13" i="2"/>
  <c r="N6" i="2"/>
  <c r="P6" i="2" s="1"/>
  <c r="N10" i="2"/>
  <c r="P10" i="2" s="1"/>
  <c r="N14" i="2"/>
  <c r="P14" i="2" s="1"/>
  <c r="K3" i="2"/>
  <c r="O3" i="2"/>
  <c r="N3" i="2"/>
  <c r="N15" i="2" s="1"/>
  <c r="R7" i="2"/>
  <c r="Q7" i="2"/>
  <c r="S7" i="2" s="1"/>
  <c r="R4" i="2"/>
  <c r="Q6" i="2"/>
  <c r="R5" i="2"/>
  <c r="R6" i="2"/>
  <c r="Q5" i="2"/>
  <c r="Q4" i="2"/>
  <c r="S4" i="2" s="1"/>
  <c r="Q3" i="2"/>
  <c r="R3" i="2"/>
  <c r="R15" i="2" s="1"/>
  <c r="P3" i="2"/>
  <c r="O15" i="2"/>
  <c r="H8" i="2"/>
  <c r="H10" i="2"/>
  <c r="H12" i="2"/>
  <c r="H14" i="2"/>
  <c r="K5" i="2"/>
  <c r="K7" i="2"/>
  <c r="K9" i="2"/>
  <c r="K11" i="2"/>
  <c r="K13" i="2"/>
  <c r="L3" i="2"/>
  <c r="E9" i="2"/>
  <c r="E11" i="2"/>
  <c r="E13" i="2"/>
  <c r="B3" i="2"/>
  <c r="C5" i="2"/>
  <c r="C7" i="2"/>
  <c r="C9" i="2"/>
  <c r="C11" i="2"/>
  <c r="C13" i="2"/>
  <c r="I8" i="2"/>
  <c r="I10" i="2"/>
  <c r="I12" i="2"/>
  <c r="I14" i="2"/>
  <c r="L5" i="2"/>
  <c r="L7" i="2"/>
  <c r="L9" i="2"/>
  <c r="L11" i="2"/>
  <c r="L13" i="2"/>
  <c r="F9" i="2"/>
  <c r="F11" i="2"/>
  <c r="F13" i="2"/>
  <c r="B4" i="2"/>
  <c r="B6" i="2"/>
  <c r="B8" i="2"/>
  <c r="B10" i="2"/>
  <c r="B12" i="2"/>
  <c r="B14" i="2"/>
  <c r="C14" i="2"/>
  <c r="H9" i="2"/>
  <c r="H11" i="2"/>
  <c r="H13" i="2"/>
  <c r="K4" i="2"/>
  <c r="K6" i="2"/>
  <c r="K8" i="2"/>
  <c r="K10" i="2"/>
  <c r="K12" i="2"/>
  <c r="K14" i="2"/>
  <c r="E8" i="2"/>
  <c r="E10" i="2"/>
  <c r="E12" i="2"/>
  <c r="E14" i="2"/>
  <c r="C4" i="2"/>
  <c r="C6" i="2"/>
  <c r="C8" i="2"/>
  <c r="C10" i="2"/>
  <c r="C12" i="2"/>
  <c r="D12" i="2" s="1"/>
  <c r="I9" i="2"/>
  <c r="I11" i="2"/>
  <c r="I13" i="2"/>
  <c r="L4" i="2"/>
  <c r="L6" i="2"/>
  <c r="L8" i="2"/>
  <c r="L10" i="2"/>
  <c r="L12" i="2"/>
  <c r="L14" i="2"/>
  <c r="F8" i="2"/>
  <c r="G8" i="2" s="1"/>
  <c r="F10" i="2"/>
  <c r="F12" i="2"/>
  <c r="F14" i="2"/>
  <c r="B5" i="2"/>
  <c r="D5" i="2" s="1"/>
  <c r="B7" i="2"/>
  <c r="D7" i="2" s="1"/>
  <c r="B9" i="2"/>
  <c r="D9" i="2" s="1"/>
  <c r="B11" i="2"/>
  <c r="D11" i="2" s="1"/>
  <c r="B13" i="2"/>
  <c r="D13" i="2" s="1"/>
  <c r="C3" i="2"/>
  <c r="J14" i="2"/>
  <c r="J13" i="2"/>
  <c r="J12" i="2"/>
  <c r="G12" i="2"/>
  <c r="R882" i="5"/>
  <c r="R956" i="5"/>
  <c r="AH956" i="5" s="1"/>
  <c r="R957" i="5"/>
  <c r="AH957" i="5" s="1"/>
  <c r="R964" i="5"/>
  <c r="AH964" i="5" s="1"/>
  <c r="R965" i="5"/>
  <c r="AH965" i="5" s="1"/>
  <c r="R972" i="5"/>
  <c r="R973" i="5"/>
  <c r="AH973" i="5" s="1"/>
  <c r="R996" i="5"/>
  <c r="AH996" i="5" s="1"/>
  <c r="R1012" i="5"/>
  <c r="R1015" i="5"/>
  <c r="R1049" i="5"/>
  <c r="AH1049" i="5" s="1"/>
  <c r="R1057" i="5"/>
  <c r="AH1057" i="5" s="1"/>
  <c r="R1064" i="5"/>
  <c r="AH1064" i="5" s="1"/>
  <c r="R1079" i="5"/>
  <c r="R1083" i="5"/>
  <c r="R1084" i="5"/>
  <c r="AH1084" i="5" s="1"/>
  <c r="R1087" i="5"/>
  <c r="AH1087" i="5" s="1"/>
  <c r="R1091" i="5"/>
  <c r="AH1091" i="5" s="1"/>
  <c r="R1092" i="5"/>
  <c r="AH1092" i="5" s="1"/>
  <c r="R1095" i="5"/>
  <c r="R1099" i="5"/>
  <c r="R1100" i="5"/>
  <c r="R1103" i="5"/>
  <c r="R1107" i="5"/>
  <c r="R1108" i="5"/>
  <c r="R1111" i="5"/>
  <c r="R1115" i="5"/>
  <c r="R1116" i="5"/>
  <c r="AH1116" i="5" s="1"/>
  <c r="R1119" i="5"/>
  <c r="R1123" i="5"/>
  <c r="R1124" i="5"/>
  <c r="R1127" i="5"/>
  <c r="R1131" i="5"/>
  <c r="AH1131" i="5" s="1"/>
  <c r="R1135" i="5"/>
  <c r="R1185" i="5"/>
  <c r="R1203" i="5"/>
  <c r="R1210" i="5"/>
  <c r="AH1210" i="5" s="1"/>
  <c r="R1211" i="5"/>
  <c r="AH1211" i="5" s="1"/>
  <c r="R1218" i="5"/>
  <c r="AH1218" i="5" s="1"/>
  <c r="R1219" i="5"/>
  <c r="R1226" i="5"/>
  <c r="R1227" i="5"/>
  <c r="AH1227" i="5" s="1"/>
  <c r="R1234" i="5"/>
  <c r="AH1234" i="5" s="1"/>
  <c r="R1235" i="5"/>
  <c r="AH1235" i="5" s="1"/>
  <c r="R1242" i="5"/>
  <c r="R1243" i="5"/>
  <c r="AH1243" i="5" s="1"/>
  <c r="R1250" i="5"/>
  <c r="R1251" i="5"/>
  <c r="R1258" i="5"/>
  <c r="AH1258" i="5" s="1"/>
  <c r="R171" i="5"/>
  <c r="R175" i="5"/>
  <c r="R179" i="5"/>
  <c r="AH179" i="5" s="1"/>
  <c r="R183" i="5"/>
  <c r="R187" i="5"/>
  <c r="R191" i="5"/>
  <c r="AH191" i="5" s="1"/>
  <c r="R195" i="5"/>
  <c r="AH195" i="5" s="1"/>
  <c r="R199" i="5"/>
  <c r="R203" i="5"/>
  <c r="AH203" i="5" s="1"/>
  <c r="R207" i="5"/>
  <c r="AH207" i="5" s="1"/>
  <c r="R211" i="5"/>
  <c r="AH211" i="5" s="1"/>
  <c r="R215" i="5"/>
  <c r="R219" i="5"/>
  <c r="R223" i="5"/>
  <c r="R227" i="5"/>
  <c r="AH227" i="5" s="1"/>
  <c r="R231" i="5"/>
  <c r="AH231" i="5" s="1"/>
  <c r="R239" i="5"/>
  <c r="R772" i="5"/>
  <c r="R832" i="5"/>
  <c r="AH832" i="5" s="1"/>
  <c r="R836" i="5"/>
  <c r="AH836" i="5" s="1"/>
  <c r="R840" i="5"/>
  <c r="AH840" i="5" s="1"/>
  <c r="R844" i="5"/>
  <c r="AH844" i="5" s="1"/>
  <c r="R848" i="5"/>
  <c r="AH848" i="5" s="1"/>
  <c r="R852" i="5"/>
  <c r="AH852" i="5" s="1"/>
  <c r="R856" i="5"/>
  <c r="R860" i="5"/>
  <c r="AH860" i="5" s="1"/>
  <c r="R864" i="5"/>
  <c r="AH864" i="5" s="1"/>
  <c r="R868" i="5"/>
  <c r="AH868" i="5" s="1"/>
  <c r="R872" i="5"/>
  <c r="AH872" i="5" s="1"/>
  <c r="R4" i="5"/>
  <c r="AH4" i="5" s="1"/>
  <c r="R83" i="5"/>
  <c r="R84" i="5"/>
  <c r="R87" i="5"/>
  <c r="AH87" i="5" s="1"/>
  <c r="R88" i="5"/>
  <c r="AH88" i="5" s="1"/>
  <c r="R91" i="5"/>
  <c r="R92" i="5"/>
  <c r="R95" i="5"/>
  <c r="R99" i="5"/>
  <c r="R100" i="5"/>
  <c r="R878" i="5"/>
  <c r="AH878" i="5" s="1"/>
  <c r="R917" i="5"/>
  <c r="R921" i="5"/>
  <c r="AH921" i="5" s="1"/>
  <c r="R925" i="5"/>
  <c r="AH925" i="5" s="1"/>
  <c r="R929" i="5"/>
  <c r="R933" i="5"/>
  <c r="AH933" i="5" s="1"/>
  <c r="R937" i="5"/>
  <c r="AH937" i="5" s="1"/>
  <c r="R941" i="5"/>
  <c r="AH941" i="5" s="1"/>
  <c r="R945" i="5"/>
  <c r="R949" i="5"/>
  <c r="R953" i="5"/>
  <c r="AH953" i="5" s="1"/>
  <c r="R1259" i="5"/>
  <c r="R1139" i="5"/>
  <c r="R1143" i="5"/>
  <c r="R1159" i="5"/>
  <c r="R1170" i="5"/>
  <c r="AH1170" i="5" s="1"/>
  <c r="R1174" i="5"/>
  <c r="AH1174" i="5" s="1"/>
  <c r="R915" i="5"/>
  <c r="R919" i="5"/>
  <c r="AH919" i="5" s="1"/>
  <c r="R923" i="5"/>
  <c r="AH923" i="5" s="1"/>
  <c r="R927" i="5"/>
  <c r="AH927" i="5" s="1"/>
  <c r="R931" i="5"/>
  <c r="R935" i="5"/>
  <c r="R939" i="5"/>
  <c r="R943" i="5"/>
  <c r="AH943" i="5" s="1"/>
  <c r="R77" i="5"/>
  <c r="AH77" i="5" s="1"/>
  <c r="R81" i="5"/>
  <c r="R233" i="5"/>
  <c r="AH233" i="5" s="1"/>
  <c r="R241" i="5"/>
  <c r="R242" i="5"/>
  <c r="AH242" i="5" s="1"/>
  <c r="R245" i="5"/>
  <c r="R246" i="5"/>
  <c r="AH246" i="5" s="1"/>
  <c r="R257" i="5"/>
  <c r="R258" i="5"/>
  <c r="R261" i="5"/>
  <c r="AH261" i="5" s="1"/>
  <c r="R273" i="5"/>
  <c r="AH273" i="5" s="1"/>
  <c r="R274" i="5"/>
  <c r="AH274" i="5" s="1"/>
  <c r="R277" i="5"/>
  <c r="AH277" i="5" s="1"/>
  <c r="R278" i="5"/>
  <c r="R289" i="5"/>
  <c r="AH289" i="5" s="1"/>
  <c r="R290" i="5"/>
  <c r="R293" i="5"/>
  <c r="AH293" i="5" s="1"/>
  <c r="R305" i="5"/>
  <c r="AH305" i="5" s="1"/>
  <c r="R306" i="5"/>
  <c r="R309" i="5"/>
  <c r="R321" i="5"/>
  <c r="R322" i="5"/>
  <c r="R325" i="5"/>
  <c r="R326" i="5"/>
  <c r="AH326" i="5" s="1"/>
  <c r="R366" i="5"/>
  <c r="AH366" i="5" s="1"/>
  <c r="R374" i="5"/>
  <c r="AH374" i="5" s="1"/>
  <c r="R378" i="5"/>
  <c r="R382" i="5"/>
  <c r="R386" i="5"/>
  <c r="R390" i="5"/>
  <c r="AH390" i="5" s="1"/>
  <c r="R394" i="5"/>
  <c r="AH394" i="5" s="1"/>
  <c r="R682" i="5"/>
  <c r="R770" i="5"/>
  <c r="AH770" i="5" s="1"/>
  <c r="R774" i="5"/>
  <c r="AH774" i="5" s="1"/>
  <c r="R830" i="5"/>
  <c r="AH830" i="5" s="1"/>
  <c r="R834" i="5"/>
  <c r="R838" i="5"/>
  <c r="R842" i="5"/>
  <c r="R846" i="5"/>
  <c r="R850" i="5"/>
  <c r="R854" i="5"/>
  <c r="R858" i="5"/>
  <c r="R862" i="5"/>
  <c r="R866" i="5"/>
  <c r="AH866" i="5" s="1"/>
  <c r="R870" i="5"/>
  <c r="AH870" i="5" s="1"/>
  <c r="R1199" i="5"/>
  <c r="R134" i="5"/>
  <c r="AH134" i="5" s="1"/>
  <c r="R360" i="5"/>
  <c r="AH360" i="5" s="1"/>
  <c r="R364" i="5"/>
  <c r="AH364" i="5" s="1"/>
  <c r="R573" i="5"/>
  <c r="R577" i="5"/>
  <c r="AH577" i="5" s="1"/>
  <c r="R581" i="5"/>
  <c r="AH581" i="5" s="1"/>
  <c r="R601" i="5"/>
  <c r="R649" i="5"/>
  <c r="AH649" i="5" s="1"/>
  <c r="R685" i="5"/>
  <c r="R689" i="5"/>
  <c r="AH689" i="5" s="1"/>
  <c r="R693" i="5"/>
  <c r="AH693" i="5" s="1"/>
  <c r="R697" i="5"/>
  <c r="R701" i="5"/>
  <c r="R705" i="5"/>
  <c r="AH705" i="5" s="1"/>
  <c r="R709" i="5"/>
  <c r="R68" i="5"/>
  <c r="AH68" i="5" s="1"/>
  <c r="R72" i="5"/>
  <c r="R150" i="5"/>
  <c r="R572" i="5"/>
  <c r="R576" i="5"/>
  <c r="AH576" i="5" s="1"/>
  <c r="R580" i="5"/>
  <c r="AH580" i="5" s="1"/>
  <c r="R584" i="5"/>
  <c r="AH584" i="5" s="1"/>
  <c r="R588" i="5"/>
  <c r="R596" i="5"/>
  <c r="AH596" i="5" s="1"/>
  <c r="R600" i="5"/>
  <c r="AH600" i="5" s="1"/>
  <c r="R604" i="5"/>
  <c r="AH604" i="5" s="1"/>
  <c r="R155" i="5"/>
  <c r="R159" i="5"/>
  <c r="R163" i="5"/>
  <c r="AH163" i="5" s="1"/>
  <c r="R1194" i="5"/>
  <c r="AH1194" i="5" s="1"/>
  <c r="R886" i="5"/>
  <c r="R898" i="5"/>
  <c r="AH898" i="5" s="1"/>
  <c r="R902" i="5"/>
  <c r="AH902" i="5" s="1"/>
  <c r="R914" i="5"/>
  <c r="AH914" i="5" s="1"/>
  <c r="R585" i="5"/>
  <c r="AH585" i="5" s="1"/>
  <c r="R589" i="5"/>
  <c r="R597" i="5"/>
  <c r="R713" i="5"/>
  <c r="AH713" i="5" s="1"/>
  <c r="R717" i="5"/>
  <c r="R1233" i="5"/>
  <c r="R110" i="5"/>
  <c r="AH110" i="5" s="1"/>
  <c r="R116" i="5"/>
  <c r="AH116" i="5" s="1"/>
  <c r="R140" i="5"/>
  <c r="R248" i="5"/>
  <c r="R251" i="5"/>
  <c r="R400" i="5"/>
  <c r="AH400" i="5" s="1"/>
  <c r="R428" i="5"/>
  <c r="R444" i="5"/>
  <c r="AH444" i="5" s="1"/>
  <c r="R448" i="5"/>
  <c r="R452" i="5"/>
  <c r="AH452" i="5" s="1"/>
  <c r="R118" i="5"/>
  <c r="R124" i="5"/>
  <c r="AH124" i="5" s="1"/>
  <c r="R1146" i="5"/>
  <c r="R1178" i="5"/>
  <c r="R592" i="5"/>
  <c r="R608" i="5"/>
  <c r="AH608" i="5" s="1"/>
  <c r="R612" i="5"/>
  <c r="AH612" i="5" s="1"/>
  <c r="R616" i="5"/>
  <c r="R620" i="5"/>
  <c r="R624" i="5"/>
  <c r="AH624" i="5" s="1"/>
  <c r="R628" i="5"/>
  <c r="AH628" i="5" s="1"/>
  <c r="R632" i="5"/>
  <c r="AH632" i="5" s="1"/>
  <c r="R636" i="5"/>
  <c r="R640" i="5"/>
  <c r="AH640" i="5" s="1"/>
  <c r="R910" i="5"/>
  <c r="AH910" i="5" s="1"/>
  <c r="R918" i="5"/>
  <c r="AH918" i="5" s="1"/>
  <c r="R1220" i="5"/>
  <c r="R234" i="5"/>
  <c r="R102" i="5"/>
  <c r="AH102" i="5" s="1"/>
  <c r="R126" i="5"/>
  <c r="R142" i="5"/>
  <c r="AH142" i="5" s="1"/>
  <c r="R156" i="5"/>
  <c r="AH156" i="5" s="1"/>
  <c r="R160" i="5"/>
  <c r="AH160" i="5" s="1"/>
  <c r="R167" i="5"/>
  <c r="AH167" i="5" s="1"/>
  <c r="R172" i="5"/>
  <c r="AH172" i="5" s="1"/>
  <c r="R176" i="5"/>
  <c r="R180" i="5"/>
  <c r="R184" i="5"/>
  <c r="AH184" i="5" s="1"/>
  <c r="R188" i="5"/>
  <c r="R192" i="5"/>
  <c r="R196" i="5"/>
  <c r="R200" i="5"/>
  <c r="R204" i="5"/>
  <c r="AH204" i="5" s="1"/>
  <c r="R208" i="5"/>
  <c r="R212" i="5"/>
  <c r="R216" i="5"/>
  <c r="AH216" i="5" s="1"/>
  <c r="R220" i="5"/>
  <c r="R224" i="5"/>
  <c r="R228" i="5"/>
  <c r="AH228" i="5" s="1"/>
  <c r="R296" i="5"/>
  <c r="AH296" i="5" s="1"/>
  <c r="R342" i="5"/>
  <c r="R593" i="5"/>
  <c r="AH593" i="5" s="1"/>
  <c r="R605" i="5"/>
  <c r="R609" i="5"/>
  <c r="AH609" i="5" s="1"/>
  <c r="R613" i="5"/>
  <c r="R617" i="5"/>
  <c r="AH617" i="5" s="1"/>
  <c r="R621" i="5"/>
  <c r="AH621" i="5" s="1"/>
  <c r="R625" i="5"/>
  <c r="R629" i="5"/>
  <c r="R633" i="5"/>
  <c r="AH633" i="5" s="1"/>
  <c r="R637" i="5"/>
  <c r="R641" i="5"/>
  <c r="R645" i="5"/>
  <c r="AH645" i="5" s="1"/>
  <c r="R653" i="5"/>
  <c r="R657" i="5"/>
  <c r="AH657" i="5" s="1"/>
  <c r="R661" i="5"/>
  <c r="R665" i="5"/>
  <c r="AH665" i="5" s="1"/>
  <c r="R721" i="5"/>
  <c r="AH721" i="5" s="1"/>
  <c r="R725" i="5"/>
  <c r="R729" i="5"/>
  <c r="R733" i="5"/>
  <c r="R737" i="5"/>
  <c r="AH737" i="5" s="1"/>
  <c r="R741" i="5"/>
  <c r="R880" i="5"/>
  <c r="R1204" i="5"/>
  <c r="R1252" i="5"/>
  <c r="R108" i="5"/>
  <c r="AH108" i="5" s="1"/>
  <c r="R132" i="5"/>
  <c r="R148" i="5"/>
  <c r="AH148" i="5" s="1"/>
  <c r="R356" i="5"/>
  <c r="AH356" i="5" s="1"/>
  <c r="R404" i="5"/>
  <c r="R408" i="5"/>
  <c r="AH408" i="5" s="1"/>
  <c r="R412" i="5"/>
  <c r="R416" i="5"/>
  <c r="R420" i="5"/>
  <c r="AH420" i="5" s="1"/>
  <c r="R424" i="5"/>
  <c r="AH424" i="5" s="1"/>
  <c r="R432" i="5"/>
  <c r="R436" i="5"/>
  <c r="AH436" i="5" s="1"/>
  <c r="R440" i="5"/>
  <c r="AH440" i="5" s="1"/>
  <c r="R456" i="5"/>
  <c r="R460" i="5"/>
  <c r="AH460" i="5" s="1"/>
  <c r="R464" i="5"/>
  <c r="R468" i="5"/>
  <c r="R472" i="5"/>
  <c r="AH472" i="5" s="1"/>
  <c r="R476" i="5"/>
  <c r="AH476" i="5" s="1"/>
  <c r="R480" i="5"/>
  <c r="R484" i="5"/>
  <c r="AH484" i="5" s="1"/>
  <c r="R1042" i="5"/>
  <c r="AH1042" i="5" s="1"/>
  <c r="R1075" i="5"/>
  <c r="AH1075" i="5" s="1"/>
  <c r="R1154" i="5"/>
  <c r="AH1154" i="5" s="1"/>
  <c r="R1186" i="5"/>
  <c r="R280" i="5"/>
  <c r="AH280" i="5" s="1"/>
  <c r="R283" i="5"/>
  <c r="R312" i="5"/>
  <c r="R334" i="5"/>
  <c r="AH334" i="5" s="1"/>
  <c r="R350" i="5"/>
  <c r="AH350" i="5" s="1"/>
  <c r="R505" i="5"/>
  <c r="R509" i="5"/>
  <c r="R513" i="5"/>
  <c r="R517" i="5"/>
  <c r="R521" i="5"/>
  <c r="R525" i="5"/>
  <c r="R529" i="5"/>
  <c r="R533" i="5"/>
  <c r="R537" i="5"/>
  <c r="R541" i="5"/>
  <c r="R545" i="5"/>
  <c r="R549" i="5"/>
  <c r="AH549" i="5" s="1"/>
  <c r="R553" i="5"/>
  <c r="R557" i="5"/>
  <c r="R779" i="5"/>
  <c r="AH779" i="5" s="1"/>
  <c r="R984" i="5"/>
  <c r="R1236" i="5"/>
  <c r="AH1236" i="5" s="1"/>
  <c r="R104" i="5"/>
  <c r="R112" i="5"/>
  <c r="AH112" i="5" s="1"/>
  <c r="R120" i="5"/>
  <c r="R128" i="5"/>
  <c r="AH128" i="5" s="1"/>
  <c r="R136" i="5"/>
  <c r="R144" i="5"/>
  <c r="AH144" i="5" s="1"/>
  <c r="R152" i="5"/>
  <c r="AH152" i="5" s="1"/>
  <c r="R157" i="5"/>
  <c r="R161" i="5"/>
  <c r="R232" i="5"/>
  <c r="R240" i="5"/>
  <c r="AH240" i="5" s="1"/>
  <c r="R6" i="5"/>
  <c r="R10" i="5"/>
  <c r="AH10" i="5" s="1"/>
  <c r="R14" i="5"/>
  <c r="R18" i="5"/>
  <c r="R22" i="5"/>
  <c r="R26" i="5"/>
  <c r="R30" i="5"/>
  <c r="R34" i="5"/>
  <c r="R38" i="5"/>
  <c r="AH38" i="5" s="1"/>
  <c r="R42" i="5"/>
  <c r="R46" i="5"/>
  <c r="AH46" i="5" s="1"/>
  <c r="R50" i="5"/>
  <c r="R54" i="5"/>
  <c r="R58" i="5"/>
  <c r="R62" i="5"/>
  <c r="R80" i="5"/>
  <c r="R85" i="5"/>
  <c r="AH85" i="5" s="1"/>
  <c r="R93" i="5"/>
  <c r="R106" i="5"/>
  <c r="R114" i="5"/>
  <c r="AH114" i="5" s="1"/>
  <c r="R122" i="5"/>
  <c r="R130" i="5"/>
  <c r="AH130" i="5" s="1"/>
  <c r="R138" i="5"/>
  <c r="AH138" i="5" s="1"/>
  <c r="R146" i="5"/>
  <c r="R154" i="5"/>
  <c r="AH154" i="5" s="1"/>
  <c r="R158" i="5"/>
  <c r="AH158" i="5" s="1"/>
  <c r="R162" i="5"/>
  <c r="AH162" i="5" s="1"/>
  <c r="R165" i="5"/>
  <c r="AH165" i="5" s="1"/>
  <c r="R169" i="5"/>
  <c r="R264" i="5"/>
  <c r="R267" i="5"/>
  <c r="R299" i="5"/>
  <c r="R76" i="5"/>
  <c r="R89" i="5"/>
  <c r="R97" i="5"/>
  <c r="R315" i="5"/>
  <c r="AH315" i="5" s="1"/>
  <c r="R336" i="5"/>
  <c r="AH336" i="5" s="1"/>
  <c r="R344" i="5"/>
  <c r="AH344" i="5" s="1"/>
  <c r="R352" i="5"/>
  <c r="AH352" i="5" s="1"/>
  <c r="R357" i="5"/>
  <c r="R361" i="5"/>
  <c r="AH361" i="5" s="1"/>
  <c r="R365" i="5"/>
  <c r="AH365" i="5" s="1"/>
  <c r="R401" i="5"/>
  <c r="AH401" i="5" s="1"/>
  <c r="R405" i="5"/>
  <c r="R409" i="5"/>
  <c r="AH409" i="5" s="1"/>
  <c r="R413" i="5"/>
  <c r="AH413" i="5" s="1"/>
  <c r="R417" i="5"/>
  <c r="AH417" i="5" s="1"/>
  <c r="R421" i="5"/>
  <c r="AH421" i="5" s="1"/>
  <c r="R425" i="5"/>
  <c r="AH425" i="5" s="1"/>
  <c r="R429" i="5"/>
  <c r="AH429" i="5" s="1"/>
  <c r="R433" i="5"/>
  <c r="R437" i="5"/>
  <c r="R441" i="5"/>
  <c r="AH441" i="5" s="1"/>
  <c r="R445" i="5"/>
  <c r="AH445" i="5" s="1"/>
  <c r="R449" i="5"/>
  <c r="AH449" i="5" s="1"/>
  <c r="R453" i="5"/>
  <c r="R457" i="5"/>
  <c r="AH457" i="5" s="1"/>
  <c r="R461" i="5"/>
  <c r="AH461" i="5" s="1"/>
  <c r="R465" i="5"/>
  <c r="AH465" i="5" s="1"/>
  <c r="R469" i="5"/>
  <c r="R473" i="5"/>
  <c r="AH473" i="5" s="1"/>
  <c r="R477" i="5"/>
  <c r="AH477" i="5" s="1"/>
  <c r="R481" i="5"/>
  <c r="R485" i="5"/>
  <c r="R560" i="5"/>
  <c r="R562" i="5"/>
  <c r="R564" i="5"/>
  <c r="AH564" i="5" s="1"/>
  <c r="R566" i="5"/>
  <c r="AH566" i="5" s="1"/>
  <c r="R568" i="5"/>
  <c r="R570" i="5"/>
  <c r="AH570" i="5" s="1"/>
  <c r="R669" i="5"/>
  <c r="AH669" i="5" s="1"/>
  <c r="R673" i="5"/>
  <c r="R677" i="5"/>
  <c r="R330" i="5"/>
  <c r="AH330" i="5" s="1"/>
  <c r="R338" i="5"/>
  <c r="R346" i="5"/>
  <c r="R354" i="5"/>
  <c r="R358" i="5"/>
  <c r="AH358" i="5" s="1"/>
  <c r="R362" i="5"/>
  <c r="R398" i="5"/>
  <c r="R402" i="5"/>
  <c r="R406" i="5"/>
  <c r="AH406" i="5" s="1"/>
  <c r="R410" i="5"/>
  <c r="AH410" i="5" s="1"/>
  <c r="R414" i="5"/>
  <c r="R418" i="5"/>
  <c r="AH418" i="5" s="1"/>
  <c r="R422" i="5"/>
  <c r="R426" i="5"/>
  <c r="AH426" i="5" s="1"/>
  <c r="R430" i="5"/>
  <c r="R434" i="5"/>
  <c r="AH434" i="5" s="1"/>
  <c r="R438" i="5"/>
  <c r="AH438" i="5" s="1"/>
  <c r="R442" i="5"/>
  <c r="AH442" i="5" s="1"/>
  <c r="R446" i="5"/>
  <c r="R450" i="5"/>
  <c r="AH450" i="5" s="1"/>
  <c r="R454" i="5"/>
  <c r="R458" i="5"/>
  <c r="AH458" i="5" s="1"/>
  <c r="R462" i="5"/>
  <c r="R466" i="5"/>
  <c r="AH466" i="5" s="1"/>
  <c r="R470" i="5"/>
  <c r="R474" i="5"/>
  <c r="AH474" i="5" s="1"/>
  <c r="R478" i="5"/>
  <c r="AH478" i="5" s="1"/>
  <c r="R482" i="5"/>
  <c r="AH482" i="5" s="1"/>
  <c r="R486" i="5"/>
  <c r="AH486" i="5" s="1"/>
  <c r="R574" i="5"/>
  <c r="R578" i="5"/>
  <c r="R582" i="5"/>
  <c r="AH582" i="5" s="1"/>
  <c r="R586" i="5"/>
  <c r="AH586" i="5" s="1"/>
  <c r="R590" i="5"/>
  <c r="R594" i="5"/>
  <c r="R598" i="5"/>
  <c r="AH598" i="5" s="1"/>
  <c r="R602" i="5"/>
  <c r="R606" i="5"/>
  <c r="R610" i="5"/>
  <c r="AH610" i="5" s="1"/>
  <c r="R614" i="5"/>
  <c r="AH614" i="5" s="1"/>
  <c r="R618" i="5"/>
  <c r="AH618" i="5" s="1"/>
  <c r="R622" i="5"/>
  <c r="R626" i="5"/>
  <c r="R630" i="5"/>
  <c r="AH630" i="5" s="1"/>
  <c r="R634" i="5"/>
  <c r="AH634" i="5" s="1"/>
  <c r="R638" i="5"/>
  <c r="R642" i="5"/>
  <c r="AH642" i="5" s="1"/>
  <c r="R244" i="5"/>
  <c r="AH244" i="5" s="1"/>
  <c r="R247" i="5"/>
  <c r="AH247" i="5" s="1"/>
  <c r="R260" i="5"/>
  <c r="R263" i="5"/>
  <c r="AH263" i="5" s="1"/>
  <c r="R276" i="5"/>
  <c r="AH276" i="5" s="1"/>
  <c r="R279" i="5"/>
  <c r="R292" i="5"/>
  <c r="R295" i="5"/>
  <c r="AH295" i="5" s="1"/>
  <c r="R308" i="5"/>
  <c r="AH308" i="5" s="1"/>
  <c r="R311" i="5"/>
  <c r="AH311" i="5" s="1"/>
  <c r="R324" i="5"/>
  <c r="R332" i="5"/>
  <c r="AH332" i="5" s="1"/>
  <c r="R340" i="5"/>
  <c r="AH340" i="5" s="1"/>
  <c r="R348" i="5"/>
  <c r="R355" i="5"/>
  <c r="AH355" i="5" s="1"/>
  <c r="R359" i="5"/>
  <c r="R363" i="5"/>
  <c r="AH363" i="5" s="1"/>
  <c r="R399" i="5"/>
  <c r="AH399" i="5" s="1"/>
  <c r="R403" i="5"/>
  <c r="R407" i="5"/>
  <c r="AH407" i="5" s="1"/>
  <c r="R411" i="5"/>
  <c r="R415" i="5"/>
  <c r="R419" i="5"/>
  <c r="R423" i="5"/>
  <c r="AH423" i="5" s="1"/>
  <c r="R427" i="5"/>
  <c r="AH427" i="5" s="1"/>
  <c r="R431" i="5"/>
  <c r="AH431" i="5" s="1"/>
  <c r="R435" i="5"/>
  <c r="R439" i="5"/>
  <c r="AH439" i="5" s="1"/>
  <c r="R443" i="5"/>
  <c r="AH443" i="5" s="1"/>
  <c r="R447" i="5"/>
  <c r="R451" i="5"/>
  <c r="R455" i="5"/>
  <c r="R459" i="5"/>
  <c r="AH459" i="5" s="1"/>
  <c r="R463" i="5"/>
  <c r="R467" i="5"/>
  <c r="R471" i="5"/>
  <c r="R475" i="5"/>
  <c r="R479" i="5"/>
  <c r="AH479" i="5" s="1"/>
  <c r="R483" i="5"/>
  <c r="R491" i="5"/>
  <c r="R495" i="5"/>
  <c r="R499" i="5"/>
  <c r="AH499" i="5" s="1"/>
  <c r="R559" i="5"/>
  <c r="R561" i="5"/>
  <c r="R563" i="5"/>
  <c r="AH563" i="5" s="1"/>
  <c r="R565" i="5"/>
  <c r="AH565" i="5" s="1"/>
  <c r="R567" i="5"/>
  <c r="R569" i="5"/>
  <c r="R571" i="5"/>
  <c r="R575" i="5"/>
  <c r="R579" i="5"/>
  <c r="AH579" i="5" s="1"/>
  <c r="R583" i="5"/>
  <c r="AH583" i="5" s="1"/>
  <c r="R587" i="5"/>
  <c r="R591" i="5"/>
  <c r="AH591" i="5" s="1"/>
  <c r="R595" i="5"/>
  <c r="AH595" i="5" s="1"/>
  <c r="R599" i="5"/>
  <c r="R603" i="5"/>
  <c r="R607" i="5"/>
  <c r="AH607" i="5" s="1"/>
  <c r="R611" i="5"/>
  <c r="AH611" i="5" s="1"/>
  <c r="R615" i="5"/>
  <c r="AH615" i="5" s="1"/>
  <c r="R619" i="5"/>
  <c r="R623" i="5"/>
  <c r="R627" i="5"/>
  <c r="AH627" i="5" s="1"/>
  <c r="R631" i="5"/>
  <c r="AH631" i="5" s="1"/>
  <c r="R635" i="5"/>
  <c r="R639" i="5"/>
  <c r="AH639" i="5" s="1"/>
  <c r="R643" i="5"/>
  <c r="AH643" i="5" s="1"/>
  <c r="R647" i="5"/>
  <c r="AH647" i="5" s="1"/>
  <c r="R651" i="5"/>
  <c r="R655" i="5"/>
  <c r="R659" i="5"/>
  <c r="AH659" i="5" s="1"/>
  <c r="R663" i="5"/>
  <c r="R667" i="5"/>
  <c r="R671" i="5"/>
  <c r="AH671" i="5" s="1"/>
  <c r="R675" i="5"/>
  <c r="AH675" i="5" s="1"/>
  <c r="R679" i="5"/>
  <c r="AH679" i="5" s="1"/>
  <c r="R646" i="5"/>
  <c r="AH646" i="5" s="1"/>
  <c r="R650" i="5"/>
  <c r="R654" i="5"/>
  <c r="R658" i="5"/>
  <c r="R662" i="5"/>
  <c r="AH662" i="5" s="1"/>
  <c r="R666" i="5"/>
  <c r="R670" i="5"/>
  <c r="R674" i="5"/>
  <c r="R678" i="5"/>
  <c r="R781" i="5"/>
  <c r="R785" i="5"/>
  <c r="AH785" i="5" s="1"/>
  <c r="R789" i="5"/>
  <c r="AH789" i="5" s="1"/>
  <c r="R793" i="5"/>
  <c r="R797" i="5"/>
  <c r="R801" i="5"/>
  <c r="AH801" i="5" s="1"/>
  <c r="R805" i="5"/>
  <c r="AH805" i="5" s="1"/>
  <c r="R809" i="5"/>
  <c r="R813" i="5"/>
  <c r="R817" i="5"/>
  <c r="AH817" i="5" s="1"/>
  <c r="R821" i="5"/>
  <c r="AH821" i="5" s="1"/>
  <c r="R825" i="5"/>
  <c r="R879" i="5"/>
  <c r="R890" i="5"/>
  <c r="AH890" i="5" s="1"/>
  <c r="R894" i="5"/>
  <c r="R906" i="5"/>
  <c r="AH906" i="5" s="1"/>
  <c r="R980" i="5"/>
  <c r="AH980" i="5" s="1"/>
  <c r="R988" i="5"/>
  <c r="AH988" i="5" s="1"/>
  <c r="R1069" i="5"/>
  <c r="AH1069" i="5" s="1"/>
  <c r="R1148" i="5"/>
  <c r="R1156" i="5"/>
  <c r="AH1156" i="5" s="1"/>
  <c r="R782" i="5"/>
  <c r="R786" i="5"/>
  <c r="AH786" i="5" s="1"/>
  <c r="R790" i="5"/>
  <c r="R794" i="5"/>
  <c r="AH794" i="5" s="1"/>
  <c r="R798" i="5"/>
  <c r="R802" i="5"/>
  <c r="AH802" i="5" s="1"/>
  <c r="R806" i="5"/>
  <c r="R810" i="5"/>
  <c r="R814" i="5"/>
  <c r="R818" i="5"/>
  <c r="R822" i="5"/>
  <c r="R826" i="5"/>
  <c r="AH826" i="5" s="1"/>
  <c r="R881" i="5"/>
  <c r="AH881" i="5" s="1"/>
  <c r="R887" i="5"/>
  <c r="AH887" i="5" s="1"/>
  <c r="R891" i="5"/>
  <c r="R895" i="5"/>
  <c r="R899" i="5"/>
  <c r="AH899" i="5" s="1"/>
  <c r="R903" i="5"/>
  <c r="R907" i="5"/>
  <c r="R911" i="5"/>
  <c r="R952" i="5"/>
  <c r="R958" i="5"/>
  <c r="R974" i="5"/>
  <c r="AH974" i="5" s="1"/>
  <c r="R982" i="5"/>
  <c r="R991" i="5"/>
  <c r="AH991" i="5" s="1"/>
  <c r="R999" i="5"/>
  <c r="R1007" i="5"/>
  <c r="R1023" i="5"/>
  <c r="AH1023" i="5" s="1"/>
  <c r="R1031" i="5"/>
  <c r="R1039" i="5"/>
  <c r="R1047" i="5"/>
  <c r="AH1047" i="5" s="1"/>
  <c r="R1055" i="5"/>
  <c r="AH1055" i="5" s="1"/>
  <c r="R1071" i="5"/>
  <c r="AH1071" i="5" s="1"/>
  <c r="R1136" i="5"/>
  <c r="AH1136" i="5" s="1"/>
  <c r="R1144" i="5"/>
  <c r="R1150" i="5"/>
  <c r="AH1150" i="5" s="1"/>
  <c r="R1158" i="5"/>
  <c r="AH1158" i="5" s="1"/>
  <c r="R1166" i="5"/>
  <c r="R1167" i="5"/>
  <c r="R1175" i="5"/>
  <c r="AH1175" i="5" s="1"/>
  <c r="R1182" i="5"/>
  <c r="R1183" i="5"/>
  <c r="AH1183" i="5" s="1"/>
  <c r="R1191" i="5"/>
  <c r="AH1191" i="5" s="1"/>
  <c r="R1200" i="5"/>
  <c r="AH1200" i="5" s="1"/>
  <c r="R1209" i="5"/>
  <c r="AH1209" i="5" s="1"/>
  <c r="R1212" i="5"/>
  <c r="AH1212" i="5" s="1"/>
  <c r="R1228" i="5"/>
  <c r="AH1228" i="5" s="1"/>
  <c r="R1244" i="5"/>
  <c r="AH1244" i="5" s="1"/>
  <c r="R1260" i="5"/>
  <c r="AH1260" i="5" s="1"/>
  <c r="R644" i="5"/>
  <c r="AH644" i="5" s="1"/>
  <c r="R648" i="5"/>
  <c r="AH648" i="5" s="1"/>
  <c r="R652" i="5"/>
  <c r="R656" i="5"/>
  <c r="AH656" i="5" s="1"/>
  <c r="R660" i="5"/>
  <c r="R664" i="5"/>
  <c r="R668" i="5"/>
  <c r="AH668" i="5" s="1"/>
  <c r="R672" i="5"/>
  <c r="AH672" i="5" s="1"/>
  <c r="R676" i="5"/>
  <c r="R680" i="5"/>
  <c r="R783" i="5"/>
  <c r="R787" i="5"/>
  <c r="AH787" i="5" s="1"/>
  <c r="R791" i="5"/>
  <c r="AH791" i="5" s="1"/>
  <c r="R795" i="5"/>
  <c r="AH795" i="5" s="1"/>
  <c r="R799" i="5"/>
  <c r="R803" i="5"/>
  <c r="AH803" i="5" s="1"/>
  <c r="R807" i="5"/>
  <c r="R811" i="5"/>
  <c r="R815" i="5"/>
  <c r="AH815" i="5" s="1"/>
  <c r="R819" i="5"/>
  <c r="AH819" i="5" s="1"/>
  <c r="R823" i="5"/>
  <c r="AH823" i="5" s="1"/>
  <c r="R827" i="5"/>
  <c r="R888" i="5"/>
  <c r="AH888" i="5" s="1"/>
  <c r="R892" i="5"/>
  <c r="AH892" i="5" s="1"/>
  <c r="R896" i="5"/>
  <c r="AH896" i="5" s="1"/>
  <c r="R900" i="5"/>
  <c r="AH900" i="5" s="1"/>
  <c r="R904" i="5"/>
  <c r="AH904" i="5" s="1"/>
  <c r="R908" i="5"/>
  <c r="R912" i="5"/>
  <c r="AH912" i="5" s="1"/>
  <c r="R916" i="5"/>
  <c r="AH916" i="5" s="1"/>
  <c r="R976" i="5"/>
  <c r="AH976" i="5" s="1"/>
  <c r="R993" i="5"/>
  <c r="R1001" i="5"/>
  <c r="AH1001" i="5" s="1"/>
  <c r="R1009" i="5"/>
  <c r="AH1009" i="5" s="1"/>
  <c r="R1017" i="5"/>
  <c r="R1025" i="5"/>
  <c r="AH1025" i="5" s="1"/>
  <c r="R1033" i="5"/>
  <c r="AH1033" i="5" s="1"/>
  <c r="R1041" i="5"/>
  <c r="R1065" i="5"/>
  <c r="AH1065" i="5" s="1"/>
  <c r="R1073" i="5"/>
  <c r="R1152" i="5"/>
  <c r="R1198" i="5"/>
  <c r="AH1198" i="5" s="1"/>
  <c r="R1201" i="5"/>
  <c r="R745" i="5"/>
  <c r="R749" i="5"/>
  <c r="AH749" i="5" s="1"/>
  <c r="R753" i="5"/>
  <c r="AH753" i="5" s="1"/>
  <c r="R757" i="5"/>
  <c r="AH757" i="5" s="1"/>
  <c r="R761" i="5"/>
  <c r="R765" i="5"/>
  <c r="AH765" i="5" s="1"/>
  <c r="R769" i="5"/>
  <c r="AH769" i="5" s="1"/>
  <c r="R780" i="5"/>
  <c r="AH780" i="5" s="1"/>
  <c r="R784" i="5"/>
  <c r="AH784" i="5" s="1"/>
  <c r="R788" i="5"/>
  <c r="R792" i="5"/>
  <c r="R796" i="5"/>
  <c r="R800" i="5"/>
  <c r="AH800" i="5" s="1"/>
  <c r="R804" i="5"/>
  <c r="R808" i="5"/>
  <c r="R812" i="5"/>
  <c r="AH812" i="5" s="1"/>
  <c r="R816" i="5"/>
  <c r="AH816" i="5" s="1"/>
  <c r="R820" i="5"/>
  <c r="AH820" i="5" s="1"/>
  <c r="R824" i="5"/>
  <c r="R828" i="5"/>
  <c r="R867" i="5"/>
  <c r="R869" i="5"/>
  <c r="R871" i="5"/>
  <c r="AH871" i="5" s="1"/>
  <c r="R873" i="5"/>
  <c r="R875" i="5"/>
  <c r="R877" i="5"/>
  <c r="AH877" i="5" s="1"/>
  <c r="R885" i="5"/>
  <c r="R889" i="5"/>
  <c r="AH889" i="5" s="1"/>
  <c r="R893" i="5"/>
  <c r="AH893" i="5" s="1"/>
  <c r="R897" i="5"/>
  <c r="AH897" i="5" s="1"/>
  <c r="R901" i="5"/>
  <c r="R905" i="5"/>
  <c r="AH905" i="5" s="1"/>
  <c r="R909" i="5"/>
  <c r="AH909" i="5" s="1"/>
  <c r="R913" i="5"/>
  <c r="R948" i="5"/>
  <c r="R963" i="5"/>
  <c r="R966" i="5"/>
  <c r="R978" i="5"/>
  <c r="R986" i="5"/>
  <c r="R1027" i="5"/>
  <c r="AH1027" i="5" s="1"/>
  <c r="R1035" i="5"/>
  <c r="AH1035" i="5" s="1"/>
  <c r="R1043" i="5"/>
  <c r="R1132" i="5"/>
  <c r="AH1132" i="5" s="1"/>
  <c r="R1140" i="5"/>
  <c r="R1163" i="5"/>
  <c r="AH1163" i="5" s="1"/>
  <c r="R1171" i="5"/>
  <c r="R1179" i="5"/>
  <c r="AH1179" i="5" s="1"/>
  <c r="R1187" i="5"/>
  <c r="R1195" i="5"/>
  <c r="R5" i="5"/>
  <c r="AH5" i="5" s="1"/>
  <c r="R9" i="5"/>
  <c r="AH9" i="5" s="1"/>
  <c r="R13" i="5"/>
  <c r="AH13" i="5" s="1"/>
  <c r="R17" i="5"/>
  <c r="AH17" i="5" s="1"/>
  <c r="R21" i="5"/>
  <c r="AH21" i="5" s="1"/>
  <c r="R25" i="5"/>
  <c r="AH25" i="5" s="1"/>
  <c r="R29" i="5"/>
  <c r="AH29" i="5" s="1"/>
  <c r="R33" i="5"/>
  <c r="AH33" i="5" s="1"/>
  <c r="R37" i="5"/>
  <c r="AH37" i="5" s="1"/>
  <c r="R41" i="5"/>
  <c r="AH41" i="5" s="1"/>
  <c r="R45" i="5"/>
  <c r="AH45" i="5" s="1"/>
  <c r="R49" i="5"/>
  <c r="AH49" i="5" s="1"/>
  <c r="R53" i="5"/>
  <c r="AH53" i="5" s="1"/>
  <c r="R57" i="5"/>
  <c r="AH57" i="5" s="1"/>
  <c r="R61" i="5"/>
  <c r="AH61" i="5" s="1"/>
  <c r="R65" i="5"/>
  <c r="AH65" i="5" s="1"/>
  <c r="R69" i="5"/>
  <c r="AH69" i="5" s="1"/>
  <c r="R73" i="5"/>
  <c r="AH73" i="5" s="1"/>
  <c r="R78" i="5"/>
  <c r="AH78" i="5" s="1"/>
  <c r="R79" i="5"/>
  <c r="AH79" i="5" s="1"/>
  <c r="R86" i="5"/>
  <c r="AH86" i="5" s="1"/>
  <c r="R94" i="5"/>
  <c r="AH94" i="5" s="1"/>
  <c r="R8" i="5"/>
  <c r="AH8" i="5" s="1"/>
  <c r="R12" i="5"/>
  <c r="AH12" i="5" s="1"/>
  <c r="R16" i="5"/>
  <c r="AH16" i="5" s="1"/>
  <c r="R20" i="5"/>
  <c r="AH20" i="5" s="1"/>
  <c r="R24" i="5"/>
  <c r="AH24" i="5" s="1"/>
  <c r="R28" i="5"/>
  <c r="AH28" i="5" s="1"/>
  <c r="R32" i="5"/>
  <c r="AH32" i="5" s="1"/>
  <c r="R36" i="5"/>
  <c r="AH36" i="5" s="1"/>
  <c r="R40" i="5"/>
  <c r="AH40" i="5" s="1"/>
  <c r="R44" i="5"/>
  <c r="AH44" i="5" s="1"/>
  <c r="R48" i="5"/>
  <c r="AH48" i="5" s="1"/>
  <c r="R52" i="5"/>
  <c r="AH52" i="5" s="1"/>
  <c r="R56" i="5"/>
  <c r="AH56" i="5" s="1"/>
  <c r="R60" i="5"/>
  <c r="AH60" i="5" s="1"/>
  <c r="R64" i="5"/>
  <c r="AH64" i="5" s="1"/>
  <c r="R7" i="5"/>
  <c r="AH7" i="5" s="1"/>
  <c r="R11" i="5"/>
  <c r="AH11" i="5" s="1"/>
  <c r="R15" i="5"/>
  <c r="AH15" i="5" s="1"/>
  <c r="R19" i="5"/>
  <c r="AH19" i="5" s="1"/>
  <c r="R23" i="5"/>
  <c r="AH23" i="5" s="1"/>
  <c r="R27" i="5"/>
  <c r="AH27" i="5" s="1"/>
  <c r="R31" i="5"/>
  <c r="AH31" i="5" s="1"/>
  <c r="R35" i="5"/>
  <c r="AH35" i="5" s="1"/>
  <c r="R39" i="5"/>
  <c r="AH39" i="5" s="1"/>
  <c r="R43" i="5"/>
  <c r="AH43" i="5" s="1"/>
  <c r="R47" i="5"/>
  <c r="AH47" i="5" s="1"/>
  <c r="R51" i="5"/>
  <c r="AH51" i="5" s="1"/>
  <c r="R55" i="5"/>
  <c r="AH55" i="5" s="1"/>
  <c r="R59" i="5"/>
  <c r="AH59" i="5" s="1"/>
  <c r="R63" i="5"/>
  <c r="AH63" i="5" s="1"/>
  <c r="R67" i="5"/>
  <c r="AH67" i="5" s="1"/>
  <c r="R71" i="5"/>
  <c r="AH71" i="5" s="1"/>
  <c r="R75" i="5"/>
  <c r="AH75" i="5" s="1"/>
  <c r="R82" i="5"/>
  <c r="AH82" i="5" s="1"/>
  <c r="R90" i="5"/>
  <c r="AH90" i="5" s="1"/>
  <c r="R98" i="5"/>
  <c r="AH98" i="5" s="1"/>
  <c r="R66" i="5"/>
  <c r="AH66" i="5" s="1"/>
  <c r="R70" i="5"/>
  <c r="AH70" i="5" s="1"/>
  <c r="R74" i="5"/>
  <c r="AH74" i="5" s="1"/>
  <c r="AI87" i="5"/>
  <c r="R96" i="5"/>
  <c r="AH96" i="5" s="1"/>
  <c r="R101" i="5"/>
  <c r="AH101" i="5" s="1"/>
  <c r="R105" i="5"/>
  <c r="AH105" i="5" s="1"/>
  <c r="R107" i="5"/>
  <c r="AH107" i="5" s="1"/>
  <c r="R113" i="5"/>
  <c r="AH113" i="5" s="1"/>
  <c r="R115" i="5"/>
  <c r="AH115" i="5" s="1"/>
  <c r="R121" i="5"/>
  <c r="AH121" i="5" s="1"/>
  <c r="R123" i="5"/>
  <c r="AH123" i="5" s="1"/>
  <c r="R129" i="5"/>
  <c r="AH129" i="5" s="1"/>
  <c r="R131" i="5"/>
  <c r="AH131" i="5" s="1"/>
  <c r="R137" i="5"/>
  <c r="AH137" i="5" s="1"/>
  <c r="R139" i="5"/>
  <c r="AH139" i="5" s="1"/>
  <c r="R145" i="5"/>
  <c r="AH145" i="5" s="1"/>
  <c r="R147" i="5"/>
  <c r="AH147" i="5" s="1"/>
  <c r="R153" i="5"/>
  <c r="AH153" i="5" s="1"/>
  <c r="R173" i="5"/>
  <c r="AH173" i="5" s="1"/>
  <c r="R177" i="5"/>
  <c r="AH177" i="5" s="1"/>
  <c r="R181" i="5"/>
  <c r="AH181" i="5" s="1"/>
  <c r="R185" i="5"/>
  <c r="AH185" i="5" s="1"/>
  <c r="R189" i="5"/>
  <c r="AH189" i="5" s="1"/>
  <c r="R193" i="5"/>
  <c r="AH193" i="5" s="1"/>
  <c r="R197" i="5"/>
  <c r="AH197" i="5" s="1"/>
  <c r="R201" i="5"/>
  <c r="AH201" i="5" s="1"/>
  <c r="R205" i="5"/>
  <c r="AH205" i="5" s="1"/>
  <c r="R209" i="5"/>
  <c r="AH209" i="5" s="1"/>
  <c r="R213" i="5"/>
  <c r="AH213" i="5" s="1"/>
  <c r="R217" i="5"/>
  <c r="AH217" i="5" s="1"/>
  <c r="R221" i="5"/>
  <c r="AH221" i="5" s="1"/>
  <c r="R225" i="5"/>
  <c r="AH225" i="5" s="1"/>
  <c r="R229" i="5"/>
  <c r="AH229" i="5" s="1"/>
  <c r="R236" i="5"/>
  <c r="AH236" i="5" s="1"/>
  <c r="R237" i="5"/>
  <c r="AH237" i="5" s="1"/>
  <c r="R243" i="5"/>
  <c r="AH243" i="5" s="1"/>
  <c r="R249" i="5"/>
  <c r="AH249" i="5" s="1"/>
  <c r="R250" i="5"/>
  <c r="AH250" i="5" s="1"/>
  <c r="R256" i="5"/>
  <c r="AH256" i="5" s="1"/>
  <c r="R259" i="5"/>
  <c r="AH259" i="5" s="1"/>
  <c r="R265" i="5"/>
  <c r="AH265" i="5" s="1"/>
  <c r="R266" i="5"/>
  <c r="AH266" i="5" s="1"/>
  <c r="R272" i="5"/>
  <c r="AH272" i="5" s="1"/>
  <c r="R275" i="5"/>
  <c r="AH275" i="5" s="1"/>
  <c r="R281" i="5"/>
  <c r="AH281" i="5" s="1"/>
  <c r="R282" i="5"/>
  <c r="AH282" i="5" s="1"/>
  <c r="R288" i="5"/>
  <c r="AH288" i="5" s="1"/>
  <c r="R291" i="5"/>
  <c r="AH291" i="5" s="1"/>
  <c r="R297" i="5"/>
  <c r="AH297" i="5" s="1"/>
  <c r="R298" i="5"/>
  <c r="AH298" i="5" s="1"/>
  <c r="R304" i="5"/>
  <c r="AH304" i="5" s="1"/>
  <c r="R307" i="5"/>
  <c r="AH307" i="5" s="1"/>
  <c r="R313" i="5"/>
  <c r="AH313" i="5" s="1"/>
  <c r="R314" i="5"/>
  <c r="AH314" i="5" s="1"/>
  <c r="R320" i="5"/>
  <c r="AH320" i="5" s="1"/>
  <c r="R323" i="5"/>
  <c r="AH323" i="5" s="1"/>
  <c r="R103" i="5"/>
  <c r="AH103" i="5" s="1"/>
  <c r="AI216" i="5"/>
  <c r="R235" i="5"/>
  <c r="AH235" i="5" s="1"/>
  <c r="R253" i="5"/>
  <c r="AH253" i="5" s="1"/>
  <c r="R254" i="5"/>
  <c r="AH254" i="5" s="1"/>
  <c r="AI263" i="5"/>
  <c r="R269" i="5"/>
  <c r="AH269" i="5" s="1"/>
  <c r="R270" i="5"/>
  <c r="AH270" i="5" s="1"/>
  <c r="R285" i="5"/>
  <c r="AH285" i="5" s="1"/>
  <c r="R286" i="5"/>
  <c r="AH286" i="5" s="1"/>
  <c r="R301" i="5"/>
  <c r="AH301" i="5" s="1"/>
  <c r="R302" i="5"/>
  <c r="AH302" i="5" s="1"/>
  <c r="R317" i="5"/>
  <c r="AH317" i="5" s="1"/>
  <c r="R318" i="5"/>
  <c r="AH318" i="5" s="1"/>
  <c r="R109" i="5"/>
  <c r="AH109" i="5" s="1"/>
  <c r="R111" i="5"/>
  <c r="AH111" i="5" s="1"/>
  <c r="R117" i="5"/>
  <c r="AH117" i="5" s="1"/>
  <c r="R119" i="5"/>
  <c r="AH119" i="5" s="1"/>
  <c r="R125" i="5"/>
  <c r="AH125" i="5" s="1"/>
  <c r="R127" i="5"/>
  <c r="AH127" i="5" s="1"/>
  <c r="R133" i="5"/>
  <c r="AH133" i="5" s="1"/>
  <c r="R135" i="5"/>
  <c r="AH135" i="5" s="1"/>
  <c r="R141" i="5"/>
  <c r="AH141" i="5" s="1"/>
  <c r="R143" i="5"/>
  <c r="AH143" i="5" s="1"/>
  <c r="R149" i="5"/>
  <c r="AH149" i="5" s="1"/>
  <c r="R151" i="5"/>
  <c r="AH151" i="5" s="1"/>
  <c r="R327" i="5"/>
  <c r="AH327" i="5" s="1"/>
  <c r="R164" i="5"/>
  <c r="AH164" i="5" s="1"/>
  <c r="R166" i="5"/>
  <c r="AH166" i="5" s="1"/>
  <c r="R168" i="5"/>
  <c r="AH168" i="5" s="1"/>
  <c r="R170" i="5"/>
  <c r="AH170" i="5" s="1"/>
  <c r="R174" i="5"/>
  <c r="AH174" i="5" s="1"/>
  <c r="R178" i="5"/>
  <c r="AH178" i="5" s="1"/>
  <c r="R182" i="5"/>
  <c r="AH182" i="5" s="1"/>
  <c r="R186" i="5"/>
  <c r="AH186" i="5" s="1"/>
  <c r="R190" i="5"/>
  <c r="AH190" i="5" s="1"/>
  <c r="R194" i="5"/>
  <c r="AH194" i="5" s="1"/>
  <c r="R198" i="5"/>
  <c r="AH198" i="5" s="1"/>
  <c r="R202" i="5"/>
  <c r="AH202" i="5" s="1"/>
  <c r="R206" i="5"/>
  <c r="AH206" i="5" s="1"/>
  <c r="R210" i="5"/>
  <c r="AH210" i="5" s="1"/>
  <c r="R214" i="5"/>
  <c r="AH214" i="5" s="1"/>
  <c r="R218" i="5"/>
  <c r="AH218" i="5" s="1"/>
  <c r="R222" i="5"/>
  <c r="AH222" i="5" s="1"/>
  <c r="R226" i="5"/>
  <c r="AH226" i="5" s="1"/>
  <c r="R230" i="5"/>
  <c r="AH230" i="5" s="1"/>
  <c r="R238" i="5"/>
  <c r="AH238" i="5" s="1"/>
  <c r="R252" i="5"/>
  <c r="AH252" i="5" s="1"/>
  <c r="R255" i="5"/>
  <c r="AH255" i="5" s="1"/>
  <c r="R262" i="5"/>
  <c r="AH262" i="5" s="1"/>
  <c r="R268" i="5"/>
  <c r="AH268" i="5" s="1"/>
  <c r="R271" i="5"/>
  <c r="AH271" i="5" s="1"/>
  <c r="R284" i="5"/>
  <c r="AH284" i="5" s="1"/>
  <c r="R287" i="5"/>
  <c r="AH287" i="5" s="1"/>
  <c r="R294" i="5"/>
  <c r="AH294" i="5" s="1"/>
  <c r="R300" i="5"/>
  <c r="AH300" i="5" s="1"/>
  <c r="R303" i="5"/>
  <c r="AH303" i="5" s="1"/>
  <c r="R310" i="5"/>
  <c r="AH310" i="5" s="1"/>
  <c r="R316" i="5"/>
  <c r="AH316" i="5" s="1"/>
  <c r="R319" i="5"/>
  <c r="AH319" i="5" s="1"/>
  <c r="R328" i="5"/>
  <c r="AH328" i="5" s="1"/>
  <c r="R331" i="5"/>
  <c r="AH331" i="5" s="1"/>
  <c r="R333" i="5"/>
  <c r="AH333" i="5" s="1"/>
  <c r="R339" i="5"/>
  <c r="AH339" i="5" s="1"/>
  <c r="R341" i="5"/>
  <c r="AH341" i="5" s="1"/>
  <c r="R347" i="5"/>
  <c r="AH347" i="5" s="1"/>
  <c r="R349" i="5"/>
  <c r="AH349" i="5" s="1"/>
  <c r="R368" i="5"/>
  <c r="AH368" i="5" s="1"/>
  <c r="R372" i="5"/>
  <c r="AH372" i="5" s="1"/>
  <c r="R376" i="5"/>
  <c r="AH376" i="5" s="1"/>
  <c r="R380" i="5"/>
  <c r="AH380" i="5" s="1"/>
  <c r="R384" i="5"/>
  <c r="AH384" i="5" s="1"/>
  <c r="R388" i="5"/>
  <c r="AH388" i="5" s="1"/>
  <c r="R392" i="5"/>
  <c r="AH392" i="5" s="1"/>
  <c r="R396" i="5"/>
  <c r="AH396" i="5" s="1"/>
  <c r="R351" i="5"/>
  <c r="AH351" i="5" s="1"/>
  <c r="R367" i="5"/>
  <c r="AH367" i="5" s="1"/>
  <c r="R371" i="5"/>
  <c r="AH371" i="5" s="1"/>
  <c r="R375" i="5"/>
  <c r="AH375" i="5" s="1"/>
  <c r="R379" i="5"/>
  <c r="AH379" i="5" s="1"/>
  <c r="R383" i="5"/>
  <c r="AH383" i="5" s="1"/>
  <c r="R387" i="5"/>
  <c r="AH387" i="5" s="1"/>
  <c r="R391" i="5"/>
  <c r="AH391" i="5" s="1"/>
  <c r="R395" i="5"/>
  <c r="AH395" i="5" s="1"/>
  <c r="R329" i="5"/>
  <c r="AH329" i="5" s="1"/>
  <c r="R335" i="5"/>
  <c r="AH335" i="5" s="1"/>
  <c r="R337" i="5"/>
  <c r="AH337" i="5" s="1"/>
  <c r="R343" i="5"/>
  <c r="AH343" i="5" s="1"/>
  <c r="R345" i="5"/>
  <c r="AH345" i="5" s="1"/>
  <c r="R353" i="5"/>
  <c r="AH353" i="5" s="1"/>
  <c r="R370" i="5"/>
  <c r="AH370" i="5" s="1"/>
  <c r="R369" i="5"/>
  <c r="AH369" i="5" s="1"/>
  <c r="R373" i="5"/>
  <c r="AH373" i="5" s="1"/>
  <c r="R377" i="5"/>
  <c r="AH377" i="5" s="1"/>
  <c r="R381" i="5"/>
  <c r="AH381" i="5" s="1"/>
  <c r="R385" i="5"/>
  <c r="AH385" i="5" s="1"/>
  <c r="R389" i="5"/>
  <c r="AH389" i="5" s="1"/>
  <c r="R393" i="5"/>
  <c r="AH393" i="5" s="1"/>
  <c r="R397" i="5"/>
  <c r="AH397" i="5" s="1"/>
  <c r="R488" i="5"/>
  <c r="AH488" i="5" s="1"/>
  <c r="R492" i="5"/>
  <c r="AH492" i="5" s="1"/>
  <c r="R496" i="5"/>
  <c r="AH496" i="5" s="1"/>
  <c r="R500" i="5"/>
  <c r="AH500" i="5" s="1"/>
  <c r="R504" i="5"/>
  <c r="AH504" i="5" s="1"/>
  <c r="R508" i="5"/>
  <c r="AH508" i="5" s="1"/>
  <c r="R514" i="5"/>
  <c r="AH514" i="5" s="1"/>
  <c r="R518" i="5"/>
  <c r="AH518" i="5" s="1"/>
  <c r="R522" i="5"/>
  <c r="AH522" i="5" s="1"/>
  <c r="R526" i="5"/>
  <c r="AH526" i="5" s="1"/>
  <c r="R530" i="5"/>
  <c r="AH530" i="5" s="1"/>
  <c r="R534" i="5"/>
  <c r="AH534" i="5" s="1"/>
  <c r="R538" i="5"/>
  <c r="AH538" i="5" s="1"/>
  <c r="R542" i="5"/>
  <c r="AH542" i="5" s="1"/>
  <c r="R546" i="5"/>
  <c r="AH546" i="5" s="1"/>
  <c r="R550" i="5"/>
  <c r="AH550" i="5" s="1"/>
  <c r="R554" i="5"/>
  <c r="AH554" i="5" s="1"/>
  <c r="R558" i="5"/>
  <c r="AH558" i="5" s="1"/>
  <c r="R487" i="5"/>
  <c r="AH487" i="5" s="1"/>
  <c r="R503" i="5"/>
  <c r="AH503" i="5" s="1"/>
  <c r="R507" i="5"/>
  <c r="AH507" i="5" s="1"/>
  <c r="R511" i="5"/>
  <c r="AH511" i="5" s="1"/>
  <c r="R515" i="5"/>
  <c r="AH515" i="5" s="1"/>
  <c r="R519" i="5"/>
  <c r="AH519" i="5" s="1"/>
  <c r="R523" i="5"/>
  <c r="AH523" i="5" s="1"/>
  <c r="R527" i="5"/>
  <c r="AH527" i="5" s="1"/>
  <c r="R531" i="5"/>
  <c r="AH531" i="5" s="1"/>
  <c r="R535" i="5"/>
  <c r="AH535" i="5" s="1"/>
  <c r="R539" i="5"/>
  <c r="AH539" i="5" s="1"/>
  <c r="R543" i="5"/>
  <c r="AH543" i="5" s="1"/>
  <c r="R547" i="5"/>
  <c r="AH547" i="5" s="1"/>
  <c r="R551" i="5"/>
  <c r="AH551" i="5" s="1"/>
  <c r="R555" i="5"/>
  <c r="AH555" i="5" s="1"/>
  <c r="R490" i="5"/>
  <c r="AH490" i="5" s="1"/>
  <c r="R494" i="5"/>
  <c r="AH494" i="5" s="1"/>
  <c r="R498" i="5"/>
  <c r="AH498" i="5" s="1"/>
  <c r="R502" i="5"/>
  <c r="AH502" i="5" s="1"/>
  <c r="R506" i="5"/>
  <c r="AH506" i="5" s="1"/>
  <c r="R510" i="5"/>
  <c r="AH510" i="5" s="1"/>
  <c r="R512" i="5"/>
  <c r="AH512" i="5" s="1"/>
  <c r="R516" i="5"/>
  <c r="AH516" i="5" s="1"/>
  <c r="R520" i="5"/>
  <c r="AH520" i="5" s="1"/>
  <c r="R524" i="5"/>
  <c r="AH524" i="5" s="1"/>
  <c r="R528" i="5"/>
  <c r="AH528" i="5" s="1"/>
  <c r="R532" i="5"/>
  <c r="AH532" i="5" s="1"/>
  <c r="R536" i="5"/>
  <c r="AH536" i="5" s="1"/>
  <c r="R540" i="5"/>
  <c r="AH540" i="5" s="1"/>
  <c r="R544" i="5"/>
  <c r="AH544" i="5" s="1"/>
  <c r="R548" i="5"/>
  <c r="AH548" i="5" s="1"/>
  <c r="R552" i="5"/>
  <c r="AH552" i="5" s="1"/>
  <c r="R556" i="5"/>
  <c r="AH556" i="5" s="1"/>
  <c r="R489" i="5"/>
  <c r="AH489" i="5" s="1"/>
  <c r="R493" i="5"/>
  <c r="AH493" i="5" s="1"/>
  <c r="R497" i="5"/>
  <c r="AH497" i="5" s="1"/>
  <c r="R501" i="5"/>
  <c r="AH501" i="5" s="1"/>
  <c r="R681" i="5"/>
  <c r="AH681" i="5" s="1"/>
  <c r="R683" i="5"/>
  <c r="AH683" i="5" s="1"/>
  <c r="R684" i="5"/>
  <c r="AH684" i="5" s="1"/>
  <c r="R688" i="5"/>
  <c r="AH688" i="5" s="1"/>
  <c r="R692" i="5"/>
  <c r="AH692" i="5" s="1"/>
  <c r="R696" i="5"/>
  <c r="AH696" i="5" s="1"/>
  <c r="R700" i="5"/>
  <c r="AH700" i="5" s="1"/>
  <c r="R704" i="5"/>
  <c r="AH704" i="5" s="1"/>
  <c r="R708" i="5"/>
  <c r="AH708" i="5" s="1"/>
  <c r="R712" i="5"/>
  <c r="AH712" i="5" s="1"/>
  <c r="R716" i="5"/>
  <c r="AH716" i="5" s="1"/>
  <c r="R720" i="5"/>
  <c r="AH720" i="5" s="1"/>
  <c r="R724" i="5"/>
  <c r="AH724" i="5" s="1"/>
  <c r="R728" i="5"/>
  <c r="AH728" i="5" s="1"/>
  <c r="R732" i="5"/>
  <c r="AH732" i="5" s="1"/>
  <c r="R736" i="5"/>
  <c r="AH736" i="5" s="1"/>
  <c r="R740" i="5"/>
  <c r="AH740" i="5" s="1"/>
  <c r="R744" i="5"/>
  <c r="AH744" i="5" s="1"/>
  <c r="R748" i="5"/>
  <c r="AH748" i="5" s="1"/>
  <c r="R752" i="5"/>
  <c r="AH752" i="5" s="1"/>
  <c r="R756" i="5"/>
  <c r="AH756" i="5" s="1"/>
  <c r="R760" i="5"/>
  <c r="AH760" i="5" s="1"/>
  <c r="R764" i="5"/>
  <c r="AH764" i="5" s="1"/>
  <c r="R768" i="5"/>
  <c r="AH768" i="5" s="1"/>
  <c r="R687" i="5"/>
  <c r="AH687" i="5" s="1"/>
  <c r="R691" i="5"/>
  <c r="AH691" i="5" s="1"/>
  <c r="R695" i="5"/>
  <c r="AH695" i="5" s="1"/>
  <c r="R699" i="5"/>
  <c r="AH699" i="5" s="1"/>
  <c r="R703" i="5"/>
  <c r="AH703" i="5" s="1"/>
  <c r="R707" i="5"/>
  <c r="AH707" i="5" s="1"/>
  <c r="R711" i="5"/>
  <c r="AH711" i="5" s="1"/>
  <c r="R715" i="5"/>
  <c r="AH715" i="5" s="1"/>
  <c r="R719" i="5"/>
  <c r="AH719" i="5" s="1"/>
  <c r="R723" i="5"/>
  <c r="AH723" i="5" s="1"/>
  <c r="R727" i="5"/>
  <c r="AH727" i="5" s="1"/>
  <c r="R731" i="5"/>
  <c r="AH731" i="5" s="1"/>
  <c r="R735" i="5"/>
  <c r="AH735" i="5" s="1"/>
  <c r="R739" i="5"/>
  <c r="AH739" i="5" s="1"/>
  <c r="R743" i="5"/>
  <c r="AH743" i="5" s="1"/>
  <c r="R747" i="5"/>
  <c r="AH747" i="5" s="1"/>
  <c r="R751" i="5"/>
  <c r="AH751" i="5" s="1"/>
  <c r="R755" i="5"/>
  <c r="AH755" i="5" s="1"/>
  <c r="R759" i="5"/>
  <c r="AH759" i="5" s="1"/>
  <c r="R763" i="5"/>
  <c r="AH763" i="5" s="1"/>
  <c r="R767" i="5"/>
  <c r="AH767" i="5" s="1"/>
  <c r="R776" i="5"/>
  <c r="AH776" i="5" s="1"/>
  <c r="R778" i="5"/>
  <c r="AH778" i="5" s="1"/>
  <c r="R686" i="5"/>
  <c r="AH686" i="5" s="1"/>
  <c r="R690" i="5"/>
  <c r="AH690" i="5" s="1"/>
  <c r="R694" i="5"/>
  <c r="AH694" i="5" s="1"/>
  <c r="R698" i="5"/>
  <c r="AH698" i="5" s="1"/>
  <c r="R702" i="5"/>
  <c r="AH702" i="5" s="1"/>
  <c r="R706" i="5"/>
  <c r="AH706" i="5" s="1"/>
  <c r="R710" i="5"/>
  <c r="AH710" i="5" s="1"/>
  <c r="R714" i="5"/>
  <c r="AH714" i="5" s="1"/>
  <c r="R718" i="5"/>
  <c r="AH718" i="5" s="1"/>
  <c r="R722" i="5"/>
  <c r="AH722" i="5" s="1"/>
  <c r="R726" i="5"/>
  <c r="AH726" i="5" s="1"/>
  <c r="R730" i="5"/>
  <c r="AH730" i="5" s="1"/>
  <c r="R734" i="5"/>
  <c r="AH734" i="5" s="1"/>
  <c r="R738" i="5"/>
  <c r="AH738" i="5" s="1"/>
  <c r="R742" i="5"/>
  <c r="AH742" i="5" s="1"/>
  <c r="R746" i="5"/>
  <c r="AH746" i="5" s="1"/>
  <c r="R750" i="5"/>
  <c r="AH750" i="5" s="1"/>
  <c r="R754" i="5"/>
  <c r="AH754" i="5" s="1"/>
  <c r="R758" i="5"/>
  <c r="AH758" i="5" s="1"/>
  <c r="R762" i="5"/>
  <c r="AH762" i="5" s="1"/>
  <c r="R766" i="5"/>
  <c r="AH766" i="5" s="1"/>
  <c r="R771" i="5"/>
  <c r="AH771" i="5" s="1"/>
  <c r="R773" i="5"/>
  <c r="AH773" i="5" s="1"/>
  <c r="R775" i="5"/>
  <c r="AH775" i="5" s="1"/>
  <c r="R777" i="5"/>
  <c r="AH777" i="5" s="1"/>
  <c r="R833" i="5"/>
  <c r="AH833" i="5" s="1"/>
  <c r="R837" i="5"/>
  <c r="AH837" i="5" s="1"/>
  <c r="R841" i="5"/>
  <c r="AH841" i="5" s="1"/>
  <c r="R845" i="5"/>
  <c r="AH845" i="5" s="1"/>
  <c r="R849" i="5"/>
  <c r="AH849" i="5" s="1"/>
  <c r="R853" i="5"/>
  <c r="AH853" i="5" s="1"/>
  <c r="R857" i="5"/>
  <c r="AH857" i="5" s="1"/>
  <c r="R861" i="5"/>
  <c r="AH861" i="5" s="1"/>
  <c r="R865" i="5"/>
  <c r="AH865" i="5" s="1"/>
  <c r="R831" i="5"/>
  <c r="AH831" i="5" s="1"/>
  <c r="R835" i="5"/>
  <c r="AH835" i="5" s="1"/>
  <c r="R839" i="5"/>
  <c r="AH839" i="5" s="1"/>
  <c r="R843" i="5"/>
  <c r="AH843" i="5" s="1"/>
  <c r="R847" i="5"/>
  <c r="AH847" i="5" s="1"/>
  <c r="R851" i="5"/>
  <c r="AH851" i="5" s="1"/>
  <c r="R855" i="5"/>
  <c r="AH855" i="5" s="1"/>
  <c r="R859" i="5"/>
  <c r="AH859" i="5" s="1"/>
  <c r="R863" i="5"/>
  <c r="AH863" i="5" s="1"/>
  <c r="R874" i="5"/>
  <c r="AH874" i="5" s="1"/>
  <c r="R876" i="5"/>
  <c r="AH876" i="5" s="1"/>
  <c r="R883" i="5"/>
  <c r="AH883" i="5" s="1"/>
  <c r="R884" i="5"/>
  <c r="AH884" i="5" s="1"/>
  <c r="R829" i="5"/>
  <c r="AH829" i="5" s="1"/>
  <c r="R922" i="5"/>
  <c r="AH922" i="5" s="1"/>
  <c r="R926" i="5"/>
  <c r="AH926" i="5" s="1"/>
  <c r="R930" i="5"/>
  <c r="AH930" i="5" s="1"/>
  <c r="R934" i="5"/>
  <c r="AH934" i="5" s="1"/>
  <c r="R938" i="5"/>
  <c r="AH938" i="5" s="1"/>
  <c r="R942" i="5"/>
  <c r="AH942" i="5" s="1"/>
  <c r="R946" i="5"/>
  <c r="AH946" i="5" s="1"/>
  <c r="R947" i="5"/>
  <c r="AH947" i="5" s="1"/>
  <c r="R954" i="5"/>
  <c r="AH954" i="5" s="1"/>
  <c r="R960" i="5"/>
  <c r="AH960" i="5" s="1"/>
  <c r="R961" i="5"/>
  <c r="AH961" i="5" s="1"/>
  <c r="R967" i="5"/>
  <c r="AH967" i="5" s="1"/>
  <c r="R970" i="5"/>
  <c r="AH970" i="5" s="1"/>
  <c r="R920" i="5"/>
  <c r="AH920" i="5" s="1"/>
  <c r="R955" i="5"/>
  <c r="AH955" i="5" s="1"/>
  <c r="R971" i="5"/>
  <c r="AH971" i="5" s="1"/>
  <c r="R924" i="5"/>
  <c r="AH924" i="5" s="1"/>
  <c r="R928" i="5"/>
  <c r="AH928" i="5" s="1"/>
  <c r="R932" i="5"/>
  <c r="AH932" i="5" s="1"/>
  <c r="R936" i="5"/>
  <c r="AH936" i="5" s="1"/>
  <c r="R940" i="5"/>
  <c r="AH940" i="5" s="1"/>
  <c r="R944" i="5"/>
  <c r="AH944" i="5" s="1"/>
  <c r="R950" i="5"/>
  <c r="AH950" i="5" s="1"/>
  <c r="R951" i="5"/>
  <c r="AH951" i="5" s="1"/>
  <c r="R959" i="5"/>
  <c r="AH959" i="5" s="1"/>
  <c r="R962" i="5"/>
  <c r="AH962" i="5" s="1"/>
  <c r="R968" i="5"/>
  <c r="AH968" i="5" s="1"/>
  <c r="R969" i="5"/>
  <c r="AH969" i="5" s="1"/>
  <c r="R975" i="5"/>
  <c r="AH975" i="5" s="1"/>
  <c r="R983" i="5"/>
  <c r="AH983" i="5" s="1"/>
  <c r="R992" i="5"/>
  <c r="AH992" i="5" s="1"/>
  <c r="R997" i="5"/>
  <c r="AH997" i="5" s="1"/>
  <c r="R1000" i="5"/>
  <c r="AH1000" i="5" s="1"/>
  <c r="R1005" i="5"/>
  <c r="AH1005" i="5" s="1"/>
  <c r="R1008" i="5"/>
  <c r="AH1008" i="5" s="1"/>
  <c r="R1013" i="5"/>
  <c r="AH1013" i="5" s="1"/>
  <c r="R1016" i="5"/>
  <c r="AH1016" i="5" s="1"/>
  <c r="R1021" i="5"/>
  <c r="AH1021" i="5" s="1"/>
  <c r="R1024" i="5"/>
  <c r="AH1024" i="5" s="1"/>
  <c r="R1029" i="5"/>
  <c r="AH1029" i="5" s="1"/>
  <c r="R1032" i="5"/>
  <c r="AH1032" i="5" s="1"/>
  <c r="R1037" i="5"/>
  <c r="AH1037" i="5" s="1"/>
  <c r="R1040" i="5"/>
  <c r="AH1040" i="5" s="1"/>
  <c r="R1048" i="5"/>
  <c r="AH1048" i="5" s="1"/>
  <c r="R1056" i="5"/>
  <c r="AH1056" i="5" s="1"/>
  <c r="R1067" i="5"/>
  <c r="AH1067" i="5" s="1"/>
  <c r="R977" i="5"/>
  <c r="AH977" i="5" s="1"/>
  <c r="R985" i="5"/>
  <c r="AH985" i="5" s="1"/>
  <c r="R990" i="5"/>
  <c r="AH990" i="5" s="1"/>
  <c r="R998" i="5"/>
  <c r="AH998" i="5" s="1"/>
  <c r="R1006" i="5"/>
  <c r="AH1006" i="5" s="1"/>
  <c r="R1014" i="5"/>
  <c r="AH1014" i="5" s="1"/>
  <c r="R1022" i="5"/>
  <c r="AH1022" i="5" s="1"/>
  <c r="R1030" i="5"/>
  <c r="AH1030" i="5" s="1"/>
  <c r="R1038" i="5"/>
  <c r="AH1038" i="5" s="1"/>
  <c r="R1045" i="5"/>
  <c r="AH1045" i="5" s="1"/>
  <c r="R1046" i="5"/>
  <c r="AH1046" i="5" s="1"/>
  <c r="R1053" i="5"/>
  <c r="AH1053" i="5" s="1"/>
  <c r="R1054" i="5"/>
  <c r="AH1054" i="5" s="1"/>
  <c r="R1061" i="5"/>
  <c r="AH1061" i="5" s="1"/>
  <c r="R1062" i="5"/>
  <c r="AH1062" i="5" s="1"/>
  <c r="R1063" i="5"/>
  <c r="AH1063" i="5" s="1"/>
  <c r="R979" i="5"/>
  <c r="AH979" i="5" s="1"/>
  <c r="R987" i="5"/>
  <c r="AH987" i="5" s="1"/>
  <c r="R1004" i="5"/>
  <c r="AH1004" i="5" s="1"/>
  <c r="R1020" i="5"/>
  <c r="AH1020" i="5" s="1"/>
  <c r="R1028" i="5"/>
  <c r="AH1028" i="5" s="1"/>
  <c r="R1036" i="5"/>
  <c r="AH1036" i="5" s="1"/>
  <c r="R1044" i="5"/>
  <c r="AH1044" i="5" s="1"/>
  <c r="R1052" i="5"/>
  <c r="AH1052" i="5" s="1"/>
  <c r="R1060" i="5"/>
  <c r="AH1060" i="5" s="1"/>
  <c r="R981" i="5"/>
  <c r="AH981" i="5" s="1"/>
  <c r="R989" i="5"/>
  <c r="AH989" i="5" s="1"/>
  <c r="R994" i="5"/>
  <c r="AH994" i="5" s="1"/>
  <c r="R995" i="5"/>
  <c r="AH995" i="5" s="1"/>
  <c r="R1002" i="5"/>
  <c r="AH1002" i="5" s="1"/>
  <c r="R1003" i="5"/>
  <c r="AH1003" i="5" s="1"/>
  <c r="R1010" i="5"/>
  <c r="AH1010" i="5" s="1"/>
  <c r="R1011" i="5"/>
  <c r="AH1011" i="5" s="1"/>
  <c r="R1018" i="5"/>
  <c r="AH1018" i="5" s="1"/>
  <c r="R1019" i="5"/>
  <c r="AH1019" i="5" s="1"/>
  <c r="R1026" i="5"/>
  <c r="AH1026" i="5" s="1"/>
  <c r="R1034" i="5"/>
  <c r="AH1034" i="5" s="1"/>
  <c r="R1050" i="5"/>
  <c r="AH1050" i="5" s="1"/>
  <c r="R1051" i="5"/>
  <c r="AH1051" i="5" s="1"/>
  <c r="R1058" i="5"/>
  <c r="AH1058" i="5" s="1"/>
  <c r="R1059" i="5"/>
  <c r="AH1059" i="5" s="1"/>
  <c r="R1066" i="5"/>
  <c r="AH1066" i="5" s="1"/>
  <c r="R1076" i="5"/>
  <c r="AH1076" i="5" s="1"/>
  <c r="R1077" i="5"/>
  <c r="AH1077" i="5" s="1"/>
  <c r="R1078" i="5"/>
  <c r="AH1078" i="5" s="1"/>
  <c r="R1085" i="5"/>
  <c r="AH1085" i="5" s="1"/>
  <c r="R1086" i="5"/>
  <c r="AH1086" i="5" s="1"/>
  <c r="R1093" i="5"/>
  <c r="AH1093" i="5" s="1"/>
  <c r="R1094" i="5"/>
  <c r="AH1094" i="5" s="1"/>
  <c r="R1101" i="5"/>
  <c r="AH1101" i="5" s="1"/>
  <c r="R1102" i="5"/>
  <c r="AH1102" i="5" s="1"/>
  <c r="R1109" i="5"/>
  <c r="AH1109" i="5" s="1"/>
  <c r="R1110" i="5"/>
  <c r="AH1110" i="5" s="1"/>
  <c r="R1117" i="5"/>
  <c r="AH1117" i="5" s="1"/>
  <c r="R1118" i="5"/>
  <c r="AH1118" i="5" s="1"/>
  <c r="R1125" i="5"/>
  <c r="AH1125" i="5" s="1"/>
  <c r="R1126" i="5"/>
  <c r="AH1126" i="5" s="1"/>
  <c r="R1133" i="5"/>
  <c r="AH1133" i="5" s="1"/>
  <c r="R1134" i="5"/>
  <c r="AH1134" i="5" s="1"/>
  <c r="R1141" i="5"/>
  <c r="AH1141" i="5" s="1"/>
  <c r="R1142" i="5"/>
  <c r="AH1142" i="5" s="1"/>
  <c r="R1068" i="5"/>
  <c r="AH1068" i="5" s="1"/>
  <c r="R1070" i="5"/>
  <c r="AH1070" i="5" s="1"/>
  <c r="R1080" i="5"/>
  <c r="AH1080" i="5" s="1"/>
  <c r="R1081" i="5"/>
  <c r="AH1081" i="5" s="1"/>
  <c r="R1082" i="5"/>
  <c r="AH1082" i="5" s="1"/>
  <c r="R1088" i="5"/>
  <c r="AH1088" i="5" s="1"/>
  <c r="R1089" i="5"/>
  <c r="AH1089" i="5" s="1"/>
  <c r="R1090" i="5"/>
  <c r="AH1090" i="5" s="1"/>
  <c r="R1096" i="5"/>
  <c r="AH1096" i="5" s="1"/>
  <c r="R1097" i="5"/>
  <c r="AH1097" i="5" s="1"/>
  <c r="R1098" i="5"/>
  <c r="AH1098" i="5" s="1"/>
  <c r="R1104" i="5"/>
  <c r="AH1104" i="5" s="1"/>
  <c r="R1105" i="5"/>
  <c r="AH1105" i="5" s="1"/>
  <c r="R1106" i="5"/>
  <c r="AH1106" i="5" s="1"/>
  <c r="R1112" i="5"/>
  <c r="AH1112" i="5" s="1"/>
  <c r="R1113" i="5"/>
  <c r="AH1113" i="5" s="1"/>
  <c r="R1114" i="5"/>
  <c r="AH1114" i="5" s="1"/>
  <c r="R1120" i="5"/>
  <c r="AH1120" i="5" s="1"/>
  <c r="R1121" i="5"/>
  <c r="AH1121" i="5" s="1"/>
  <c r="R1122" i="5"/>
  <c r="AH1122" i="5" s="1"/>
  <c r="R1128" i="5"/>
  <c r="AH1128" i="5" s="1"/>
  <c r="R1129" i="5"/>
  <c r="AH1129" i="5" s="1"/>
  <c r="R1130" i="5"/>
  <c r="AH1130" i="5" s="1"/>
  <c r="R1137" i="5"/>
  <c r="AH1137" i="5" s="1"/>
  <c r="R1138" i="5"/>
  <c r="AH1138" i="5" s="1"/>
  <c r="R1072" i="5"/>
  <c r="AH1072" i="5" s="1"/>
  <c r="R1074" i="5"/>
  <c r="AH1074" i="5" s="1"/>
  <c r="R1147" i="5"/>
  <c r="AH1147" i="5" s="1"/>
  <c r="R1149" i="5"/>
  <c r="AH1149" i="5" s="1"/>
  <c r="R1155" i="5"/>
  <c r="AH1155" i="5" s="1"/>
  <c r="R1157" i="5"/>
  <c r="AH1157" i="5" s="1"/>
  <c r="R1164" i="5"/>
  <c r="AH1164" i="5" s="1"/>
  <c r="R1165" i="5"/>
  <c r="AH1165" i="5" s="1"/>
  <c r="R1172" i="5"/>
  <c r="AH1172" i="5" s="1"/>
  <c r="R1173" i="5"/>
  <c r="AH1173" i="5" s="1"/>
  <c r="R1180" i="5"/>
  <c r="AH1180" i="5" s="1"/>
  <c r="R1188" i="5"/>
  <c r="AH1188" i="5" s="1"/>
  <c r="R1202" i="5"/>
  <c r="AH1202" i="5" s="1"/>
  <c r="R1145" i="5"/>
  <c r="AH1145" i="5" s="1"/>
  <c r="R1181" i="5"/>
  <c r="AH1181" i="5" s="1"/>
  <c r="R1189" i="5"/>
  <c r="AH1189" i="5" s="1"/>
  <c r="R1190" i="5"/>
  <c r="AH1190" i="5" s="1"/>
  <c r="R1151" i="5"/>
  <c r="AH1151" i="5" s="1"/>
  <c r="R1153" i="5"/>
  <c r="AH1153" i="5" s="1"/>
  <c r="R1160" i="5"/>
  <c r="AH1160" i="5" s="1"/>
  <c r="R1161" i="5"/>
  <c r="AH1161" i="5" s="1"/>
  <c r="R1168" i="5"/>
  <c r="AH1168" i="5" s="1"/>
  <c r="R1169" i="5"/>
  <c r="AH1169" i="5" s="1"/>
  <c r="R1176" i="5"/>
  <c r="AH1176" i="5" s="1"/>
  <c r="R1177" i="5"/>
  <c r="AH1177" i="5" s="1"/>
  <c r="R1184" i="5"/>
  <c r="AH1184" i="5" s="1"/>
  <c r="R1192" i="5"/>
  <c r="AH1192" i="5" s="1"/>
  <c r="R1162" i="5"/>
  <c r="AH1162" i="5" s="1"/>
  <c r="R1193" i="5"/>
  <c r="AH1193" i="5" s="1"/>
  <c r="R1205" i="5"/>
  <c r="AH1205" i="5" s="1"/>
  <c r="R1208" i="5"/>
  <c r="AH1208" i="5" s="1"/>
  <c r="R1214" i="5"/>
  <c r="AH1214" i="5" s="1"/>
  <c r="R1215" i="5"/>
  <c r="AH1215" i="5" s="1"/>
  <c r="R1221" i="5"/>
  <c r="AH1221" i="5" s="1"/>
  <c r="R1224" i="5"/>
  <c r="AH1224" i="5" s="1"/>
  <c r="R1230" i="5"/>
  <c r="AH1230" i="5" s="1"/>
  <c r="R1231" i="5"/>
  <c r="AH1231" i="5" s="1"/>
  <c r="R1237" i="5"/>
  <c r="AH1237" i="5" s="1"/>
  <c r="R1240" i="5"/>
  <c r="AH1240" i="5" s="1"/>
  <c r="R1246" i="5"/>
  <c r="AH1246" i="5" s="1"/>
  <c r="R1247" i="5"/>
  <c r="AH1247" i="5" s="1"/>
  <c r="R1253" i="5"/>
  <c r="AH1253" i="5" s="1"/>
  <c r="R1256" i="5"/>
  <c r="AH1256" i="5" s="1"/>
  <c r="R1262" i="5"/>
  <c r="AH1262" i="5" s="1"/>
  <c r="R1263" i="5"/>
  <c r="AH1263" i="5" s="1"/>
  <c r="R1196" i="5"/>
  <c r="AH1196" i="5" s="1"/>
  <c r="R1197" i="5"/>
  <c r="AH1197" i="5" s="1"/>
  <c r="R1225" i="5"/>
  <c r="AH1225" i="5" s="1"/>
  <c r="R1241" i="5"/>
  <c r="AH1241" i="5" s="1"/>
  <c r="R1257" i="5"/>
  <c r="AH1257" i="5" s="1"/>
  <c r="R1206" i="5"/>
  <c r="AH1206" i="5" s="1"/>
  <c r="R1207" i="5"/>
  <c r="AH1207" i="5" s="1"/>
  <c r="R1213" i="5"/>
  <c r="AH1213" i="5" s="1"/>
  <c r="R1216" i="5"/>
  <c r="AH1216" i="5" s="1"/>
  <c r="R1222" i="5"/>
  <c r="AH1222" i="5" s="1"/>
  <c r="R1223" i="5"/>
  <c r="AH1223" i="5" s="1"/>
  <c r="R1229" i="5"/>
  <c r="AH1229" i="5" s="1"/>
  <c r="R1232" i="5"/>
  <c r="AH1232" i="5" s="1"/>
  <c r="R1238" i="5"/>
  <c r="AH1238" i="5" s="1"/>
  <c r="R1239" i="5"/>
  <c r="AH1239" i="5" s="1"/>
  <c r="R1245" i="5"/>
  <c r="AH1245" i="5" s="1"/>
  <c r="R1248" i="5"/>
  <c r="AH1248" i="5" s="1"/>
  <c r="R1254" i="5"/>
  <c r="AH1254" i="5" s="1"/>
  <c r="R1255" i="5"/>
  <c r="AH1255" i="5" s="1"/>
  <c r="R1261" i="5"/>
  <c r="AH1261" i="5" s="1"/>
  <c r="R1217" i="5"/>
  <c r="AH1217" i="5" s="1"/>
  <c r="R1249" i="5"/>
  <c r="AH1249" i="5" s="1"/>
  <c r="X951" i="3"/>
  <c r="U951" i="3"/>
  <c r="Q951" i="3"/>
  <c r="P951" i="3"/>
  <c r="N951" i="3"/>
  <c r="L951" i="3"/>
  <c r="H951" i="3"/>
  <c r="O951" i="3" s="1"/>
  <c r="D951" i="3"/>
  <c r="M951" i="3" s="1"/>
  <c r="X950" i="3"/>
  <c r="U950" i="3"/>
  <c r="Q950" i="3"/>
  <c r="P950" i="3"/>
  <c r="N950" i="3"/>
  <c r="L950" i="3"/>
  <c r="H950" i="3"/>
  <c r="O950" i="3" s="1"/>
  <c r="D950" i="3"/>
  <c r="M950" i="3" s="1"/>
  <c r="X949" i="3"/>
  <c r="U949" i="3"/>
  <c r="Q949" i="3"/>
  <c r="P949" i="3"/>
  <c r="N949" i="3"/>
  <c r="L949" i="3"/>
  <c r="H949" i="3"/>
  <c r="O949" i="3" s="1"/>
  <c r="D949" i="3"/>
  <c r="M949" i="3" s="1"/>
  <c r="X948" i="3"/>
  <c r="U948" i="3"/>
  <c r="Q948" i="3"/>
  <c r="P948" i="3"/>
  <c r="N948" i="3"/>
  <c r="L948" i="3"/>
  <c r="H948" i="3"/>
  <c r="O948" i="3" s="1"/>
  <c r="D948" i="3"/>
  <c r="M948" i="3" s="1"/>
  <c r="X947" i="3"/>
  <c r="U947" i="3"/>
  <c r="Q947" i="3"/>
  <c r="P947" i="3"/>
  <c r="N947" i="3"/>
  <c r="L947" i="3"/>
  <c r="H947" i="3"/>
  <c r="O947" i="3" s="1"/>
  <c r="D947" i="3"/>
  <c r="M947" i="3" s="1"/>
  <c r="X946" i="3"/>
  <c r="U946" i="3"/>
  <c r="Q946" i="3"/>
  <c r="P946" i="3"/>
  <c r="N946" i="3"/>
  <c r="L946" i="3"/>
  <c r="H946" i="3"/>
  <c r="O946" i="3" s="1"/>
  <c r="D946" i="3"/>
  <c r="M946" i="3" s="1"/>
  <c r="X945" i="3"/>
  <c r="U945" i="3"/>
  <c r="Q945" i="3"/>
  <c r="P945" i="3"/>
  <c r="N945" i="3"/>
  <c r="L945" i="3"/>
  <c r="H945" i="3"/>
  <c r="O945" i="3" s="1"/>
  <c r="D945" i="3"/>
  <c r="M945" i="3" s="1"/>
  <c r="X944" i="3"/>
  <c r="U944" i="3"/>
  <c r="Q944" i="3"/>
  <c r="P944" i="3"/>
  <c r="N944" i="3"/>
  <c r="L944" i="3"/>
  <c r="H944" i="3"/>
  <c r="O944" i="3" s="1"/>
  <c r="D944" i="3"/>
  <c r="M944" i="3" s="1"/>
  <c r="X943" i="3"/>
  <c r="U943" i="3"/>
  <c r="Q943" i="3"/>
  <c r="P943" i="3"/>
  <c r="N943" i="3"/>
  <c r="L943" i="3"/>
  <c r="H943" i="3"/>
  <c r="O943" i="3" s="1"/>
  <c r="D943" i="3"/>
  <c r="M943" i="3" s="1"/>
  <c r="X942" i="3"/>
  <c r="U942" i="3"/>
  <c r="Q942" i="3"/>
  <c r="P942" i="3"/>
  <c r="N942" i="3"/>
  <c r="L942" i="3"/>
  <c r="H942" i="3"/>
  <c r="O942" i="3" s="1"/>
  <c r="D942" i="3"/>
  <c r="M942" i="3" s="1"/>
  <c r="X941" i="3"/>
  <c r="U941" i="3"/>
  <c r="Q941" i="3"/>
  <c r="P941" i="3"/>
  <c r="N941" i="3"/>
  <c r="L941" i="3"/>
  <c r="H941" i="3"/>
  <c r="O941" i="3" s="1"/>
  <c r="D941" i="3"/>
  <c r="M941" i="3" s="1"/>
  <c r="X940" i="3"/>
  <c r="U940" i="3"/>
  <c r="Q940" i="3"/>
  <c r="P940" i="3"/>
  <c r="N940" i="3"/>
  <c r="L940" i="3"/>
  <c r="H940" i="3"/>
  <c r="O940" i="3" s="1"/>
  <c r="D940" i="3"/>
  <c r="M940" i="3" s="1"/>
  <c r="X939" i="3"/>
  <c r="U939" i="3"/>
  <c r="Q939" i="3"/>
  <c r="P939" i="3"/>
  <c r="N939" i="3"/>
  <c r="L939" i="3"/>
  <c r="H939" i="3"/>
  <c r="O939" i="3" s="1"/>
  <c r="D939" i="3"/>
  <c r="M939" i="3" s="1"/>
  <c r="X938" i="3"/>
  <c r="U938" i="3"/>
  <c r="Q938" i="3"/>
  <c r="P938" i="3"/>
  <c r="N938" i="3"/>
  <c r="L938" i="3"/>
  <c r="H938" i="3"/>
  <c r="O938" i="3" s="1"/>
  <c r="D938" i="3"/>
  <c r="M938" i="3" s="1"/>
  <c r="X937" i="3"/>
  <c r="U937" i="3"/>
  <c r="Q937" i="3"/>
  <c r="P937" i="3"/>
  <c r="N937" i="3"/>
  <c r="L937" i="3"/>
  <c r="H937" i="3"/>
  <c r="O937" i="3" s="1"/>
  <c r="D937" i="3"/>
  <c r="M937" i="3" s="1"/>
  <c r="R937" i="3" s="1"/>
  <c r="X936" i="3"/>
  <c r="U936" i="3"/>
  <c r="Q936" i="3"/>
  <c r="P936" i="3"/>
  <c r="N936" i="3"/>
  <c r="L936" i="3"/>
  <c r="H936" i="3"/>
  <c r="O936" i="3" s="1"/>
  <c r="D936" i="3"/>
  <c r="M936" i="3" s="1"/>
  <c r="X935" i="3"/>
  <c r="U935" i="3"/>
  <c r="Q935" i="3"/>
  <c r="P935" i="3"/>
  <c r="N935" i="3"/>
  <c r="L935" i="3"/>
  <c r="H935" i="3"/>
  <c r="O935" i="3" s="1"/>
  <c r="D935" i="3"/>
  <c r="M935" i="3" s="1"/>
  <c r="X934" i="3"/>
  <c r="U934" i="3"/>
  <c r="Q934" i="3"/>
  <c r="P934" i="3"/>
  <c r="N934" i="3"/>
  <c r="L934" i="3"/>
  <c r="H934" i="3"/>
  <c r="O934" i="3" s="1"/>
  <c r="D934" i="3"/>
  <c r="M934" i="3" s="1"/>
  <c r="X933" i="3"/>
  <c r="U933" i="3"/>
  <c r="Q933" i="3"/>
  <c r="P933" i="3"/>
  <c r="N933" i="3"/>
  <c r="L933" i="3"/>
  <c r="H933" i="3"/>
  <c r="O933" i="3" s="1"/>
  <c r="D933" i="3"/>
  <c r="M933" i="3" s="1"/>
  <c r="X932" i="3"/>
  <c r="U932" i="3"/>
  <c r="Q932" i="3"/>
  <c r="P932" i="3"/>
  <c r="N932" i="3"/>
  <c r="L932" i="3"/>
  <c r="H932" i="3"/>
  <c r="O932" i="3" s="1"/>
  <c r="D932" i="3"/>
  <c r="M932" i="3" s="1"/>
  <c r="X931" i="3"/>
  <c r="U931" i="3"/>
  <c r="Q931" i="3"/>
  <c r="P931" i="3"/>
  <c r="N931" i="3"/>
  <c r="L931" i="3"/>
  <c r="H931" i="3"/>
  <c r="O931" i="3" s="1"/>
  <c r="D931" i="3"/>
  <c r="M931" i="3" s="1"/>
  <c r="X930" i="3"/>
  <c r="U930" i="3"/>
  <c r="Q930" i="3"/>
  <c r="P930" i="3"/>
  <c r="N930" i="3"/>
  <c r="L930" i="3"/>
  <c r="H930" i="3"/>
  <c r="O930" i="3" s="1"/>
  <c r="D930" i="3"/>
  <c r="M930" i="3" s="1"/>
  <c r="X929" i="3"/>
  <c r="U929" i="3"/>
  <c r="Q929" i="3"/>
  <c r="P929" i="3"/>
  <c r="N929" i="3"/>
  <c r="L929" i="3"/>
  <c r="H929" i="3"/>
  <c r="O929" i="3" s="1"/>
  <c r="D929" i="3"/>
  <c r="M929" i="3" s="1"/>
  <c r="X928" i="3"/>
  <c r="U928" i="3"/>
  <c r="Q928" i="3"/>
  <c r="P928" i="3"/>
  <c r="N928" i="3"/>
  <c r="L928" i="3"/>
  <c r="H928" i="3"/>
  <c r="O928" i="3" s="1"/>
  <c r="D928" i="3"/>
  <c r="M928" i="3" s="1"/>
  <c r="X927" i="3"/>
  <c r="U927" i="3"/>
  <c r="Q927" i="3"/>
  <c r="P927" i="3"/>
  <c r="N927" i="3"/>
  <c r="L927" i="3"/>
  <c r="H927" i="3"/>
  <c r="O927" i="3" s="1"/>
  <c r="D927" i="3"/>
  <c r="M927" i="3" s="1"/>
  <c r="X926" i="3"/>
  <c r="U926" i="3"/>
  <c r="Q926" i="3"/>
  <c r="P926" i="3"/>
  <c r="N926" i="3"/>
  <c r="L926" i="3"/>
  <c r="H926" i="3"/>
  <c r="O926" i="3" s="1"/>
  <c r="D926" i="3"/>
  <c r="M926" i="3" s="1"/>
  <c r="X925" i="3"/>
  <c r="U925" i="3"/>
  <c r="Q925" i="3"/>
  <c r="P925" i="3"/>
  <c r="N925" i="3"/>
  <c r="L925" i="3"/>
  <c r="H925" i="3"/>
  <c r="O925" i="3" s="1"/>
  <c r="D925" i="3"/>
  <c r="M925" i="3" s="1"/>
  <c r="X924" i="3"/>
  <c r="U924" i="3"/>
  <c r="Q924" i="3"/>
  <c r="P924" i="3"/>
  <c r="N924" i="3"/>
  <c r="L924" i="3"/>
  <c r="H924" i="3"/>
  <c r="O924" i="3" s="1"/>
  <c r="D924" i="3"/>
  <c r="M924" i="3" s="1"/>
  <c r="X923" i="3"/>
  <c r="U923" i="3"/>
  <c r="Q923" i="3"/>
  <c r="P923" i="3"/>
  <c r="N923" i="3"/>
  <c r="L923" i="3"/>
  <c r="H923" i="3"/>
  <c r="O923" i="3" s="1"/>
  <c r="D923" i="3"/>
  <c r="M923" i="3" s="1"/>
  <c r="X922" i="3"/>
  <c r="U922" i="3"/>
  <c r="Q922" i="3"/>
  <c r="P922" i="3"/>
  <c r="N922" i="3"/>
  <c r="L922" i="3"/>
  <c r="H922" i="3"/>
  <c r="O922" i="3" s="1"/>
  <c r="D922" i="3"/>
  <c r="M922" i="3" s="1"/>
  <c r="X921" i="3"/>
  <c r="U921" i="3"/>
  <c r="Q921" i="3"/>
  <c r="P921" i="3"/>
  <c r="N921" i="3"/>
  <c r="L921" i="3"/>
  <c r="H921" i="3"/>
  <c r="O921" i="3" s="1"/>
  <c r="D921" i="3"/>
  <c r="M921" i="3" s="1"/>
  <c r="X920" i="3"/>
  <c r="U920" i="3"/>
  <c r="Q920" i="3"/>
  <c r="P920" i="3"/>
  <c r="N920" i="3"/>
  <c r="L920" i="3"/>
  <c r="H920" i="3"/>
  <c r="O920" i="3" s="1"/>
  <c r="D920" i="3"/>
  <c r="M920" i="3" s="1"/>
  <c r="X919" i="3"/>
  <c r="U919" i="3"/>
  <c r="Q919" i="3"/>
  <c r="P919" i="3"/>
  <c r="N919" i="3"/>
  <c r="L919" i="3"/>
  <c r="H919" i="3"/>
  <c r="O919" i="3" s="1"/>
  <c r="D919" i="3"/>
  <c r="M919" i="3" s="1"/>
  <c r="X918" i="3"/>
  <c r="U918" i="3"/>
  <c r="Q918" i="3"/>
  <c r="P918" i="3"/>
  <c r="N918" i="3"/>
  <c r="L918" i="3"/>
  <c r="H918" i="3"/>
  <c r="O918" i="3" s="1"/>
  <c r="D918" i="3"/>
  <c r="M918" i="3" s="1"/>
  <c r="X917" i="3"/>
  <c r="U917" i="3"/>
  <c r="Q917" i="3"/>
  <c r="P917" i="3"/>
  <c r="N917" i="3"/>
  <c r="L917" i="3"/>
  <c r="H917" i="3"/>
  <c r="O917" i="3" s="1"/>
  <c r="D917" i="3"/>
  <c r="M917" i="3" s="1"/>
  <c r="X916" i="3"/>
  <c r="U916" i="3"/>
  <c r="Q916" i="3"/>
  <c r="P916" i="3"/>
  <c r="N916" i="3"/>
  <c r="L916" i="3"/>
  <c r="H916" i="3"/>
  <c r="O916" i="3" s="1"/>
  <c r="D916" i="3"/>
  <c r="M916" i="3" s="1"/>
  <c r="X915" i="3"/>
  <c r="U915" i="3"/>
  <c r="Q915" i="3"/>
  <c r="P915" i="3"/>
  <c r="N915" i="3"/>
  <c r="L915" i="3"/>
  <c r="H915" i="3"/>
  <c r="O915" i="3" s="1"/>
  <c r="D915" i="3"/>
  <c r="M915" i="3" s="1"/>
  <c r="X914" i="3"/>
  <c r="U914" i="3"/>
  <c r="Q914" i="3"/>
  <c r="P914" i="3"/>
  <c r="N914" i="3"/>
  <c r="L914" i="3"/>
  <c r="H914" i="3"/>
  <c r="O914" i="3" s="1"/>
  <c r="D914" i="3"/>
  <c r="M914" i="3" s="1"/>
  <c r="X913" i="3"/>
  <c r="U913" i="3"/>
  <c r="Q913" i="3"/>
  <c r="P913" i="3"/>
  <c r="N913" i="3"/>
  <c r="L913" i="3"/>
  <c r="H913" i="3"/>
  <c r="O913" i="3" s="1"/>
  <c r="D913" i="3"/>
  <c r="M913" i="3" s="1"/>
  <c r="X912" i="3"/>
  <c r="U912" i="3"/>
  <c r="Q912" i="3"/>
  <c r="P912" i="3"/>
  <c r="N912" i="3"/>
  <c r="L912" i="3"/>
  <c r="H912" i="3"/>
  <c r="O912" i="3" s="1"/>
  <c r="D912" i="3"/>
  <c r="M912" i="3" s="1"/>
  <c r="X911" i="3"/>
  <c r="U911" i="3"/>
  <c r="Q911" i="3"/>
  <c r="P911" i="3"/>
  <c r="N911" i="3"/>
  <c r="L911" i="3"/>
  <c r="H911" i="3"/>
  <c r="O911" i="3" s="1"/>
  <c r="D911" i="3"/>
  <c r="M911" i="3" s="1"/>
  <c r="X910" i="3"/>
  <c r="U910" i="3"/>
  <c r="Q910" i="3"/>
  <c r="P910" i="3"/>
  <c r="N910" i="3"/>
  <c r="L910" i="3"/>
  <c r="H910" i="3"/>
  <c r="O910" i="3" s="1"/>
  <c r="D910" i="3"/>
  <c r="M910" i="3" s="1"/>
  <c r="X909" i="3"/>
  <c r="U909" i="3"/>
  <c r="Q909" i="3"/>
  <c r="P909" i="3"/>
  <c r="N909" i="3"/>
  <c r="L909" i="3"/>
  <c r="H909" i="3"/>
  <c r="O909" i="3" s="1"/>
  <c r="D909" i="3"/>
  <c r="M909" i="3" s="1"/>
  <c r="X908" i="3"/>
  <c r="U908" i="3"/>
  <c r="Q908" i="3"/>
  <c r="P908" i="3"/>
  <c r="N908" i="3"/>
  <c r="L908" i="3"/>
  <c r="H908" i="3"/>
  <c r="O908" i="3" s="1"/>
  <c r="D908" i="3"/>
  <c r="M908" i="3" s="1"/>
  <c r="X907" i="3"/>
  <c r="U907" i="3"/>
  <c r="Q907" i="3"/>
  <c r="P907" i="3"/>
  <c r="N907" i="3"/>
  <c r="L907" i="3"/>
  <c r="H907" i="3"/>
  <c r="O907" i="3" s="1"/>
  <c r="D907" i="3"/>
  <c r="M907" i="3" s="1"/>
  <c r="X906" i="3"/>
  <c r="U906" i="3"/>
  <c r="Q906" i="3"/>
  <c r="P906" i="3"/>
  <c r="N906" i="3"/>
  <c r="L906" i="3"/>
  <c r="H906" i="3"/>
  <c r="O906" i="3" s="1"/>
  <c r="D906" i="3"/>
  <c r="M906" i="3" s="1"/>
  <c r="X905" i="3"/>
  <c r="U905" i="3"/>
  <c r="Q905" i="3"/>
  <c r="P905" i="3"/>
  <c r="N905" i="3"/>
  <c r="L905" i="3"/>
  <c r="H905" i="3"/>
  <c r="O905" i="3" s="1"/>
  <c r="D905" i="3"/>
  <c r="M905" i="3" s="1"/>
  <c r="X904" i="3"/>
  <c r="U904" i="3"/>
  <c r="Q904" i="3"/>
  <c r="P904" i="3"/>
  <c r="N904" i="3"/>
  <c r="L904" i="3"/>
  <c r="H904" i="3"/>
  <c r="O904" i="3" s="1"/>
  <c r="D904" i="3"/>
  <c r="M904" i="3" s="1"/>
  <c r="X903" i="3"/>
  <c r="U903" i="3"/>
  <c r="Q903" i="3"/>
  <c r="P903" i="3"/>
  <c r="N903" i="3"/>
  <c r="L903" i="3"/>
  <c r="H903" i="3"/>
  <c r="O903" i="3" s="1"/>
  <c r="D903" i="3"/>
  <c r="M903" i="3" s="1"/>
  <c r="X902" i="3"/>
  <c r="U902" i="3"/>
  <c r="Q902" i="3"/>
  <c r="P902" i="3"/>
  <c r="N902" i="3"/>
  <c r="L902" i="3"/>
  <c r="H902" i="3"/>
  <c r="O902" i="3" s="1"/>
  <c r="D902" i="3"/>
  <c r="M902" i="3" s="1"/>
  <c r="X901" i="3"/>
  <c r="U901" i="3"/>
  <c r="Q901" i="3"/>
  <c r="P901" i="3"/>
  <c r="N901" i="3"/>
  <c r="L901" i="3"/>
  <c r="H901" i="3"/>
  <c r="O901" i="3" s="1"/>
  <c r="D901" i="3"/>
  <c r="M901" i="3" s="1"/>
  <c r="X900" i="3"/>
  <c r="U900" i="3"/>
  <c r="Q900" i="3"/>
  <c r="P900" i="3"/>
  <c r="N900" i="3"/>
  <c r="L900" i="3"/>
  <c r="H900" i="3"/>
  <c r="O900" i="3" s="1"/>
  <c r="D900" i="3"/>
  <c r="M900" i="3" s="1"/>
  <c r="X899" i="3"/>
  <c r="U899" i="3"/>
  <c r="Q899" i="3"/>
  <c r="P899" i="3"/>
  <c r="N899" i="3"/>
  <c r="L899" i="3"/>
  <c r="H899" i="3"/>
  <c r="O899" i="3" s="1"/>
  <c r="D899" i="3"/>
  <c r="M899" i="3" s="1"/>
  <c r="X898" i="3"/>
  <c r="U898" i="3"/>
  <c r="Q898" i="3"/>
  <c r="P898" i="3"/>
  <c r="N898" i="3"/>
  <c r="L898" i="3"/>
  <c r="H898" i="3"/>
  <c r="O898" i="3" s="1"/>
  <c r="D898" i="3"/>
  <c r="M898" i="3" s="1"/>
  <c r="X897" i="3"/>
  <c r="U897" i="3"/>
  <c r="Q897" i="3"/>
  <c r="P897" i="3"/>
  <c r="N897" i="3"/>
  <c r="L897" i="3"/>
  <c r="H897" i="3"/>
  <c r="O897" i="3" s="1"/>
  <c r="D897" i="3"/>
  <c r="M897" i="3" s="1"/>
  <c r="X896" i="3"/>
  <c r="U896" i="3"/>
  <c r="Q896" i="3"/>
  <c r="P896" i="3"/>
  <c r="N896" i="3"/>
  <c r="L896" i="3"/>
  <c r="H896" i="3"/>
  <c r="O896" i="3" s="1"/>
  <c r="D896" i="3"/>
  <c r="M896" i="3" s="1"/>
  <c r="X895" i="3"/>
  <c r="U895" i="3"/>
  <c r="Q895" i="3"/>
  <c r="P895" i="3"/>
  <c r="N895" i="3"/>
  <c r="L895" i="3"/>
  <c r="H895" i="3"/>
  <c r="O895" i="3" s="1"/>
  <c r="D895" i="3"/>
  <c r="M895" i="3" s="1"/>
  <c r="X894" i="3"/>
  <c r="U894" i="3"/>
  <c r="Q894" i="3"/>
  <c r="P894" i="3"/>
  <c r="N894" i="3"/>
  <c r="L894" i="3"/>
  <c r="H894" i="3"/>
  <c r="O894" i="3" s="1"/>
  <c r="D894" i="3"/>
  <c r="M894" i="3" s="1"/>
  <c r="X893" i="3"/>
  <c r="U893" i="3"/>
  <c r="Q893" i="3"/>
  <c r="P893" i="3"/>
  <c r="N893" i="3"/>
  <c r="L893" i="3"/>
  <c r="H893" i="3"/>
  <c r="O893" i="3" s="1"/>
  <c r="D893" i="3"/>
  <c r="M893" i="3" s="1"/>
  <c r="X892" i="3"/>
  <c r="U892" i="3"/>
  <c r="Q892" i="3"/>
  <c r="P892" i="3"/>
  <c r="N892" i="3"/>
  <c r="L892" i="3"/>
  <c r="H892" i="3"/>
  <c r="O892" i="3" s="1"/>
  <c r="D892" i="3"/>
  <c r="M892" i="3" s="1"/>
  <c r="X891" i="3"/>
  <c r="U891" i="3"/>
  <c r="Q891" i="3"/>
  <c r="P891" i="3"/>
  <c r="N891" i="3"/>
  <c r="L891" i="3"/>
  <c r="H891" i="3"/>
  <c r="O891" i="3" s="1"/>
  <c r="D891" i="3"/>
  <c r="M891" i="3" s="1"/>
  <c r="X890" i="3"/>
  <c r="U890" i="3"/>
  <c r="Q890" i="3"/>
  <c r="P890" i="3"/>
  <c r="N890" i="3"/>
  <c r="L890" i="3"/>
  <c r="H890" i="3"/>
  <c r="O890" i="3" s="1"/>
  <c r="D890" i="3"/>
  <c r="M890" i="3" s="1"/>
  <c r="X889" i="3"/>
  <c r="U889" i="3"/>
  <c r="Q889" i="3"/>
  <c r="P889" i="3"/>
  <c r="N889" i="3"/>
  <c r="L889" i="3"/>
  <c r="H889" i="3"/>
  <c r="O889" i="3" s="1"/>
  <c r="D889" i="3"/>
  <c r="M889" i="3" s="1"/>
  <c r="X888" i="3"/>
  <c r="U888" i="3"/>
  <c r="Q888" i="3"/>
  <c r="P888" i="3"/>
  <c r="N888" i="3"/>
  <c r="L888" i="3"/>
  <c r="H888" i="3"/>
  <c r="O888" i="3" s="1"/>
  <c r="D888" i="3"/>
  <c r="M888" i="3" s="1"/>
  <c r="X887" i="3"/>
  <c r="U887" i="3"/>
  <c r="Q887" i="3"/>
  <c r="P887" i="3"/>
  <c r="N887" i="3"/>
  <c r="L887" i="3"/>
  <c r="H887" i="3"/>
  <c r="O887" i="3" s="1"/>
  <c r="D887" i="3"/>
  <c r="M887" i="3" s="1"/>
  <c r="X886" i="3"/>
  <c r="U886" i="3"/>
  <c r="Q886" i="3"/>
  <c r="P886" i="3"/>
  <c r="N886" i="3"/>
  <c r="L886" i="3"/>
  <c r="H886" i="3"/>
  <c r="O886" i="3" s="1"/>
  <c r="D886" i="3"/>
  <c r="M886" i="3" s="1"/>
  <c r="X885" i="3"/>
  <c r="U885" i="3"/>
  <c r="Q885" i="3"/>
  <c r="P885" i="3"/>
  <c r="N885" i="3"/>
  <c r="L885" i="3"/>
  <c r="H885" i="3"/>
  <c r="O885" i="3" s="1"/>
  <c r="D885" i="3"/>
  <c r="M885" i="3" s="1"/>
  <c r="X884" i="3"/>
  <c r="U884" i="3"/>
  <c r="Q884" i="3"/>
  <c r="P884" i="3"/>
  <c r="N884" i="3"/>
  <c r="L884" i="3"/>
  <c r="H884" i="3"/>
  <c r="O884" i="3" s="1"/>
  <c r="D884" i="3"/>
  <c r="M884" i="3" s="1"/>
  <c r="X883" i="3"/>
  <c r="U883" i="3"/>
  <c r="Q883" i="3"/>
  <c r="P883" i="3"/>
  <c r="N883" i="3"/>
  <c r="L883" i="3"/>
  <c r="H883" i="3"/>
  <c r="O883" i="3" s="1"/>
  <c r="D883" i="3"/>
  <c r="M883" i="3" s="1"/>
  <c r="X882" i="3"/>
  <c r="U882" i="3"/>
  <c r="Q882" i="3"/>
  <c r="P882" i="3"/>
  <c r="N882" i="3"/>
  <c r="L882" i="3"/>
  <c r="H882" i="3"/>
  <c r="O882" i="3" s="1"/>
  <c r="D882" i="3"/>
  <c r="M882" i="3" s="1"/>
  <c r="X881" i="3"/>
  <c r="U881" i="3"/>
  <c r="Q881" i="3"/>
  <c r="P881" i="3"/>
  <c r="N881" i="3"/>
  <c r="L881" i="3"/>
  <c r="H881" i="3"/>
  <c r="O881" i="3" s="1"/>
  <c r="D881" i="3"/>
  <c r="M881" i="3" s="1"/>
  <c r="X880" i="3"/>
  <c r="U880" i="3"/>
  <c r="Q880" i="3"/>
  <c r="P880" i="3"/>
  <c r="N880" i="3"/>
  <c r="L880" i="3"/>
  <c r="H880" i="3"/>
  <c r="O880" i="3" s="1"/>
  <c r="D880" i="3"/>
  <c r="M880" i="3" s="1"/>
  <c r="X879" i="3"/>
  <c r="U879" i="3"/>
  <c r="Q879" i="3"/>
  <c r="P879" i="3"/>
  <c r="N879" i="3"/>
  <c r="L879" i="3"/>
  <c r="H879" i="3"/>
  <c r="O879" i="3" s="1"/>
  <c r="D879" i="3"/>
  <c r="M879" i="3" s="1"/>
  <c r="X878" i="3"/>
  <c r="U878" i="3"/>
  <c r="Q878" i="3"/>
  <c r="P878" i="3"/>
  <c r="N878" i="3"/>
  <c r="L878" i="3"/>
  <c r="H878" i="3"/>
  <c r="O878" i="3" s="1"/>
  <c r="D878" i="3"/>
  <c r="M878" i="3" s="1"/>
  <c r="X877" i="3"/>
  <c r="U877" i="3"/>
  <c r="Q877" i="3"/>
  <c r="P877" i="3"/>
  <c r="N877" i="3"/>
  <c r="L877" i="3"/>
  <c r="H877" i="3"/>
  <c r="O877" i="3" s="1"/>
  <c r="D877" i="3"/>
  <c r="M877" i="3" s="1"/>
  <c r="X876" i="3"/>
  <c r="U876" i="3"/>
  <c r="Q876" i="3"/>
  <c r="P876" i="3"/>
  <c r="N876" i="3"/>
  <c r="L876" i="3"/>
  <c r="H876" i="3"/>
  <c r="O876" i="3" s="1"/>
  <c r="D876" i="3"/>
  <c r="M876" i="3" s="1"/>
  <c r="X875" i="3"/>
  <c r="U875" i="3"/>
  <c r="Q875" i="3"/>
  <c r="P875" i="3"/>
  <c r="N875" i="3"/>
  <c r="L875" i="3"/>
  <c r="H875" i="3"/>
  <c r="O875" i="3" s="1"/>
  <c r="D875" i="3"/>
  <c r="M875" i="3" s="1"/>
  <c r="X874" i="3"/>
  <c r="U874" i="3"/>
  <c r="Q874" i="3"/>
  <c r="P874" i="3"/>
  <c r="N874" i="3"/>
  <c r="L874" i="3"/>
  <c r="H874" i="3"/>
  <c r="O874" i="3" s="1"/>
  <c r="D874" i="3"/>
  <c r="M874" i="3" s="1"/>
  <c r="X873" i="3"/>
  <c r="U873" i="3"/>
  <c r="Q873" i="3"/>
  <c r="P873" i="3"/>
  <c r="N873" i="3"/>
  <c r="L873" i="3"/>
  <c r="H873" i="3"/>
  <c r="O873" i="3" s="1"/>
  <c r="D873" i="3"/>
  <c r="M873" i="3" s="1"/>
  <c r="X872" i="3"/>
  <c r="U872" i="3"/>
  <c r="Q872" i="3"/>
  <c r="P872" i="3"/>
  <c r="N872" i="3"/>
  <c r="L872" i="3"/>
  <c r="H872" i="3"/>
  <c r="O872" i="3" s="1"/>
  <c r="D872" i="3"/>
  <c r="M872" i="3" s="1"/>
  <c r="X871" i="3"/>
  <c r="U871" i="3"/>
  <c r="Q871" i="3"/>
  <c r="P871" i="3"/>
  <c r="N871" i="3"/>
  <c r="L871" i="3"/>
  <c r="H871" i="3"/>
  <c r="O871" i="3" s="1"/>
  <c r="D871" i="3"/>
  <c r="M871" i="3" s="1"/>
  <c r="X870" i="3"/>
  <c r="U870" i="3"/>
  <c r="Q870" i="3"/>
  <c r="P870" i="3"/>
  <c r="N870" i="3"/>
  <c r="L870" i="3"/>
  <c r="H870" i="3"/>
  <c r="O870" i="3" s="1"/>
  <c r="D870" i="3"/>
  <c r="M870" i="3" s="1"/>
  <c r="X869" i="3"/>
  <c r="U869" i="3"/>
  <c r="Q869" i="3"/>
  <c r="P869" i="3"/>
  <c r="N869" i="3"/>
  <c r="L869" i="3"/>
  <c r="H869" i="3"/>
  <c r="O869" i="3" s="1"/>
  <c r="D869" i="3"/>
  <c r="M869" i="3" s="1"/>
  <c r="X868" i="3"/>
  <c r="U868" i="3"/>
  <c r="Q868" i="3"/>
  <c r="P868" i="3"/>
  <c r="N868" i="3"/>
  <c r="L868" i="3"/>
  <c r="H868" i="3"/>
  <c r="O868" i="3" s="1"/>
  <c r="D868" i="3"/>
  <c r="M868" i="3" s="1"/>
  <c r="X867" i="3"/>
  <c r="U867" i="3"/>
  <c r="Q867" i="3"/>
  <c r="P867" i="3"/>
  <c r="N867" i="3"/>
  <c r="L867" i="3"/>
  <c r="H867" i="3"/>
  <c r="O867" i="3" s="1"/>
  <c r="D867" i="3"/>
  <c r="M867" i="3" s="1"/>
  <c r="X866" i="3"/>
  <c r="U866" i="3"/>
  <c r="Q866" i="3"/>
  <c r="P866" i="3"/>
  <c r="N866" i="3"/>
  <c r="L866" i="3"/>
  <c r="H866" i="3"/>
  <c r="O866" i="3" s="1"/>
  <c r="D866" i="3"/>
  <c r="M866" i="3" s="1"/>
  <c r="X865" i="3"/>
  <c r="U865" i="3"/>
  <c r="Q865" i="3"/>
  <c r="P865" i="3"/>
  <c r="N865" i="3"/>
  <c r="L865" i="3"/>
  <c r="H865" i="3"/>
  <c r="O865" i="3" s="1"/>
  <c r="D865" i="3"/>
  <c r="M865" i="3" s="1"/>
  <c r="X864" i="3"/>
  <c r="U864" i="3"/>
  <c r="Q864" i="3"/>
  <c r="P864" i="3"/>
  <c r="N864" i="3"/>
  <c r="L864" i="3"/>
  <c r="H864" i="3"/>
  <c r="O864" i="3" s="1"/>
  <c r="D864" i="3"/>
  <c r="M864" i="3" s="1"/>
  <c r="X863" i="3"/>
  <c r="U863" i="3"/>
  <c r="Q863" i="3"/>
  <c r="P863" i="3"/>
  <c r="N863" i="3"/>
  <c r="L863" i="3"/>
  <c r="H863" i="3"/>
  <c r="O863" i="3" s="1"/>
  <c r="D863" i="3"/>
  <c r="M863" i="3" s="1"/>
  <c r="X862" i="3"/>
  <c r="U862" i="3"/>
  <c r="Q862" i="3"/>
  <c r="P862" i="3"/>
  <c r="N862" i="3"/>
  <c r="L862" i="3"/>
  <c r="H862" i="3"/>
  <c r="O862" i="3" s="1"/>
  <c r="D862" i="3"/>
  <c r="M862" i="3" s="1"/>
  <c r="X861" i="3"/>
  <c r="U861" i="3"/>
  <c r="Q861" i="3"/>
  <c r="P861" i="3"/>
  <c r="N861" i="3"/>
  <c r="L861" i="3"/>
  <c r="H861" i="3"/>
  <c r="O861" i="3" s="1"/>
  <c r="D861" i="3"/>
  <c r="M861" i="3" s="1"/>
  <c r="X860" i="3"/>
  <c r="U860" i="3"/>
  <c r="Q860" i="3"/>
  <c r="P860" i="3"/>
  <c r="N860" i="3"/>
  <c r="L860" i="3"/>
  <c r="H860" i="3"/>
  <c r="O860" i="3" s="1"/>
  <c r="D860" i="3"/>
  <c r="M860" i="3" s="1"/>
  <c r="X859" i="3"/>
  <c r="U859" i="3"/>
  <c r="Q859" i="3"/>
  <c r="P859" i="3"/>
  <c r="N859" i="3"/>
  <c r="L859" i="3"/>
  <c r="H859" i="3"/>
  <c r="O859" i="3" s="1"/>
  <c r="D859" i="3"/>
  <c r="M859" i="3" s="1"/>
  <c r="X858" i="3"/>
  <c r="U858" i="3"/>
  <c r="Q858" i="3"/>
  <c r="P858" i="3"/>
  <c r="N858" i="3"/>
  <c r="L858" i="3"/>
  <c r="H858" i="3"/>
  <c r="O858" i="3" s="1"/>
  <c r="D858" i="3"/>
  <c r="M858" i="3" s="1"/>
  <c r="X857" i="3"/>
  <c r="U857" i="3"/>
  <c r="Q857" i="3"/>
  <c r="P857" i="3"/>
  <c r="N857" i="3"/>
  <c r="L857" i="3"/>
  <c r="H857" i="3"/>
  <c r="O857" i="3" s="1"/>
  <c r="D857" i="3"/>
  <c r="M857" i="3" s="1"/>
  <c r="X856" i="3"/>
  <c r="U856" i="3"/>
  <c r="Q856" i="3"/>
  <c r="P856" i="3"/>
  <c r="N856" i="3"/>
  <c r="L856" i="3"/>
  <c r="H856" i="3"/>
  <c r="O856" i="3" s="1"/>
  <c r="D856" i="3"/>
  <c r="M856" i="3" s="1"/>
  <c r="X855" i="3"/>
  <c r="U855" i="3"/>
  <c r="Q855" i="3"/>
  <c r="P855" i="3"/>
  <c r="N855" i="3"/>
  <c r="L855" i="3"/>
  <c r="H855" i="3"/>
  <c r="O855" i="3" s="1"/>
  <c r="D855" i="3"/>
  <c r="M855" i="3" s="1"/>
  <c r="X854" i="3"/>
  <c r="U854" i="3"/>
  <c r="Q854" i="3"/>
  <c r="P854" i="3"/>
  <c r="N854" i="3"/>
  <c r="L854" i="3"/>
  <c r="H854" i="3"/>
  <c r="O854" i="3" s="1"/>
  <c r="D854" i="3"/>
  <c r="M854" i="3" s="1"/>
  <c r="X853" i="3"/>
  <c r="U853" i="3"/>
  <c r="Q853" i="3"/>
  <c r="P853" i="3"/>
  <c r="N853" i="3"/>
  <c r="L853" i="3"/>
  <c r="H853" i="3"/>
  <c r="O853" i="3" s="1"/>
  <c r="D853" i="3"/>
  <c r="M853" i="3" s="1"/>
  <c r="X852" i="3"/>
  <c r="U852" i="3"/>
  <c r="Q852" i="3"/>
  <c r="P852" i="3"/>
  <c r="N852" i="3"/>
  <c r="L852" i="3"/>
  <c r="H852" i="3"/>
  <c r="O852" i="3" s="1"/>
  <c r="D852" i="3"/>
  <c r="M852" i="3" s="1"/>
  <c r="X851" i="3"/>
  <c r="U851" i="3"/>
  <c r="Q851" i="3"/>
  <c r="P851" i="3"/>
  <c r="N851" i="3"/>
  <c r="L851" i="3"/>
  <c r="H851" i="3"/>
  <c r="O851" i="3" s="1"/>
  <c r="D851" i="3"/>
  <c r="M851" i="3" s="1"/>
  <c r="X850" i="3"/>
  <c r="U850" i="3"/>
  <c r="Q850" i="3"/>
  <c r="P850" i="3"/>
  <c r="N850" i="3"/>
  <c r="L850" i="3"/>
  <c r="H850" i="3"/>
  <c r="O850" i="3" s="1"/>
  <c r="D850" i="3"/>
  <c r="M850" i="3" s="1"/>
  <c r="X849" i="3"/>
  <c r="U849" i="3"/>
  <c r="Q849" i="3"/>
  <c r="P849" i="3"/>
  <c r="N849" i="3"/>
  <c r="L849" i="3"/>
  <c r="H849" i="3"/>
  <c r="O849" i="3" s="1"/>
  <c r="D849" i="3"/>
  <c r="M849" i="3" s="1"/>
  <c r="X848" i="3"/>
  <c r="U848" i="3"/>
  <c r="Q848" i="3"/>
  <c r="P848" i="3"/>
  <c r="N848" i="3"/>
  <c r="L848" i="3"/>
  <c r="H848" i="3"/>
  <c r="O848" i="3" s="1"/>
  <c r="D848" i="3"/>
  <c r="M848" i="3" s="1"/>
  <c r="X847" i="3"/>
  <c r="U847" i="3"/>
  <c r="Q847" i="3"/>
  <c r="P847" i="3"/>
  <c r="N847" i="3"/>
  <c r="L847" i="3"/>
  <c r="H847" i="3"/>
  <c r="O847" i="3" s="1"/>
  <c r="D847" i="3"/>
  <c r="M847" i="3" s="1"/>
  <c r="X846" i="3"/>
  <c r="U846" i="3"/>
  <c r="Q846" i="3"/>
  <c r="P846" i="3"/>
  <c r="N846" i="3"/>
  <c r="L846" i="3"/>
  <c r="H846" i="3"/>
  <c r="O846" i="3" s="1"/>
  <c r="D846" i="3"/>
  <c r="M846" i="3" s="1"/>
  <c r="X845" i="3"/>
  <c r="U845" i="3"/>
  <c r="Q845" i="3"/>
  <c r="P845" i="3"/>
  <c r="N845" i="3"/>
  <c r="L845" i="3"/>
  <c r="H845" i="3"/>
  <c r="O845" i="3" s="1"/>
  <c r="D845" i="3"/>
  <c r="M845" i="3" s="1"/>
  <c r="X844" i="3"/>
  <c r="U844" i="3"/>
  <c r="Q844" i="3"/>
  <c r="P844" i="3"/>
  <c r="N844" i="3"/>
  <c r="L844" i="3"/>
  <c r="H844" i="3"/>
  <c r="O844" i="3" s="1"/>
  <c r="D844" i="3"/>
  <c r="M844" i="3" s="1"/>
  <c r="X843" i="3"/>
  <c r="U843" i="3"/>
  <c r="Q843" i="3"/>
  <c r="P843" i="3"/>
  <c r="N843" i="3"/>
  <c r="L843" i="3"/>
  <c r="H843" i="3"/>
  <c r="O843" i="3" s="1"/>
  <c r="D843" i="3"/>
  <c r="M843" i="3" s="1"/>
  <c r="X842" i="3"/>
  <c r="U842" i="3"/>
  <c r="Q842" i="3"/>
  <c r="P842" i="3"/>
  <c r="N842" i="3"/>
  <c r="L842" i="3"/>
  <c r="H842" i="3"/>
  <c r="O842" i="3" s="1"/>
  <c r="D842" i="3"/>
  <c r="M842" i="3" s="1"/>
  <c r="X841" i="3"/>
  <c r="U841" i="3"/>
  <c r="Q841" i="3"/>
  <c r="P841" i="3"/>
  <c r="N841" i="3"/>
  <c r="L841" i="3"/>
  <c r="H841" i="3"/>
  <c r="O841" i="3" s="1"/>
  <c r="D841" i="3"/>
  <c r="M841" i="3" s="1"/>
  <c r="X840" i="3"/>
  <c r="U840" i="3"/>
  <c r="Q840" i="3"/>
  <c r="P840" i="3"/>
  <c r="N840" i="3"/>
  <c r="L840" i="3"/>
  <c r="H840" i="3"/>
  <c r="O840" i="3" s="1"/>
  <c r="D840" i="3"/>
  <c r="M840" i="3" s="1"/>
  <c r="X839" i="3"/>
  <c r="U839" i="3"/>
  <c r="Q839" i="3"/>
  <c r="P839" i="3"/>
  <c r="N839" i="3"/>
  <c r="L839" i="3"/>
  <c r="H839" i="3"/>
  <c r="O839" i="3" s="1"/>
  <c r="D839" i="3"/>
  <c r="M839" i="3" s="1"/>
  <c r="X838" i="3"/>
  <c r="U838" i="3"/>
  <c r="Q838" i="3"/>
  <c r="P838" i="3"/>
  <c r="N838" i="3"/>
  <c r="L838" i="3"/>
  <c r="H838" i="3"/>
  <c r="O838" i="3" s="1"/>
  <c r="D838" i="3"/>
  <c r="M838" i="3" s="1"/>
  <c r="X837" i="3"/>
  <c r="U837" i="3"/>
  <c r="Q837" i="3"/>
  <c r="P837" i="3"/>
  <c r="N837" i="3"/>
  <c r="L837" i="3"/>
  <c r="H837" i="3"/>
  <c r="O837" i="3" s="1"/>
  <c r="D837" i="3"/>
  <c r="M837" i="3" s="1"/>
  <c r="X836" i="3"/>
  <c r="U836" i="3"/>
  <c r="Q836" i="3"/>
  <c r="P836" i="3"/>
  <c r="N836" i="3"/>
  <c r="L836" i="3"/>
  <c r="H836" i="3"/>
  <c r="O836" i="3" s="1"/>
  <c r="D836" i="3"/>
  <c r="M836" i="3" s="1"/>
  <c r="X835" i="3"/>
  <c r="U835" i="3"/>
  <c r="Q835" i="3"/>
  <c r="P835" i="3"/>
  <c r="N835" i="3"/>
  <c r="L835" i="3"/>
  <c r="H835" i="3"/>
  <c r="O835" i="3" s="1"/>
  <c r="D835" i="3"/>
  <c r="M835" i="3" s="1"/>
  <c r="X834" i="3"/>
  <c r="U834" i="3"/>
  <c r="Q834" i="3"/>
  <c r="P834" i="3"/>
  <c r="N834" i="3"/>
  <c r="L834" i="3"/>
  <c r="H834" i="3"/>
  <c r="O834" i="3" s="1"/>
  <c r="D834" i="3"/>
  <c r="M834" i="3" s="1"/>
  <c r="X833" i="3"/>
  <c r="U833" i="3"/>
  <c r="Q833" i="3"/>
  <c r="P833" i="3"/>
  <c r="N833" i="3"/>
  <c r="L833" i="3"/>
  <c r="H833" i="3"/>
  <c r="O833" i="3" s="1"/>
  <c r="D833" i="3"/>
  <c r="M833" i="3" s="1"/>
  <c r="X832" i="3"/>
  <c r="U832" i="3"/>
  <c r="Q832" i="3"/>
  <c r="P832" i="3"/>
  <c r="N832" i="3"/>
  <c r="L832" i="3"/>
  <c r="H832" i="3"/>
  <c r="O832" i="3" s="1"/>
  <c r="D832" i="3"/>
  <c r="M832" i="3" s="1"/>
  <c r="X831" i="3"/>
  <c r="U831" i="3"/>
  <c r="Q831" i="3"/>
  <c r="P831" i="3"/>
  <c r="N831" i="3"/>
  <c r="L831" i="3"/>
  <c r="H831" i="3"/>
  <c r="O831" i="3" s="1"/>
  <c r="D831" i="3"/>
  <c r="M831" i="3" s="1"/>
  <c r="R831" i="3" s="1"/>
  <c r="X830" i="3"/>
  <c r="U830" i="3"/>
  <c r="Q830" i="3"/>
  <c r="P830" i="3"/>
  <c r="N830" i="3"/>
  <c r="L830" i="3"/>
  <c r="H830" i="3"/>
  <c r="O830" i="3" s="1"/>
  <c r="D830" i="3"/>
  <c r="M830" i="3" s="1"/>
  <c r="X829" i="3"/>
  <c r="U829" i="3"/>
  <c r="Q829" i="3"/>
  <c r="P829" i="3"/>
  <c r="N829" i="3"/>
  <c r="L829" i="3"/>
  <c r="H829" i="3"/>
  <c r="O829" i="3" s="1"/>
  <c r="D829" i="3"/>
  <c r="M829" i="3" s="1"/>
  <c r="X828" i="3"/>
  <c r="U828" i="3"/>
  <c r="Q828" i="3"/>
  <c r="P828" i="3"/>
  <c r="N828" i="3"/>
  <c r="L828" i="3"/>
  <c r="H828" i="3"/>
  <c r="O828" i="3" s="1"/>
  <c r="D828" i="3"/>
  <c r="M828" i="3" s="1"/>
  <c r="X827" i="3"/>
  <c r="U827" i="3"/>
  <c r="Q827" i="3"/>
  <c r="P827" i="3"/>
  <c r="N827" i="3"/>
  <c r="L827" i="3"/>
  <c r="H827" i="3"/>
  <c r="O827" i="3" s="1"/>
  <c r="D827" i="3"/>
  <c r="M827" i="3" s="1"/>
  <c r="X826" i="3"/>
  <c r="U826" i="3"/>
  <c r="Q826" i="3"/>
  <c r="P826" i="3"/>
  <c r="N826" i="3"/>
  <c r="L826" i="3"/>
  <c r="H826" i="3"/>
  <c r="O826" i="3" s="1"/>
  <c r="D826" i="3"/>
  <c r="M826" i="3" s="1"/>
  <c r="X825" i="3"/>
  <c r="U825" i="3"/>
  <c r="Q825" i="3"/>
  <c r="P825" i="3"/>
  <c r="N825" i="3"/>
  <c r="L825" i="3"/>
  <c r="H825" i="3"/>
  <c r="O825" i="3" s="1"/>
  <c r="D825" i="3"/>
  <c r="M825" i="3" s="1"/>
  <c r="X824" i="3"/>
  <c r="U824" i="3"/>
  <c r="Q824" i="3"/>
  <c r="P824" i="3"/>
  <c r="N824" i="3"/>
  <c r="L824" i="3"/>
  <c r="H824" i="3"/>
  <c r="O824" i="3" s="1"/>
  <c r="D824" i="3"/>
  <c r="M824" i="3" s="1"/>
  <c r="X823" i="3"/>
  <c r="U823" i="3"/>
  <c r="Q823" i="3"/>
  <c r="P823" i="3"/>
  <c r="N823" i="3"/>
  <c r="L823" i="3"/>
  <c r="H823" i="3"/>
  <c r="O823" i="3" s="1"/>
  <c r="D823" i="3"/>
  <c r="M823" i="3" s="1"/>
  <c r="X822" i="3"/>
  <c r="U822" i="3"/>
  <c r="Q822" i="3"/>
  <c r="P822" i="3"/>
  <c r="N822" i="3"/>
  <c r="L822" i="3"/>
  <c r="H822" i="3"/>
  <c r="O822" i="3" s="1"/>
  <c r="D822" i="3"/>
  <c r="M822" i="3" s="1"/>
  <c r="X821" i="3"/>
  <c r="U821" i="3"/>
  <c r="Q821" i="3"/>
  <c r="P821" i="3"/>
  <c r="N821" i="3"/>
  <c r="L821" i="3"/>
  <c r="H821" i="3"/>
  <c r="O821" i="3" s="1"/>
  <c r="D821" i="3"/>
  <c r="M821" i="3" s="1"/>
  <c r="X820" i="3"/>
  <c r="U820" i="3"/>
  <c r="Q820" i="3"/>
  <c r="P820" i="3"/>
  <c r="N820" i="3"/>
  <c r="L820" i="3"/>
  <c r="H820" i="3"/>
  <c r="O820" i="3" s="1"/>
  <c r="D820" i="3"/>
  <c r="M820" i="3" s="1"/>
  <c r="X819" i="3"/>
  <c r="U819" i="3"/>
  <c r="Q819" i="3"/>
  <c r="P819" i="3"/>
  <c r="N819" i="3"/>
  <c r="L819" i="3"/>
  <c r="H819" i="3"/>
  <c r="O819" i="3" s="1"/>
  <c r="D819" i="3"/>
  <c r="M819" i="3" s="1"/>
  <c r="X818" i="3"/>
  <c r="U818" i="3"/>
  <c r="Q818" i="3"/>
  <c r="P818" i="3"/>
  <c r="N818" i="3"/>
  <c r="L818" i="3"/>
  <c r="H818" i="3"/>
  <c r="O818" i="3" s="1"/>
  <c r="D818" i="3"/>
  <c r="M818" i="3" s="1"/>
  <c r="X817" i="3"/>
  <c r="U817" i="3"/>
  <c r="Q817" i="3"/>
  <c r="P817" i="3"/>
  <c r="N817" i="3"/>
  <c r="L817" i="3"/>
  <c r="H817" i="3"/>
  <c r="O817" i="3" s="1"/>
  <c r="D817" i="3"/>
  <c r="M817" i="3" s="1"/>
  <c r="X816" i="3"/>
  <c r="U816" i="3"/>
  <c r="Q816" i="3"/>
  <c r="P816" i="3"/>
  <c r="N816" i="3"/>
  <c r="L816" i="3"/>
  <c r="H816" i="3"/>
  <c r="O816" i="3" s="1"/>
  <c r="D816" i="3"/>
  <c r="M816" i="3" s="1"/>
  <c r="X815" i="3"/>
  <c r="U815" i="3"/>
  <c r="Q815" i="3"/>
  <c r="P815" i="3"/>
  <c r="N815" i="3"/>
  <c r="L815" i="3"/>
  <c r="H815" i="3"/>
  <c r="O815" i="3" s="1"/>
  <c r="D815" i="3"/>
  <c r="M815" i="3" s="1"/>
  <c r="X814" i="3"/>
  <c r="U814" i="3"/>
  <c r="Q814" i="3"/>
  <c r="P814" i="3"/>
  <c r="N814" i="3"/>
  <c r="L814" i="3"/>
  <c r="H814" i="3"/>
  <c r="O814" i="3" s="1"/>
  <c r="D814" i="3"/>
  <c r="M814" i="3" s="1"/>
  <c r="X813" i="3"/>
  <c r="U813" i="3"/>
  <c r="Q813" i="3"/>
  <c r="P813" i="3"/>
  <c r="N813" i="3"/>
  <c r="L813" i="3"/>
  <c r="H813" i="3"/>
  <c r="O813" i="3" s="1"/>
  <c r="D813" i="3"/>
  <c r="M813" i="3" s="1"/>
  <c r="X812" i="3"/>
  <c r="U812" i="3"/>
  <c r="Q812" i="3"/>
  <c r="P812" i="3"/>
  <c r="N812" i="3"/>
  <c r="L812" i="3"/>
  <c r="H812" i="3"/>
  <c r="O812" i="3" s="1"/>
  <c r="D812" i="3"/>
  <c r="M812" i="3" s="1"/>
  <c r="X811" i="3"/>
  <c r="U811" i="3"/>
  <c r="Q811" i="3"/>
  <c r="P811" i="3"/>
  <c r="N811" i="3"/>
  <c r="L811" i="3"/>
  <c r="H811" i="3"/>
  <c r="O811" i="3" s="1"/>
  <c r="D811" i="3"/>
  <c r="M811" i="3" s="1"/>
  <c r="X810" i="3"/>
  <c r="U810" i="3"/>
  <c r="Q810" i="3"/>
  <c r="P810" i="3"/>
  <c r="N810" i="3"/>
  <c r="L810" i="3"/>
  <c r="H810" i="3"/>
  <c r="O810" i="3" s="1"/>
  <c r="D810" i="3"/>
  <c r="M810" i="3" s="1"/>
  <c r="X809" i="3"/>
  <c r="U809" i="3"/>
  <c r="Q809" i="3"/>
  <c r="P809" i="3"/>
  <c r="N809" i="3"/>
  <c r="L809" i="3"/>
  <c r="H809" i="3"/>
  <c r="O809" i="3" s="1"/>
  <c r="D809" i="3"/>
  <c r="M809" i="3" s="1"/>
  <c r="X808" i="3"/>
  <c r="U808" i="3"/>
  <c r="Q808" i="3"/>
  <c r="P808" i="3"/>
  <c r="N808" i="3"/>
  <c r="L808" i="3"/>
  <c r="H808" i="3"/>
  <c r="O808" i="3" s="1"/>
  <c r="D808" i="3"/>
  <c r="M808" i="3" s="1"/>
  <c r="X807" i="3"/>
  <c r="U807" i="3"/>
  <c r="Q807" i="3"/>
  <c r="P807" i="3"/>
  <c r="N807" i="3"/>
  <c r="L807" i="3"/>
  <c r="H807" i="3"/>
  <c r="O807" i="3" s="1"/>
  <c r="D807" i="3"/>
  <c r="M807" i="3" s="1"/>
  <c r="X806" i="3"/>
  <c r="U806" i="3"/>
  <c r="Q806" i="3"/>
  <c r="P806" i="3"/>
  <c r="N806" i="3"/>
  <c r="L806" i="3"/>
  <c r="H806" i="3"/>
  <c r="O806" i="3" s="1"/>
  <c r="D806" i="3"/>
  <c r="M806" i="3" s="1"/>
  <c r="X805" i="3"/>
  <c r="U805" i="3"/>
  <c r="Q805" i="3"/>
  <c r="P805" i="3"/>
  <c r="N805" i="3"/>
  <c r="L805" i="3"/>
  <c r="H805" i="3"/>
  <c r="O805" i="3" s="1"/>
  <c r="D805" i="3"/>
  <c r="M805" i="3" s="1"/>
  <c r="X804" i="3"/>
  <c r="U804" i="3"/>
  <c r="Q804" i="3"/>
  <c r="P804" i="3"/>
  <c r="N804" i="3"/>
  <c r="L804" i="3"/>
  <c r="H804" i="3"/>
  <c r="O804" i="3" s="1"/>
  <c r="D804" i="3"/>
  <c r="M804" i="3" s="1"/>
  <c r="X803" i="3"/>
  <c r="U803" i="3"/>
  <c r="Q803" i="3"/>
  <c r="P803" i="3"/>
  <c r="N803" i="3"/>
  <c r="L803" i="3"/>
  <c r="H803" i="3"/>
  <c r="O803" i="3" s="1"/>
  <c r="D803" i="3"/>
  <c r="M803" i="3" s="1"/>
  <c r="X802" i="3"/>
  <c r="U802" i="3"/>
  <c r="Q802" i="3"/>
  <c r="P802" i="3"/>
  <c r="N802" i="3"/>
  <c r="L802" i="3"/>
  <c r="H802" i="3"/>
  <c r="O802" i="3" s="1"/>
  <c r="D802" i="3"/>
  <c r="M802" i="3" s="1"/>
  <c r="X801" i="3"/>
  <c r="U801" i="3"/>
  <c r="Q801" i="3"/>
  <c r="P801" i="3"/>
  <c r="N801" i="3"/>
  <c r="L801" i="3"/>
  <c r="H801" i="3"/>
  <c r="O801" i="3" s="1"/>
  <c r="D801" i="3"/>
  <c r="M801" i="3" s="1"/>
  <c r="X800" i="3"/>
  <c r="U800" i="3"/>
  <c r="Q800" i="3"/>
  <c r="P800" i="3"/>
  <c r="N800" i="3"/>
  <c r="L800" i="3"/>
  <c r="H800" i="3"/>
  <c r="O800" i="3" s="1"/>
  <c r="D800" i="3"/>
  <c r="M800" i="3" s="1"/>
  <c r="X799" i="3"/>
  <c r="U799" i="3"/>
  <c r="Q799" i="3"/>
  <c r="P799" i="3"/>
  <c r="N799" i="3"/>
  <c r="L799" i="3"/>
  <c r="H799" i="3"/>
  <c r="O799" i="3" s="1"/>
  <c r="D799" i="3"/>
  <c r="M799" i="3" s="1"/>
  <c r="X798" i="3"/>
  <c r="U798" i="3"/>
  <c r="Q798" i="3"/>
  <c r="P798" i="3"/>
  <c r="N798" i="3"/>
  <c r="L798" i="3"/>
  <c r="H798" i="3"/>
  <c r="O798" i="3" s="1"/>
  <c r="D798" i="3"/>
  <c r="M798" i="3" s="1"/>
  <c r="X797" i="3"/>
  <c r="U797" i="3"/>
  <c r="Q797" i="3"/>
  <c r="P797" i="3"/>
  <c r="N797" i="3"/>
  <c r="L797" i="3"/>
  <c r="H797" i="3"/>
  <c r="O797" i="3" s="1"/>
  <c r="D797" i="3"/>
  <c r="M797" i="3" s="1"/>
  <c r="X796" i="3"/>
  <c r="U796" i="3"/>
  <c r="Q796" i="3"/>
  <c r="P796" i="3"/>
  <c r="N796" i="3"/>
  <c r="L796" i="3"/>
  <c r="H796" i="3"/>
  <c r="O796" i="3" s="1"/>
  <c r="D796" i="3"/>
  <c r="M796" i="3" s="1"/>
  <c r="X795" i="3"/>
  <c r="U795" i="3"/>
  <c r="Q795" i="3"/>
  <c r="P795" i="3"/>
  <c r="N795" i="3"/>
  <c r="L795" i="3"/>
  <c r="H795" i="3"/>
  <c r="O795" i="3" s="1"/>
  <c r="D795" i="3"/>
  <c r="M795" i="3" s="1"/>
  <c r="X794" i="3"/>
  <c r="U794" i="3"/>
  <c r="Q794" i="3"/>
  <c r="P794" i="3"/>
  <c r="N794" i="3"/>
  <c r="L794" i="3"/>
  <c r="H794" i="3"/>
  <c r="O794" i="3" s="1"/>
  <c r="D794" i="3"/>
  <c r="M794" i="3" s="1"/>
  <c r="X793" i="3"/>
  <c r="U793" i="3"/>
  <c r="Q793" i="3"/>
  <c r="P793" i="3"/>
  <c r="N793" i="3"/>
  <c r="L793" i="3"/>
  <c r="H793" i="3"/>
  <c r="O793" i="3" s="1"/>
  <c r="D793" i="3"/>
  <c r="M793" i="3" s="1"/>
  <c r="X792" i="3"/>
  <c r="U792" i="3"/>
  <c r="Q792" i="3"/>
  <c r="P792" i="3"/>
  <c r="N792" i="3"/>
  <c r="L792" i="3"/>
  <c r="H792" i="3"/>
  <c r="O792" i="3" s="1"/>
  <c r="D792" i="3"/>
  <c r="M792" i="3" s="1"/>
  <c r="X791" i="3"/>
  <c r="U791" i="3"/>
  <c r="Q791" i="3"/>
  <c r="P791" i="3"/>
  <c r="N791" i="3"/>
  <c r="L791" i="3"/>
  <c r="H791" i="3"/>
  <c r="O791" i="3" s="1"/>
  <c r="D791" i="3"/>
  <c r="M791" i="3" s="1"/>
  <c r="X790" i="3"/>
  <c r="U790" i="3"/>
  <c r="Q790" i="3"/>
  <c r="P790" i="3"/>
  <c r="N790" i="3"/>
  <c r="L790" i="3"/>
  <c r="H790" i="3"/>
  <c r="O790" i="3" s="1"/>
  <c r="D790" i="3"/>
  <c r="M790" i="3" s="1"/>
  <c r="X789" i="3"/>
  <c r="U789" i="3"/>
  <c r="Q789" i="3"/>
  <c r="P789" i="3"/>
  <c r="N789" i="3"/>
  <c r="L789" i="3"/>
  <c r="H789" i="3"/>
  <c r="O789" i="3" s="1"/>
  <c r="D789" i="3"/>
  <c r="M789" i="3" s="1"/>
  <c r="X788" i="3"/>
  <c r="U788" i="3"/>
  <c r="Q788" i="3"/>
  <c r="P788" i="3"/>
  <c r="N788" i="3"/>
  <c r="L788" i="3"/>
  <c r="H788" i="3"/>
  <c r="O788" i="3" s="1"/>
  <c r="D788" i="3"/>
  <c r="M788" i="3" s="1"/>
  <c r="X787" i="3"/>
  <c r="U787" i="3"/>
  <c r="Q787" i="3"/>
  <c r="P787" i="3"/>
  <c r="N787" i="3"/>
  <c r="L787" i="3"/>
  <c r="H787" i="3"/>
  <c r="O787" i="3" s="1"/>
  <c r="D787" i="3"/>
  <c r="M787" i="3" s="1"/>
  <c r="X786" i="3"/>
  <c r="U786" i="3"/>
  <c r="Q786" i="3"/>
  <c r="P786" i="3"/>
  <c r="N786" i="3"/>
  <c r="L786" i="3"/>
  <c r="H786" i="3"/>
  <c r="O786" i="3" s="1"/>
  <c r="D786" i="3"/>
  <c r="M786" i="3" s="1"/>
  <c r="X785" i="3"/>
  <c r="U785" i="3"/>
  <c r="Q785" i="3"/>
  <c r="P785" i="3"/>
  <c r="N785" i="3"/>
  <c r="L785" i="3"/>
  <c r="H785" i="3"/>
  <c r="O785" i="3" s="1"/>
  <c r="D785" i="3"/>
  <c r="M785" i="3" s="1"/>
  <c r="X784" i="3"/>
  <c r="U784" i="3"/>
  <c r="Q784" i="3"/>
  <c r="P784" i="3"/>
  <c r="N784" i="3"/>
  <c r="L784" i="3"/>
  <c r="H784" i="3"/>
  <c r="O784" i="3" s="1"/>
  <c r="D784" i="3"/>
  <c r="M784" i="3" s="1"/>
  <c r="X783" i="3"/>
  <c r="U783" i="3"/>
  <c r="Q783" i="3"/>
  <c r="P783" i="3"/>
  <c r="N783" i="3"/>
  <c r="L783" i="3"/>
  <c r="H783" i="3"/>
  <c r="O783" i="3" s="1"/>
  <c r="D783" i="3"/>
  <c r="M783" i="3" s="1"/>
  <c r="X782" i="3"/>
  <c r="U782" i="3"/>
  <c r="Q782" i="3"/>
  <c r="P782" i="3"/>
  <c r="N782" i="3"/>
  <c r="L782" i="3"/>
  <c r="H782" i="3"/>
  <c r="O782" i="3" s="1"/>
  <c r="D782" i="3"/>
  <c r="M782" i="3" s="1"/>
  <c r="X781" i="3"/>
  <c r="U781" i="3"/>
  <c r="Q781" i="3"/>
  <c r="P781" i="3"/>
  <c r="N781" i="3"/>
  <c r="L781" i="3"/>
  <c r="H781" i="3"/>
  <c r="O781" i="3" s="1"/>
  <c r="D781" i="3"/>
  <c r="M781" i="3" s="1"/>
  <c r="X780" i="3"/>
  <c r="U780" i="3"/>
  <c r="Q780" i="3"/>
  <c r="P780" i="3"/>
  <c r="N780" i="3"/>
  <c r="L780" i="3"/>
  <c r="H780" i="3"/>
  <c r="O780" i="3" s="1"/>
  <c r="D780" i="3"/>
  <c r="M780" i="3" s="1"/>
  <c r="X779" i="3"/>
  <c r="U779" i="3"/>
  <c r="Q779" i="3"/>
  <c r="P779" i="3"/>
  <c r="N779" i="3"/>
  <c r="L779" i="3"/>
  <c r="H779" i="3"/>
  <c r="O779" i="3" s="1"/>
  <c r="D779" i="3"/>
  <c r="M779" i="3" s="1"/>
  <c r="X778" i="3"/>
  <c r="U778" i="3"/>
  <c r="Q778" i="3"/>
  <c r="P778" i="3"/>
  <c r="N778" i="3"/>
  <c r="L778" i="3"/>
  <c r="H778" i="3"/>
  <c r="O778" i="3" s="1"/>
  <c r="D778" i="3"/>
  <c r="M778" i="3" s="1"/>
  <c r="X777" i="3"/>
  <c r="U777" i="3"/>
  <c r="Q777" i="3"/>
  <c r="P777" i="3"/>
  <c r="N777" i="3"/>
  <c r="L777" i="3"/>
  <c r="H777" i="3"/>
  <c r="O777" i="3" s="1"/>
  <c r="D777" i="3"/>
  <c r="M777" i="3" s="1"/>
  <c r="X776" i="3"/>
  <c r="U776" i="3"/>
  <c r="Q776" i="3"/>
  <c r="P776" i="3"/>
  <c r="N776" i="3"/>
  <c r="L776" i="3"/>
  <c r="H776" i="3"/>
  <c r="O776" i="3" s="1"/>
  <c r="D776" i="3"/>
  <c r="M776" i="3" s="1"/>
  <c r="X775" i="3"/>
  <c r="U775" i="3"/>
  <c r="Q775" i="3"/>
  <c r="P775" i="3"/>
  <c r="N775" i="3"/>
  <c r="L775" i="3"/>
  <c r="H775" i="3"/>
  <c r="O775" i="3" s="1"/>
  <c r="D775" i="3"/>
  <c r="M775" i="3" s="1"/>
  <c r="X774" i="3"/>
  <c r="U774" i="3"/>
  <c r="Q774" i="3"/>
  <c r="P774" i="3"/>
  <c r="N774" i="3"/>
  <c r="L774" i="3"/>
  <c r="H774" i="3"/>
  <c r="O774" i="3" s="1"/>
  <c r="D774" i="3"/>
  <c r="M774" i="3" s="1"/>
  <c r="X773" i="3"/>
  <c r="U773" i="3"/>
  <c r="Q773" i="3"/>
  <c r="P773" i="3"/>
  <c r="N773" i="3"/>
  <c r="L773" i="3"/>
  <c r="H773" i="3"/>
  <c r="O773" i="3" s="1"/>
  <c r="D773" i="3"/>
  <c r="M773" i="3" s="1"/>
  <c r="X772" i="3"/>
  <c r="U772" i="3"/>
  <c r="Q772" i="3"/>
  <c r="P772" i="3"/>
  <c r="N772" i="3"/>
  <c r="L772" i="3"/>
  <c r="H772" i="3"/>
  <c r="O772" i="3" s="1"/>
  <c r="D772" i="3"/>
  <c r="M772" i="3" s="1"/>
  <c r="X771" i="3"/>
  <c r="U771" i="3"/>
  <c r="Q771" i="3"/>
  <c r="P771" i="3"/>
  <c r="N771" i="3"/>
  <c r="L771" i="3"/>
  <c r="H771" i="3"/>
  <c r="O771" i="3" s="1"/>
  <c r="D771" i="3"/>
  <c r="M771" i="3" s="1"/>
  <c r="X770" i="3"/>
  <c r="U770" i="3"/>
  <c r="Q770" i="3"/>
  <c r="P770" i="3"/>
  <c r="N770" i="3"/>
  <c r="L770" i="3"/>
  <c r="H770" i="3"/>
  <c r="O770" i="3" s="1"/>
  <c r="D770" i="3"/>
  <c r="M770" i="3" s="1"/>
  <c r="X769" i="3"/>
  <c r="U769" i="3"/>
  <c r="Q769" i="3"/>
  <c r="P769" i="3"/>
  <c r="N769" i="3"/>
  <c r="L769" i="3"/>
  <c r="H769" i="3"/>
  <c r="O769" i="3" s="1"/>
  <c r="D769" i="3"/>
  <c r="M769" i="3" s="1"/>
  <c r="X768" i="3"/>
  <c r="U768" i="3"/>
  <c r="Q768" i="3"/>
  <c r="P768" i="3"/>
  <c r="N768" i="3"/>
  <c r="L768" i="3"/>
  <c r="H768" i="3"/>
  <c r="O768" i="3" s="1"/>
  <c r="D768" i="3"/>
  <c r="M768" i="3" s="1"/>
  <c r="X767" i="3"/>
  <c r="U767" i="3"/>
  <c r="Q767" i="3"/>
  <c r="P767" i="3"/>
  <c r="N767" i="3"/>
  <c r="L767" i="3"/>
  <c r="H767" i="3"/>
  <c r="O767" i="3" s="1"/>
  <c r="D767" i="3"/>
  <c r="M767" i="3" s="1"/>
  <c r="Y766" i="3"/>
  <c r="X766" i="3"/>
  <c r="U766" i="3"/>
  <c r="Q766" i="3"/>
  <c r="P766" i="3"/>
  <c r="N766" i="3"/>
  <c r="L766" i="3"/>
  <c r="H766" i="3"/>
  <c r="O766" i="3" s="1"/>
  <c r="D766" i="3"/>
  <c r="M766" i="3" s="1"/>
  <c r="Y765" i="3"/>
  <c r="X765" i="3"/>
  <c r="U765" i="3"/>
  <c r="Q765" i="3"/>
  <c r="P765" i="3"/>
  <c r="N765" i="3"/>
  <c r="L765" i="3"/>
  <c r="H765" i="3"/>
  <c r="O765" i="3" s="1"/>
  <c r="D765" i="3"/>
  <c r="M765" i="3" s="1"/>
  <c r="Y764" i="3"/>
  <c r="X764" i="3"/>
  <c r="U764" i="3"/>
  <c r="Q764" i="3"/>
  <c r="P764" i="3"/>
  <c r="N764" i="3"/>
  <c r="L764" i="3"/>
  <c r="H764" i="3"/>
  <c r="O764" i="3" s="1"/>
  <c r="D764" i="3"/>
  <c r="M764" i="3" s="1"/>
  <c r="Y763" i="3"/>
  <c r="X763" i="3"/>
  <c r="U763" i="3"/>
  <c r="Q763" i="3"/>
  <c r="P763" i="3"/>
  <c r="N763" i="3"/>
  <c r="L763" i="3"/>
  <c r="H763" i="3"/>
  <c r="O763" i="3" s="1"/>
  <c r="D763" i="3"/>
  <c r="M763" i="3" s="1"/>
  <c r="Y762" i="3"/>
  <c r="X762" i="3"/>
  <c r="U762" i="3"/>
  <c r="Q762" i="3"/>
  <c r="P762" i="3"/>
  <c r="N762" i="3"/>
  <c r="L762" i="3"/>
  <c r="H762" i="3"/>
  <c r="O762" i="3" s="1"/>
  <c r="D762" i="3"/>
  <c r="M762" i="3" s="1"/>
  <c r="Y761" i="3"/>
  <c r="X761" i="3"/>
  <c r="U761" i="3"/>
  <c r="Q761" i="3"/>
  <c r="P761" i="3"/>
  <c r="N761" i="3"/>
  <c r="L761" i="3"/>
  <c r="H761" i="3"/>
  <c r="O761" i="3" s="1"/>
  <c r="D761" i="3"/>
  <c r="M761" i="3" s="1"/>
  <c r="Y760" i="3"/>
  <c r="X760" i="3"/>
  <c r="U760" i="3"/>
  <c r="Q760" i="3"/>
  <c r="P760" i="3"/>
  <c r="N760" i="3"/>
  <c r="L760" i="3"/>
  <c r="H760" i="3"/>
  <c r="O760" i="3" s="1"/>
  <c r="D760" i="3"/>
  <c r="M760" i="3" s="1"/>
  <c r="Y759" i="3"/>
  <c r="X759" i="3"/>
  <c r="U759" i="3"/>
  <c r="Q759" i="3"/>
  <c r="P759" i="3"/>
  <c r="N759" i="3"/>
  <c r="L759" i="3"/>
  <c r="H759" i="3"/>
  <c r="O759" i="3" s="1"/>
  <c r="D759" i="3"/>
  <c r="M759" i="3" s="1"/>
  <c r="Y758" i="3"/>
  <c r="X758" i="3"/>
  <c r="U758" i="3"/>
  <c r="Q758" i="3"/>
  <c r="P758" i="3"/>
  <c r="N758" i="3"/>
  <c r="L758" i="3"/>
  <c r="H758" i="3"/>
  <c r="O758" i="3" s="1"/>
  <c r="D758" i="3"/>
  <c r="M758" i="3" s="1"/>
  <c r="Y757" i="3"/>
  <c r="X757" i="3"/>
  <c r="U757" i="3"/>
  <c r="Q757" i="3"/>
  <c r="P757" i="3"/>
  <c r="N757" i="3"/>
  <c r="L757" i="3"/>
  <c r="H757" i="3"/>
  <c r="O757" i="3" s="1"/>
  <c r="D757" i="3"/>
  <c r="M757" i="3" s="1"/>
  <c r="Y756" i="3"/>
  <c r="X756" i="3"/>
  <c r="U756" i="3"/>
  <c r="Q756" i="3"/>
  <c r="P756" i="3"/>
  <c r="N756" i="3"/>
  <c r="L756" i="3"/>
  <c r="H756" i="3"/>
  <c r="O756" i="3" s="1"/>
  <c r="D756" i="3"/>
  <c r="M756" i="3" s="1"/>
  <c r="Y755" i="3"/>
  <c r="X755" i="3"/>
  <c r="U755" i="3"/>
  <c r="Q755" i="3"/>
  <c r="P755" i="3"/>
  <c r="N755" i="3"/>
  <c r="L755" i="3"/>
  <c r="H755" i="3"/>
  <c r="O755" i="3" s="1"/>
  <c r="D755" i="3"/>
  <c r="M755" i="3" s="1"/>
  <c r="Y754" i="3"/>
  <c r="X754" i="3"/>
  <c r="U754" i="3"/>
  <c r="Q754" i="3"/>
  <c r="P754" i="3"/>
  <c r="N754" i="3"/>
  <c r="L754" i="3"/>
  <c r="H754" i="3"/>
  <c r="O754" i="3" s="1"/>
  <c r="D754" i="3"/>
  <c r="M754" i="3" s="1"/>
  <c r="Y753" i="3"/>
  <c r="X753" i="3"/>
  <c r="U753" i="3"/>
  <c r="Q753" i="3"/>
  <c r="P753" i="3"/>
  <c r="N753" i="3"/>
  <c r="L753" i="3"/>
  <c r="H753" i="3"/>
  <c r="O753" i="3" s="1"/>
  <c r="D753" i="3"/>
  <c r="M753" i="3" s="1"/>
  <c r="Y752" i="3"/>
  <c r="X752" i="3"/>
  <c r="U752" i="3"/>
  <c r="Q752" i="3"/>
  <c r="P752" i="3"/>
  <c r="N752" i="3"/>
  <c r="L752" i="3"/>
  <c r="H752" i="3"/>
  <c r="O752" i="3" s="1"/>
  <c r="D752" i="3"/>
  <c r="M752" i="3" s="1"/>
  <c r="Y751" i="3"/>
  <c r="X751" i="3"/>
  <c r="U751" i="3"/>
  <c r="Q751" i="3"/>
  <c r="P751" i="3"/>
  <c r="N751" i="3"/>
  <c r="L751" i="3"/>
  <c r="H751" i="3"/>
  <c r="O751" i="3" s="1"/>
  <c r="D751" i="3"/>
  <c r="M751" i="3" s="1"/>
  <c r="Y750" i="3"/>
  <c r="X750" i="3"/>
  <c r="U750" i="3"/>
  <c r="Q750" i="3"/>
  <c r="P750" i="3"/>
  <c r="N750" i="3"/>
  <c r="L750" i="3"/>
  <c r="H750" i="3"/>
  <c r="O750" i="3" s="1"/>
  <c r="D750" i="3"/>
  <c r="M750" i="3" s="1"/>
  <c r="Y749" i="3"/>
  <c r="X749" i="3"/>
  <c r="U749" i="3"/>
  <c r="Q749" i="3"/>
  <c r="P749" i="3"/>
  <c r="N749" i="3"/>
  <c r="L749" i="3"/>
  <c r="H749" i="3"/>
  <c r="O749" i="3" s="1"/>
  <c r="D749" i="3"/>
  <c r="M749" i="3" s="1"/>
  <c r="Y748" i="3"/>
  <c r="X748" i="3"/>
  <c r="U748" i="3"/>
  <c r="Q748" i="3"/>
  <c r="P748" i="3"/>
  <c r="N748" i="3"/>
  <c r="L748" i="3"/>
  <c r="H748" i="3"/>
  <c r="O748" i="3" s="1"/>
  <c r="D748" i="3"/>
  <c r="M748" i="3" s="1"/>
  <c r="Y747" i="3"/>
  <c r="X747" i="3"/>
  <c r="U747" i="3"/>
  <c r="Q747" i="3"/>
  <c r="P747" i="3"/>
  <c r="N747" i="3"/>
  <c r="L747" i="3"/>
  <c r="H747" i="3"/>
  <c r="O747" i="3" s="1"/>
  <c r="D747" i="3"/>
  <c r="M747" i="3" s="1"/>
  <c r="Y746" i="3"/>
  <c r="X746" i="3"/>
  <c r="U746" i="3"/>
  <c r="Q746" i="3"/>
  <c r="P746" i="3"/>
  <c r="N746" i="3"/>
  <c r="L746" i="3"/>
  <c r="H746" i="3"/>
  <c r="O746" i="3" s="1"/>
  <c r="D746" i="3"/>
  <c r="M746" i="3" s="1"/>
  <c r="Y745" i="3"/>
  <c r="X745" i="3"/>
  <c r="U745" i="3"/>
  <c r="Q745" i="3"/>
  <c r="P745" i="3"/>
  <c r="N745" i="3"/>
  <c r="L745" i="3"/>
  <c r="H745" i="3"/>
  <c r="O745" i="3" s="1"/>
  <c r="D745" i="3"/>
  <c r="M745" i="3" s="1"/>
  <c r="Y744" i="3"/>
  <c r="X744" i="3"/>
  <c r="U744" i="3"/>
  <c r="Q744" i="3"/>
  <c r="P744" i="3"/>
  <c r="N744" i="3"/>
  <c r="L744" i="3"/>
  <c r="H744" i="3"/>
  <c r="O744" i="3" s="1"/>
  <c r="D744" i="3"/>
  <c r="M744" i="3" s="1"/>
  <c r="Y743" i="3"/>
  <c r="X743" i="3"/>
  <c r="U743" i="3"/>
  <c r="Q743" i="3"/>
  <c r="P743" i="3"/>
  <c r="N743" i="3"/>
  <c r="L743" i="3"/>
  <c r="H743" i="3"/>
  <c r="O743" i="3" s="1"/>
  <c r="D743" i="3"/>
  <c r="M743" i="3" s="1"/>
  <c r="Y742" i="3"/>
  <c r="X742" i="3"/>
  <c r="U742" i="3"/>
  <c r="Q742" i="3"/>
  <c r="P742" i="3"/>
  <c r="N742" i="3"/>
  <c r="L742" i="3"/>
  <c r="H742" i="3"/>
  <c r="O742" i="3" s="1"/>
  <c r="D742" i="3"/>
  <c r="M742" i="3" s="1"/>
  <c r="Y741" i="3"/>
  <c r="X741" i="3"/>
  <c r="U741" i="3"/>
  <c r="Q741" i="3"/>
  <c r="P741" i="3"/>
  <c r="N741" i="3"/>
  <c r="L741" i="3"/>
  <c r="H741" i="3"/>
  <c r="O741" i="3" s="1"/>
  <c r="D741" i="3"/>
  <c r="M741" i="3" s="1"/>
  <c r="Y740" i="3"/>
  <c r="X740" i="3"/>
  <c r="U740" i="3"/>
  <c r="Q740" i="3"/>
  <c r="P740" i="3"/>
  <c r="N740" i="3"/>
  <c r="L740" i="3"/>
  <c r="H740" i="3"/>
  <c r="O740" i="3" s="1"/>
  <c r="D740" i="3"/>
  <c r="M740" i="3" s="1"/>
  <c r="Y739" i="3"/>
  <c r="X739" i="3"/>
  <c r="U739" i="3"/>
  <c r="Q739" i="3"/>
  <c r="P739" i="3"/>
  <c r="N739" i="3"/>
  <c r="L739" i="3"/>
  <c r="H739" i="3"/>
  <c r="O739" i="3" s="1"/>
  <c r="D739" i="3"/>
  <c r="M739" i="3" s="1"/>
  <c r="Y738" i="3"/>
  <c r="X738" i="3"/>
  <c r="U738" i="3"/>
  <c r="Q738" i="3"/>
  <c r="P738" i="3"/>
  <c r="N738" i="3"/>
  <c r="L738" i="3"/>
  <c r="H738" i="3"/>
  <c r="O738" i="3" s="1"/>
  <c r="D738" i="3"/>
  <c r="M738" i="3" s="1"/>
  <c r="Y737" i="3"/>
  <c r="X737" i="3"/>
  <c r="U737" i="3"/>
  <c r="Q737" i="3"/>
  <c r="P737" i="3"/>
  <c r="N737" i="3"/>
  <c r="L737" i="3"/>
  <c r="H737" i="3"/>
  <c r="O737" i="3" s="1"/>
  <c r="D737" i="3"/>
  <c r="M737" i="3" s="1"/>
  <c r="Y736" i="3"/>
  <c r="X736" i="3"/>
  <c r="U736" i="3"/>
  <c r="Q736" i="3"/>
  <c r="P736" i="3"/>
  <c r="N736" i="3"/>
  <c r="L736" i="3"/>
  <c r="H736" i="3"/>
  <c r="O736" i="3" s="1"/>
  <c r="D736" i="3"/>
  <c r="M736" i="3" s="1"/>
  <c r="Y735" i="3"/>
  <c r="X735" i="3"/>
  <c r="U735" i="3"/>
  <c r="Q735" i="3"/>
  <c r="P735" i="3"/>
  <c r="N735" i="3"/>
  <c r="L735" i="3"/>
  <c r="H735" i="3"/>
  <c r="O735" i="3" s="1"/>
  <c r="D735" i="3"/>
  <c r="M735" i="3" s="1"/>
  <c r="Y734" i="3"/>
  <c r="X734" i="3"/>
  <c r="U734" i="3"/>
  <c r="Q734" i="3"/>
  <c r="P734" i="3"/>
  <c r="N734" i="3"/>
  <c r="L734" i="3"/>
  <c r="H734" i="3"/>
  <c r="O734" i="3" s="1"/>
  <c r="D734" i="3"/>
  <c r="M734" i="3" s="1"/>
  <c r="Y733" i="3"/>
  <c r="X733" i="3"/>
  <c r="U733" i="3"/>
  <c r="Q733" i="3"/>
  <c r="P733" i="3"/>
  <c r="N733" i="3"/>
  <c r="L733" i="3"/>
  <c r="H733" i="3"/>
  <c r="O733" i="3" s="1"/>
  <c r="D733" i="3"/>
  <c r="M733" i="3" s="1"/>
  <c r="Y732" i="3"/>
  <c r="X732" i="3"/>
  <c r="U732" i="3"/>
  <c r="Q732" i="3"/>
  <c r="P732" i="3"/>
  <c r="N732" i="3"/>
  <c r="L732" i="3"/>
  <c r="H732" i="3"/>
  <c r="O732" i="3" s="1"/>
  <c r="D732" i="3"/>
  <c r="M732" i="3" s="1"/>
  <c r="Y731" i="3"/>
  <c r="X731" i="3"/>
  <c r="U731" i="3"/>
  <c r="Q731" i="3"/>
  <c r="P731" i="3"/>
  <c r="N731" i="3"/>
  <c r="L731" i="3"/>
  <c r="H731" i="3"/>
  <c r="O731" i="3" s="1"/>
  <c r="D731" i="3"/>
  <c r="M731" i="3" s="1"/>
  <c r="Y730" i="3"/>
  <c r="X730" i="3"/>
  <c r="U730" i="3"/>
  <c r="Q730" i="3"/>
  <c r="P730" i="3"/>
  <c r="N730" i="3"/>
  <c r="L730" i="3"/>
  <c r="H730" i="3"/>
  <c r="O730" i="3" s="1"/>
  <c r="D730" i="3"/>
  <c r="M730" i="3" s="1"/>
  <c r="Y729" i="3"/>
  <c r="X729" i="3"/>
  <c r="U729" i="3"/>
  <c r="Q729" i="3"/>
  <c r="P729" i="3"/>
  <c r="N729" i="3"/>
  <c r="L729" i="3"/>
  <c r="H729" i="3"/>
  <c r="O729" i="3" s="1"/>
  <c r="D729" i="3"/>
  <c r="M729" i="3" s="1"/>
  <c r="Y728" i="3"/>
  <c r="X728" i="3"/>
  <c r="U728" i="3"/>
  <c r="Q728" i="3"/>
  <c r="P728" i="3"/>
  <c r="N728" i="3"/>
  <c r="L728" i="3"/>
  <c r="H728" i="3"/>
  <c r="O728" i="3" s="1"/>
  <c r="D728" i="3"/>
  <c r="M728" i="3" s="1"/>
  <c r="Y727" i="3"/>
  <c r="X727" i="3"/>
  <c r="U727" i="3"/>
  <c r="Q727" i="3"/>
  <c r="P727" i="3"/>
  <c r="N727" i="3"/>
  <c r="L727" i="3"/>
  <c r="H727" i="3"/>
  <c r="O727" i="3" s="1"/>
  <c r="D727" i="3"/>
  <c r="M727" i="3" s="1"/>
  <c r="Y726" i="3"/>
  <c r="X726" i="3"/>
  <c r="U726" i="3"/>
  <c r="Q726" i="3"/>
  <c r="P726" i="3"/>
  <c r="N726" i="3"/>
  <c r="L726" i="3"/>
  <c r="H726" i="3"/>
  <c r="O726" i="3" s="1"/>
  <c r="D726" i="3"/>
  <c r="M726" i="3" s="1"/>
  <c r="Y725" i="3"/>
  <c r="X725" i="3"/>
  <c r="U725" i="3"/>
  <c r="Q725" i="3"/>
  <c r="P725" i="3"/>
  <c r="N725" i="3"/>
  <c r="L725" i="3"/>
  <c r="H725" i="3"/>
  <c r="O725" i="3" s="1"/>
  <c r="D725" i="3"/>
  <c r="M725" i="3" s="1"/>
  <c r="Y724" i="3"/>
  <c r="X724" i="3"/>
  <c r="U724" i="3"/>
  <c r="Q724" i="3"/>
  <c r="P724" i="3"/>
  <c r="N724" i="3"/>
  <c r="L724" i="3"/>
  <c r="H724" i="3"/>
  <c r="O724" i="3" s="1"/>
  <c r="D724" i="3"/>
  <c r="M724" i="3" s="1"/>
  <c r="Y723" i="3"/>
  <c r="X723" i="3"/>
  <c r="U723" i="3"/>
  <c r="Q723" i="3"/>
  <c r="P723" i="3"/>
  <c r="N723" i="3"/>
  <c r="L723" i="3"/>
  <c r="H723" i="3"/>
  <c r="O723" i="3" s="1"/>
  <c r="D723" i="3"/>
  <c r="M723" i="3" s="1"/>
  <c r="Y722" i="3"/>
  <c r="X722" i="3"/>
  <c r="U722" i="3"/>
  <c r="Q722" i="3"/>
  <c r="P722" i="3"/>
  <c r="N722" i="3"/>
  <c r="L722" i="3"/>
  <c r="H722" i="3"/>
  <c r="O722" i="3" s="1"/>
  <c r="D722" i="3"/>
  <c r="M722" i="3" s="1"/>
  <c r="Y721" i="3"/>
  <c r="X721" i="3"/>
  <c r="U721" i="3"/>
  <c r="Q721" i="3"/>
  <c r="P721" i="3"/>
  <c r="N721" i="3"/>
  <c r="L721" i="3"/>
  <c r="H721" i="3"/>
  <c r="O721" i="3" s="1"/>
  <c r="D721" i="3"/>
  <c r="M721" i="3" s="1"/>
  <c r="Y720" i="3"/>
  <c r="X720" i="3"/>
  <c r="U720" i="3"/>
  <c r="Q720" i="3"/>
  <c r="P720" i="3"/>
  <c r="N720" i="3"/>
  <c r="L720" i="3"/>
  <c r="H720" i="3"/>
  <c r="O720" i="3" s="1"/>
  <c r="D720" i="3"/>
  <c r="M720" i="3" s="1"/>
  <c r="Y719" i="3"/>
  <c r="X719" i="3"/>
  <c r="U719" i="3"/>
  <c r="Q719" i="3"/>
  <c r="P719" i="3"/>
  <c r="N719" i="3"/>
  <c r="L719" i="3"/>
  <c r="H719" i="3"/>
  <c r="O719" i="3" s="1"/>
  <c r="D719" i="3"/>
  <c r="M719" i="3" s="1"/>
  <c r="Y718" i="3"/>
  <c r="X718" i="3"/>
  <c r="U718" i="3"/>
  <c r="Q718" i="3"/>
  <c r="P718" i="3"/>
  <c r="N718" i="3"/>
  <c r="L718" i="3"/>
  <c r="H718" i="3"/>
  <c r="O718" i="3" s="1"/>
  <c r="D718" i="3"/>
  <c r="M718" i="3" s="1"/>
  <c r="Y717" i="3"/>
  <c r="X717" i="3"/>
  <c r="U717" i="3"/>
  <c r="Q717" i="3"/>
  <c r="P717" i="3"/>
  <c r="N717" i="3"/>
  <c r="L717" i="3"/>
  <c r="H717" i="3"/>
  <c r="O717" i="3" s="1"/>
  <c r="D717" i="3"/>
  <c r="M717" i="3" s="1"/>
  <c r="Y716" i="3"/>
  <c r="X716" i="3"/>
  <c r="U716" i="3"/>
  <c r="Q716" i="3"/>
  <c r="P716" i="3"/>
  <c r="N716" i="3"/>
  <c r="L716" i="3"/>
  <c r="H716" i="3"/>
  <c r="O716" i="3" s="1"/>
  <c r="D716" i="3"/>
  <c r="M716" i="3" s="1"/>
  <c r="Y715" i="3"/>
  <c r="X715" i="3"/>
  <c r="U715" i="3"/>
  <c r="Q715" i="3"/>
  <c r="P715" i="3"/>
  <c r="N715" i="3"/>
  <c r="L715" i="3"/>
  <c r="H715" i="3"/>
  <c r="O715" i="3" s="1"/>
  <c r="D715" i="3"/>
  <c r="M715" i="3" s="1"/>
  <c r="Y714" i="3"/>
  <c r="X714" i="3"/>
  <c r="U714" i="3"/>
  <c r="Q714" i="3"/>
  <c r="P714" i="3"/>
  <c r="N714" i="3"/>
  <c r="L714" i="3"/>
  <c r="H714" i="3"/>
  <c r="O714" i="3" s="1"/>
  <c r="D714" i="3"/>
  <c r="M714" i="3" s="1"/>
  <c r="Y713" i="3"/>
  <c r="X713" i="3"/>
  <c r="U713" i="3"/>
  <c r="Q713" i="3"/>
  <c r="P713" i="3"/>
  <c r="N713" i="3"/>
  <c r="L713" i="3"/>
  <c r="H713" i="3"/>
  <c r="O713" i="3" s="1"/>
  <c r="D713" i="3"/>
  <c r="M713" i="3" s="1"/>
  <c r="Y712" i="3"/>
  <c r="X712" i="3"/>
  <c r="U712" i="3"/>
  <c r="Q712" i="3"/>
  <c r="P712" i="3"/>
  <c r="N712" i="3"/>
  <c r="L712" i="3"/>
  <c r="H712" i="3"/>
  <c r="O712" i="3" s="1"/>
  <c r="D712" i="3"/>
  <c r="M712" i="3" s="1"/>
  <c r="Y711" i="3"/>
  <c r="X711" i="3"/>
  <c r="U711" i="3"/>
  <c r="Q711" i="3"/>
  <c r="P711" i="3"/>
  <c r="N711" i="3"/>
  <c r="L711" i="3"/>
  <c r="H711" i="3"/>
  <c r="O711" i="3" s="1"/>
  <c r="D711" i="3"/>
  <c r="M711" i="3" s="1"/>
  <c r="Y710" i="3"/>
  <c r="X710" i="3"/>
  <c r="U710" i="3"/>
  <c r="Q710" i="3"/>
  <c r="P710" i="3"/>
  <c r="N710" i="3"/>
  <c r="L710" i="3"/>
  <c r="H710" i="3"/>
  <c r="O710" i="3" s="1"/>
  <c r="D710" i="3"/>
  <c r="M710" i="3" s="1"/>
  <c r="Y709" i="3"/>
  <c r="X709" i="3"/>
  <c r="U709" i="3"/>
  <c r="Q709" i="3"/>
  <c r="P709" i="3"/>
  <c r="N709" i="3"/>
  <c r="L709" i="3"/>
  <c r="H709" i="3"/>
  <c r="O709" i="3" s="1"/>
  <c r="D709" i="3"/>
  <c r="M709" i="3" s="1"/>
  <c r="Y708" i="3"/>
  <c r="X708" i="3"/>
  <c r="U708" i="3"/>
  <c r="Q708" i="3"/>
  <c r="P708" i="3"/>
  <c r="N708" i="3"/>
  <c r="L708" i="3"/>
  <c r="H708" i="3"/>
  <c r="O708" i="3" s="1"/>
  <c r="D708" i="3"/>
  <c r="M708" i="3" s="1"/>
  <c r="Y707" i="3"/>
  <c r="X707" i="3"/>
  <c r="U707" i="3"/>
  <c r="Q707" i="3"/>
  <c r="P707" i="3"/>
  <c r="N707" i="3"/>
  <c r="L707" i="3"/>
  <c r="H707" i="3"/>
  <c r="O707" i="3" s="1"/>
  <c r="D707" i="3"/>
  <c r="M707" i="3" s="1"/>
  <c r="Y706" i="3"/>
  <c r="X706" i="3"/>
  <c r="U706" i="3"/>
  <c r="Q706" i="3"/>
  <c r="P706" i="3"/>
  <c r="N706" i="3"/>
  <c r="L706" i="3"/>
  <c r="H706" i="3"/>
  <c r="O706" i="3" s="1"/>
  <c r="D706" i="3"/>
  <c r="M706" i="3" s="1"/>
  <c r="Y705" i="3"/>
  <c r="X705" i="3"/>
  <c r="U705" i="3"/>
  <c r="Q705" i="3"/>
  <c r="P705" i="3"/>
  <c r="N705" i="3"/>
  <c r="L705" i="3"/>
  <c r="H705" i="3"/>
  <c r="O705" i="3" s="1"/>
  <c r="D705" i="3"/>
  <c r="M705" i="3" s="1"/>
  <c r="Y704" i="3"/>
  <c r="X704" i="3"/>
  <c r="U704" i="3"/>
  <c r="Q704" i="3"/>
  <c r="P704" i="3"/>
  <c r="N704" i="3"/>
  <c r="L704" i="3"/>
  <c r="H704" i="3"/>
  <c r="O704" i="3" s="1"/>
  <c r="D704" i="3"/>
  <c r="M704" i="3" s="1"/>
  <c r="Y703" i="3"/>
  <c r="X703" i="3"/>
  <c r="U703" i="3"/>
  <c r="Q703" i="3"/>
  <c r="P703" i="3"/>
  <c r="N703" i="3"/>
  <c r="L703" i="3"/>
  <c r="H703" i="3"/>
  <c r="O703" i="3" s="1"/>
  <c r="D703" i="3"/>
  <c r="M703" i="3" s="1"/>
  <c r="Y702" i="3"/>
  <c r="X702" i="3"/>
  <c r="U702" i="3"/>
  <c r="Q702" i="3"/>
  <c r="P702" i="3"/>
  <c r="N702" i="3"/>
  <c r="L702" i="3"/>
  <c r="H702" i="3"/>
  <c r="O702" i="3" s="1"/>
  <c r="D702" i="3"/>
  <c r="M702" i="3" s="1"/>
  <c r="Y701" i="3"/>
  <c r="X701" i="3"/>
  <c r="U701" i="3"/>
  <c r="Q701" i="3"/>
  <c r="P701" i="3"/>
  <c r="N701" i="3"/>
  <c r="L701" i="3"/>
  <c r="H701" i="3"/>
  <c r="O701" i="3" s="1"/>
  <c r="D701" i="3"/>
  <c r="M701" i="3" s="1"/>
  <c r="Y700" i="3"/>
  <c r="X700" i="3"/>
  <c r="U700" i="3"/>
  <c r="Q700" i="3"/>
  <c r="P700" i="3"/>
  <c r="N700" i="3"/>
  <c r="L700" i="3"/>
  <c r="H700" i="3"/>
  <c r="O700" i="3" s="1"/>
  <c r="D700" i="3"/>
  <c r="M700" i="3" s="1"/>
  <c r="Y699" i="3"/>
  <c r="X699" i="3"/>
  <c r="U699" i="3"/>
  <c r="Q699" i="3"/>
  <c r="P699" i="3"/>
  <c r="N699" i="3"/>
  <c r="L699" i="3"/>
  <c r="H699" i="3"/>
  <c r="O699" i="3" s="1"/>
  <c r="D699" i="3"/>
  <c r="M699" i="3" s="1"/>
  <c r="Y698" i="3"/>
  <c r="X698" i="3"/>
  <c r="U698" i="3"/>
  <c r="Q698" i="3"/>
  <c r="P698" i="3"/>
  <c r="N698" i="3"/>
  <c r="L698" i="3"/>
  <c r="H698" i="3"/>
  <c r="O698" i="3" s="1"/>
  <c r="D698" i="3"/>
  <c r="M698" i="3" s="1"/>
  <c r="Y697" i="3"/>
  <c r="X697" i="3"/>
  <c r="U697" i="3"/>
  <c r="Q697" i="3"/>
  <c r="P697" i="3"/>
  <c r="N697" i="3"/>
  <c r="L697" i="3"/>
  <c r="H697" i="3"/>
  <c r="O697" i="3" s="1"/>
  <c r="D697" i="3"/>
  <c r="M697" i="3" s="1"/>
  <c r="Y696" i="3"/>
  <c r="X696" i="3"/>
  <c r="U696" i="3"/>
  <c r="Q696" i="3"/>
  <c r="P696" i="3"/>
  <c r="N696" i="3"/>
  <c r="L696" i="3"/>
  <c r="H696" i="3"/>
  <c r="O696" i="3" s="1"/>
  <c r="D696" i="3"/>
  <c r="M696" i="3" s="1"/>
  <c r="Y695" i="3"/>
  <c r="X695" i="3"/>
  <c r="U695" i="3"/>
  <c r="Q695" i="3"/>
  <c r="P695" i="3"/>
  <c r="N695" i="3"/>
  <c r="L695" i="3"/>
  <c r="H695" i="3"/>
  <c r="O695" i="3" s="1"/>
  <c r="D695" i="3"/>
  <c r="M695" i="3" s="1"/>
  <c r="Y694" i="3"/>
  <c r="X694" i="3"/>
  <c r="U694" i="3"/>
  <c r="Q694" i="3"/>
  <c r="P694" i="3"/>
  <c r="N694" i="3"/>
  <c r="L694" i="3"/>
  <c r="H694" i="3"/>
  <c r="O694" i="3" s="1"/>
  <c r="D694" i="3"/>
  <c r="M694" i="3" s="1"/>
  <c r="Y693" i="3"/>
  <c r="X693" i="3"/>
  <c r="U693" i="3"/>
  <c r="Q693" i="3"/>
  <c r="P693" i="3"/>
  <c r="N693" i="3"/>
  <c r="L693" i="3"/>
  <c r="H693" i="3"/>
  <c r="O693" i="3" s="1"/>
  <c r="D693" i="3"/>
  <c r="M693" i="3" s="1"/>
  <c r="Y692" i="3"/>
  <c r="X692" i="3"/>
  <c r="U692" i="3"/>
  <c r="Q692" i="3"/>
  <c r="P692" i="3"/>
  <c r="N692" i="3"/>
  <c r="L692" i="3"/>
  <c r="H692" i="3"/>
  <c r="O692" i="3" s="1"/>
  <c r="D692" i="3"/>
  <c r="M692" i="3" s="1"/>
  <c r="Y691" i="3"/>
  <c r="X691" i="3"/>
  <c r="U691" i="3"/>
  <c r="Q691" i="3"/>
  <c r="P691" i="3"/>
  <c r="N691" i="3"/>
  <c r="L691" i="3"/>
  <c r="H691" i="3"/>
  <c r="O691" i="3" s="1"/>
  <c r="D691" i="3"/>
  <c r="M691" i="3" s="1"/>
  <c r="Y690" i="3"/>
  <c r="X690" i="3"/>
  <c r="U690" i="3"/>
  <c r="Q690" i="3"/>
  <c r="P690" i="3"/>
  <c r="N690" i="3"/>
  <c r="L690" i="3"/>
  <c r="H690" i="3"/>
  <c r="O690" i="3" s="1"/>
  <c r="D690" i="3"/>
  <c r="M690" i="3" s="1"/>
  <c r="Y689" i="3"/>
  <c r="X689" i="3"/>
  <c r="U689" i="3"/>
  <c r="Q689" i="3"/>
  <c r="P689" i="3"/>
  <c r="N689" i="3"/>
  <c r="L689" i="3"/>
  <c r="H689" i="3"/>
  <c r="O689" i="3" s="1"/>
  <c r="D689" i="3"/>
  <c r="M689" i="3" s="1"/>
  <c r="Y688" i="3"/>
  <c r="X688" i="3"/>
  <c r="U688" i="3"/>
  <c r="Q688" i="3"/>
  <c r="P688" i="3"/>
  <c r="N688" i="3"/>
  <c r="L688" i="3"/>
  <c r="H688" i="3"/>
  <c r="O688" i="3" s="1"/>
  <c r="D688" i="3"/>
  <c r="M688" i="3" s="1"/>
  <c r="Y687" i="3"/>
  <c r="X687" i="3"/>
  <c r="U687" i="3"/>
  <c r="Q687" i="3"/>
  <c r="P687" i="3"/>
  <c r="N687" i="3"/>
  <c r="L687" i="3"/>
  <c r="H687" i="3"/>
  <c r="O687" i="3" s="1"/>
  <c r="D687" i="3"/>
  <c r="M687" i="3" s="1"/>
  <c r="Y686" i="3"/>
  <c r="X686" i="3"/>
  <c r="U686" i="3"/>
  <c r="Q686" i="3"/>
  <c r="P686" i="3"/>
  <c r="N686" i="3"/>
  <c r="L686" i="3"/>
  <c r="H686" i="3"/>
  <c r="O686" i="3" s="1"/>
  <c r="D686" i="3"/>
  <c r="M686" i="3" s="1"/>
  <c r="Y685" i="3"/>
  <c r="X685" i="3"/>
  <c r="U685" i="3"/>
  <c r="Q685" i="3"/>
  <c r="P685" i="3"/>
  <c r="N685" i="3"/>
  <c r="L685" i="3"/>
  <c r="H685" i="3"/>
  <c r="O685" i="3" s="1"/>
  <c r="D685" i="3"/>
  <c r="M685" i="3" s="1"/>
  <c r="Y684" i="3"/>
  <c r="X684" i="3"/>
  <c r="U684" i="3"/>
  <c r="Q684" i="3"/>
  <c r="P684" i="3"/>
  <c r="N684" i="3"/>
  <c r="L684" i="3"/>
  <c r="H684" i="3"/>
  <c r="O684" i="3" s="1"/>
  <c r="D684" i="3"/>
  <c r="M684" i="3" s="1"/>
  <c r="Y683" i="3"/>
  <c r="X683" i="3"/>
  <c r="U683" i="3"/>
  <c r="Q683" i="3"/>
  <c r="P683" i="3"/>
  <c r="N683" i="3"/>
  <c r="L683" i="3"/>
  <c r="H683" i="3"/>
  <c r="O683" i="3" s="1"/>
  <c r="D683" i="3"/>
  <c r="M683" i="3" s="1"/>
  <c r="Y682" i="3"/>
  <c r="X682" i="3"/>
  <c r="U682" i="3"/>
  <c r="Q682" i="3"/>
  <c r="P682" i="3"/>
  <c r="N682" i="3"/>
  <c r="L682" i="3"/>
  <c r="H682" i="3"/>
  <c r="O682" i="3" s="1"/>
  <c r="D682" i="3"/>
  <c r="M682" i="3" s="1"/>
  <c r="Y681" i="3"/>
  <c r="X681" i="3"/>
  <c r="U681" i="3"/>
  <c r="Q681" i="3"/>
  <c r="P681" i="3"/>
  <c r="N681" i="3"/>
  <c r="L681" i="3"/>
  <c r="H681" i="3"/>
  <c r="O681" i="3" s="1"/>
  <c r="D681" i="3"/>
  <c r="M681" i="3" s="1"/>
  <c r="Y680" i="3"/>
  <c r="X680" i="3"/>
  <c r="U680" i="3"/>
  <c r="Q680" i="3"/>
  <c r="P680" i="3"/>
  <c r="N680" i="3"/>
  <c r="L680" i="3"/>
  <c r="H680" i="3"/>
  <c r="O680" i="3" s="1"/>
  <c r="D680" i="3"/>
  <c r="M680" i="3" s="1"/>
  <c r="Y679" i="3"/>
  <c r="X679" i="3"/>
  <c r="U679" i="3"/>
  <c r="Q679" i="3"/>
  <c r="P679" i="3"/>
  <c r="N679" i="3"/>
  <c r="L679" i="3"/>
  <c r="H679" i="3"/>
  <c r="O679" i="3" s="1"/>
  <c r="D679" i="3"/>
  <c r="M679" i="3" s="1"/>
  <c r="Y678" i="3"/>
  <c r="X678" i="3"/>
  <c r="U678" i="3"/>
  <c r="Q678" i="3"/>
  <c r="P678" i="3"/>
  <c r="N678" i="3"/>
  <c r="L678" i="3"/>
  <c r="H678" i="3"/>
  <c r="O678" i="3" s="1"/>
  <c r="D678" i="3"/>
  <c r="M678" i="3" s="1"/>
  <c r="Y677" i="3"/>
  <c r="X677" i="3"/>
  <c r="U677" i="3"/>
  <c r="Q677" i="3"/>
  <c r="P677" i="3"/>
  <c r="N677" i="3"/>
  <c r="L677" i="3"/>
  <c r="H677" i="3"/>
  <c r="O677" i="3" s="1"/>
  <c r="D677" i="3"/>
  <c r="M677" i="3" s="1"/>
  <c r="Y676" i="3"/>
  <c r="X676" i="3"/>
  <c r="U676" i="3"/>
  <c r="Q676" i="3"/>
  <c r="P676" i="3"/>
  <c r="N676" i="3"/>
  <c r="L676" i="3"/>
  <c r="H676" i="3"/>
  <c r="O676" i="3" s="1"/>
  <c r="D676" i="3"/>
  <c r="M676" i="3" s="1"/>
  <c r="Y675" i="3"/>
  <c r="X675" i="3"/>
  <c r="U675" i="3"/>
  <c r="Q675" i="3"/>
  <c r="P675" i="3"/>
  <c r="N675" i="3"/>
  <c r="L675" i="3"/>
  <c r="H675" i="3"/>
  <c r="O675" i="3" s="1"/>
  <c r="D675" i="3"/>
  <c r="M675" i="3" s="1"/>
  <c r="Y674" i="3"/>
  <c r="X674" i="3"/>
  <c r="U674" i="3"/>
  <c r="Q674" i="3"/>
  <c r="P674" i="3"/>
  <c r="N674" i="3"/>
  <c r="L674" i="3"/>
  <c r="H674" i="3"/>
  <c r="O674" i="3" s="1"/>
  <c r="D674" i="3"/>
  <c r="M674" i="3" s="1"/>
  <c r="Y673" i="3"/>
  <c r="X673" i="3"/>
  <c r="U673" i="3"/>
  <c r="Q673" i="3"/>
  <c r="P673" i="3"/>
  <c r="N673" i="3"/>
  <c r="L673" i="3"/>
  <c r="H673" i="3"/>
  <c r="O673" i="3" s="1"/>
  <c r="D673" i="3"/>
  <c r="M673" i="3" s="1"/>
  <c r="Y672" i="3"/>
  <c r="X672" i="3"/>
  <c r="U672" i="3"/>
  <c r="Q672" i="3"/>
  <c r="P672" i="3"/>
  <c r="N672" i="3"/>
  <c r="L672" i="3"/>
  <c r="H672" i="3"/>
  <c r="O672" i="3" s="1"/>
  <c r="D672" i="3"/>
  <c r="M672" i="3" s="1"/>
  <c r="Y671" i="3"/>
  <c r="X671" i="3"/>
  <c r="U671" i="3"/>
  <c r="Q671" i="3"/>
  <c r="P671" i="3"/>
  <c r="N671" i="3"/>
  <c r="L671" i="3"/>
  <c r="H671" i="3"/>
  <c r="O671" i="3" s="1"/>
  <c r="D671" i="3"/>
  <c r="M671" i="3" s="1"/>
  <c r="Y670" i="3"/>
  <c r="X670" i="3"/>
  <c r="U670" i="3"/>
  <c r="Q670" i="3"/>
  <c r="P670" i="3"/>
  <c r="N670" i="3"/>
  <c r="L670" i="3"/>
  <c r="H670" i="3"/>
  <c r="O670" i="3" s="1"/>
  <c r="D670" i="3"/>
  <c r="M670" i="3" s="1"/>
  <c r="Y669" i="3"/>
  <c r="X669" i="3"/>
  <c r="U669" i="3"/>
  <c r="Q669" i="3"/>
  <c r="P669" i="3"/>
  <c r="N669" i="3"/>
  <c r="L669" i="3"/>
  <c r="H669" i="3"/>
  <c r="O669" i="3" s="1"/>
  <c r="D669" i="3"/>
  <c r="M669" i="3" s="1"/>
  <c r="Y668" i="3"/>
  <c r="X668" i="3"/>
  <c r="U668" i="3"/>
  <c r="Q668" i="3"/>
  <c r="P668" i="3"/>
  <c r="N668" i="3"/>
  <c r="L668" i="3"/>
  <c r="H668" i="3"/>
  <c r="O668" i="3" s="1"/>
  <c r="D668" i="3"/>
  <c r="M668" i="3" s="1"/>
  <c r="Y667" i="3"/>
  <c r="X667" i="3"/>
  <c r="U667" i="3"/>
  <c r="Q667" i="3"/>
  <c r="P667" i="3"/>
  <c r="N667" i="3"/>
  <c r="L667" i="3"/>
  <c r="H667" i="3"/>
  <c r="O667" i="3" s="1"/>
  <c r="D667" i="3"/>
  <c r="M667" i="3" s="1"/>
  <c r="Y666" i="3"/>
  <c r="X666" i="3"/>
  <c r="U666" i="3"/>
  <c r="Q666" i="3"/>
  <c r="P666" i="3"/>
  <c r="N666" i="3"/>
  <c r="L666" i="3"/>
  <c r="H666" i="3"/>
  <c r="O666" i="3" s="1"/>
  <c r="D666" i="3"/>
  <c r="M666" i="3" s="1"/>
  <c r="Y665" i="3"/>
  <c r="X665" i="3"/>
  <c r="U665" i="3"/>
  <c r="Q665" i="3"/>
  <c r="P665" i="3"/>
  <c r="N665" i="3"/>
  <c r="L665" i="3"/>
  <c r="H665" i="3"/>
  <c r="O665" i="3" s="1"/>
  <c r="D665" i="3"/>
  <c r="M665" i="3" s="1"/>
  <c r="Y664" i="3"/>
  <c r="X664" i="3"/>
  <c r="U664" i="3"/>
  <c r="Q664" i="3"/>
  <c r="P664" i="3"/>
  <c r="N664" i="3"/>
  <c r="L664" i="3"/>
  <c r="H664" i="3"/>
  <c r="O664" i="3" s="1"/>
  <c r="D664" i="3"/>
  <c r="M664" i="3" s="1"/>
  <c r="Y663" i="3"/>
  <c r="X663" i="3"/>
  <c r="U663" i="3"/>
  <c r="Q663" i="3"/>
  <c r="P663" i="3"/>
  <c r="N663" i="3"/>
  <c r="L663" i="3"/>
  <c r="H663" i="3"/>
  <c r="O663" i="3" s="1"/>
  <c r="D663" i="3"/>
  <c r="M663" i="3" s="1"/>
  <c r="Y662" i="3"/>
  <c r="X662" i="3"/>
  <c r="U662" i="3"/>
  <c r="Q662" i="3"/>
  <c r="P662" i="3"/>
  <c r="N662" i="3"/>
  <c r="L662" i="3"/>
  <c r="H662" i="3"/>
  <c r="O662" i="3" s="1"/>
  <c r="D662" i="3"/>
  <c r="M662" i="3" s="1"/>
  <c r="Y661" i="3"/>
  <c r="X661" i="3"/>
  <c r="U661" i="3"/>
  <c r="Q661" i="3"/>
  <c r="P661" i="3"/>
  <c r="N661" i="3"/>
  <c r="L661" i="3"/>
  <c r="H661" i="3"/>
  <c r="O661" i="3" s="1"/>
  <c r="D661" i="3"/>
  <c r="M661" i="3" s="1"/>
  <c r="Y660" i="3"/>
  <c r="X660" i="3"/>
  <c r="U660" i="3"/>
  <c r="Q660" i="3"/>
  <c r="P660" i="3"/>
  <c r="N660" i="3"/>
  <c r="L660" i="3"/>
  <c r="H660" i="3"/>
  <c r="O660" i="3" s="1"/>
  <c r="D660" i="3"/>
  <c r="M660" i="3" s="1"/>
  <c r="Y659" i="3"/>
  <c r="X659" i="3"/>
  <c r="U659" i="3"/>
  <c r="Q659" i="3"/>
  <c r="P659" i="3"/>
  <c r="N659" i="3"/>
  <c r="L659" i="3"/>
  <c r="H659" i="3"/>
  <c r="O659" i="3" s="1"/>
  <c r="D659" i="3"/>
  <c r="M659" i="3" s="1"/>
  <c r="Y658" i="3"/>
  <c r="X658" i="3"/>
  <c r="U658" i="3"/>
  <c r="Q658" i="3"/>
  <c r="P658" i="3"/>
  <c r="N658" i="3"/>
  <c r="L658" i="3"/>
  <c r="H658" i="3"/>
  <c r="O658" i="3" s="1"/>
  <c r="D658" i="3"/>
  <c r="M658" i="3" s="1"/>
  <c r="Y657" i="3"/>
  <c r="X657" i="3"/>
  <c r="U657" i="3"/>
  <c r="Q657" i="3"/>
  <c r="P657" i="3"/>
  <c r="N657" i="3"/>
  <c r="L657" i="3"/>
  <c r="H657" i="3"/>
  <c r="O657" i="3" s="1"/>
  <c r="D657" i="3"/>
  <c r="M657" i="3" s="1"/>
  <c r="Y656" i="3"/>
  <c r="X656" i="3"/>
  <c r="U656" i="3"/>
  <c r="Q656" i="3"/>
  <c r="P656" i="3"/>
  <c r="N656" i="3"/>
  <c r="L656" i="3"/>
  <c r="H656" i="3"/>
  <c r="O656" i="3" s="1"/>
  <c r="D656" i="3"/>
  <c r="M656" i="3" s="1"/>
  <c r="Y655" i="3"/>
  <c r="X655" i="3"/>
  <c r="U655" i="3"/>
  <c r="Q655" i="3"/>
  <c r="P655" i="3"/>
  <c r="N655" i="3"/>
  <c r="L655" i="3"/>
  <c r="H655" i="3"/>
  <c r="O655" i="3" s="1"/>
  <c r="D655" i="3"/>
  <c r="M655" i="3" s="1"/>
  <c r="Y654" i="3"/>
  <c r="X654" i="3"/>
  <c r="U654" i="3"/>
  <c r="Q654" i="3"/>
  <c r="P654" i="3"/>
  <c r="N654" i="3"/>
  <c r="L654" i="3"/>
  <c r="H654" i="3"/>
  <c r="O654" i="3" s="1"/>
  <c r="D654" i="3"/>
  <c r="M654" i="3" s="1"/>
  <c r="Y653" i="3"/>
  <c r="X653" i="3"/>
  <c r="U653" i="3"/>
  <c r="Q653" i="3"/>
  <c r="P653" i="3"/>
  <c r="N653" i="3"/>
  <c r="L653" i="3"/>
  <c r="H653" i="3"/>
  <c r="O653" i="3" s="1"/>
  <c r="D653" i="3"/>
  <c r="M653" i="3" s="1"/>
  <c r="Y652" i="3"/>
  <c r="X652" i="3"/>
  <c r="U652" i="3"/>
  <c r="Q652" i="3"/>
  <c r="P652" i="3"/>
  <c r="N652" i="3"/>
  <c r="L652" i="3"/>
  <c r="H652" i="3"/>
  <c r="O652" i="3" s="1"/>
  <c r="D652" i="3"/>
  <c r="M652" i="3" s="1"/>
  <c r="Y651" i="3"/>
  <c r="X651" i="3"/>
  <c r="U651" i="3"/>
  <c r="Q651" i="3"/>
  <c r="P651" i="3"/>
  <c r="N651" i="3"/>
  <c r="L651" i="3"/>
  <c r="H651" i="3"/>
  <c r="O651" i="3" s="1"/>
  <c r="D651" i="3"/>
  <c r="M651" i="3" s="1"/>
  <c r="Y650" i="3"/>
  <c r="X650" i="3"/>
  <c r="U650" i="3"/>
  <c r="Q650" i="3"/>
  <c r="P650" i="3"/>
  <c r="N650" i="3"/>
  <c r="L650" i="3"/>
  <c r="H650" i="3"/>
  <c r="O650" i="3" s="1"/>
  <c r="D650" i="3"/>
  <c r="M650" i="3" s="1"/>
  <c r="Y649" i="3"/>
  <c r="X649" i="3"/>
  <c r="U649" i="3"/>
  <c r="Q649" i="3"/>
  <c r="P649" i="3"/>
  <c r="N649" i="3"/>
  <c r="L649" i="3"/>
  <c r="H649" i="3"/>
  <c r="O649" i="3" s="1"/>
  <c r="D649" i="3"/>
  <c r="M649" i="3" s="1"/>
  <c r="Y648" i="3"/>
  <c r="X648" i="3"/>
  <c r="U648" i="3"/>
  <c r="Q648" i="3"/>
  <c r="P648" i="3"/>
  <c r="N648" i="3"/>
  <c r="L648" i="3"/>
  <c r="H648" i="3"/>
  <c r="O648" i="3" s="1"/>
  <c r="D648" i="3"/>
  <c r="M648" i="3" s="1"/>
  <c r="Y647" i="3"/>
  <c r="X647" i="3"/>
  <c r="U647" i="3"/>
  <c r="Q647" i="3"/>
  <c r="P647" i="3"/>
  <c r="N647" i="3"/>
  <c r="L647" i="3"/>
  <c r="H647" i="3"/>
  <c r="O647" i="3" s="1"/>
  <c r="D647" i="3"/>
  <c r="M647" i="3" s="1"/>
  <c r="Y646" i="3"/>
  <c r="X646" i="3"/>
  <c r="U646" i="3"/>
  <c r="Q646" i="3"/>
  <c r="P646" i="3"/>
  <c r="N646" i="3"/>
  <c r="L646" i="3"/>
  <c r="H646" i="3"/>
  <c r="O646" i="3" s="1"/>
  <c r="D646" i="3"/>
  <c r="M646" i="3" s="1"/>
  <c r="Y645" i="3"/>
  <c r="X645" i="3"/>
  <c r="U645" i="3"/>
  <c r="Q645" i="3"/>
  <c r="P645" i="3"/>
  <c r="N645" i="3"/>
  <c r="L645" i="3"/>
  <c r="H645" i="3"/>
  <c r="O645" i="3" s="1"/>
  <c r="D645" i="3"/>
  <c r="M645" i="3" s="1"/>
  <c r="Y644" i="3"/>
  <c r="X644" i="3"/>
  <c r="U644" i="3"/>
  <c r="Q644" i="3"/>
  <c r="P644" i="3"/>
  <c r="N644" i="3"/>
  <c r="L644" i="3"/>
  <c r="H644" i="3"/>
  <c r="O644" i="3" s="1"/>
  <c r="D644" i="3"/>
  <c r="M644" i="3" s="1"/>
  <c r="Y643" i="3"/>
  <c r="X643" i="3"/>
  <c r="U643" i="3"/>
  <c r="Q643" i="3"/>
  <c r="P643" i="3"/>
  <c r="N643" i="3"/>
  <c r="L643" i="3"/>
  <c r="H643" i="3"/>
  <c r="O643" i="3" s="1"/>
  <c r="D643" i="3"/>
  <c r="M643" i="3" s="1"/>
  <c r="Y642" i="3"/>
  <c r="X642" i="3"/>
  <c r="U642" i="3"/>
  <c r="Q642" i="3"/>
  <c r="P642" i="3"/>
  <c r="N642" i="3"/>
  <c r="L642" i="3"/>
  <c r="H642" i="3"/>
  <c r="O642" i="3" s="1"/>
  <c r="D642" i="3"/>
  <c r="M642" i="3" s="1"/>
  <c r="Y641" i="3"/>
  <c r="X641" i="3"/>
  <c r="U641" i="3"/>
  <c r="Q641" i="3"/>
  <c r="P641" i="3"/>
  <c r="N641" i="3"/>
  <c r="L641" i="3"/>
  <c r="H641" i="3"/>
  <c r="O641" i="3" s="1"/>
  <c r="D641" i="3"/>
  <c r="M641" i="3" s="1"/>
  <c r="Y640" i="3"/>
  <c r="X640" i="3"/>
  <c r="U640" i="3"/>
  <c r="Q640" i="3"/>
  <c r="P640" i="3"/>
  <c r="N640" i="3"/>
  <c r="L640" i="3"/>
  <c r="H640" i="3"/>
  <c r="O640" i="3" s="1"/>
  <c r="D640" i="3"/>
  <c r="M640" i="3" s="1"/>
  <c r="Y639" i="3"/>
  <c r="X639" i="3"/>
  <c r="U639" i="3"/>
  <c r="Q639" i="3"/>
  <c r="P639" i="3"/>
  <c r="N639" i="3"/>
  <c r="L639" i="3"/>
  <c r="H639" i="3"/>
  <c r="O639" i="3" s="1"/>
  <c r="D639" i="3"/>
  <c r="M639" i="3" s="1"/>
  <c r="Y638" i="3"/>
  <c r="X638" i="3"/>
  <c r="U638" i="3"/>
  <c r="Q638" i="3"/>
  <c r="P638" i="3"/>
  <c r="N638" i="3"/>
  <c r="L638" i="3"/>
  <c r="H638" i="3"/>
  <c r="O638" i="3" s="1"/>
  <c r="D638" i="3"/>
  <c r="M638" i="3" s="1"/>
  <c r="Y637" i="3"/>
  <c r="X637" i="3"/>
  <c r="U637" i="3"/>
  <c r="Q637" i="3"/>
  <c r="P637" i="3"/>
  <c r="N637" i="3"/>
  <c r="L637" i="3"/>
  <c r="H637" i="3"/>
  <c r="O637" i="3" s="1"/>
  <c r="D637" i="3"/>
  <c r="M637" i="3" s="1"/>
  <c r="Y636" i="3"/>
  <c r="X636" i="3"/>
  <c r="U636" i="3"/>
  <c r="Q636" i="3"/>
  <c r="P636" i="3"/>
  <c r="N636" i="3"/>
  <c r="L636" i="3"/>
  <c r="H636" i="3"/>
  <c r="O636" i="3" s="1"/>
  <c r="D636" i="3"/>
  <c r="M636" i="3" s="1"/>
  <c r="Y635" i="3"/>
  <c r="X635" i="3"/>
  <c r="U635" i="3"/>
  <c r="Q635" i="3"/>
  <c r="P635" i="3"/>
  <c r="N635" i="3"/>
  <c r="L635" i="3"/>
  <c r="H635" i="3"/>
  <c r="O635" i="3" s="1"/>
  <c r="D635" i="3"/>
  <c r="M635" i="3" s="1"/>
  <c r="Y634" i="3"/>
  <c r="X634" i="3"/>
  <c r="U634" i="3"/>
  <c r="Q634" i="3"/>
  <c r="P634" i="3"/>
  <c r="N634" i="3"/>
  <c r="L634" i="3"/>
  <c r="H634" i="3"/>
  <c r="O634" i="3" s="1"/>
  <c r="D634" i="3"/>
  <c r="M634" i="3" s="1"/>
  <c r="Y633" i="3"/>
  <c r="X633" i="3"/>
  <c r="U633" i="3"/>
  <c r="Q633" i="3"/>
  <c r="P633" i="3"/>
  <c r="N633" i="3"/>
  <c r="L633" i="3"/>
  <c r="H633" i="3"/>
  <c r="O633" i="3" s="1"/>
  <c r="D633" i="3"/>
  <c r="M633" i="3" s="1"/>
  <c r="Y632" i="3"/>
  <c r="X632" i="3"/>
  <c r="U632" i="3"/>
  <c r="Q632" i="3"/>
  <c r="P632" i="3"/>
  <c r="N632" i="3"/>
  <c r="L632" i="3"/>
  <c r="H632" i="3"/>
  <c r="O632" i="3" s="1"/>
  <c r="D632" i="3"/>
  <c r="M632" i="3" s="1"/>
  <c r="Y631" i="3"/>
  <c r="X631" i="3"/>
  <c r="U631" i="3"/>
  <c r="Q631" i="3"/>
  <c r="P631" i="3"/>
  <c r="N631" i="3"/>
  <c r="L631" i="3"/>
  <c r="H631" i="3"/>
  <c r="O631" i="3" s="1"/>
  <c r="D631" i="3"/>
  <c r="M631" i="3" s="1"/>
  <c r="Y630" i="3"/>
  <c r="X630" i="3"/>
  <c r="U630" i="3"/>
  <c r="Q630" i="3"/>
  <c r="P630" i="3"/>
  <c r="N630" i="3"/>
  <c r="L630" i="3"/>
  <c r="H630" i="3"/>
  <c r="O630" i="3" s="1"/>
  <c r="D630" i="3"/>
  <c r="M630" i="3" s="1"/>
  <c r="Y629" i="3"/>
  <c r="X629" i="3"/>
  <c r="U629" i="3"/>
  <c r="Q629" i="3"/>
  <c r="P629" i="3"/>
  <c r="N629" i="3"/>
  <c r="L629" i="3"/>
  <c r="H629" i="3"/>
  <c r="O629" i="3" s="1"/>
  <c r="D629" i="3"/>
  <c r="M629" i="3" s="1"/>
  <c r="Y628" i="3"/>
  <c r="X628" i="3"/>
  <c r="U628" i="3"/>
  <c r="Q628" i="3"/>
  <c r="P628" i="3"/>
  <c r="N628" i="3"/>
  <c r="L628" i="3"/>
  <c r="H628" i="3"/>
  <c r="O628" i="3" s="1"/>
  <c r="D628" i="3"/>
  <c r="M628" i="3" s="1"/>
  <c r="Y627" i="3"/>
  <c r="X627" i="3"/>
  <c r="U627" i="3"/>
  <c r="Q627" i="3"/>
  <c r="P627" i="3"/>
  <c r="N627" i="3"/>
  <c r="L627" i="3"/>
  <c r="H627" i="3"/>
  <c r="O627" i="3" s="1"/>
  <c r="D627" i="3"/>
  <c r="M627" i="3" s="1"/>
  <c r="Y626" i="3"/>
  <c r="X626" i="3"/>
  <c r="U626" i="3"/>
  <c r="Q626" i="3"/>
  <c r="P626" i="3"/>
  <c r="N626" i="3"/>
  <c r="L626" i="3"/>
  <c r="H626" i="3"/>
  <c r="O626" i="3" s="1"/>
  <c r="D626" i="3"/>
  <c r="M626" i="3" s="1"/>
  <c r="Y625" i="3"/>
  <c r="X625" i="3"/>
  <c r="U625" i="3"/>
  <c r="Q625" i="3"/>
  <c r="P625" i="3"/>
  <c r="N625" i="3"/>
  <c r="L625" i="3"/>
  <c r="H625" i="3"/>
  <c r="O625" i="3" s="1"/>
  <c r="D625" i="3"/>
  <c r="M625" i="3" s="1"/>
  <c r="Y624" i="3"/>
  <c r="X624" i="3"/>
  <c r="U624" i="3"/>
  <c r="Q624" i="3"/>
  <c r="P624" i="3"/>
  <c r="N624" i="3"/>
  <c r="L624" i="3"/>
  <c r="H624" i="3"/>
  <c r="O624" i="3" s="1"/>
  <c r="D624" i="3"/>
  <c r="M624" i="3" s="1"/>
  <c r="Y623" i="3"/>
  <c r="X623" i="3"/>
  <c r="U623" i="3"/>
  <c r="Q623" i="3"/>
  <c r="P623" i="3"/>
  <c r="N623" i="3"/>
  <c r="L623" i="3"/>
  <c r="H623" i="3"/>
  <c r="O623" i="3" s="1"/>
  <c r="D623" i="3"/>
  <c r="M623" i="3" s="1"/>
  <c r="Y622" i="3"/>
  <c r="X622" i="3"/>
  <c r="U622" i="3"/>
  <c r="Q622" i="3"/>
  <c r="P622" i="3"/>
  <c r="N622" i="3"/>
  <c r="L622" i="3"/>
  <c r="H622" i="3"/>
  <c r="O622" i="3" s="1"/>
  <c r="D622" i="3"/>
  <c r="M622" i="3" s="1"/>
  <c r="Y621" i="3"/>
  <c r="X621" i="3"/>
  <c r="U621" i="3"/>
  <c r="Q621" i="3"/>
  <c r="P621" i="3"/>
  <c r="N621" i="3"/>
  <c r="L621" i="3"/>
  <c r="H621" i="3"/>
  <c r="O621" i="3" s="1"/>
  <c r="D621" i="3"/>
  <c r="M621" i="3" s="1"/>
  <c r="Y620" i="3"/>
  <c r="X620" i="3"/>
  <c r="U620" i="3"/>
  <c r="Q620" i="3"/>
  <c r="P620" i="3"/>
  <c r="N620" i="3"/>
  <c r="L620" i="3"/>
  <c r="H620" i="3"/>
  <c r="O620" i="3" s="1"/>
  <c r="D620" i="3"/>
  <c r="M620" i="3" s="1"/>
  <c r="Y619" i="3"/>
  <c r="X619" i="3"/>
  <c r="U619" i="3"/>
  <c r="Q619" i="3"/>
  <c r="P619" i="3"/>
  <c r="N619" i="3"/>
  <c r="L619" i="3"/>
  <c r="H619" i="3"/>
  <c r="O619" i="3" s="1"/>
  <c r="D619" i="3"/>
  <c r="M619" i="3" s="1"/>
  <c r="Y618" i="3"/>
  <c r="X618" i="3"/>
  <c r="U618" i="3"/>
  <c r="Q618" i="3"/>
  <c r="P618" i="3"/>
  <c r="N618" i="3"/>
  <c r="L618" i="3"/>
  <c r="H618" i="3"/>
  <c r="O618" i="3" s="1"/>
  <c r="D618" i="3"/>
  <c r="M618" i="3" s="1"/>
  <c r="Y617" i="3"/>
  <c r="X617" i="3"/>
  <c r="U617" i="3"/>
  <c r="Q617" i="3"/>
  <c r="P617" i="3"/>
  <c r="N617" i="3"/>
  <c r="L617" i="3"/>
  <c r="H617" i="3"/>
  <c r="O617" i="3" s="1"/>
  <c r="D617" i="3"/>
  <c r="M617" i="3" s="1"/>
  <c r="Y616" i="3"/>
  <c r="X616" i="3"/>
  <c r="U616" i="3"/>
  <c r="Q616" i="3"/>
  <c r="P616" i="3"/>
  <c r="N616" i="3"/>
  <c r="L616" i="3"/>
  <c r="H616" i="3"/>
  <c r="O616" i="3" s="1"/>
  <c r="D616" i="3"/>
  <c r="M616" i="3" s="1"/>
  <c r="Y615" i="3"/>
  <c r="X615" i="3"/>
  <c r="U615" i="3"/>
  <c r="Q615" i="3"/>
  <c r="P615" i="3"/>
  <c r="N615" i="3"/>
  <c r="L615" i="3"/>
  <c r="H615" i="3"/>
  <c r="O615" i="3" s="1"/>
  <c r="D615" i="3"/>
  <c r="M615" i="3" s="1"/>
  <c r="Y614" i="3"/>
  <c r="X614" i="3"/>
  <c r="U614" i="3"/>
  <c r="Q614" i="3"/>
  <c r="P614" i="3"/>
  <c r="N614" i="3"/>
  <c r="L614" i="3"/>
  <c r="H614" i="3"/>
  <c r="O614" i="3" s="1"/>
  <c r="D614" i="3"/>
  <c r="M614" i="3" s="1"/>
  <c r="Y613" i="3"/>
  <c r="X613" i="3"/>
  <c r="U613" i="3"/>
  <c r="Q613" i="3"/>
  <c r="P613" i="3"/>
  <c r="N613" i="3"/>
  <c r="L613" i="3"/>
  <c r="H613" i="3"/>
  <c r="O613" i="3" s="1"/>
  <c r="D613" i="3"/>
  <c r="M613" i="3" s="1"/>
  <c r="Y612" i="3"/>
  <c r="X612" i="3"/>
  <c r="U612" i="3"/>
  <c r="Q612" i="3"/>
  <c r="P612" i="3"/>
  <c r="N612" i="3"/>
  <c r="L612" i="3"/>
  <c r="H612" i="3"/>
  <c r="O612" i="3" s="1"/>
  <c r="D612" i="3"/>
  <c r="M612" i="3" s="1"/>
  <c r="Y611" i="3"/>
  <c r="X611" i="3"/>
  <c r="U611" i="3"/>
  <c r="Q611" i="3"/>
  <c r="P611" i="3"/>
  <c r="N611" i="3"/>
  <c r="L611" i="3"/>
  <c r="H611" i="3"/>
  <c r="O611" i="3" s="1"/>
  <c r="D611" i="3"/>
  <c r="M611" i="3" s="1"/>
  <c r="Y610" i="3"/>
  <c r="X610" i="3"/>
  <c r="U610" i="3"/>
  <c r="Q610" i="3"/>
  <c r="P610" i="3"/>
  <c r="N610" i="3"/>
  <c r="L610" i="3"/>
  <c r="H610" i="3"/>
  <c r="O610" i="3" s="1"/>
  <c r="D610" i="3"/>
  <c r="M610" i="3" s="1"/>
  <c r="Y609" i="3"/>
  <c r="X609" i="3"/>
  <c r="U609" i="3"/>
  <c r="Q609" i="3"/>
  <c r="P609" i="3"/>
  <c r="N609" i="3"/>
  <c r="L609" i="3"/>
  <c r="H609" i="3"/>
  <c r="O609" i="3" s="1"/>
  <c r="D609" i="3"/>
  <c r="M609" i="3" s="1"/>
  <c r="Y608" i="3"/>
  <c r="X608" i="3"/>
  <c r="U608" i="3"/>
  <c r="Q608" i="3"/>
  <c r="P608" i="3"/>
  <c r="N608" i="3"/>
  <c r="L608" i="3"/>
  <c r="H608" i="3"/>
  <c r="O608" i="3" s="1"/>
  <c r="D608" i="3"/>
  <c r="M608" i="3" s="1"/>
  <c r="Y607" i="3"/>
  <c r="X607" i="3"/>
  <c r="U607" i="3"/>
  <c r="Q607" i="3"/>
  <c r="P607" i="3"/>
  <c r="N607" i="3"/>
  <c r="L607" i="3"/>
  <c r="H607" i="3"/>
  <c r="O607" i="3" s="1"/>
  <c r="D607" i="3"/>
  <c r="M607" i="3" s="1"/>
  <c r="Y606" i="3"/>
  <c r="X606" i="3"/>
  <c r="U606" i="3"/>
  <c r="Q606" i="3"/>
  <c r="P606" i="3"/>
  <c r="N606" i="3"/>
  <c r="L606" i="3"/>
  <c r="H606" i="3"/>
  <c r="O606" i="3" s="1"/>
  <c r="D606" i="3"/>
  <c r="M606" i="3" s="1"/>
  <c r="Y605" i="3"/>
  <c r="X605" i="3"/>
  <c r="U605" i="3"/>
  <c r="Q605" i="3"/>
  <c r="P605" i="3"/>
  <c r="N605" i="3"/>
  <c r="L605" i="3"/>
  <c r="H605" i="3"/>
  <c r="O605" i="3" s="1"/>
  <c r="D605" i="3"/>
  <c r="M605" i="3" s="1"/>
  <c r="Y604" i="3"/>
  <c r="X604" i="3"/>
  <c r="U604" i="3"/>
  <c r="Q604" i="3"/>
  <c r="P604" i="3"/>
  <c r="N604" i="3"/>
  <c r="L604" i="3"/>
  <c r="H604" i="3"/>
  <c r="O604" i="3" s="1"/>
  <c r="D604" i="3"/>
  <c r="M604" i="3" s="1"/>
  <c r="Y603" i="3"/>
  <c r="X603" i="3"/>
  <c r="U603" i="3"/>
  <c r="Q603" i="3"/>
  <c r="P603" i="3"/>
  <c r="N603" i="3"/>
  <c r="L603" i="3"/>
  <c r="H603" i="3"/>
  <c r="O603" i="3" s="1"/>
  <c r="D603" i="3"/>
  <c r="M603" i="3" s="1"/>
  <c r="Y602" i="3"/>
  <c r="X602" i="3"/>
  <c r="U602" i="3"/>
  <c r="Q602" i="3"/>
  <c r="P602" i="3"/>
  <c r="N602" i="3"/>
  <c r="L602" i="3"/>
  <c r="H602" i="3"/>
  <c r="O602" i="3" s="1"/>
  <c r="D602" i="3"/>
  <c r="M602" i="3" s="1"/>
  <c r="Y601" i="3"/>
  <c r="X601" i="3"/>
  <c r="U601" i="3"/>
  <c r="Q601" i="3"/>
  <c r="P601" i="3"/>
  <c r="N601" i="3"/>
  <c r="L601" i="3"/>
  <c r="H601" i="3"/>
  <c r="O601" i="3" s="1"/>
  <c r="D601" i="3"/>
  <c r="M601" i="3" s="1"/>
  <c r="Y600" i="3"/>
  <c r="X600" i="3"/>
  <c r="U600" i="3"/>
  <c r="Q600" i="3"/>
  <c r="P600" i="3"/>
  <c r="N600" i="3"/>
  <c r="L600" i="3"/>
  <c r="H600" i="3"/>
  <c r="O600" i="3" s="1"/>
  <c r="D600" i="3"/>
  <c r="M600" i="3" s="1"/>
  <c r="Y599" i="3"/>
  <c r="X599" i="3"/>
  <c r="U599" i="3"/>
  <c r="Q599" i="3"/>
  <c r="P599" i="3"/>
  <c r="N599" i="3"/>
  <c r="L599" i="3"/>
  <c r="H599" i="3"/>
  <c r="O599" i="3" s="1"/>
  <c r="D599" i="3"/>
  <c r="M599" i="3" s="1"/>
  <c r="Y598" i="3"/>
  <c r="X598" i="3"/>
  <c r="U598" i="3"/>
  <c r="Q598" i="3"/>
  <c r="P598" i="3"/>
  <c r="N598" i="3"/>
  <c r="L598" i="3"/>
  <c r="H598" i="3"/>
  <c r="O598" i="3" s="1"/>
  <c r="D598" i="3"/>
  <c r="M598" i="3" s="1"/>
  <c r="Y597" i="3"/>
  <c r="X597" i="3"/>
  <c r="U597" i="3"/>
  <c r="Q597" i="3"/>
  <c r="P597" i="3"/>
  <c r="N597" i="3"/>
  <c r="L597" i="3"/>
  <c r="H597" i="3"/>
  <c r="O597" i="3" s="1"/>
  <c r="D597" i="3"/>
  <c r="M597" i="3" s="1"/>
  <c r="Y596" i="3"/>
  <c r="X596" i="3"/>
  <c r="U596" i="3"/>
  <c r="Q596" i="3"/>
  <c r="P596" i="3"/>
  <c r="N596" i="3"/>
  <c r="L596" i="3"/>
  <c r="H596" i="3"/>
  <c r="O596" i="3" s="1"/>
  <c r="D596" i="3"/>
  <c r="M596" i="3" s="1"/>
  <c r="Y595" i="3"/>
  <c r="X595" i="3"/>
  <c r="U595" i="3"/>
  <c r="Q595" i="3"/>
  <c r="P595" i="3"/>
  <c r="N595" i="3"/>
  <c r="L595" i="3"/>
  <c r="H595" i="3"/>
  <c r="O595" i="3" s="1"/>
  <c r="D595" i="3"/>
  <c r="M595" i="3" s="1"/>
  <c r="Y594" i="3"/>
  <c r="X594" i="3"/>
  <c r="U594" i="3"/>
  <c r="Q594" i="3"/>
  <c r="P594" i="3"/>
  <c r="N594" i="3"/>
  <c r="L594" i="3"/>
  <c r="H594" i="3"/>
  <c r="O594" i="3" s="1"/>
  <c r="D594" i="3"/>
  <c r="M594" i="3" s="1"/>
  <c r="Y593" i="3"/>
  <c r="X593" i="3"/>
  <c r="U593" i="3"/>
  <c r="Q593" i="3"/>
  <c r="P593" i="3"/>
  <c r="N593" i="3"/>
  <c r="L593" i="3"/>
  <c r="H593" i="3"/>
  <c r="O593" i="3" s="1"/>
  <c r="D593" i="3"/>
  <c r="M593" i="3" s="1"/>
  <c r="Y592" i="3"/>
  <c r="X592" i="3"/>
  <c r="U592" i="3"/>
  <c r="Q592" i="3"/>
  <c r="P592" i="3"/>
  <c r="N592" i="3"/>
  <c r="L592" i="3"/>
  <c r="H592" i="3"/>
  <c r="O592" i="3" s="1"/>
  <c r="D592" i="3"/>
  <c r="M592" i="3" s="1"/>
  <c r="Y591" i="3"/>
  <c r="X591" i="3"/>
  <c r="U591" i="3"/>
  <c r="Q591" i="3"/>
  <c r="P591" i="3"/>
  <c r="N591" i="3"/>
  <c r="L591" i="3"/>
  <c r="H591" i="3"/>
  <c r="O591" i="3" s="1"/>
  <c r="D591" i="3"/>
  <c r="M591" i="3" s="1"/>
  <c r="Y590" i="3"/>
  <c r="X590" i="3"/>
  <c r="U590" i="3"/>
  <c r="Q590" i="3"/>
  <c r="P590" i="3"/>
  <c r="N590" i="3"/>
  <c r="L590" i="3"/>
  <c r="H590" i="3"/>
  <c r="O590" i="3" s="1"/>
  <c r="D590" i="3"/>
  <c r="M590" i="3" s="1"/>
  <c r="Y589" i="3"/>
  <c r="X589" i="3"/>
  <c r="U589" i="3"/>
  <c r="Q589" i="3"/>
  <c r="P589" i="3"/>
  <c r="N589" i="3"/>
  <c r="L589" i="3"/>
  <c r="H589" i="3"/>
  <c r="O589" i="3" s="1"/>
  <c r="D589" i="3"/>
  <c r="M589" i="3" s="1"/>
  <c r="Y588" i="3"/>
  <c r="X588" i="3"/>
  <c r="U588" i="3"/>
  <c r="Q588" i="3"/>
  <c r="P588" i="3"/>
  <c r="N588" i="3"/>
  <c r="L588" i="3"/>
  <c r="H588" i="3"/>
  <c r="O588" i="3" s="1"/>
  <c r="D588" i="3"/>
  <c r="M588" i="3" s="1"/>
  <c r="Y587" i="3"/>
  <c r="X587" i="3"/>
  <c r="U587" i="3"/>
  <c r="Q587" i="3"/>
  <c r="P587" i="3"/>
  <c r="N587" i="3"/>
  <c r="L587" i="3"/>
  <c r="H587" i="3"/>
  <c r="O587" i="3" s="1"/>
  <c r="D587" i="3"/>
  <c r="M587" i="3" s="1"/>
  <c r="Y586" i="3"/>
  <c r="X586" i="3"/>
  <c r="U586" i="3"/>
  <c r="Q586" i="3"/>
  <c r="P586" i="3"/>
  <c r="N586" i="3"/>
  <c r="L586" i="3"/>
  <c r="H586" i="3"/>
  <c r="O586" i="3" s="1"/>
  <c r="D586" i="3"/>
  <c r="M586" i="3" s="1"/>
  <c r="Y585" i="3"/>
  <c r="X585" i="3"/>
  <c r="U585" i="3"/>
  <c r="Q585" i="3"/>
  <c r="P585" i="3"/>
  <c r="N585" i="3"/>
  <c r="L585" i="3"/>
  <c r="H585" i="3"/>
  <c r="O585" i="3" s="1"/>
  <c r="D585" i="3"/>
  <c r="M585" i="3" s="1"/>
  <c r="Y584" i="3"/>
  <c r="X584" i="3"/>
  <c r="U584" i="3"/>
  <c r="Q584" i="3"/>
  <c r="P584" i="3"/>
  <c r="N584" i="3"/>
  <c r="L584" i="3"/>
  <c r="H584" i="3"/>
  <c r="O584" i="3" s="1"/>
  <c r="D584" i="3"/>
  <c r="M584" i="3" s="1"/>
  <c r="Y583" i="3"/>
  <c r="X583" i="3"/>
  <c r="U583" i="3"/>
  <c r="Q583" i="3"/>
  <c r="P583" i="3"/>
  <c r="N583" i="3"/>
  <c r="L583" i="3"/>
  <c r="H583" i="3"/>
  <c r="O583" i="3" s="1"/>
  <c r="D583" i="3"/>
  <c r="M583" i="3" s="1"/>
  <c r="Y582" i="3"/>
  <c r="X582" i="3"/>
  <c r="U582" i="3"/>
  <c r="Q582" i="3"/>
  <c r="P582" i="3"/>
  <c r="N582" i="3"/>
  <c r="L582" i="3"/>
  <c r="H582" i="3"/>
  <c r="O582" i="3" s="1"/>
  <c r="D582" i="3"/>
  <c r="M582" i="3" s="1"/>
  <c r="Y581" i="3"/>
  <c r="X581" i="3"/>
  <c r="U581" i="3"/>
  <c r="Q581" i="3"/>
  <c r="P581" i="3"/>
  <c r="N581" i="3"/>
  <c r="L581" i="3"/>
  <c r="H581" i="3"/>
  <c r="O581" i="3" s="1"/>
  <c r="D581" i="3"/>
  <c r="M581" i="3" s="1"/>
  <c r="Y580" i="3"/>
  <c r="X580" i="3"/>
  <c r="U580" i="3"/>
  <c r="Q580" i="3"/>
  <c r="P580" i="3"/>
  <c r="N580" i="3"/>
  <c r="L580" i="3"/>
  <c r="H580" i="3"/>
  <c r="O580" i="3" s="1"/>
  <c r="D580" i="3"/>
  <c r="M580" i="3" s="1"/>
  <c r="Y579" i="3"/>
  <c r="X579" i="3"/>
  <c r="U579" i="3"/>
  <c r="Q579" i="3"/>
  <c r="P579" i="3"/>
  <c r="N579" i="3"/>
  <c r="L579" i="3"/>
  <c r="H579" i="3"/>
  <c r="O579" i="3" s="1"/>
  <c r="D579" i="3"/>
  <c r="M579" i="3" s="1"/>
  <c r="Y578" i="3"/>
  <c r="X578" i="3"/>
  <c r="U578" i="3"/>
  <c r="Q578" i="3"/>
  <c r="P578" i="3"/>
  <c r="N578" i="3"/>
  <c r="L578" i="3"/>
  <c r="H578" i="3"/>
  <c r="O578" i="3" s="1"/>
  <c r="D578" i="3"/>
  <c r="M578" i="3" s="1"/>
  <c r="Y577" i="3"/>
  <c r="X577" i="3"/>
  <c r="U577" i="3"/>
  <c r="Q577" i="3"/>
  <c r="P577" i="3"/>
  <c r="N577" i="3"/>
  <c r="L577" i="3"/>
  <c r="H577" i="3"/>
  <c r="O577" i="3" s="1"/>
  <c r="D577" i="3"/>
  <c r="M577" i="3" s="1"/>
  <c r="Y576" i="3"/>
  <c r="X576" i="3"/>
  <c r="U576" i="3"/>
  <c r="Q576" i="3"/>
  <c r="P576" i="3"/>
  <c r="N576" i="3"/>
  <c r="L576" i="3"/>
  <c r="H576" i="3"/>
  <c r="O576" i="3" s="1"/>
  <c r="D576" i="3"/>
  <c r="M576" i="3" s="1"/>
  <c r="Y575" i="3"/>
  <c r="X575" i="3"/>
  <c r="U575" i="3"/>
  <c r="Q575" i="3"/>
  <c r="P575" i="3"/>
  <c r="N575" i="3"/>
  <c r="L575" i="3"/>
  <c r="H575" i="3"/>
  <c r="O575" i="3" s="1"/>
  <c r="D575" i="3"/>
  <c r="M575" i="3" s="1"/>
  <c r="Y574" i="3"/>
  <c r="X574" i="3"/>
  <c r="U574" i="3"/>
  <c r="Q574" i="3"/>
  <c r="P574" i="3"/>
  <c r="N574" i="3"/>
  <c r="L574" i="3"/>
  <c r="H574" i="3"/>
  <c r="O574" i="3" s="1"/>
  <c r="D574" i="3"/>
  <c r="M574" i="3" s="1"/>
  <c r="Y573" i="3"/>
  <c r="X573" i="3"/>
  <c r="U573" i="3"/>
  <c r="Q573" i="3"/>
  <c r="P573" i="3"/>
  <c r="N573" i="3"/>
  <c r="L573" i="3"/>
  <c r="H573" i="3"/>
  <c r="O573" i="3" s="1"/>
  <c r="D573" i="3"/>
  <c r="M573" i="3" s="1"/>
  <c r="Y572" i="3"/>
  <c r="X572" i="3"/>
  <c r="U572" i="3"/>
  <c r="Q572" i="3"/>
  <c r="P572" i="3"/>
  <c r="N572" i="3"/>
  <c r="L572" i="3"/>
  <c r="H572" i="3"/>
  <c r="O572" i="3" s="1"/>
  <c r="D572" i="3"/>
  <c r="M572" i="3" s="1"/>
  <c r="Y571" i="3"/>
  <c r="X571" i="3"/>
  <c r="U571" i="3"/>
  <c r="Q571" i="3"/>
  <c r="P571" i="3"/>
  <c r="N571" i="3"/>
  <c r="L571" i="3"/>
  <c r="H571" i="3"/>
  <c r="O571" i="3" s="1"/>
  <c r="D571" i="3"/>
  <c r="M571" i="3" s="1"/>
  <c r="Y570" i="3"/>
  <c r="X570" i="3"/>
  <c r="U570" i="3"/>
  <c r="Q570" i="3"/>
  <c r="P570" i="3"/>
  <c r="N570" i="3"/>
  <c r="L570" i="3"/>
  <c r="H570" i="3"/>
  <c r="O570" i="3" s="1"/>
  <c r="D570" i="3"/>
  <c r="M570" i="3" s="1"/>
  <c r="Y569" i="3"/>
  <c r="X569" i="3"/>
  <c r="U569" i="3"/>
  <c r="Q569" i="3"/>
  <c r="P569" i="3"/>
  <c r="N569" i="3"/>
  <c r="L569" i="3"/>
  <c r="H569" i="3"/>
  <c r="O569" i="3" s="1"/>
  <c r="D569" i="3"/>
  <c r="M569" i="3" s="1"/>
  <c r="Y568" i="3"/>
  <c r="X568" i="3"/>
  <c r="U568" i="3"/>
  <c r="Q568" i="3"/>
  <c r="P568" i="3"/>
  <c r="N568" i="3"/>
  <c r="L568" i="3"/>
  <c r="H568" i="3"/>
  <c r="O568" i="3" s="1"/>
  <c r="D568" i="3"/>
  <c r="M568" i="3" s="1"/>
  <c r="Y567" i="3"/>
  <c r="X567" i="3"/>
  <c r="U567" i="3"/>
  <c r="Q567" i="3"/>
  <c r="P567" i="3"/>
  <c r="N567" i="3"/>
  <c r="L567" i="3"/>
  <c r="H567" i="3"/>
  <c r="O567" i="3" s="1"/>
  <c r="D567" i="3"/>
  <c r="M567" i="3" s="1"/>
  <c r="Y566" i="3"/>
  <c r="X566" i="3"/>
  <c r="U566" i="3"/>
  <c r="Q566" i="3"/>
  <c r="P566" i="3"/>
  <c r="N566" i="3"/>
  <c r="L566" i="3"/>
  <c r="H566" i="3"/>
  <c r="O566" i="3" s="1"/>
  <c r="D566" i="3"/>
  <c r="M566" i="3" s="1"/>
  <c r="Y565" i="3"/>
  <c r="X565" i="3"/>
  <c r="U565" i="3"/>
  <c r="Q565" i="3"/>
  <c r="P565" i="3"/>
  <c r="N565" i="3"/>
  <c r="L565" i="3"/>
  <c r="H565" i="3"/>
  <c r="O565" i="3" s="1"/>
  <c r="D565" i="3"/>
  <c r="M565" i="3" s="1"/>
  <c r="Y564" i="3"/>
  <c r="X564" i="3"/>
  <c r="U564" i="3"/>
  <c r="Q564" i="3"/>
  <c r="P564" i="3"/>
  <c r="N564" i="3"/>
  <c r="L564" i="3"/>
  <c r="H564" i="3"/>
  <c r="O564" i="3" s="1"/>
  <c r="D564" i="3"/>
  <c r="M564" i="3" s="1"/>
  <c r="Y563" i="3"/>
  <c r="X563" i="3"/>
  <c r="U563" i="3"/>
  <c r="Q563" i="3"/>
  <c r="P563" i="3"/>
  <c r="N563" i="3"/>
  <c r="L563" i="3"/>
  <c r="H563" i="3"/>
  <c r="O563" i="3" s="1"/>
  <c r="D563" i="3"/>
  <c r="M563" i="3" s="1"/>
  <c r="Y562" i="3"/>
  <c r="X562" i="3"/>
  <c r="U562" i="3"/>
  <c r="Q562" i="3"/>
  <c r="P562" i="3"/>
  <c r="N562" i="3"/>
  <c r="L562" i="3"/>
  <c r="H562" i="3"/>
  <c r="O562" i="3" s="1"/>
  <c r="D562" i="3"/>
  <c r="M562" i="3" s="1"/>
  <c r="Y561" i="3"/>
  <c r="X561" i="3"/>
  <c r="U561" i="3"/>
  <c r="Q561" i="3"/>
  <c r="P561" i="3"/>
  <c r="N561" i="3"/>
  <c r="L561" i="3"/>
  <c r="H561" i="3"/>
  <c r="O561" i="3" s="1"/>
  <c r="D561" i="3"/>
  <c r="M561" i="3" s="1"/>
  <c r="Y560" i="3"/>
  <c r="X560" i="3"/>
  <c r="U560" i="3"/>
  <c r="Q560" i="3"/>
  <c r="P560" i="3"/>
  <c r="N560" i="3"/>
  <c r="L560" i="3"/>
  <c r="H560" i="3"/>
  <c r="O560" i="3" s="1"/>
  <c r="D560" i="3"/>
  <c r="M560" i="3" s="1"/>
  <c r="Y559" i="3"/>
  <c r="X559" i="3"/>
  <c r="U559" i="3"/>
  <c r="Q559" i="3"/>
  <c r="P559" i="3"/>
  <c r="N559" i="3"/>
  <c r="L559" i="3"/>
  <c r="H559" i="3"/>
  <c r="O559" i="3" s="1"/>
  <c r="D559" i="3"/>
  <c r="M559" i="3" s="1"/>
  <c r="Y558" i="3"/>
  <c r="X558" i="3"/>
  <c r="U558" i="3"/>
  <c r="Q558" i="3"/>
  <c r="P558" i="3"/>
  <c r="N558" i="3"/>
  <c r="L558" i="3"/>
  <c r="H558" i="3"/>
  <c r="O558" i="3" s="1"/>
  <c r="D558" i="3"/>
  <c r="M558" i="3" s="1"/>
  <c r="Y557" i="3"/>
  <c r="X557" i="3"/>
  <c r="U557" i="3"/>
  <c r="Q557" i="3"/>
  <c r="P557" i="3"/>
  <c r="N557" i="3"/>
  <c r="L557" i="3"/>
  <c r="H557" i="3"/>
  <c r="O557" i="3" s="1"/>
  <c r="D557" i="3"/>
  <c r="M557" i="3" s="1"/>
  <c r="Y556" i="3"/>
  <c r="X556" i="3"/>
  <c r="U556" i="3"/>
  <c r="Q556" i="3"/>
  <c r="P556" i="3"/>
  <c r="N556" i="3"/>
  <c r="L556" i="3"/>
  <c r="H556" i="3"/>
  <c r="O556" i="3" s="1"/>
  <c r="D556" i="3"/>
  <c r="M556" i="3" s="1"/>
  <c r="Y555" i="3"/>
  <c r="X555" i="3"/>
  <c r="U555" i="3"/>
  <c r="Q555" i="3"/>
  <c r="P555" i="3"/>
  <c r="N555" i="3"/>
  <c r="L555" i="3"/>
  <c r="H555" i="3"/>
  <c r="O555" i="3" s="1"/>
  <c r="D555" i="3"/>
  <c r="M555" i="3" s="1"/>
  <c r="Y554" i="3"/>
  <c r="X554" i="3"/>
  <c r="U554" i="3"/>
  <c r="Q554" i="3"/>
  <c r="P554" i="3"/>
  <c r="N554" i="3"/>
  <c r="L554" i="3"/>
  <c r="H554" i="3"/>
  <c r="O554" i="3" s="1"/>
  <c r="D554" i="3"/>
  <c r="M554" i="3" s="1"/>
  <c r="Y553" i="3"/>
  <c r="X553" i="3"/>
  <c r="U553" i="3"/>
  <c r="Q553" i="3"/>
  <c r="P553" i="3"/>
  <c r="N553" i="3"/>
  <c r="L553" i="3"/>
  <c r="H553" i="3"/>
  <c r="O553" i="3" s="1"/>
  <c r="D553" i="3"/>
  <c r="M553" i="3" s="1"/>
  <c r="Y552" i="3"/>
  <c r="X552" i="3"/>
  <c r="U552" i="3"/>
  <c r="Q552" i="3"/>
  <c r="P552" i="3"/>
  <c r="N552" i="3"/>
  <c r="L552" i="3"/>
  <c r="H552" i="3"/>
  <c r="O552" i="3" s="1"/>
  <c r="D552" i="3"/>
  <c r="M552" i="3" s="1"/>
  <c r="Y551" i="3"/>
  <c r="X551" i="3"/>
  <c r="U551" i="3"/>
  <c r="Q551" i="3"/>
  <c r="P551" i="3"/>
  <c r="N551" i="3"/>
  <c r="L551" i="3"/>
  <c r="H551" i="3"/>
  <c r="O551" i="3" s="1"/>
  <c r="D551" i="3"/>
  <c r="M551" i="3" s="1"/>
  <c r="Y550" i="3"/>
  <c r="X550" i="3"/>
  <c r="U550" i="3"/>
  <c r="Q550" i="3"/>
  <c r="P550" i="3"/>
  <c r="N550" i="3"/>
  <c r="L550" i="3"/>
  <c r="H550" i="3"/>
  <c r="O550" i="3" s="1"/>
  <c r="D550" i="3"/>
  <c r="M550" i="3" s="1"/>
  <c r="Y549" i="3"/>
  <c r="X549" i="3"/>
  <c r="U549" i="3"/>
  <c r="Q549" i="3"/>
  <c r="P549" i="3"/>
  <c r="N549" i="3"/>
  <c r="L549" i="3"/>
  <c r="H549" i="3"/>
  <c r="O549" i="3" s="1"/>
  <c r="D549" i="3"/>
  <c r="M549" i="3" s="1"/>
  <c r="Y548" i="3"/>
  <c r="X548" i="3"/>
  <c r="U548" i="3"/>
  <c r="Q548" i="3"/>
  <c r="P548" i="3"/>
  <c r="N548" i="3"/>
  <c r="L548" i="3"/>
  <c r="H548" i="3"/>
  <c r="O548" i="3" s="1"/>
  <c r="D548" i="3"/>
  <c r="M548" i="3" s="1"/>
  <c r="Y547" i="3"/>
  <c r="X547" i="3"/>
  <c r="U547" i="3"/>
  <c r="Q547" i="3"/>
  <c r="P547" i="3"/>
  <c r="N547" i="3"/>
  <c r="L547" i="3"/>
  <c r="H547" i="3"/>
  <c r="O547" i="3" s="1"/>
  <c r="D547" i="3"/>
  <c r="M547" i="3" s="1"/>
  <c r="Y546" i="3"/>
  <c r="X546" i="3"/>
  <c r="U546" i="3"/>
  <c r="Q546" i="3"/>
  <c r="P546" i="3"/>
  <c r="N546" i="3"/>
  <c r="L546" i="3"/>
  <c r="H546" i="3"/>
  <c r="O546" i="3" s="1"/>
  <c r="D546" i="3"/>
  <c r="M546" i="3" s="1"/>
  <c r="Y545" i="3"/>
  <c r="X545" i="3"/>
  <c r="U545" i="3"/>
  <c r="Q545" i="3"/>
  <c r="P545" i="3"/>
  <c r="N545" i="3"/>
  <c r="L545" i="3"/>
  <c r="H545" i="3"/>
  <c r="O545" i="3" s="1"/>
  <c r="D545" i="3"/>
  <c r="M545" i="3" s="1"/>
  <c r="Y544" i="3"/>
  <c r="X544" i="3"/>
  <c r="U544" i="3"/>
  <c r="Q544" i="3"/>
  <c r="P544" i="3"/>
  <c r="N544" i="3"/>
  <c r="L544" i="3"/>
  <c r="H544" i="3"/>
  <c r="O544" i="3" s="1"/>
  <c r="D544" i="3"/>
  <c r="M544" i="3" s="1"/>
  <c r="Y543" i="3"/>
  <c r="X543" i="3"/>
  <c r="U543" i="3"/>
  <c r="Q543" i="3"/>
  <c r="P543" i="3"/>
  <c r="N543" i="3"/>
  <c r="L543" i="3"/>
  <c r="H543" i="3"/>
  <c r="O543" i="3" s="1"/>
  <c r="D543" i="3"/>
  <c r="M543" i="3" s="1"/>
  <c r="Y542" i="3"/>
  <c r="X542" i="3"/>
  <c r="U542" i="3"/>
  <c r="Q542" i="3"/>
  <c r="P542" i="3"/>
  <c r="N542" i="3"/>
  <c r="L542" i="3"/>
  <c r="H542" i="3"/>
  <c r="O542" i="3" s="1"/>
  <c r="D542" i="3"/>
  <c r="M542" i="3" s="1"/>
  <c r="Y541" i="3"/>
  <c r="X541" i="3"/>
  <c r="U541" i="3"/>
  <c r="Q541" i="3"/>
  <c r="P541" i="3"/>
  <c r="N541" i="3"/>
  <c r="L541" i="3"/>
  <c r="H541" i="3"/>
  <c r="O541" i="3" s="1"/>
  <c r="D541" i="3"/>
  <c r="M541" i="3" s="1"/>
  <c r="Y540" i="3"/>
  <c r="X540" i="3"/>
  <c r="U540" i="3"/>
  <c r="Q540" i="3"/>
  <c r="P540" i="3"/>
  <c r="N540" i="3"/>
  <c r="L540" i="3"/>
  <c r="H540" i="3"/>
  <c r="O540" i="3" s="1"/>
  <c r="D540" i="3"/>
  <c r="M540" i="3" s="1"/>
  <c r="Y539" i="3"/>
  <c r="X539" i="3"/>
  <c r="U539" i="3"/>
  <c r="Q539" i="3"/>
  <c r="P539" i="3"/>
  <c r="N539" i="3"/>
  <c r="L539" i="3"/>
  <c r="H539" i="3"/>
  <c r="O539" i="3" s="1"/>
  <c r="D539" i="3"/>
  <c r="M539" i="3" s="1"/>
  <c r="Y538" i="3"/>
  <c r="X538" i="3"/>
  <c r="U538" i="3"/>
  <c r="Q538" i="3"/>
  <c r="P538" i="3"/>
  <c r="N538" i="3"/>
  <c r="L538" i="3"/>
  <c r="H538" i="3"/>
  <c r="O538" i="3" s="1"/>
  <c r="D538" i="3"/>
  <c r="M538" i="3" s="1"/>
  <c r="Y537" i="3"/>
  <c r="X537" i="3"/>
  <c r="U537" i="3"/>
  <c r="Q537" i="3"/>
  <c r="P537" i="3"/>
  <c r="N537" i="3"/>
  <c r="L537" i="3"/>
  <c r="H537" i="3"/>
  <c r="O537" i="3" s="1"/>
  <c r="D537" i="3"/>
  <c r="M537" i="3" s="1"/>
  <c r="Y536" i="3"/>
  <c r="X536" i="3"/>
  <c r="U536" i="3"/>
  <c r="Q536" i="3"/>
  <c r="P536" i="3"/>
  <c r="N536" i="3"/>
  <c r="L536" i="3"/>
  <c r="H536" i="3"/>
  <c r="O536" i="3" s="1"/>
  <c r="D536" i="3"/>
  <c r="M536" i="3" s="1"/>
  <c r="Y535" i="3"/>
  <c r="X535" i="3"/>
  <c r="U535" i="3"/>
  <c r="Q535" i="3"/>
  <c r="P535" i="3"/>
  <c r="N535" i="3"/>
  <c r="L535" i="3"/>
  <c r="H535" i="3"/>
  <c r="O535" i="3" s="1"/>
  <c r="D535" i="3"/>
  <c r="M535" i="3" s="1"/>
  <c r="Y534" i="3"/>
  <c r="X534" i="3"/>
  <c r="U534" i="3"/>
  <c r="Q534" i="3"/>
  <c r="P534" i="3"/>
  <c r="N534" i="3"/>
  <c r="L534" i="3"/>
  <c r="H534" i="3"/>
  <c r="O534" i="3" s="1"/>
  <c r="D534" i="3"/>
  <c r="M534" i="3" s="1"/>
  <c r="Y533" i="3"/>
  <c r="X533" i="3"/>
  <c r="U533" i="3"/>
  <c r="Q533" i="3"/>
  <c r="P533" i="3"/>
  <c r="N533" i="3"/>
  <c r="L533" i="3"/>
  <c r="H533" i="3"/>
  <c r="O533" i="3" s="1"/>
  <c r="D533" i="3"/>
  <c r="M533" i="3" s="1"/>
  <c r="Y532" i="3"/>
  <c r="X532" i="3"/>
  <c r="U532" i="3"/>
  <c r="Q532" i="3"/>
  <c r="P532" i="3"/>
  <c r="N532" i="3"/>
  <c r="L532" i="3"/>
  <c r="H532" i="3"/>
  <c r="O532" i="3" s="1"/>
  <c r="D532" i="3"/>
  <c r="M532" i="3" s="1"/>
  <c r="Y531" i="3"/>
  <c r="X531" i="3"/>
  <c r="U531" i="3"/>
  <c r="Q531" i="3"/>
  <c r="P531" i="3"/>
  <c r="N531" i="3"/>
  <c r="L531" i="3"/>
  <c r="H531" i="3"/>
  <c r="O531" i="3" s="1"/>
  <c r="D531" i="3"/>
  <c r="M531" i="3" s="1"/>
  <c r="Y530" i="3"/>
  <c r="X530" i="3"/>
  <c r="U530" i="3"/>
  <c r="Q530" i="3"/>
  <c r="P530" i="3"/>
  <c r="N530" i="3"/>
  <c r="L530" i="3"/>
  <c r="H530" i="3"/>
  <c r="O530" i="3" s="1"/>
  <c r="D530" i="3"/>
  <c r="M530" i="3" s="1"/>
  <c r="Y529" i="3"/>
  <c r="X529" i="3"/>
  <c r="U529" i="3"/>
  <c r="Q529" i="3"/>
  <c r="P529" i="3"/>
  <c r="N529" i="3"/>
  <c r="L529" i="3"/>
  <c r="H529" i="3"/>
  <c r="O529" i="3" s="1"/>
  <c r="D529" i="3"/>
  <c r="M529" i="3" s="1"/>
  <c r="Y528" i="3"/>
  <c r="X528" i="3"/>
  <c r="U528" i="3"/>
  <c r="Q528" i="3"/>
  <c r="P528" i="3"/>
  <c r="N528" i="3"/>
  <c r="L528" i="3"/>
  <c r="H528" i="3"/>
  <c r="O528" i="3" s="1"/>
  <c r="D528" i="3"/>
  <c r="M528" i="3" s="1"/>
  <c r="Y527" i="3"/>
  <c r="X527" i="3"/>
  <c r="U527" i="3"/>
  <c r="Q527" i="3"/>
  <c r="P527" i="3"/>
  <c r="N527" i="3"/>
  <c r="L527" i="3"/>
  <c r="H527" i="3"/>
  <c r="O527" i="3" s="1"/>
  <c r="D527" i="3"/>
  <c r="M527" i="3" s="1"/>
  <c r="Y526" i="3"/>
  <c r="X526" i="3"/>
  <c r="U526" i="3"/>
  <c r="Q526" i="3"/>
  <c r="P526" i="3"/>
  <c r="N526" i="3"/>
  <c r="L526" i="3"/>
  <c r="H526" i="3"/>
  <c r="O526" i="3" s="1"/>
  <c r="D526" i="3"/>
  <c r="M526" i="3" s="1"/>
  <c r="Y525" i="3"/>
  <c r="X525" i="3"/>
  <c r="U525" i="3"/>
  <c r="Q525" i="3"/>
  <c r="P525" i="3"/>
  <c r="N525" i="3"/>
  <c r="L525" i="3"/>
  <c r="H525" i="3"/>
  <c r="O525" i="3" s="1"/>
  <c r="D525" i="3"/>
  <c r="M525" i="3" s="1"/>
  <c r="Y524" i="3"/>
  <c r="X524" i="3"/>
  <c r="U524" i="3"/>
  <c r="Q524" i="3"/>
  <c r="P524" i="3"/>
  <c r="N524" i="3"/>
  <c r="L524" i="3"/>
  <c r="H524" i="3"/>
  <c r="O524" i="3" s="1"/>
  <c r="D524" i="3"/>
  <c r="M524" i="3" s="1"/>
  <c r="Y523" i="3"/>
  <c r="X523" i="3"/>
  <c r="U523" i="3"/>
  <c r="Q523" i="3"/>
  <c r="P523" i="3"/>
  <c r="N523" i="3"/>
  <c r="L523" i="3"/>
  <c r="H523" i="3"/>
  <c r="O523" i="3" s="1"/>
  <c r="D523" i="3"/>
  <c r="M523" i="3" s="1"/>
  <c r="Y522" i="3"/>
  <c r="X522" i="3"/>
  <c r="U522" i="3"/>
  <c r="Q522" i="3"/>
  <c r="P522" i="3"/>
  <c r="N522" i="3"/>
  <c r="L522" i="3"/>
  <c r="H522" i="3"/>
  <c r="O522" i="3" s="1"/>
  <c r="D522" i="3"/>
  <c r="M522" i="3" s="1"/>
  <c r="Y521" i="3"/>
  <c r="X521" i="3"/>
  <c r="U521" i="3"/>
  <c r="Q521" i="3"/>
  <c r="P521" i="3"/>
  <c r="N521" i="3"/>
  <c r="L521" i="3"/>
  <c r="H521" i="3"/>
  <c r="O521" i="3" s="1"/>
  <c r="D521" i="3"/>
  <c r="M521" i="3" s="1"/>
  <c r="Y520" i="3"/>
  <c r="X520" i="3"/>
  <c r="U520" i="3"/>
  <c r="Q520" i="3"/>
  <c r="P520" i="3"/>
  <c r="N520" i="3"/>
  <c r="L520" i="3"/>
  <c r="H520" i="3"/>
  <c r="O520" i="3" s="1"/>
  <c r="D520" i="3"/>
  <c r="M520" i="3" s="1"/>
  <c r="Y519" i="3"/>
  <c r="X519" i="3"/>
  <c r="U519" i="3"/>
  <c r="Q519" i="3"/>
  <c r="P519" i="3"/>
  <c r="N519" i="3"/>
  <c r="L519" i="3"/>
  <c r="H519" i="3"/>
  <c r="O519" i="3" s="1"/>
  <c r="D519" i="3"/>
  <c r="M519" i="3" s="1"/>
  <c r="Y518" i="3"/>
  <c r="X518" i="3"/>
  <c r="U518" i="3"/>
  <c r="Q518" i="3"/>
  <c r="P518" i="3"/>
  <c r="N518" i="3"/>
  <c r="L518" i="3"/>
  <c r="H518" i="3"/>
  <c r="O518" i="3" s="1"/>
  <c r="D518" i="3"/>
  <c r="M518" i="3" s="1"/>
  <c r="Y517" i="3"/>
  <c r="X517" i="3"/>
  <c r="U517" i="3"/>
  <c r="Q517" i="3"/>
  <c r="P517" i="3"/>
  <c r="N517" i="3"/>
  <c r="L517" i="3"/>
  <c r="H517" i="3"/>
  <c r="O517" i="3" s="1"/>
  <c r="D517" i="3"/>
  <c r="M517" i="3" s="1"/>
  <c r="Y516" i="3"/>
  <c r="X516" i="3"/>
  <c r="U516" i="3"/>
  <c r="Q516" i="3"/>
  <c r="P516" i="3"/>
  <c r="N516" i="3"/>
  <c r="L516" i="3"/>
  <c r="H516" i="3"/>
  <c r="O516" i="3" s="1"/>
  <c r="D516" i="3"/>
  <c r="M516" i="3" s="1"/>
  <c r="Y515" i="3"/>
  <c r="X515" i="3"/>
  <c r="U515" i="3"/>
  <c r="Q515" i="3"/>
  <c r="P515" i="3"/>
  <c r="N515" i="3"/>
  <c r="L515" i="3"/>
  <c r="H515" i="3"/>
  <c r="O515" i="3" s="1"/>
  <c r="D515" i="3"/>
  <c r="M515" i="3" s="1"/>
  <c r="Y514" i="3"/>
  <c r="X514" i="3"/>
  <c r="U514" i="3"/>
  <c r="Q514" i="3"/>
  <c r="P514" i="3"/>
  <c r="N514" i="3"/>
  <c r="L514" i="3"/>
  <c r="H514" i="3"/>
  <c r="O514" i="3" s="1"/>
  <c r="D514" i="3"/>
  <c r="M514" i="3" s="1"/>
  <c r="Y513" i="3"/>
  <c r="X513" i="3"/>
  <c r="U513" i="3"/>
  <c r="Q513" i="3"/>
  <c r="P513" i="3"/>
  <c r="N513" i="3"/>
  <c r="L513" i="3"/>
  <c r="H513" i="3"/>
  <c r="O513" i="3" s="1"/>
  <c r="D513" i="3"/>
  <c r="M513" i="3" s="1"/>
  <c r="Y512" i="3"/>
  <c r="X512" i="3"/>
  <c r="U512" i="3"/>
  <c r="Q512" i="3"/>
  <c r="P512" i="3"/>
  <c r="N512" i="3"/>
  <c r="L512" i="3"/>
  <c r="H512" i="3"/>
  <c r="O512" i="3" s="1"/>
  <c r="D512" i="3"/>
  <c r="M512" i="3" s="1"/>
  <c r="Y511" i="3"/>
  <c r="X511" i="3"/>
  <c r="U511" i="3"/>
  <c r="Q511" i="3"/>
  <c r="P511" i="3"/>
  <c r="N511" i="3"/>
  <c r="L511" i="3"/>
  <c r="H511" i="3"/>
  <c r="O511" i="3" s="1"/>
  <c r="D511" i="3"/>
  <c r="M511" i="3" s="1"/>
  <c r="Y510" i="3"/>
  <c r="X510" i="3"/>
  <c r="U510" i="3"/>
  <c r="Q510" i="3"/>
  <c r="P510" i="3"/>
  <c r="N510" i="3"/>
  <c r="L510" i="3"/>
  <c r="H510" i="3"/>
  <c r="O510" i="3" s="1"/>
  <c r="D510" i="3"/>
  <c r="M510" i="3" s="1"/>
  <c r="Y509" i="3"/>
  <c r="X509" i="3"/>
  <c r="U509" i="3"/>
  <c r="Q509" i="3"/>
  <c r="P509" i="3"/>
  <c r="N509" i="3"/>
  <c r="L509" i="3"/>
  <c r="H509" i="3"/>
  <c r="O509" i="3" s="1"/>
  <c r="D509" i="3"/>
  <c r="M509" i="3" s="1"/>
  <c r="Y508" i="3"/>
  <c r="X508" i="3"/>
  <c r="U508" i="3"/>
  <c r="Q508" i="3"/>
  <c r="P508" i="3"/>
  <c r="N508" i="3"/>
  <c r="L508" i="3"/>
  <c r="H508" i="3"/>
  <c r="O508" i="3" s="1"/>
  <c r="D508" i="3"/>
  <c r="M508" i="3" s="1"/>
  <c r="Y507" i="3"/>
  <c r="X507" i="3"/>
  <c r="U507" i="3"/>
  <c r="Q507" i="3"/>
  <c r="P507" i="3"/>
  <c r="N507" i="3"/>
  <c r="L507" i="3"/>
  <c r="H507" i="3"/>
  <c r="O507" i="3" s="1"/>
  <c r="D507" i="3"/>
  <c r="M507" i="3" s="1"/>
  <c r="Y506" i="3"/>
  <c r="X506" i="3"/>
  <c r="U506" i="3"/>
  <c r="Q506" i="3"/>
  <c r="P506" i="3"/>
  <c r="N506" i="3"/>
  <c r="L506" i="3"/>
  <c r="H506" i="3"/>
  <c r="O506" i="3" s="1"/>
  <c r="D506" i="3"/>
  <c r="M506" i="3" s="1"/>
  <c r="Y505" i="3"/>
  <c r="X505" i="3"/>
  <c r="U505" i="3"/>
  <c r="Q505" i="3"/>
  <c r="P505" i="3"/>
  <c r="N505" i="3"/>
  <c r="L505" i="3"/>
  <c r="H505" i="3"/>
  <c r="O505" i="3" s="1"/>
  <c r="D505" i="3"/>
  <c r="M505" i="3" s="1"/>
  <c r="Y504" i="3"/>
  <c r="X504" i="3"/>
  <c r="U504" i="3"/>
  <c r="Q504" i="3"/>
  <c r="P504" i="3"/>
  <c r="N504" i="3"/>
  <c r="L504" i="3"/>
  <c r="H504" i="3"/>
  <c r="O504" i="3" s="1"/>
  <c r="D504" i="3"/>
  <c r="M504" i="3" s="1"/>
  <c r="Y503" i="3"/>
  <c r="X503" i="3"/>
  <c r="U503" i="3"/>
  <c r="Q503" i="3"/>
  <c r="P503" i="3"/>
  <c r="N503" i="3"/>
  <c r="L503" i="3"/>
  <c r="H503" i="3"/>
  <c r="O503" i="3" s="1"/>
  <c r="D503" i="3"/>
  <c r="M503" i="3" s="1"/>
  <c r="Y502" i="3"/>
  <c r="X502" i="3"/>
  <c r="U502" i="3"/>
  <c r="Q502" i="3"/>
  <c r="P502" i="3"/>
  <c r="N502" i="3"/>
  <c r="L502" i="3"/>
  <c r="H502" i="3"/>
  <c r="O502" i="3" s="1"/>
  <c r="D502" i="3"/>
  <c r="M502" i="3" s="1"/>
  <c r="Y501" i="3"/>
  <c r="X501" i="3"/>
  <c r="U501" i="3"/>
  <c r="Q501" i="3"/>
  <c r="P501" i="3"/>
  <c r="N501" i="3"/>
  <c r="L501" i="3"/>
  <c r="H501" i="3"/>
  <c r="O501" i="3" s="1"/>
  <c r="D501" i="3"/>
  <c r="M501" i="3" s="1"/>
  <c r="Y500" i="3"/>
  <c r="X500" i="3"/>
  <c r="U500" i="3"/>
  <c r="Q500" i="3"/>
  <c r="P500" i="3"/>
  <c r="N500" i="3"/>
  <c r="L500" i="3"/>
  <c r="H500" i="3"/>
  <c r="O500" i="3" s="1"/>
  <c r="D500" i="3"/>
  <c r="M500" i="3" s="1"/>
  <c r="Y499" i="3"/>
  <c r="X499" i="3"/>
  <c r="U499" i="3"/>
  <c r="Q499" i="3"/>
  <c r="P499" i="3"/>
  <c r="N499" i="3"/>
  <c r="L499" i="3"/>
  <c r="H499" i="3"/>
  <c r="O499" i="3" s="1"/>
  <c r="D499" i="3"/>
  <c r="M499" i="3" s="1"/>
  <c r="Y498" i="3"/>
  <c r="X498" i="3"/>
  <c r="U498" i="3"/>
  <c r="Q498" i="3"/>
  <c r="P498" i="3"/>
  <c r="N498" i="3"/>
  <c r="L498" i="3"/>
  <c r="H498" i="3"/>
  <c r="O498" i="3" s="1"/>
  <c r="D498" i="3"/>
  <c r="M498" i="3" s="1"/>
  <c r="Y497" i="3"/>
  <c r="X497" i="3"/>
  <c r="U497" i="3"/>
  <c r="Q497" i="3"/>
  <c r="P497" i="3"/>
  <c r="N497" i="3"/>
  <c r="L497" i="3"/>
  <c r="H497" i="3"/>
  <c r="O497" i="3" s="1"/>
  <c r="D497" i="3"/>
  <c r="M497" i="3" s="1"/>
  <c r="Y496" i="3"/>
  <c r="X496" i="3"/>
  <c r="U496" i="3"/>
  <c r="Q496" i="3"/>
  <c r="P496" i="3"/>
  <c r="N496" i="3"/>
  <c r="L496" i="3"/>
  <c r="H496" i="3"/>
  <c r="O496" i="3" s="1"/>
  <c r="D496" i="3"/>
  <c r="M496" i="3" s="1"/>
  <c r="Y495" i="3"/>
  <c r="X495" i="3"/>
  <c r="U495" i="3"/>
  <c r="Q495" i="3"/>
  <c r="P495" i="3"/>
  <c r="N495" i="3"/>
  <c r="L495" i="3"/>
  <c r="H495" i="3"/>
  <c r="O495" i="3" s="1"/>
  <c r="D495" i="3"/>
  <c r="M495" i="3" s="1"/>
  <c r="Y494" i="3"/>
  <c r="X494" i="3"/>
  <c r="U494" i="3"/>
  <c r="Q494" i="3"/>
  <c r="P494" i="3"/>
  <c r="N494" i="3"/>
  <c r="L494" i="3"/>
  <c r="H494" i="3"/>
  <c r="O494" i="3" s="1"/>
  <c r="D494" i="3"/>
  <c r="M494" i="3" s="1"/>
  <c r="Y493" i="3"/>
  <c r="X493" i="3"/>
  <c r="U493" i="3"/>
  <c r="Q493" i="3"/>
  <c r="P493" i="3"/>
  <c r="N493" i="3"/>
  <c r="L493" i="3"/>
  <c r="H493" i="3"/>
  <c r="O493" i="3" s="1"/>
  <c r="D493" i="3"/>
  <c r="M493" i="3" s="1"/>
  <c r="Y492" i="3"/>
  <c r="X492" i="3"/>
  <c r="U492" i="3"/>
  <c r="Q492" i="3"/>
  <c r="P492" i="3"/>
  <c r="N492" i="3"/>
  <c r="L492" i="3"/>
  <c r="H492" i="3"/>
  <c r="O492" i="3" s="1"/>
  <c r="D492" i="3"/>
  <c r="M492" i="3" s="1"/>
  <c r="Y491" i="3"/>
  <c r="X491" i="3"/>
  <c r="U491" i="3"/>
  <c r="Q491" i="3"/>
  <c r="P491" i="3"/>
  <c r="N491" i="3"/>
  <c r="L491" i="3"/>
  <c r="H491" i="3"/>
  <c r="O491" i="3" s="1"/>
  <c r="D491" i="3"/>
  <c r="M491" i="3" s="1"/>
  <c r="Y490" i="3"/>
  <c r="X490" i="3"/>
  <c r="U490" i="3"/>
  <c r="Q490" i="3"/>
  <c r="P490" i="3"/>
  <c r="N490" i="3"/>
  <c r="L490" i="3"/>
  <c r="H490" i="3"/>
  <c r="O490" i="3" s="1"/>
  <c r="D490" i="3"/>
  <c r="M490" i="3" s="1"/>
  <c r="Y489" i="3"/>
  <c r="X489" i="3"/>
  <c r="U489" i="3"/>
  <c r="Q489" i="3"/>
  <c r="P489" i="3"/>
  <c r="N489" i="3"/>
  <c r="L489" i="3"/>
  <c r="H489" i="3"/>
  <c r="O489" i="3" s="1"/>
  <c r="D489" i="3"/>
  <c r="M489" i="3" s="1"/>
  <c r="Y488" i="3"/>
  <c r="X488" i="3"/>
  <c r="U488" i="3"/>
  <c r="Q488" i="3"/>
  <c r="P488" i="3"/>
  <c r="N488" i="3"/>
  <c r="L488" i="3"/>
  <c r="H488" i="3"/>
  <c r="O488" i="3" s="1"/>
  <c r="D488" i="3"/>
  <c r="M488" i="3" s="1"/>
  <c r="Y487" i="3"/>
  <c r="X487" i="3"/>
  <c r="U487" i="3"/>
  <c r="Q487" i="3"/>
  <c r="P487" i="3"/>
  <c r="N487" i="3"/>
  <c r="L487" i="3"/>
  <c r="H487" i="3"/>
  <c r="O487" i="3" s="1"/>
  <c r="D487" i="3"/>
  <c r="M487" i="3" s="1"/>
  <c r="Y486" i="3"/>
  <c r="X486" i="3"/>
  <c r="U486" i="3"/>
  <c r="Q486" i="3"/>
  <c r="P486" i="3"/>
  <c r="N486" i="3"/>
  <c r="L486" i="3"/>
  <c r="H486" i="3"/>
  <c r="O486" i="3" s="1"/>
  <c r="D486" i="3"/>
  <c r="M486" i="3" s="1"/>
  <c r="Y485" i="3"/>
  <c r="X485" i="3"/>
  <c r="U485" i="3"/>
  <c r="Q485" i="3"/>
  <c r="P485" i="3"/>
  <c r="N485" i="3"/>
  <c r="L485" i="3"/>
  <c r="H485" i="3"/>
  <c r="O485" i="3" s="1"/>
  <c r="D485" i="3"/>
  <c r="M485" i="3" s="1"/>
  <c r="Y484" i="3"/>
  <c r="X484" i="3"/>
  <c r="U484" i="3"/>
  <c r="Q484" i="3"/>
  <c r="P484" i="3"/>
  <c r="N484" i="3"/>
  <c r="L484" i="3"/>
  <c r="H484" i="3"/>
  <c r="O484" i="3" s="1"/>
  <c r="D484" i="3"/>
  <c r="M484" i="3" s="1"/>
  <c r="Y483" i="3"/>
  <c r="X483" i="3"/>
  <c r="U483" i="3"/>
  <c r="Q483" i="3"/>
  <c r="P483" i="3"/>
  <c r="N483" i="3"/>
  <c r="L483" i="3"/>
  <c r="H483" i="3"/>
  <c r="O483" i="3" s="1"/>
  <c r="D483" i="3"/>
  <c r="M483" i="3" s="1"/>
  <c r="Y482" i="3"/>
  <c r="X482" i="3"/>
  <c r="U482" i="3"/>
  <c r="Q482" i="3"/>
  <c r="P482" i="3"/>
  <c r="N482" i="3"/>
  <c r="L482" i="3"/>
  <c r="H482" i="3"/>
  <c r="O482" i="3" s="1"/>
  <c r="D482" i="3"/>
  <c r="M482" i="3" s="1"/>
  <c r="Y481" i="3"/>
  <c r="X481" i="3"/>
  <c r="U481" i="3"/>
  <c r="Q481" i="3"/>
  <c r="P481" i="3"/>
  <c r="N481" i="3"/>
  <c r="L481" i="3"/>
  <c r="H481" i="3"/>
  <c r="O481" i="3" s="1"/>
  <c r="D481" i="3"/>
  <c r="M481" i="3" s="1"/>
  <c r="Y480" i="3"/>
  <c r="X480" i="3"/>
  <c r="U480" i="3"/>
  <c r="Q480" i="3"/>
  <c r="P480" i="3"/>
  <c r="N480" i="3"/>
  <c r="L480" i="3"/>
  <c r="H480" i="3"/>
  <c r="O480" i="3" s="1"/>
  <c r="D480" i="3"/>
  <c r="M480" i="3" s="1"/>
  <c r="Y479" i="3"/>
  <c r="X479" i="3"/>
  <c r="U479" i="3"/>
  <c r="Q479" i="3"/>
  <c r="P479" i="3"/>
  <c r="N479" i="3"/>
  <c r="L479" i="3"/>
  <c r="H479" i="3"/>
  <c r="O479" i="3" s="1"/>
  <c r="D479" i="3"/>
  <c r="M479" i="3" s="1"/>
  <c r="Y478" i="3"/>
  <c r="X478" i="3"/>
  <c r="U478" i="3"/>
  <c r="Q478" i="3"/>
  <c r="P478" i="3"/>
  <c r="N478" i="3"/>
  <c r="L478" i="3"/>
  <c r="H478" i="3"/>
  <c r="O478" i="3" s="1"/>
  <c r="D478" i="3"/>
  <c r="M478" i="3" s="1"/>
  <c r="Y477" i="3"/>
  <c r="X477" i="3"/>
  <c r="U477" i="3"/>
  <c r="Q477" i="3"/>
  <c r="P477" i="3"/>
  <c r="N477" i="3"/>
  <c r="L477" i="3"/>
  <c r="H477" i="3"/>
  <c r="O477" i="3" s="1"/>
  <c r="D477" i="3"/>
  <c r="M477" i="3" s="1"/>
  <c r="Y476" i="3"/>
  <c r="X476" i="3"/>
  <c r="U476" i="3"/>
  <c r="Q476" i="3"/>
  <c r="P476" i="3"/>
  <c r="N476" i="3"/>
  <c r="L476" i="3"/>
  <c r="H476" i="3"/>
  <c r="O476" i="3" s="1"/>
  <c r="D476" i="3"/>
  <c r="M476" i="3" s="1"/>
  <c r="Y475" i="3"/>
  <c r="X475" i="3"/>
  <c r="U475" i="3"/>
  <c r="Q475" i="3"/>
  <c r="P475" i="3"/>
  <c r="N475" i="3"/>
  <c r="L475" i="3"/>
  <c r="H475" i="3"/>
  <c r="O475" i="3" s="1"/>
  <c r="D475" i="3"/>
  <c r="M475" i="3" s="1"/>
  <c r="Y474" i="3"/>
  <c r="X474" i="3"/>
  <c r="U474" i="3"/>
  <c r="Q474" i="3"/>
  <c r="P474" i="3"/>
  <c r="N474" i="3"/>
  <c r="L474" i="3"/>
  <c r="H474" i="3"/>
  <c r="O474" i="3" s="1"/>
  <c r="D474" i="3"/>
  <c r="M474" i="3" s="1"/>
  <c r="Y473" i="3"/>
  <c r="X473" i="3"/>
  <c r="U473" i="3"/>
  <c r="Q473" i="3"/>
  <c r="P473" i="3"/>
  <c r="N473" i="3"/>
  <c r="L473" i="3"/>
  <c r="H473" i="3"/>
  <c r="O473" i="3" s="1"/>
  <c r="D473" i="3"/>
  <c r="M473" i="3" s="1"/>
  <c r="Y472" i="3"/>
  <c r="X472" i="3"/>
  <c r="U472" i="3"/>
  <c r="Q472" i="3"/>
  <c r="P472" i="3"/>
  <c r="N472" i="3"/>
  <c r="L472" i="3"/>
  <c r="H472" i="3"/>
  <c r="O472" i="3" s="1"/>
  <c r="D472" i="3"/>
  <c r="M472" i="3" s="1"/>
  <c r="Y471" i="3"/>
  <c r="X471" i="3"/>
  <c r="U471" i="3"/>
  <c r="Q471" i="3"/>
  <c r="P471" i="3"/>
  <c r="N471" i="3"/>
  <c r="L471" i="3"/>
  <c r="H471" i="3"/>
  <c r="O471" i="3" s="1"/>
  <c r="D471" i="3"/>
  <c r="M471" i="3" s="1"/>
  <c r="Y470" i="3"/>
  <c r="X470" i="3"/>
  <c r="U470" i="3"/>
  <c r="Q470" i="3"/>
  <c r="P470" i="3"/>
  <c r="N470" i="3"/>
  <c r="L470" i="3"/>
  <c r="H470" i="3"/>
  <c r="O470" i="3" s="1"/>
  <c r="D470" i="3"/>
  <c r="M470" i="3" s="1"/>
  <c r="Y469" i="3"/>
  <c r="X469" i="3"/>
  <c r="U469" i="3"/>
  <c r="Q469" i="3"/>
  <c r="P469" i="3"/>
  <c r="N469" i="3"/>
  <c r="L469" i="3"/>
  <c r="H469" i="3"/>
  <c r="O469" i="3" s="1"/>
  <c r="D469" i="3"/>
  <c r="M469" i="3" s="1"/>
  <c r="Y468" i="3"/>
  <c r="X468" i="3"/>
  <c r="U468" i="3"/>
  <c r="Q468" i="3"/>
  <c r="P468" i="3"/>
  <c r="N468" i="3"/>
  <c r="L468" i="3"/>
  <c r="H468" i="3"/>
  <c r="O468" i="3" s="1"/>
  <c r="D468" i="3"/>
  <c r="M468" i="3" s="1"/>
  <c r="Y467" i="3"/>
  <c r="X467" i="3"/>
  <c r="U467" i="3"/>
  <c r="Q467" i="3"/>
  <c r="P467" i="3"/>
  <c r="N467" i="3"/>
  <c r="L467" i="3"/>
  <c r="H467" i="3"/>
  <c r="O467" i="3" s="1"/>
  <c r="D467" i="3"/>
  <c r="M467" i="3" s="1"/>
  <c r="Y466" i="3"/>
  <c r="X466" i="3"/>
  <c r="U466" i="3"/>
  <c r="Q466" i="3"/>
  <c r="P466" i="3"/>
  <c r="N466" i="3"/>
  <c r="L466" i="3"/>
  <c r="H466" i="3"/>
  <c r="O466" i="3" s="1"/>
  <c r="D466" i="3"/>
  <c r="M466" i="3" s="1"/>
  <c r="Y465" i="3"/>
  <c r="X465" i="3"/>
  <c r="U465" i="3"/>
  <c r="Q465" i="3"/>
  <c r="P465" i="3"/>
  <c r="N465" i="3"/>
  <c r="L465" i="3"/>
  <c r="H465" i="3"/>
  <c r="O465" i="3" s="1"/>
  <c r="D465" i="3"/>
  <c r="M465" i="3" s="1"/>
  <c r="Y464" i="3"/>
  <c r="X464" i="3"/>
  <c r="U464" i="3"/>
  <c r="Q464" i="3"/>
  <c r="P464" i="3"/>
  <c r="N464" i="3"/>
  <c r="L464" i="3"/>
  <c r="H464" i="3"/>
  <c r="O464" i="3" s="1"/>
  <c r="D464" i="3"/>
  <c r="M464" i="3" s="1"/>
  <c r="Y463" i="3"/>
  <c r="X463" i="3"/>
  <c r="U463" i="3"/>
  <c r="Q463" i="3"/>
  <c r="P463" i="3"/>
  <c r="N463" i="3"/>
  <c r="L463" i="3"/>
  <c r="H463" i="3"/>
  <c r="O463" i="3" s="1"/>
  <c r="D463" i="3"/>
  <c r="M463" i="3" s="1"/>
  <c r="Y462" i="3"/>
  <c r="X462" i="3"/>
  <c r="U462" i="3"/>
  <c r="Q462" i="3"/>
  <c r="P462" i="3"/>
  <c r="N462" i="3"/>
  <c r="L462" i="3"/>
  <c r="H462" i="3"/>
  <c r="O462" i="3" s="1"/>
  <c r="D462" i="3"/>
  <c r="M462" i="3" s="1"/>
  <c r="Y461" i="3"/>
  <c r="X461" i="3"/>
  <c r="U461" i="3"/>
  <c r="Q461" i="3"/>
  <c r="P461" i="3"/>
  <c r="N461" i="3"/>
  <c r="L461" i="3"/>
  <c r="H461" i="3"/>
  <c r="O461" i="3" s="1"/>
  <c r="D461" i="3"/>
  <c r="M461" i="3" s="1"/>
  <c r="Y460" i="3"/>
  <c r="X460" i="3"/>
  <c r="U460" i="3"/>
  <c r="Q460" i="3"/>
  <c r="P460" i="3"/>
  <c r="N460" i="3"/>
  <c r="L460" i="3"/>
  <c r="H460" i="3"/>
  <c r="O460" i="3" s="1"/>
  <c r="D460" i="3"/>
  <c r="M460" i="3" s="1"/>
  <c r="Y459" i="3"/>
  <c r="X459" i="3"/>
  <c r="U459" i="3"/>
  <c r="Q459" i="3"/>
  <c r="P459" i="3"/>
  <c r="N459" i="3"/>
  <c r="L459" i="3"/>
  <c r="H459" i="3"/>
  <c r="O459" i="3" s="1"/>
  <c r="D459" i="3"/>
  <c r="M459" i="3" s="1"/>
  <c r="Y458" i="3"/>
  <c r="X458" i="3"/>
  <c r="U458" i="3"/>
  <c r="Q458" i="3"/>
  <c r="P458" i="3"/>
  <c r="N458" i="3"/>
  <c r="L458" i="3"/>
  <c r="H458" i="3"/>
  <c r="O458" i="3" s="1"/>
  <c r="D458" i="3"/>
  <c r="M458" i="3" s="1"/>
  <c r="Y457" i="3"/>
  <c r="X457" i="3"/>
  <c r="U457" i="3"/>
  <c r="Q457" i="3"/>
  <c r="P457" i="3"/>
  <c r="N457" i="3"/>
  <c r="L457" i="3"/>
  <c r="H457" i="3"/>
  <c r="O457" i="3" s="1"/>
  <c r="D457" i="3"/>
  <c r="M457" i="3" s="1"/>
  <c r="Y456" i="3"/>
  <c r="X456" i="3"/>
  <c r="U456" i="3"/>
  <c r="Q456" i="3"/>
  <c r="P456" i="3"/>
  <c r="N456" i="3"/>
  <c r="L456" i="3"/>
  <c r="H456" i="3"/>
  <c r="O456" i="3" s="1"/>
  <c r="D456" i="3"/>
  <c r="M456" i="3" s="1"/>
  <c r="Y455" i="3"/>
  <c r="X455" i="3"/>
  <c r="U455" i="3"/>
  <c r="Q455" i="3"/>
  <c r="P455" i="3"/>
  <c r="N455" i="3"/>
  <c r="L455" i="3"/>
  <c r="H455" i="3"/>
  <c r="O455" i="3" s="1"/>
  <c r="D455" i="3"/>
  <c r="M455" i="3" s="1"/>
  <c r="Y454" i="3"/>
  <c r="X454" i="3"/>
  <c r="U454" i="3"/>
  <c r="Q454" i="3"/>
  <c r="P454" i="3"/>
  <c r="N454" i="3"/>
  <c r="L454" i="3"/>
  <c r="H454" i="3"/>
  <c r="O454" i="3" s="1"/>
  <c r="D454" i="3"/>
  <c r="M454" i="3" s="1"/>
  <c r="Y453" i="3"/>
  <c r="X453" i="3"/>
  <c r="U453" i="3"/>
  <c r="Q453" i="3"/>
  <c r="P453" i="3"/>
  <c r="N453" i="3"/>
  <c r="L453" i="3"/>
  <c r="H453" i="3"/>
  <c r="O453" i="3" s="1"/>
  <c r="D453" i="3"/>
  <c r="M453" i="3" s="1"/>
  <c r="Y452" i="3"/>
  <c r="X452" i="3"/>
  <c r="U452" i="3"/>
  <c r="Q452" i="3"/>
  <c r="P452" i="3"/>
  <c r="N452" i="3"/>
  <c r="L452" i="3"/>
  <c r="H452" i="3"/>
  <c r="O452" i="3" s="1"/>
  <c r="D452" i="3"/>
  <c r="M452" i="3" s="1"/>
  <c r="Y451" i="3"/>
  <c r="X451" i="3"/>
  <c r="U451" i="3"/>
  <c r="Q451" i="3"/>
  <c r="P451" i="3"/>
  <c r="N451" i="3"/>
  <c r="L451" i="3"/>
  <c r="H451" i="3"/>
  <c r="O451" i="3" s="1"/>
  <c r="D451" i="3"/>
  <c r="M451" i="3" s="1"/>
  <c r="Y450" i="3"/>
  <c r="X450" i="3"/>
  <c r="U450" i="3"/>
  <c r="Q450" i="3"/>
  <c r="P450" i="3"/>
  <c r="N450" i="3"/>
  <c r="L450" i="3"/>
  <c r="H450" i="3"/>
  <c r="O450" i="3" s="1"/>
  <c r="D450" i="3"/>
  <c r="M450" i="3" s="1"/>
  <c r="Y449" i="3"/>
  <c r="X449" i="3"/>
  <c r="U449" i="3"/>
  <c r="Q449" i="3"/>
  <c r="P449" i="3"/>
  <c r="N449" i="3"/>
  <c r="L449" i="3"/>
  <c r="H449" i="3"/>
  <c r="O449" i="3" s="1"/>
  <c r="D449" i="3"/>
  <c r="M449" i="3" s="1"/>
  <c r="Y448" i="3"/>
  <c r="X448" i="3"/>
  <c r="U448" i="3"/>
  <c r="Q448" i="3"/>
  <c r="P448" i="3"/>
  <c r="N448" i="3"/>
  <c r="L448" i="3"/>
  <c r="H448" i="3"/>
  <c r="O448" i="3" s="1"/>
  <c r="D448" i="3"/>
  <c r="M448" i="3" s="1"/>
  <c r="Y447" i="3"/>
  <c r="X447" i="3"/>
  <c r="U447" i="3"/>
  <c r="Q447" i="3"/>
  <c r="P447" i="3"/>
  <c r="N447" i="3"/>
  <c r="L447" i="3"/>
  <c r="H447" i="3"/>
  <c r="O447" i="3" s="1"/>
  <c r="D447" i="3"/>
  <c r="M447" i="3" s="1"/>
  <c r="Y446" i="3"/>
  <c r="X446" i="3"/>
  <c r="U446" i="3"/>
  <c r="Q446" i="3"/>
  <c r="P446" i="3"/>
  <c r="N446" i="3"/>
  <c r="L446" i="3"/>
  <c r="H446" i="3"/>
  <c r="O446" i="3" s="1"/>
  <c r="D446" i="3"/>
  <c r="M446" i="3" s="1"/>
  <c r="Y445" i="3"/>
  <c r="X445" i="3"/>
  <c r="U445" i="3"/>
  <c r="Q445" i="3"/>
  <c r="P445" i="3"/>
  <c r="N445" i="3"/>
  <c r="L445" i="3"/>
  <c r="H445" i="3"/>
  <c r="O445" i="3" s="1"/>
  <c r="D445" i="3"/>
  <c r="M445" i="3" s="1"/>
  <c r="Y444" i="3"/>
  <c r="X444" i="3"/>
  <c r="U444" i="3"/>
  <c r="Q444" i="3"/>
  <c r="P444" i="3"/>
  <c r="N444" i="3"/>
  <c r="L444" i="3"/>
  <c r="H444" i="3"/>
  <c r="O444" i="3" s="1"/>
  <c r="D444" i="3"/>
  <c r="M444" i="3" s="1"/>
  <c r="Y443" i="3"/>
  <c r="X443" i="3"/>
  <c r="U443" i="3"/>
  <c r="Q443" i="3"/>
  <c r="P443" i="3"/>
  <c r="N443" i="3"/>
  <c r="L443" i="3"/>
  <c r="H443" i="3"/>
  <c r="O443" i="3" s="1"/>
  <c r="D443" i="3"/>
  <c r="M443" i="3" s="1"/>
  <c r="Y442" i="3"/>
  <c r="X442" i="3"/>
  <c r="U442" i="3"/>
  <c r="Q442" i="3"/>
  <c r="P442" i="3"/>
  <c r="N442" i="3"/>
  <c r="L442" i="3"/>
  <c r="H442" i="3"/>
  <c r="O442" i="3" s="1"/>
  <c r="D442" i="3"/>
  <c r="M442" i="3" s="1"/>
  <c r="Y441" i="3"/>
  <c r="X441" i="3"/>
  <c r="U441" i="3"/>
  <c r="Q441" i="3"/>
  <c r="P441" i="3"/>
  <c r="N441" i="3"/>
  <c r="L441" i="3"/>
  <c r="H441" i="3"/>
  <c r="O441" i="3" s="1"/>
  <c r="D441" i="3"/>
  <c r="M441" i="3" s="1"/>
  <c r="Y440" i="3"/>
  <c r="X440" i="3"/>
  <c r="U440" i="3"/>
  <c r="Q440" i="3"/>
  <c r="P440" i="3"/>
  <c r="N440" i="3"/>
  <c r="L440" i="3"/>
  <c r="H440" i="3"/>
  <c r="O440" i="3" s="1"/>
  <c r="D440" i="3"/>
  <c r="M440" i="3" s="1"/>
  <c r="Y439" i="3"/>
  <c r="X439" i="3"/>
  <c r="U439" i="3"/>
  <c r="Q439" i="3"/>
  <c r="P439" i="3"/>
  <c r="N439" i="3"/>
  <c r="L439" i="3"/>
  <c r="H439" i="3"/>
  <c r="O439" i="3" s="1"/>
  <c r="D439" i="3"/>
  <c r="M439" i="3" s="1"/>
  <c r="Y438" i="3"/>
  <c r="X438" i="3"/>
  <c r="U438" i="3"/>
  <c r="Q438" i="3"/>
  <c r="P438" i="3"/>
  <c r="N438" i="3"/>
  <c r="L438" i="3"/>
  <c r="H438" i="3"/>
  <c r="O438" i="3" s="1"/>
  <c r="D438" i="3"/>
  <c r="M438" i="3" s="1"/>
  <c r="Y437" i="3"/>
  <c r="X437" i="3"/>
  <c r="U437" i="3"/>
  <c r="Q437" i="3"/>
  <c r="P437" i="3"/>
  <c r="N437" i="3"/>
  <c r="L437" i="3"/>
  <c r="H437" i="3"/>
  <c r="O437" i="3" s="1"/>
  <c r="D437" i="3"/>
  <c r="M437" i="3" s="1"/>
  <c r="Y436" i="3"/>
  <c r="X436" i="3"/>
  <c r="U436" i="3"/>
  <c r="Q436" i="3"/>
  <c r="P436" i="3"/>
  <c r="N436" i="3"/>
  <c r="L436" i="3"/>
  <c r="H436" i="3"/>
  <c r="O436" i="3" s="1"/>
  <c r="D436" i="3"/>
  <c r="M436" i="3" s="1"/>
  <c r="Y435" i="3"/>
  <c r="X435" i="3"/>
  <c r="U435" i="3"/>
  <c r="Q435" i="3"/>
  <c r="P435" i="3"/>
  <c r="N435" i="3"/>
  <c r="L435" i="3"/>
  <c r="H435" i="3"/>
  <c r="O435" i="3" s="1"/>
  <c r="D435" i="3"/>
  <c r="M435" i="3" s="1"/>
  <c r="Y434" i="3"/>
  <c r="X434" i="3"/>
  <c r="U434" i="3"/>
  <c r="Q434" i="3"/>
  <c r="P434" i="3"/>
  <c r="N434" i="3"/>
  <c r="L434" i="3"/>
  <c r="H434" i="3"/>
  <c r="O434" i="3" s="1"/>
  <c r="D434" i="3"/>
  <c r="M434" i="3" s="1"/>
  <c r="Y433" i="3"/>
  <c r="X433" i="3"/>
  <c r="U433" i="3"/>
  <c r="Q433" i="3"/>
  <c r="P433" i="3"/>
  <c r="N433" i="3"/>
  <c r="L433" i="3"/>
  <c r="H433" i="3"/>
  <c r="O433" i="3" s="1"/>
  <c r="D433" i="3"/>
  <c r="M433" i="3" s="1"/>
  <c r="Y432" i="3"/>
  <c r="X432" i="3"/>
  <c r="U432" i="3"/>
  <c r="Q432" i="3"/>
  <c r="P432" i="3"/>
  <c r="N432" i="3"/>
  <c r="L432" i="3"/>
  <c r="H432" i="3"/>
  <c r="O432" i="3" s="1"/>
  <c r="D432" i="3"/>
  <c r="M432" i="3" s="1"/>
  <c r="Y431" i="3"/>
  <c r="X431" i="3"/>
  <c r="U431" i="3"/>
  <c r="Q431" i="3"/>
  <c r="P431" i="3"/>
  <c r="N431" i="3"/>
  <c r="L431" i="3"/>
  <c r="H431" i="3"/>
  <c r="O431" i="3" s="1"/>
  <c r="D431" i="3"/>
  <c r="M431" i="3" s="1"/>
  <c r="Y430" i="3"/>
  <c r="X430" i="3"/>
  <c r="U430" i="3"/>
  <c r="Q430" i="3"/>
  <c r="P430" i="3"/>
  <c r="N430" i="3"/>
  <c r="L430" i="3"/>
  <c r="H430" i="3"/>
  <c r="O430" i="3" s="1"/>
  <c r="D430" i="3"/>
  <c r="M430" i="3" s="1"/>
  <c r="Y429" i="3"/>
  <c r="X429" i="3"/>
  <c r="U429" i="3"/>
  <c r="Q429" i="3"/>
  <c r="P429" i="3"/>
  <c r="N429" i="3"/>
  <c r="L429" i="3"/>
  <c r="H429" i="3"/>
  <c r="O429" i="3" s="1"/>
  <c r="D429" i="3"/>
  <c r="M429" i="3" s="1"/>
  <c r="Y428" i="3"/>
  <c r="X428" i="3"/>
  <c r="U428" i="3"/>
  <c r="Q428" i="3"/>
  <c r="P428" i="3"/>
  <c r="N428" i="3"/>
  <c r="L428" i="3"/>
  <c r="H428" i="3"/>
  <c r="O428" i="3" s="1"/>
  <c r="D428" i="3"/>
  <c r="M428" i="3" s="1"/>
  <c r="Y427" i="3"/>
  <c r="X427" i="3"/>
  <c r="U427" i="3"/>
  <c r="Q427" i="3"/>
  <c r="P427" i="3"/>
  <c r="N427" i="3"/>
  <c r="L427" i="3"/>
  <c r="H427" i="3"/>
  <c r="O427" i="3" s="1"/>
  <c r="D427" i="3"/>
  <c r="M427" i="3" s="1"/>
  <c r="Y426" i="3"/>
  <c r="X426" i="3"/>
  <c r="U426" i="3"/>
  <c r="Q426" i="3"/>
  <c r="P426" i="3"/>
  <c r="N426" i="3"/>
  <c r="L426" i="3"/>
  <c r="H426" i="3"/>
  <c r="O426" i="3" s="1"/>
  <c r="D426" i="3"/>
  <c r="M426" i="3" s="1"/>
  <c r="Y425" i="3"/>
  <c r="X425" i="3"/>
  <c r="U425" i="3"/>
  <c r="Q425" i="3"/>
  <c r="P425" i="3"/>
  <c r="N425" i="3"/>
  <c r="L425" i="3"/>
  <c r="H425" i="3"/>
  <c r="O425" i="3" s="1"/>
  <c r="D425" i="3"/>
  <c r="M425" i="3" s="1"/>
  <c r="Y424" i="3"/>
  <c r="X424" i="3"/>
  <c r="U424" i="3"/>
  <c r="Q424" i="3"/>
  <c r="P424" i="3"/>
  <c r="N424" i="3"/>
  <c r="L424" i="3"/>
  <c r="H424" i="3"/>
  <c r="O424" i="3" s="1"/>
  <c r="D424" i="3"/>
  <c r="M424" i="3" s="1"/>
  <c r="Y423" i="3"/>
  <c r="X423" i="3"/>
  <c r="U423" i="3"/>
  <c r="Q423" i="3"/>
  <c r="P423" i="3"/>
  <c r="N423" i="3"/>
  <c r="L423" i="3"/>
  <c r="H423" i="3"/>
  <c r="O423" i="3" s="1"/>
  <c r="D423" i="3"/>
  <c r="M423" i="3" s="1"/>
  <c r="Y422" i="3"/>
  <c r="X422" i="3"/>
  <c r="U422" i="3"/>
  <c r="Q422" i="3"/>
  <c r="P422" i="3"/>
  <c r="N422" i="3"/>
  <c r="L422" i="3"/>
  <c r="H422" i="3"/>
  <c r="O422" i="3" s="1"/>
  <c r="D422" i="3"/>
  <c r="M422" i="3" s="1"/>
  <c r="Y421" i="3"/>
  <c r="X421" i="3"/>
  <c r="U421" i="3"/>
  <c r="Q421" i="3"/>
  <c r="P421" i="3"/>
  <c r="N421" i="3"/>
  <c r="L421" i="3"/>
  <c r="H421" i="3"/>
  <c r="O421" i="3" s="1"/>
  <c r="D421" i="3"/>
  <c r="M421" i="3" s="1"/>
  <c r="Y420" i="3"/>
  <c r="X420" i="3"/>
  <c r="U420" i="3"/>
  <c r="Q420" i="3"/>
  <c r="P420" i="3"/>
  <c r="N420" i="3"/>
  <c r="L420" i="3"/>
  <c r="H420" i="3"/>
  <c r="O420" i="3" s="1"/>
  <c r="D420" i="3"/>
  <c r="M420" i="3" s="1"/>
  <c r="Y419" i="3"/>
  <c r="X419" i="3"/>
  <c r="U419" i="3"/>
  <c r="Q419" i="3"/>
  <c r="P419" i="3"/>
  <c r="N419" i="3"/>
  <c r="L419" i="3"/>
  <c r="H419" i="3"/>
  <c r="O419" i="3" s="1"/>
  <c r="D419" i="3"/>
  <c r="M419" i="3" s="1"/>
  <c r="Y418" i="3"/>
  <c r="X418" i="3"/>
  <c r="U418" i="3"/>
  <c r="Q418" i="3"/>
  <c r="P418" i="3"/>
  <c r="N418" i="3"/>
  <c r="L418" i="3"/>
  <c r="H418" i="3"/>
  <c r="O418" i="3" s="1"/>
  <c r="D418" i="3"/>
  <c r="M418" i="3" s="1"/>
  <c r="Y417" i="3"/>
  <c r="X417" i="3"/>
  <c r="U417" i="3"/>
  <c r="Q417" i="3"/>
  <c r="P417" i="3"/>
  <c r="N417" i="3"/>
  <c r="L417" i="3"/>
  <c r="H417" i="3"/>
  <c r="O417" i="3" s="1"/>
  <c r="D417" i="3"/>
  <c r="M417" i="3" s="1"/>
  <c r="Y416" i="3"/>
  <c r="X416" i="3"/>
  <c r="U416" i="3"/>
  <c r="Q416" i="3"/>
  <c r="P416" i="3"/>
  <c r="N416" i="3"/>
  <c r="L416" i="3"/>
  <c r="H416" i="3"/>
  <c r="O416" i="3" s="1"/>
  <c r="D416" i="3"/>
  <c r="M416" i="3" s="1"/>
  <c r="Y415" i="3"/>
  <c r="X415" i="3"/>
  <c r="U415" i="3"/>
  <c r="Q415" i="3"/>
  <c r="P415" i="3"/>
  <c r="N415" i="3"/>
  <c r="L415" i="3"/>
  <c r="H415" i="3"/>
  <c r="O415" i="3" s="1"/>
  <c r="D415" i="3"/>
  <c r="M415" i="3" s="1"/>
  <c r="Y414" i="3"/>
  <c r="X414" i="3"/>
  <c r="U414" i="3"/>
  <c r="Q414" i="3"/>
  <c r="P414" i="3"/>
  <c r="N414" i="3"/>
  <c r="L414" i="3"/>
  <c r="H414" i="3"/>
  <c r="O414" i="3" s="1"/>
  <c r="D414" i="3"/>
  <c r="M414" i="3" s="1"/>
  <c r="Y413" i="3"/>
  <c r="X413" i="3"/>
  <c r="U413" i="3"/>
  <c r="Q413" i="3"/>
  <c r="P413" i="3"/>
  <c r="N413" i="3"/>
  <c r="L413" i="3"/>
  <c r="H413" i="3"/>
  <c r="O413" i="3" s="1"/>
  <c r="D413" i="3"/>
  <c r="M413" i="3" s="1"/>
  <c r="Y412" i="3"/>
  <c r="X412" i="3"/>
  <c r="U412" i="3"/>
  <c r="Q412" i="3"/>
  <c r="P412" i="3"/>
  <c r="N412" i="3"/>
  <c r="L412" i="3"/>
  <c r="H412" i="3"/>
  <c r="O412" i="3" s="1"/>
  <c r="D412" i="3"/>
  <c r="M412" i="3" s="1"/>
  <c r="Y411" i="3"/>
  <c r="X411" i="3"/>
  <c r="U411" i="3"/>
  <c r="Q411" i="3"/>
  <c r="P411" i="3"/>
  <c r="N411" i="3"/>
  <c r="L411" i="3"/>
  <c r="H411" i="3"/>
  <c r="O411" i="3" s="1"/>
  <c r="D411" i="3"/>
  <c r="M411" i="3" s="1"/>
  <c r="Y410" i="3"/>
  <c r="X410" i="3"/>
  <c r="U410" i="3"/>
  <c r="Q410" i="3"/>
  <c r="P410" i="3"/>
  <c r="N410" i="3"/>
  <c r="L410" i="3"/>
  <c r="H410" i="3"/>
  <c r="O410" i="3" s="1"/>
  <c r="D410" i="3"/>
  <c r="M410" i="3" s="1"/>
  <c r="Y409" i="3"/>
  <c r="X409" i="3"/>
  <c r="U409" i="3"/>
  <c r="Q409" i="3"/>
  <c r="P409" i="3"/>
  <c r="N409" i="3"/>
  <c r="L409" i="3"/>
  <c r="H409" i="3"/>
  <c r="O409" i="3" s="1"/>
  <c r="D409" i="3"/>
  <c r="M409" i="3" s="1"/>
  <c r="Y408" i="3"/>
  <c r="X408" i="3"/>
  <c r="U408" i="3"/>
  <c r="Q408" i="3"/>
  <c r="P408" i="3"/>
  <c r="N408" i="3"/>
  <c r="L408" i="3"/>
  <c r="H408" i="3"/>
  <c r="O408" i="3" s="1"/>
  <c r="D408" i="3"/>
  <c r="M408" i="3" s="1"/>
  <c r="Y407" i="3"/>
  <c r="X407" i="3"/>
  <c r="U407" i="3"/>
  <c r="Q407" i="3"/>
  <c r="P407" i="3"/>
  <c r="N407" i="3"/>
  <c r="L407" i="3"/>
  <c r="H407" i="3"/>
  <c r="O407" i="3" s="1"/>
  <c r="D407" i="3"/>
  <c r="M407" i="3" s="1"/>
  <c r="Y406" i="3"/>
  <c r="X406" i="3"/>
  <c r="U406" i="3"/>
  <c r="Q406" i="3"/>
  <c r="P406" i="3"/>
  <c r="N406" i="3"/>
  <c r="L406" i="3"/>
  <c r="H406" i="3"/>
  <c r="O406" i="3" s="1"/>
  <c r="D406" i="3"/>
  <c r="M406" i="3" s="1"/>
  <c r="Y405" i="3"/>
  <c r="X405" i="3"/>
  <c r="U405" i="3"/>
  <c r="Q405" i="3"/>
  <c r="P405" i="3"/>
  <c r="N405" i="3"/>
  <c r="L405" i="3"/>
  <c r="H405" i="3"/>
  <c r="O405" i="3" s="1"/>
  <c r="D405" i="3"/>
  <c r="M405" i="3" s="1"/>
  <c r="Y404" i="3"/>
  <c r="X404" i="3"/>
  <c r="U404" i="3"/>
  <c r="Q404" i="3"/>
  <c r="P404" i="3"/>
  <c r="N404" i="3"/>
  <c r="L404" i="3"/>
  <c r="H404" i="3"/>
  <c r="O404" i="3" s="1"/>
  <c r="D404" i="3"/>
  <c r="M404" i="3" s="1"/>
  <c r="Y403" i="3"/>
  <c r="X403" i="3"/>
  <c r="U403" i="3"/>
  <c r="Q403" i="3"/>
  <c r="P403" i="3"/>
  <c r="N403" i="3"/>
  <c r="L403" i="3"/>
  <c r="H403" i="3"/>
  <c r="O403" i="3" s="1"/>
  <c r="D403" i="3"/>
  <c r="M403" i="3" s="1"/>
  <c r="Y402" i="3"/>
  <c r="X402" i="3"/>
  <c r="U402" i="3"/>
  <c r="Q402" i="3"/>
  <c r="P402" i="3"/>
  <c r="N402" i="3"/>
  <c r="L402" i="3"/>
  <c r="H402" i="3"/>
  <c r="O402" i="3" s="1"/>
  <c r="D402" i="3"/>
  <c r="M402" i="3" s="1"/>
  <c r="Y401" i="3"/>
  <c r="X401" i="3"/>
  <c r="U401" i="3"/>
  <c r="Q401" i="3"/>
  <c r="P401" i="3"/>
  <c r="N401" i="3"/>
  <c r="L401" i="3"/>
  <c r="H401" i="3"/>
  <c r="O401" i="3" s="1"/>
  <c r="D401" i="3"/>
  <c r="M401" i="3" s="1"/>
  <c r="Y400" i="3"/>
  <c r="X400" i="3"/>
  <c r="U400" i="3"/>
  <c r="Q400" i="3"/>
  <c r="P400" i="3"/>
  <c r="N400" i="3"/>
  <c r="L400" i="3"/>
  <c r="H400" i="3"/>
  <c r="O400" i="3" s="1"/>
  <c r="D400" i="3"/>
  <c r="M400" i="3" s="1"/>
  <c r="Y399" i="3"/>
  <c r="X399" i="3"/>
  <c r="U399" i="3"/>
  <c r="Q399" i="3"/>
  <c r="P399" i="3"/>
  <c r="N399" i="3"/>
  <c r="L399" i="3"/>
  <c r="H399" i="3"/>
  <c r="O399" i="3" s="1"/>
  <c r="D399" i="3"/>
  <c r="M399" i="3" s="1"/>
  <c r="Y398" i="3"/>
  <c r="X398" i="3"/>
  <c r="U398" i="3"/>
  <c r="Q398" i="3"/>
  <c r="P398" i="3"/>
  <c r="N398" i="3"/>
  <c r="L398" i="3"/>
  <c r="H398" i="3"/>
  <c r="O398" i="3" s="1"/>
  <c r="D398" i="3"/>
  <c r="M398" i="3" s="1"/>
  <c r="Y397" i="3"/>
  <c r="X397" i="3"/>
  <c r="U397" i="3"/>
  <c r="Q397" i="3"/>
  <c r="P397" i="3"/>
  <c r="N397" i="3"/>
  <c r="L397" i="3"/>
  <c r="H397" i="3"/>
  <c r="O397" i="3" s="1"/>
  <c r="D397" i="3"/>
  <c r="M397" i="3" s="1"/>
  <c r="Y396" i="3"/>
  <c r="X396" i="3"/>
  <c r="U396" i="3"/>
  <c r="Q396" i="3"/>
  <c r="P396" i="3"/>
  <c r="N396" i="3"/>
  <c r="L396" i="3"/>
  <c r="H396" i="3"/>
  <c r="O396" i="3" s="1"/>
  <c r="D396" i="3"/>
  <c r="M396" i="3" s="1"/>
  <c r="Y395" i="3"/>
  <c r="X395" i="3"/>
  <c r="U395" i="3"/>
  <c r="Q395" i="3"/>
  <c r="P395" i="3"/>
  <c r="N395" i="3"/>
  <c r="L395" i="3"/>
  <c r="H395" i="3"/>
  <c r="O395" i="3" s="1"/>
  <c r="D395" i="3"/>
  <c r="M395" i="3" s="1"/>
  <c r="Y394" i="3"/>
  <c r="X394" i="3"/>
  <c r="U394" i="3"/>
  <c r="Q394" i="3"/>
  <c r="P394" i="3"/>
  <c r="N394" i="3"/>
  <c r="L394" i="3"/>
  <c r="H394" i="3"/>
  <c r="O394" i="3" s="1"/>
  <c r="D394" i="3"/>
  <c r="M394" i="3" s="1"/>
  <c r="Y393" i="3"/>
  <c r="X393" i="3"/>
  <c r="U393" i="3"/>
  <c r="Q393" i="3"/>
  <c r="P393" i="3"/>
  <c r="N393" i="3"/>
  <c r="L393" i="3"/>
  <c r="H393" i="3"/>
  <c r="O393" i="3" s="1"/>
  <c r="D393" i="3"/>
  <c r="M393" i="3" s="1"/>
  <c r="Y392" i="3"/>
  <c r="X392" i="3"/>
  <c r="U392" i="3"/>
  <c r="Q392" i="3"/>
  <c r="P392" i="3"/>
  <c r="N392" i="3"/>
  <c r="L392" i="3"/>
  <c r="H392" i="3"/>
  <c r="O392" i="3" s="1"/>
  <c r="D392" i="3"/>
  <c r="M392" i="3" s="1"/>
  <c r="Y391" i="3"/>
  <c r="X391" i="3"/>
  <c r="U391" i="3"/>
  <c r="Q391" i="3"/>
  <c r="P391" i="3"/>
  <c r="N391" i="3"/>
  <c r="L391" i="3"/>
  <c r="H391" i="3"/>
  <c r="O391" i="3" s="1"/>
  <c r="D391" i="3"/>
  <c r="M391" i="3" s="1"/>
  <c r="Y390" i="3"/>
  <c r="X390" i="3"/>
  <c r="U390" i="3"/>
  <c r="Q390" i="3"/>
  <c r="P390" i="3"/>
  <c r="N390" i="3"/>
  <c r="L390" i="3"/>
  <c r="H390" i="3"/>
  <c r="O390" i="3" s="1"/>
  <c r="D390" i="3"/>
  <c r="M390" i="3" s="1"/>
  <c r="Y389" i="3"/>
  <c r="X389" i="3"/>
  <c r="U389" i="3"/>
  <c r="Q389" i="3"/>
  <c r="P389" i="3"/>
  <c r="N389" i="3"/>
  <c r="L389" i="3"/>
  <c r="H389" i="3"/>
  <c r="O389" i="3" s="1"/>
  <c r="D389" i="3"/>
  <c r="M389" i="3" s="1"/>
  <c r="Y388" i="3"/>
  <c r="X388" i="3"/>
  <c r="U388" i="3"/>
  <c r="Q388" i="3"/>
  <c r="P388" i="3"/>
  <c r="N388" i="3"/>
  <c r="L388" i="3"/>
  <c r="H388" i="3"/>
  <c r="O388" i="3" s="1"/>
  <c r="D388" i="3"/>
  <c r="M388" i="3" s="1"/>
  <c r="Y387" i="3"/>
  <c r="X387" i="3"/>
  <c r="U387" i="3"/>
  <c r="Q387" i="3"/>
  <c r="P387" i="3"/>
  <c r="N387" i="3"/>
  <c r="L387" i="3"/>
  <c r="H387" i="3"/>
  <c r="O387" i="3" s="1"/>
  <c r="D387" i="3"/>
  <c r="M387" i="3" s="1"/>
  <c r="Y386" i="3"/>
  <c r="X386" i="3"/>
  <c r="U386" i="3"/>
  <c r="Q386" i="3"/>
  <c r="P386" i="3"/>
  <c r="N386" i="3"/>
  <c r="L386" i="3"/>
  <c r="H386" i="3"/>
  <c r="O386" i="3" s="1"/>
  <c r="D386" i="3"/>
  <c r="M386" i="3" s="1"/>
  <c r="Y385" i="3"/>
  <c r="X385" i="3"/>
  <c r="U385" i="3"/>
  <c r="Q385" i="3"/>
  <c r="P385" i="3"/>
  <c r="N385" i="3"/>
  <c r="L385" i="3"/>
  <c r="H385" i="3"/>
  <c r="O385" i="3" s="1"/>
  <c r="D385" i="3"/>
  <c r="M385" i="3" s="1"/>
  <c r="Y384" i="3"/>
  <c r="X384" i="3"/>
  <c r="U384" i="3"/>
  <c r="Q384" i="3"/>
  <c r="P384" i="3"/>
  <c r="N384" i="3"/>
  <c r="L384" i="3"/>
  <c r="H384" i="3"/>
  <c r="O384" i="3" s="1"/>
  <c r="D384" i="3"/>
  <c r="M384" i="3" s="1"/>
  <c r="Y383" i="3"/>
  <c r="X383" i="3"/>
  <c r="U383" i="3"/>
  <c r="Q383" i="3"/>
  <c r="P383" i="3"/>
  <c r="N383" i="3"/>
  <c r="L383" i="3"/>
  <c r="H383" i="3"/>
  <c r="O383" i="3" s="1"/>
  <c r="D383" i="3"/>
  <c r="M383" i="3" s="1"/>
  <c r="Y382" i="3"/>
  <c r="X382" i="3"/>
  <c r="U382" i="3"/>
  <c r="Q382" i="3"/>
  <c r="P382" i="3"/>
  <c r="N382" i="3"/>
  <c r="L382" i="3"/>
  <c r="H382" i="3"/>
  <c r="O382" i="3" s="1"/>
  <c r="D382" i="3"/>
  <c r="M382" i="3" s="1"/>
  <c r="Y381" i="3"/>
  <c r="X381" i="3"/>
  <c r="U381" i="3"/>
  <c r="Q381" i="3"/>
  <c r="P381" i="3"/>
  <c r="N381" i="3"/>
  <c r="L381" i="3"/>
  <c r="H381" i="3"/>
  <c r="O381" i="3" s="1"/>
  <c r="D381" i="3"/>
  <c r="M381" i="3" s="1"/>
  <c r="Y380" i="3"/>
  <c r="X380" i="3"/>
  <c r="U380" i="3"/>
  <c r="Q380" i="3"/>
  <c r="P380" i="3"/>
  <c r="N380" i="3"/>
  <c r="L380" i="3"/>
  <c r="H380" i="3"/>
  <c r="O380" i="3" s="1"/>
  <c r="D380" i="3"/>
  <c r="M380" i="3" s="1"/>
  <c r="Y379" i="3"/>
  <c r="X379" i="3"/>
  <c r="U379" i="3"/>
  <c r="Q379" i="3"/>
  <c r="P379" i="3"/>
  <c r="N379" i="3"/>
  <c r="L379" i="3"/>
  <c r="H379" i="3"/>
  <c r="O379" i="3" s="1"/>
  <c r="D379" i="3"/>
  <c r="M379" i="3" s="1"/>
  <c r="Y378" i="3"/>
  <c r="X378" i="3"/>
  <c r="U378" i="3"/>
  <c r="Q378" i="3"/>
  <c r="P378" i="3"/>
  <c r="N378" i="3"/>
  <c r="L378" i="3"/>
  <c r="H378" i="3"/>
  <c r="O378" i="3" s="1"/>
  <c r="D378" i="3"/>
  <c r="M378" i="3" s="1"/>
  <c r="Y377" i="3"/>
  <c r="X377" i="3"/>
  <c r="U377" i="3"/>
  <c r="Q377" i="3"/>
  <c r="P377" i="3"/>
  <c r="N377" i="3"/>
  <c r="L377" i="3"/>
  <c r="H377" i="3"/>
  <c r="O377" i="3" s="1"/>
  <c r="D377" i="3"/>
  <c r="M377" i="3" s="1"/>
  <c r="Y376" i="3"/>
  <c r="X376" i="3"/>
  <c r="U376" i="3"/>
  <c r="Q376" i="3"/>
  <c r="P376" i="3"/>
  <c r="N376" i="3"/>
  <c r="L376" i="3"/>
  <c r="H376" i="3"/>
  <c r="O376" i="3" s="1"/>
  <c r="D376" i="3"/>
  <c r="M376" i="3" s="1"/>
  <c r="Y375" i="3"/>
  <c r="X375" i="3"/>
  <c r="U375" i="3"/>
  <c r="Q375" i="3"/>
  <c r="P375" i="3"/>
  <c r="N375" i="3"/>
  <c r="L375" i="3"/>
  <c r="H375" i="3"/>
  <c r="O375" i="3" s="1"/>
  <c r="D375" i="3"/>
  <c r="M375" i="3" s="1"/>
  <c r="Y374" i="3"/>
  <c r="X374" i="3"/>
  <c r="U374" i="3"/>
  <c r="Q374" i="3"/>
  <c r="P374" i="3"/>
  <c r="N374" i="3"/>
  <c r="L374" i="3"/>
  <c r="H374" i="3"/>
  <c r="O374" i="3" s="1"/>
  <c r="D374" i="3"/>
  <c r="M374" i="3" s="1"/>
  <c r="Y373" i="3"/>
  <c r="X373" i="3"/>
  <c r="U373" i="3"/>
  <c r="Q373" i="3"/>
  <c r="P373" i="3"/>
  <c r="N373" i="3"/>
  <c r="L373" i="3"/>
  <c r="H373" i="3"/>
  <c r="O373" i="3" s="1"/>
  <c r="D373" i="3"/>
  <c r="M373" i="3" s="1"/>
  <c r="Y372" i="3"/>
  <c r="X372" i="3"/>
  <c r="U372" i="3"/>
  <c r="Q372" i="3"/>
  <c r="P372" i="3"/>
  <c r="N372" i="3"/>
  <c r="L372" i="3"/>
  <c r="H372" i="3"/>
  <c r="O372" i="3" s="1"/>
  <c r="D372" i="3"/>
  <c r="M372" i="3" s="1"/>
  <c r="Y371" i="3"/>
  <c r="X371" i="3"/>
  <c r="U371" i="3"/>
  <c r="Q371" i="3"/>
  <c r="P371" i="3"/>
  <c r="N371" i="3"/>
  <c r="L371" i="3"/>
  <c r="H371" i="3"/>
  <c r="O371" i="3" s="1"/>
  <c r="D371" i="3"/>
  <c r="M371" i="3" s="1"/>
  <c r="Y370" i="3"/>
  <c r="X370" i="3"/>
  <c r="U370" i="3"/>
  <c r="Q370" i="3"/>
  <c r="P370" i="3"/>
  <c r="N370" i="3"/>
  <c r="L370" i="3"/>
  <c r="H370" i="3"/>
  <c r="O370" i="3" s="1"/>
  <c r="D370" i="3"/>
  <c r="M370" i="3" s="1"/>
  <c r="Y369" i="3"/>
  <c r="X369" i="3"/>
  <c r="U369" i="3"/>
  <c r="Q369" i="3"/>
  <c r="P369" i="3"/>
  <c r="N369" i="3"/>
  <c r="L369" i="3"/>
  <c r="H369" i="3"/>
  <c r="O369" i="3" s="1"/>
  <c r="D369" i="3"/>
  <c r="M369" i="3" s="1"/>
  <c r="Y368" i="3"/>
  <c r="X368" i="3"/>
  <c r="U368" i="3"/>
  <c r="Q368" i="3"/>
  <c r="P368" i="3"/>
  <c r="N368" i="3"/>
  <c r="L368" i="3"/>
  <c r="H368" i="3"/>
  <c r="O368" i="3" s="1"/>
  <c r="D368" i="3"/>
  <c r="M368" i="3" s="1"/>
  <c r="Y367" i="3"/>
  <c r="X367" i="3"/>
  <c r="U367" i="3"/>
  <c r="Q367" i="3"/>
  <c r="P367" i="3"/>
  <c r="N367" i="3"/>
  <c r="L367" i="3"/>
  <c r="H367" i="3"/>
  <c r="O367" i="3" s="1"/>
  <c r="D367" i="3"/>
  <c r="M367" i="3" s="1"/>
  <c r="Y366" i="3"/>
  <c r="X366" i="3"/>
  <c r="U366" i="3"/>
  <c r="Q366" i="3"/>
  <c r="P366" i="3"/>
  <c r="N366" i="3"/>
  <c r="L366" i="3"/>
  <c r="H366" i="3"/>
  <c r="O366" i="3" s="1"/>
  <c r="D366" i="3"/>
  <c r="M366" i="3" s="1"/>
  <c r="Y365" i="3"/>
  <c r="X365" i="3"/>
  <c r="U365" i="3"/>
  <c r="Q365" i="3"/>
  <c r="P365" i="3"/>
  <c r="N365" i="3"/>
  <c r="L365" i="3"/>
  <c r="H365" i="3"/>
  <c r="O365" i="3" s="1"/>
  <c r="D365" i="3"/>
  <c r="M365" i="3" s="1"/>
  <c r="Y364" i="3"/>
  <c r="X364" i="3"/>
  <c r="U364" i="3"/>
  <c r="Q364" i="3"/>
  <c r="P364" i="3"/>
  <c r="N364" i="3"/>
  <c r="L364" i="3"/>
  <c r="H364" i="3"/>
  <c r="O364" i="3" s="1"/>
  <c r="D364" i="3"/>
  <c r="M364" i="3" s="1"/>
  <c r="Y363" i="3"/>
  <c r="X363" i="3"/>
  <c r="U363" i="3"/>
  <c r="Q363" i="3"/>
  <c r="P363" i="3"/>
  <c r="N363" i="3"/>
  <c r="L363" i="3"/>
  <c r="H363" i="3"/>
  <c r="O363" i="3" s="1"/>
  <c r="D363" i="3"/>
  <c r="M363" i="3" s="1"/>
  <c r="Y362" i="3"/>
  <c r="X362" i="3"/>
  <c r="U362" i="3"/>
  <c r="Q362" i="3"/>
  <c r="P362" i="3"/>
  <c r="N362" i="3"/>
  <c r="L362" i="3"/>
  <c r="H362" i="3"/>
  <c r="O362" i="3" s="1"/>
  <c r="D362" i="3"/>
  <c r="M362" i="3" s="1"/>
  <c r="Y361" i="3"/>
  <c r="X361" i="3"/>
  <c r="U361" i="3"/>
  <c r="Q361" i="3"/>
  <c r="P361" i="3"/>
  <c r="N361" i="3"/>
  <c r="L361" i="3"/>
  <c r="H361" i="3"/>
  <c r="O361" i="3" s="1"/>
  <c r="D361" i="3"/>
  <c r="M361" i="3" s="1"/>
  <c r="Y360" i="3"/>
  <c r="X360" i="3"/>
  <c r="U360" i="3"/>
  <c r="Q360" i="3"/>
  <c r="P360" i="3"/>
  <c r="N360" i="3"/>
  <c r="L360" i="3"/>
  <c r="H360" i="3"/>
  <c r="O360" i="3" s="1"/>
  <c r="D360" i="3"/>
  <c r="M360" i="3" s="1"/>
  <c r="Y359" i="3"/>
  <c r="X359" i="3"/>
  <c r="U359" i="3"/>
  <c r="Q359" i="3"/>
  <c r="P359" i="3"/>
  <c r="N359" i="3"/>
  <c r="L359" i="3"/>
  <c r="H359" i="3"/>
  <c r="O359" i="3" s="1"/>
  <c r="D359" i="3"/>
  <c r="M359" i="3" s="1"/>
  <c r="Y358" i="3"/>
  <c r="X358" i="3"/>
  <c r="U358" i="3"/>
  <c r="Q358" i="3"/>
  <c r="P358" i="3"/>
  <c r="N358" i="3"/>
  <c r="L358" i="3"/>
  <c r="H358" i="3"/>
  <c r="O358" i="3" s="1"/>
  <c r="D358" i="3"/>
  <c r="M358" i="3" s="1"/>
  <c r="Y357" i="3"/>
  <c r="X357" i="3"/>
  <c r="U357" i="3"/>
  <c r="Q357" i="3"/>
  <c r="P357" i="3"/>
  <c r="N357" i="3"/>
  <c r="L357" i="3"/>
  <c r="H357" i="3"/>
  <c r="O357" i="3" s="1"/>
  <c r="D357" i="3"/>
  <c r="M357" i="3" s="1"/>
  <c r="Y356" i="3"/>
  <c r="X356" i="3"/>
  <c r="U356" i="3"/>
  <c r="Q356" i="3"/>
  <c r="P356" i="3"/>
  <c r="N356" i="3"/>
  <c r="L356" i="3"/>
  <c r="H356" i="3"/>
  <c r="O356" i="3" s="1"/>
  <c r="D356" i="3"/>
  <c r="M356" i="3" s="1"/>
  <c r="Y355" i="3"/>
  <c r="X355" i="3"/>
  <c r="U355" i="3"/>
  <c r="Q355" i="3"/>
  <c r="P355" i="3"/>
  <c r="N355" i="3"/>
  <c r="L355" i="3"/>
  <c r="H355" i="3"/>
  <c r="O355" i="3" s="1"/>
  <c r="D355" i="3"/>
  <c r="M355" i="3" s="1"/>
  <c r="Y354" i="3"/>
  <c r="X354" i="3"/>
  <c r="U354" i="3"/>
  <c r="Q354" i="3"/>
  <c r="P354" i="3"/>
  <c r="N354" i="3"/>
  <c r="L354" i="3"/>
  <c r="H354" i="3"/>
  <c r="O354" i="3" s="1"/>
  <c r="D354" i="3"/>
  <c r="M354" i="3" s="1"/>
  <c r="Y353" i="3"/>
  <c r="X353" i="3"/>
  <c r="U353" i="3"/>
  <c r="Q353" i="3"/>
  <c r="P353" i="3"/>
  <c r="N353" i="3"/>
  <c r="L353" i="3"/>
  <c r="H353" i="3"/>
  <c r="O353" i="3" s="1"/>
  <c r="D353" i="3"/>
  <c r="M353" i="3" s="1"/>
  <c r="Y352" i="3"/>
  <c r="X352" i="3"/>
  <c r="U352" i="3"/>
  <c r="Q352" i="3"/>
  <c r="P352" i="3"/>
  <c r="N352" i="3"/>
  <c r="L352" i="3"/>
  <c r="H352" i="3"/>
  <c r="O352" i="3" s="1"/>
  <c r="D352" i="3"/>
  <c r="M352" i="3" s="1"/>
  <c r="Y351" i="3"/>
  <c r="X351" i="3"/>
  <c r="U351" i="3"/>
  <c r="Q351" i="3"/>
  <c r="P351" i="3"/>
  <c r="N351" i="3"/>
  <c r="L351" i="3"/>
  <c r="H351" i="3"/>
  <c r="O351" i="3" s="1"/>
  <c r="D351" i="3"/>
  <c r="M351" i="3" s="1"/>
  <c r="Y350" i="3"/>
  <c r="X350" i="3"/>
  <c r="U350" i="3"/>
  <c r="Q350" i="3"/>
  <c r="P350" i="3"/>
  <c r="N350" i="3"/>
  <c r="L350" i="3"/>
  <c r="H350" i="3"/>
  <c r="O350" i="3" s="1"/>
  <c r="D350" i="3"/>
  <c r="M350" i="3" s="1"/>
  <c r="Y349" i="3"/>
  <c r="X349" i="3"/>
  <c r="U349" i="3"/>
  <c r="Q349" i="3"/>
  <c r="P349" i="3"/>
  <c r="N349" i="3"/>
  <c r="L349" i="3"/>
  <c r="H349" i="3"/>
  <c r="O349" i="3" s="1"/>
  <c r="D349" i="3"/>
  <c r="M349" i="3" s="1"/>
  <c r="Y348" i="3"/>
  <c r="X348" i="3"/>
  <c r="U348" i="3"/>
  <c r="Q348" i="3"/>
  <c r="P348" i="3"/>
  <c r="N348" i="3"/>
  <c r="L348" i="3"/>
  <c r="H348" i="3"/>
  <c r="O348" i="3" s="1"/>
  <c r="D348" i="3"/>
  <c r="M348" i="3" s="1"/>
  <c r="Y347" i="3"/>
  <c r="X347" i="3"/>
  <c r="U347" i="3"/>
  <c r="Q347" i="3"/>
  <c r="P347" i="3"/>
  <c r="N347" i="3"/>
  <c r="L347" i="3"/>
  <c r="H347" i="3"/>
  <c r="O347" i="3" s="1"/>
  <c r="D347" i="3"/>
  <c r="M347" i="3" s="1"/>
  <c r="Y346" i="3"/>
  <c r="X346" i="3"/>
  <c r="U346" i="3"/>
  <c r="Q346" i="3"/>
  <c r="P346" i="3"/>
  <c r="N346" i="3"/>
  <c r="L346" i="3"/>
  <c r="H346" i="3"/>
  <c r="O346" i="3" s="1"/>
  <c r="D346" i="3"/>
  <c r="M346" i="3" s="1"/>
  <c r="Y345" i="3"/>
  <c r="X345" i="3"/>
  <c r="U345" i="3"/>
  <c r="Q345" i="3"/>
  <c r="P345" i="3"/>
  <c r="N345" i="3"/>
  <c r="L345" i="3"/>
  <c r="H345" i="3"/>
  <c r="O345" i="3" s="1"/>
  <c r="D345" i="3"/>
  <c r="M345" i="3" s="1"/>
  <c r="Y344" i="3"/>
  <c r="X344" i="3"/>
  <c r="U344" i="3"/>
  <c r="Q344" i="3"/>
  <c r="P344" i="3"/>
  <c r="N344" i="3"/>
  <c r="L344" i="3"/>
  <c r="H344" i="3"/>
  <c r="O344" i="3" s="1"/>
  <c r="D344" i="3"/>
  <c r="M344" i="3" s="1"/>
  <c r="Y343" i="3"/>
  <c r="X343" i="3"/>
  <c r="U343" i="3"/>
  <c r="Q343" i="3"/>
  <c r="P343" i="3"/>
  <c r="N343" i="3"/>
  <c r="L343" i="3"/>
  <c r="H343" i="3"/>
  <c r="O343" i="3" s="1"/>
  <c r="D343" i="3"/>
  <c r="M343" i="3" s="1"/>
  <c r="Y342" i="3"/>
  <c r="X342" i="3"/>
  <c r="U342" i="3"/>
  <c r="Q342" i="3"/>
  <c r="P342" i="3"/>
  <c r="N342" i="3"/>
  <c r="L342" i="3"/>
  <c r="H342" i="3"/>
  <c r="O342" i="3" s="1"/>
  <c r="D342" i="3"/>
  <c r="M342" i="3" s="1"/>
  <c r="Y341" i="3"/>
  <c r="X341" i="3"/>
  <c r="U341" i="3"/>
  <c r="Q341" i="3"/>
  <c r="P341" i="3"/>
  <c r="N341" i="3"/>
  <c r="L341" i="3"/>
  <c r="H341" i="3"/>
  <c r="O341" i="3" s="1"/>
  <c r="D341" i="3"/>
  <c r="M341" i="3" s="1"/>
  <c r="Y340" i="3"/>
  <c r="X340" i="3"/>
  <c r="U340" i="3"/>
  <c r="Q340" i="3"/>
  <c r="P340" i="3"/>
  <c r="N340" i="3"/>
  <c r="L340" i="3"/>
  <c r="H340" i="3"/>
  <c r="O340" i="3" s="1"/>
  <c r="D340" i="3"/>
  <c r="M340" i="3" s="1"/>
  <c r="Y339" i="3"/>
  <c r="X339" i="3"/>
  <c r="U339" i="3"/>
  <c r="Q339" i="3"/>
  <c r="P339" i="3"/>
  <c r="N339" i="3"/>
  <c r="L339" i="3"/>
  <c r="H339" i="3"/>
  <c r="O339" i="3" s="1"/>
  <c r="D339" i="3"/>
  <c r="M339" i="3" s="1"/>
  <c r="Y338" i="3"/>
  <c r="X338" i="3"/>
  <c r="U338" i="3"/>
  <c r="Q338" i="3"/>
  <c r="P338" i="3"/>
  <c r="N338" i="3"/>
  <c r="L338" i="3"/>
  <c r="H338" i="3"/>
  <c r="O338" i="3" s="1"/>
  <c r="D338" i="3"/>
  <c r="M338" i="3" s="1"/>
  <c r="Y337" i="3"/>
  <c r="X337" i="3"/>
  <c r="U337" i="3"/>
  <c r="Q337" i="3"/>
  <c r="P337" i="3"/>
  <c r="N337" i="3"/>
  <c r="L337" i="3"/>
  <c r="H337" i="3"/>
  <c r="O337" i="3" s="1"/>
  <c r="D337" i="3"/>
  <c r="M337" i="3" s="1"/>
  <c r="Y336" i="3"/>
  <c r="X336" i="3"/>
  <c r="U336" i="3"/>
  <c r="Q336" i="3"/>
  <c r="P336" i="3"/>
  <c r="N336" i="3"/>
  <c r="L336" i="3"/>
  <c r="H336" i="3"/>
  <c r="O336" i="3" s="1"/>
  <c r="D336" i="3"/>
  <c r="M336" i="3" s="1"/>
  <c r="Y335" i="3"/>
  <c r="X335" i="3"/>
  <c r="U335" i="3"/>
  <c r="Q335" i="3"/>
  <c r="P335" i="3"/>
  <c r="N335" i="3"/>
  <c r="L335" i="3"/>
  <c r="H335" i="3"/>
  <c r="O335" i="3" s="1"/>
  <c r="D335" i="3"/>
  <c r="M335" i="3" s="1"/>
  <c r="Y334" i="3"/>
  <c r="X334" i="3"/>
  <c r="U334" i="3"/>
  <c r="Q334" i="3"/>
  <c r="P334" i="3"/>
  <c r="N334" i="3"/>
  <c r="L334" i="3"/>
  <c r="H334" i="3"/>
  <c r="O334" i="3" s="1"/>
  <c r="D334" i="3"/>
  <c r="M334" i="3" s="1"/>
  <c r="Y333" i="3"/>
  <c r="X333" i="3"/>
  <c r="U333" i="3"/>
  <c r="Q333" i="3"/>
  <c r="P333" i="3"/>
  <c r="N333" i="3"/>
  <c r="L333" i="3"/>
  <c r="H333" i="3"/>
  <c r="O333" i="3" s="1"/>
  <c r="D333" i="3"/>
  <c r="M333" i="3" s="1"/>
  <c r="Y332" i="3"/>
  <c r="X332" i="3"/>
  <c r="U332" i="3"/>
  <c r="Q332" i="3"/>
  <c r="P332" i="3"/>
  <c r="N332" i="3"/>
  <c r="L332" i="3"/>
  <c r="H332" i="3"/>
  <c r="O332" i="3" s="1"/>
  <c r="D332" i="3"/>
  <c r="M332" i="3" s="1"/>
  <c r="Y331" i="3"/>
  <c r="X331" i="3"/>
  <c r="U331" i="3"/>
  <c r="Q331" i="3"/>
  <c r="P331" i="3"/>
  <c r="N331" i="3"/>
  <c r="L331" i="3"/>
  <c r="H331" i="3"/>
  <c r="O331" i="3" s="1"/>
  <c r="D331" i="3"/>
  <c r="M331" i="3" s="1"/>
  <c r="Y330" i="3"/>
  <c r="X330" i="3"/>
  <c r="U330" i="3"/>
  <c r="Q330" i="3"/>
  <c r="P330" i="3"/>
  <c r="N330" i="3"/>
  <c r="L330" i="3"/>
  <c r="H330" i="3"/>
  <c r="O330" i="3" s="1"/>
  <c r="D330" i="3"/>
  <c r="M330" i="3" s="1"/>
  <c r="Y329" i="3"/>
  <c r="X329" i="3"/>
  <c r="U329" i="3"/>
  <c r="Q329" i="3"/>
  <c r="P329" i="3"/>
  <c r="N329" i="3"/>
  <c r="L329" i="3"/>
  <c r="H329" i="3"/>
  <c r="O329" i="3" s="1"/>
  <c r="D329" i="3"/>
  <c r="M329" i="3" s="1"/>
  <c r="Y328" i="3"/>
  <c r="X328" i="3"/>
  <c r="U328" i="3"/>
  <c r="Q328" i="3"/>
  <c r="P328" i="3"/>
  <c r="N328" i="3"/>
  <c r="L328" i="3"/>
  <c r="H328" i="3"/>
  <c r="O328" i="3" s="1"/>
  <c r="D328" i="3"/>
  <c r="M328" i="3" s="1"/>
  <c r="Y327" i="3"/>
  <c r="X327" i="3"/>
  <c r="U327" i="3"/>
  <c r="Q327" i="3"/>
  <c r="P327" i="3"/>
  <c r="N327" i="3"/>
  <c r="L327" i="3"/>
  <c r="H327" i="3"/>
  <c r="O327" i="3" s="1"/>
  <c r="D327" i="3"/>
  <c r="M327" i="3" s="1"/>
  <c r="Y326" i="3"/>
  <c r="X326" i="3"/>
  <c r="U326" i="3"/>
  <c r="Q326" i="3"/>
  <c r="P326" i="3"/>
  <c r="N326" i="3"/>
  <c r="L326" i="3"/>
  <c r="H326" i="3"/>
  <c r="O326" i="3" s="1"/>
  <c r="D326" i="3"/>
  <c r="M326" i="3" s="1"/>
  <c r="Y325" i="3"/>
  <c r="X325" i="3"/>
  <c r="U325" i="3"/>
  <c r="Q325" i="3"/>
  <c r="P325" i="3"/>
  <c r="N325" i="3"/>
  <c r="L325" i="3"/>
  <c r="H325" i="3"/>
  <c r="O325" i="3" s="1"/>
  <c r="D325" i="3"/>
  <c r="M325" i="3" s="1"/>
  <c r="Y324" i="3"/>
  <c r="X324" i="3"/>
  <c r="U324" i="3"/>
  <c r="Q324" i="3"/>
  <c r="P324" i="3"/>
  <c r="N324" i="3"/>
  <c r="L324" i="3"/>
  <c r="H324" i="3"/>
  <c r="O324" i="3" s="1"/>
  <c r="D324" i="3"/>
  <c r="M324" i="3" s="1"/>
  <c r="Y323" i="3"/>
  <c r="X323" i="3"/>
  <c r="U323" i="3"/>
  <c r="Q323" i="3"/>
  <c r="P323" i="3"/>
  <c r="N323" i="3"/>
  <c r="L323" i="3"/>
  <c r="H323" i="3"/>
  <c r="O323" i="3" s="1"/>
  <c r="D323" i="3"/>
  <c r="M323" i="3" s="1"/>
  <c r="Y322" i="3"/>
  <c r="X322" i="3"/>
  <c r="U322" i="3"/>
  <c r="Q322" i="3"/>
  <c r="P322" i="3"/>
  <c r="N322" i="3"/>
  <c r="L322" i="3"/>
  <c r="H322" i="3"/>
  <c r="O322" i="3" s="1"/>
  <c r="D322" i="3"/>
  <c r="M322" i="3" s="1"/>
  <c r="Y321" i="3"/>
  <c r="X321" i="3"/>
  <c r="U321" i="3"/>
  <c r="Q321" i="3"/>
  <c r="P321" i="3"/>
  <c r="N321" i="3"/>
  <c r="L321" i="3"/>
  <c r="H321" i="3"/>
  <c r="O321" i="3" s="1"/>
  <c r="D321" i="3"/>
  <c r="M321" i="3" s="1"/>
  <c r="Y320" i="3"/>
  <c r="X320" i="3"/>
  <c r="U320" i="3"/>
  <c r="Q320" i="3"/>
  <c r="P320" i="3"/>
  <c r="N320" i="3"/>
  <c r="L320" i="3"/>
  <c r="H320" i="3"/>
  <c r="O320" i="3" s="1"/>
  <c r="D320" i="3"/>
  <c r="M320" i="3" s="1"/>
  <c r="Y319" i="3"/>
  <c r="X319" i="3"/>
  <c r="U319" i="3"/>
  <c r="Q319" i="3"/>
  <c r="P319" i="3"/>
  <c r="N319" i="3"/>
  <c r="L319" i="3"/>
  <c r="H319" i="3"/>
  <c r="O319" i="3" s="1"/>
  <c r="D319" i="3"/>
  <c r="M319" i="3" s="1"/>
  <c r="Y318" i="3"/>
  <c r="X318" i="3"/>
  <c r="U318" i="3"/>
  <c r="Q318" i="3"/>
  <c r="P318" i="3"/>
  <c r="N318" i="3"/>
  <c r="L318" i="3"/>
  <c r="H318" i="3"/>
  <c r="O318" i="3" s="1"/>
  <c r="D318" i="3"/>
  <c r="M318" i="3" s="1"/>
  <c r="Y317" i="3"/>
  <c r="X317" i="3"/>
  <c r="U317" i="3"/>
  <c r="Q317" i="3"/>
  <c r="P317" i="3"/>
  <c r="N317" i="3"/>
  <c r="L317" i="3"/>
  <c r="H317" i="3"/>
  <c r="O317" i="3" s="1"/>
  <c r="D317" i="3"/>
  <c r="M317" i="3" s="1"/>
  <c r="Y316" i="3"/>
  <c r="X316" i="3"/>
  <c r="U316" i="3"/>
  <c r="Q316" i="3"/>
  <c r="P316" i="3"/>
  <c r="N316" i="3"/>
  <c r="L316" i="3"/>
  <c r="H316" i="3"/>
  <c r="O316" i="3" s="1"/>
  <c r="D316" i="3"/>
  <c r="M316" i="3" s="1"/>
  <c r="Y315" i="3"/>
  <c r="X315" i="3"/>
  <c r="U315" i="3"/>
  <c r="Q315" i="3"/>
  <c r="P315" i="3"/>
  <c r="N315" i="3"/>
  <c r="L315" i="3"/>
  <c r="H315" i="3"/>
  <c r="O315" i="3" s="1"/>
  <c r="D315" i="3"/>
  <c r="M315" i="3" s="1"/>
  <c r="Y314" i="3"/>
  <c r="X314" i="3"/>
  <c r="U314" i="3"/>
  <c r="Q314" i="3"/>
  <c r="P314" i="3"/>
  <c r="N314" i="3"/>
  <c r="L314" i="3"/>
  <c r="H314" i="3"/>
  <c r="O314" i="3" s="1"/>
  <c r="D314" i="3"/>
  <c r="M314" i="3" s="1"/>
  <c r="Y313" i="3"/>
  <c r="X313" i="3"/>
  <c r="U313" i="3"/>
  <c r="Q313" i="3"/>
  <c r="P313" i="3"/>
  <c r="N313" i="3"/>
  <c r="L313" i="3"/>
  <c r="H313" i="3"/>
  <c r="O313" i="3" s="1"/>
  <c r="D313" i="3"/>
  <c r="M313" i="3" s="1"/>
  <c r="Y312" i="3"/>
  <c r="X312" i="3"/>
  <c r="U312" i="3"/>
  <c r="Q312" i="3"/>
  <c r="P312" i="3"/>
  <c r="N312" i="3"/>
  <c r="L312" i="3"/>
  <c r="H312" i="3"/>
  <c r="O312" i="3" s="1"/>
  <c r="D312" i="3"/>
  <c r="M312" i="3" s="1"/>
  <c r="Y311" i="3"/>
  <c r="X311" i="3"/>
  <c r="U311" i="3"/>
  <c r="Q311" i="3"/>
  <c r="P311" i="3"/>
  <c r="N311" i="3"/>
  <c r="L311" i="3"/>
  <c r="H311" i="3"/>
  <c r="O311" i="3" s="1"/>
  <c r="D311" i="3"/>
  <c r="M311" i="3" s="1"/>
  <c r="Y310" i="3"/>
  <c r="X310" i="3"/>
  <c r="U310" i="3"/>
  <c r="Q310" i="3"/>
  <c r="P310" i="3"/>
  <c r="N310" i="3"/>
  <c r="L310" i="3"/>
  <c r="H310" i="3"/>
  <c r="O310" i="3" s="1"/>
  <c r="D310" i="3"/>
  <c r="M310" i="3" s="1"/>
  <c r="Y309" i="3"/>
  <c r="X309" i="3"/>
  <c r="U309" i="3"/>
  <c r="Q309" i="3"/>
  <c r="P309" i="3"/>
  <c r="N309" i="3"/>
  <c r="L309" i="3"/>
  <c r="H309" i="3"/>
  <c r="O309" i="3" s="1"/>
  <c r="D309" i="3"/>
  <c r="M309" i="3" s="1"/>
  <c r="Y308" i="3"/>
  <c r="X308" i="3"/>
  <c r="U308" i="3"/>
  <c r="Q308" i="3"/>
  <c r="P308" i="3"/>
  <c r="N308" i="3"/>
  <c r="L308" i="3"/>
  <c r="H308" i="3"/>
  <c r="O308" i="3" s="1"/>
  <c r="D308" i="3"/>
  <c r="M308" i="3" s="1"/>
  <c r="Y307" i="3"/>
  <c r="X307" i="3"/>
  <c r="U307" i="3"/>
  <c r="Q307" i="3"/>
  <c r="P307" i="3"/>
  <c r="N307" i="3"/>
  <c r="L307" i="3"/>
  <c r="H307" i="3"/>
  <c r="O307" i="3" s="1"/>
  <c r="D307" i="3"/>
  <c r="M307" i="3" s="1"/>
  <c r="Y306" i="3"/>
  <c r="X306" i="3"/>
  <c r="U306" i="3"/>
  <c r="Q306" i="3"/>
  <c r="P306" i="3"/>
  <c r="N306" i="3"/>
  <c r="L306" i="3"/>
  <c r="H306" i="3"/>
  <c r="O306" i="3" s="1"/>
  <c r="D306" i="3"/>
  <c r="M306" i="3" s="1"/>
  <c r="Y305" i="3"/>
  <c r="X305" i="3"/>
  <c r="U305" i="3"/>
  <c r="Q305" i="3"/>
  <c r="P305" i="3"/>
  <c r="N305" i="3"/>
  <c r="L305" i="3"/>
  <c r="H305" i="3"/>
  <c r="O305" i="3" s="1"/>
  <c r="D305" i="3"/>
  <c r="M305" i="3" s="1"/>
  <c r="Y304" i="3"/>
  <c r="X304" i="3"/>
  <c r="U304" i="3"/>
  <c r="Q304" i="3"/>
  <c r="P304" i="3"/>
  <c r="N304" i="3"/>
  <c r="L304" i="3"/>
  <c r="H304" i="3"/>
  <c r="O304" i="3" s="1"/>
  <c r="D304" i="3"/>
  <c r="M304" i="3" s="1"/>
  <c r="Y303" i="3"/>
  <c r="X303" i="3"/>
  <c r="U303" i="3"/>
  <c r="Q303" i="3"/>
  <c r="P303" i="3"/>
  <c r="N303" i="3"/>
  <c r="L303" i="3"/>
  <c r="H303" i="3"/>
  <c r="O303" i="3" s="1"/>
  <c r="D303" i="3"/>
  <c r="M303" i="3" s="1"/>
  <c r="Y302" i="3"/>
  <c r="X302" i="3"/>
  <c r="U302" i="3"/>
  <c r="Q302" i="3"/>
  <c r="P302" i="3"/>
  <c r="N302" i="3"/>
  <c r="L302" i="3"/>
  <c r="H302" i="3"/>
  <c r="O302" i="3" s="1"/>
  <c r="D302" i="3"/>
  <c r="M302" i="3" s="1"/>
  <c r="Y301" i="3"/>
  <c r="X301" i="3"/>
  <c r="U301" i="3"/>
  <c r="Q301" i="3"/>
  <c r="P301" i="3"/>
  <c r="N301" i="3"/>
  <c r="L301" i="3"/>
  <c r="H301" i="3"/>
  <c r="O301" i="3" s="1"/>
  <c r="D301" i="3"/>
  <c r="M301" i="3" s="1"/>
  <c r="Y300" i="3"/>
  <c r="X300" i="3"/>
  <c r="U300" i="3"/>
  <c r="Q300" i="3"/>
  <c r="P300" i="3"/>
  <c r="N300" i="3"/>
  <c r="L300" i="3"/>
  <c r="H300" i="3"/>
  <c r="O300" i="3" s="1"/>
  <c r="D300" i="3"/>
  <c r="M300" i="3" s="1"/>
  <c r="Y299" i="3"/>
  <c r="X299" i="3"/>
  <c r="U299" i="3"/>
  <c r="Q299" i="3"/>
  <c r="P299" i="3"/>
  <c r="N299" i="3"/>
  <c r="L299" i="3"/>
  <c r="H299" i="3"/>
  <c r="O299" i="3" s="1"/>
  <c r="D299" i="3"/>
  <c r="M299" i="3" s="1"/>
  <c r="Y298" i="3"/>
  <c r="X298" i="3"/>
  <c r="U298" i="3"/>
  <c r="Q298" i="3"/>
  <c r="P298" i="3"/>
  <c r="N298" i="3"/>
  <c r="L298" i="3"/>
  <c r="H298" i="3"/>
  <c r="O298" i="3" s="1"/>
  <c r="D298" i="3"/>
  <c r="M298" i="3" s="1"/>
  <c r="Y297" i="3"/>
  <c r="X297" i="3"/>
  <c r="U297" i="3"/>
  <c r="Q297" i="3"/>
  <c r="P297" i="3"/>
  <c r="N297" i="3"/>
  <c r="L297" i="3"/>
  <c r="H297" i="3"/>
  <c r="O297" i="3" s="1"/>
  <c r="D297" i="3"/>
  <c r="M297" i="3" s="1"/>
  <c r="Y296" i="3"/>
  <c r="X296" i="3"/>
  <c r="U296" i="3"/>
  <c r="Q296" i="3"/>
  <c r="P296" i="3"/>
  <c r="N296" i="3"/>
  <c r="L296" i="3"/>
  <c r="H296" i="3"/>
  <c r="O296" i="3" s="1"/>
  <c r="D296" i="3"/>
  <c r="M296" i="3" s="1"/>
  <c r="Y295" i="3"/>
  <c r="X295" i="3"/>
  <c r="U295" i="3"/>
  <c r="Q295" i="3"/>
  <c r="P295" i="3"/>
  <c r="N295" i="3"/>
  <c r="L295" i="3"/>
  <c r="H295" i="3"/>
  <c r="O295" i="3" s="1"/>
  <c r="D295" i="3"/>
  <c r="M295" i="3" s="1"/>
  <c r="Y294" i="3"/>
  <c r="X294" i="3"/>
  <c r="U294" i="3"/>
  <c r="Q294" i="3"/>
  <c r="P294" i="3"/>
  <c r="N294" i="3"/>
  <c r="L294" i="3"/>
  <c r="H294" i="3"/>
  <c r="O294" i="3" s="1"/>
  <c r="D294" i="3"/>
  <c r="M294" i="3" s="1"/>
  <c r="Y293" i="3"/>
  <c r="X293" i="3"/>
  <c r="U293" i="3"/>
  <c r="Q293" i="3"/>
  <c r="P293" i="3"/>
  <c r="N293" i="3"/>
  <c r="L293" i="3"/>
  <c r="H293" i="3"/>
  <c r="O293" i="3" s="1"/>
  <c r="D293" i="3"/>
  <c r="M293" i="3" s="1"/>
  <c r="Y292" i="3"/>
  <c r="X292" i="3"/>
  <c r="U292" i="3"/>
  <c r="Q292" i="3"/>
  <c r="P292" i="3"/>
  <c r="N292" i="3"/>
  <c r="L292" i="3"/>
  <c r="H292" i="3"/>
  <c r="O292" i="3" s="1"/>
  <c r="D292" i="3"/>
  <c r="M292" i="3" s="1"/>
  <c r="Y291" i="3"/>
  <c r="X291" i="3"/>
  <c r="U291" i="3"/>
  <c r="Q291" i="3"/>
  <c r="P291" i="3"/>
  <c r="N291" i="3"/>
  <c r="L291" i="3"/>
  <c r="H291" i="3"/>
  <c r="O291" i="3" s="1"/>
  <c r="D291" i="3"/>
  <c r="M291" i="3" s="1"/>
  <c r="Y290" i="3"/>
  <c r="X290" i="3"/>
  <c r="U290" i="3"/>
  <c r="Q290" i="3"/>
  <c r="P290" i="3"/>
  <c r="N290" i="3"/>
  <c r="L290" i="3"/>
  <c r="H290" i="3"/>
  <c r="O290" i="3" s="1"/>
  <c r="D290" i="3"/>
  <c r="M290" i="3" s="1"/>
  <c r="Y289" i="3"/>
  <c r="X289" i="3"/>
  <c r="U289" i="3"/>
  <c r="Q289" i="3"/>
  <c r="P289" i="3"/>
  <c r="N289" i="3"/>
  <c r="L289" i="3"/>
  <c r="H289" i="3"/>
  <c r="O289" i="3" s="1"/>
  <c r="D289" i="3"/>
  <c r="M289" i="3" s="1"/>
  <c r="Y288" i="3"/>
  <c r="X288" i="3"/>
  <c r="U288" i="3"/>
  <c r="Q288" i="3"/>
  <c r="P288" i="3"/>
  <c r="N288" i="3"/>
  <c r="L288" i="3"/>
  <c r="H288" i="3"/>
  <c r="O288" i="3" s="1"/>
  <c r="D288" i="3"/>
  <c r="M288" i="3" s="1"/>
  <c r="Y287" i="3"/>
  <c r="X287" i="3"/>
  <c r="U287" i="3"/>
  <c r="Q287" i="3"/>
  <c r="P287" i="3"/>
  <c r="N287" i="3"/>
  <c r="L287" i="3"/>
  <c r="H287" i="3"/>
  <c r="O287" i="3" s="1"/>
  <c r="D287" i="3"/>
  <c r="M287" i="3" s="1"/>
  <c r="Y286" i="3"/>
  <c r="X286" i="3"/>
  <c r="U286" i="3"/>
  <c r="Q286" i="3"/>
  <c r="P286" i="3"/>
  <c r="N286" i="3"/>
  <c r="L286" i="3"/>
  <c r="H286" i="3"/>
  <c r="O286" i="3" s="1"/>
  <c r="D286" i="3"/>
  <c r="M286" i="3" s="1"/>
  <c r="Y285" i="3"/>
  <c r="X285" i="3"/>
  <c r="U285" i="3"/>
  <c r="Q285" i="3"/>
  <c r="P285" i="3"/>
  <c r="N285" i="3"/>
  <c r="L285" i="3"/>
  <c r="H285" i="3"/>
  <c r="O285" i="3" s="1"/>
  <c r="D285" i="3"/>
  <c r="M285" i="3" s="1"/>
  <c r="Y284" i="3"/>
  <c r="X284" i="3"/>
  <c r="U284" i="3"/>
  <c r="Q284" i="3"/>
  <c r="P284" i="3"/>
  <c r="N284" i="3"/>
  <c r="L284" i="3"/>
  <c r="H284" i="3"/>
  <c r="O284" i="3" s="1"/>
  <c r="D284" i="3"/>
  <c r="M284" i="3" s="1"/>
  <c r="Y283" i="3"/>
  <c r="X283" i="3"/>
  <c r="U283" i="3"/>
  <c r="Q283" i="3"/>
  <c r="P283" i="3"/>
  <c r="N283" i="3"/>
  <c r="L283" i="3"/>
  <c r="H283" i="3"/>
  <c r="O283" i="3" s="1"/>
  <c r="D283" i="3"/>
  <c r="M283" i="3" s="1"/>
  <c r="Y282" i="3"/>
  <c r="X282" i="3"/>
  <c r="U282" i="3"/>
  <c r="Q282" i="3"/>
  <c r="P282" i="3"/>
  <c r="N282" i="3"/>
  <c r="L282" i="3"/>
  <c r="H282" i="3"/>
  <c r="O282" i="3" s="1"/>
  <c r="D282" i="3"/>
  <c r="M282" i="3" s="1"/>
  <c r="Y281" i="3"/>
  <c r="X281" i="3"/>
  <c r="U281" i="3"/>
  <c r="Q281" i="3"/>
  <c r="P281" i="3"/>
  <c r="N281" i="3"/>
  <c r="L281" i="3"/>
  <c r="H281" i="3"/>
  <c r="O281" i="3" s="1"/>
  <c r="D281" i="3"/>
  <c r="M281" i="3" s="1"/>
  <c r="Y280" i="3"/>
  <c r="X280" i="3"/>
  <c r="U280" i="3"/>
  <c r="Q280" i="3"/>
  <c r="P280" i="3"/>
  <c r="N280" i="3"/>
  <c r="L280" i="3"/>
  <c r="H280" i="3"/>
  <c r="O280" i="3" s="1"/>
  <c r="D280" i="3"/>
  <c r="M280" i="3" s="1"/>
  <c r="Y279" i="3"/>
  <c r="X279" i="3"/>
  <c r="U279" i="3"/>
  <c r="Q279" i="3"/>
  <c r="P279" i="3"/>
  <c r="N279" i="3"/>
  <c r="L279" i="3"/>
  <c r="H279" i="3"/>
  <c r="O279" i="3" s="1"/>
  <c r="D279" i="3"/>
  <c r="M279" i="3" s="1"/>
  <c r="Y278" i="3"/>
  <c r="X278" i="3"/>
  <c r="U278" i="3"/>
  <c r="Q278" i="3"/>
  <c r="P278" i="3"/>
  <c r="N278" i="3"/>
  <c r="L278" i="3"/>
  <c r="H278" i="3"/>
  <c r="O278" i="3" s="1"/>
  <c r="D278" i="3"/>
  <c r="M278" i="3" s="1"/>
  <c r="Y277" i="3"/>
  <c r="X277" i="3"/>
  <c r="U277" i="3"/>
  <c r="Q277" i="3"/>
  <c r="P277" i="3"/>
  <c r="N277" i="3"/>
  <c r="L277" i="3"/>
  <c r="H277" i="3"/>
  <c r="O277" i="3" s="1"/>
  <c r="D277" i="3"/>
  <c r="M277" i="3" s="1"/>
  <c r="Y276" i="3"/>
  <c r="X276" i="3"/>
  <c r="U276" i="3"/>
  <c r="Q276" i="3"/>
  <c r="P276" i="3"/>
  <c r="N276" i="3"/>
  <c r="L276" i="3"/>
  <c r="H276" i="3"/>
  <c r="O276" i="3" s="1"/>
  <c r="D276" i="3"/>
  <c r="M276" i="3" s="1"/>
  <c r="Y275" i="3"/>
  <c r="X275" i="3"/>
  <c r="U275" i="3"/>
  <c r="Q275" i="3"/>
  <c r="P275" i="3"/>
  <c r="N275" i="3"/>
  <c r="L275" i="3"/>
  <c r="H275" i="3"/>
  <c r="O275" i="3" s="1"/>
  <c r="D275" i="3"/>
  <c r="M275" i="3" s="1"/>
  <c r="Y274" i="3"/>
  <c r="X274" i="3"/>
  <c r="U274" i="3"/>
  <c r="Q274" i="3"/>
  <c r="P274" i="3"/>
  <c r="N274" i="3"/>
  <c r="L274" i="3"/>
  <c r="H274" i="3"/>
  <c r="O274" i="3" s="1"/>
  <c r="D274" i="3"/>
  <c r="M274" i="3" s="1"/>
  <c r="Y273" i="3"/>
  <c r="X273" i="3"/>
  <c r="U273" i="3"/>
  <c r="Q273" i="3"/>
  <c r="P273" i="3"/>
  <c r="N273" i="3"/>
  <c r="L273" i="3"/>
  <c r="H273" i="3"/>
  <c r="O273" i="3" s="1"/>
  <c r="D273" i="3"/>
  <c r="M273" i="3" s="1"/>
  <c r="Y272" i="3"/>
  <c r="X272" i="3"/>
  <c r="U272" i="3"/>
  <c r="Q272" i="3"/>
  <c r="P272" i="3"/>
  <c r="N272" i="3"/>
  <c r="L272" i="3"/>
  <c r="H272" i="3"/>
  <c r="O272" i="3" s="1"/>
  <c r="D272" i="3"/>
  <c r="M272" i="3" s="1"/>
  <c r="Y271" i="3"/>
  <c r="X271" i="3"/>
  <c r="U271" i="3"/>
  <c r="Q271" i="3"/>
  <c r="P271" i="3"/>
  <c r="N271" i="3"/>
  <c r="L271" i="3"/>
  <c r="H271" i="3"/>
  <c r="O271" i="3" s="1"/>
  <c r="D271" i="3"/>
  <c r="M271" i="3" s="1"/>
  <c r="Y270" i="3"/>
  <c r="X270" i="3"/>
  <c r="U270" i="3"/>
  <c r="Q270" i="3"/>
  <c r="P270" i="3"/>
  <c r="N270" i="3"/>
  <c r="L270" i="3"/>
  <c r="H270" i="3"/>
  <c r="O270" i="3" s="1"/>
  <c r="D270" i="3"/>
  <c r="M270" i="3" s="1"/>
  <c r="Y269" i="3"/>
  <c r="X269" i="3"/>
  <c r="U269" i="3"/>
  <c r="Q269" i="3"/>
  <c r="P269" i="3"/>
  <c r="N269" i="3"/>
  <c r="L269" i="3"/>
  <c r="H269" i="3"/>
  <c r="O269" i="3" s="1"/>
  <c r="D269" i="3"/>
  <c r="M269" i="3" s="1"/>
  <c r="Y268" i="3"/>
  <c r="X268" i="3"/>
  <c r="U268" i="3"/>
  <c r="Q268" i="3"/>
  <c r="P268" i="3"/>
  <c r="N268" i="3"/>
  <c r="L268" i="3"/>
  <c r="H268" i="3"/>
  <c r="O268" i="3" s="1"/>
  <c r="D268" i="3"/>
  <c r="M268" i="3" s="1"/>
  <c r="Y267" i="3"/>
  <c r="X267" i="3"/>
  <c r="U267" i="3"/>
  <c r="Q267" i="3"/>
  <c r="P267" i="3"/>
  <c r="N267" i="3"/>
  <c r="L267" i="3"/>
  <c r="H267" i="3"/>
  <c r="O267" i="3" s="1"/>
  <c r="D267" i="3"/>
  <c r="M267" i="3" s="1"/>
  <c r="Y266" i="3"/>
  <c r="X266" i="3"/>
  <c r="U266" i="3"/>
  <c r="Q266" i="3"/>
  <c r="P266" i="3"/>
  <c r="N266" i="3"/>
  <c r="L266" i="3"/>
  <c r="H266" i="3"/>
  <c r="O266" i="3" s="1"/>
  <c r="D266" i="3"/>
  <c r="M266" i="3" s="1"/>
  <c r="Y265" i="3"/>
  <c r="X265" i="3"/>
  <c r="U265" i="3"/>
  <c r="Q265" i="3"/>
  <c r="P265" i="3"/>
  <c r="N265" i="3"/>
  <c r="L265" i="3"/>
  <c r="H265" i="3"/>
  <c r="O265" i="3" s="1"/>
  <c r="D265" i="3"/>
  <c r="M265" i="3" s="1"/>
  <c r="Y264" i="3"/>
  <c r="X264" i="3"/>
  <c r="U264" i="3"/>
  <c r="Q264" i="3"/>
  <c r="P264" i="3"/>
  <c r="N264" i="3"/>
  <c r="L264" i="3"/>
  <c r="H264" i="3"/>
  <c r="O264" i="3" s="1"/>
  <c r="D264" i="3"/>
  <c r="M264" i="3" s="1"/>
  <c r="Y263" i="3"/>
  <c r="X263" i="3"/>
  <c r="U263" i="3"/>
  <c r="Q263" i="3"/>
  <c r="P263" i="3"/>
  <c r="N263" i="3"/>
  <c r="L263" i="3"/>
  <c r="H263" i="3"/>
  <c r="O263" i="3" s="1"/>
  <c r="D263" i="3"/>
  <c r="M263" i="3" s="1"/>
  <c r="Y262" i="3"/>
  <c r="X262" i="3"/>
  <c r="U262" i="3"/>
  <c r="Q262" i="3"/>
  <c r="P262" i="3"/>
  <c r="N262" i="3"/>
  <c r="L262" i="3"/>
  <c r="H262" i="3"/>
  <c r="O262" i="3" s="1"/>
  <c r="D262" i="3"/>
  <c r="M262" i="3" s="1"/>
  <c r="Y261" i="3"/>
  <c r="X261" i="3"/>
  <c r="U261" i="3"/>
  <c r="Q261" i="3"/>
  <c r="P261" i="3"/>
  <c r="N261" i="3"/>
  <c r="L261" i="3"/>
  <c r="H261" i="3"/>
  <c r="O261" i="3" s="1"/>
  <c r="D261" i="3"/>
  <c r="M261" i="3" s="1"/>
  <c r="Y260" i="3"/>
  <c r="X260" i="3"/>
  <c r="U260" i="3"/>
  <c r="Q260" i="3"/>
  <c r="P260" i="3"/>
  <c r="N260" i="3"/>
  <c r="L260" i="3"/>
  <c r="H260" i="3"/>
  <c r="O260" i="3" s="1"/>
  <c r="D260" i="3"/>
  <c r="M260" i="3" s="1"/>
  <c r="Y259" i="3"/>
  <c r="X259" i="3"/>
  <c r="U259" i="3"/>
  <c r="Q259" i="3"/>
  <c r="P259" i="3"/>
  <c r="N259" i="3"/>
  <c r="L259" i="3"/>
  <c r="H259" i="3"/>
  <c r="O259" i="3" s="1"/>
  <c r="D259" i="3"/>
  <c r="M259" i="3" s="1"/>
  <c r="Y258" i="3"/>
  <c r="X258" i="3"/>
  <c r="U258" i="3"/>
  <c r="Q258" i="3"/>
  <c r="P258" i="3"/>
  <c r="N258" i="3"/>
  <c r="L258" i="3"/>
  <c r="H258" i="3"/>
  <c r="O258" i="3" s="1"/>
  <c r="D258" i="3"/>
  <c r="M258" i="3" s="1"/>
  <c r="Y257" i="3"/>
  <c r="X257" i="3"/>
  <c r="U257" i="3"/>
  <c r="Q257" i="3"/>
  <c r="P257" i="3"/>
  <c r="N257" i="3"/>
  <c r="L257" i="3"/>
  <c r="H257" i="3"/>
  <c r="O257" i="3" s="1"/>
  <c r="D257" i="3"/>
  <c r="M257" i="3" s="1"/>
  <c r="Y256" i="3"/>
  <c r="X256" i="3"/>
  <c r="U256" i="3"/>
  <c r="Q256" i="3"/>
  <c r="P256" i="3"/>
  <c r="N256" i="3"/>
  <c r="L256" i="3"/>
  <c r="H256" i="3"/>
  <c r="O256" i="3" s="1"/>
  <c r="D256" i="3"/>
  <c r="M256" i="3" s="1"/>
  <c r="Y255" i="3"/>
  <c r="X255" i="3"/>
  <c r="U255" i="3"/>
  <c r="Q255" i="3"/>
  <c r="P255" i="3"/>
  <c r="N255" i="3"/>
  <c r="L255" i="3"/>
  <c r="H255" i="3"/>
  <c r="O255" i="3" s="1"/>
  <c r="D255" i="3"/>
  <c r="M255" i="3" s="1"/>
  <c r="Y254" i="3"/>
  <c r="X254" i="3"/>
  <c r="U254" i="3"/>
  <c r="Q254" i="3"/>
  <c r="P254" i="3"/>
  <c r="N254" i="3"/>
  <c r="L254" i="3"/>
  <c r="H254" i="3"/>
  <c r="O254" i="3" s="1"/>
  <c r="D254" i="3"/>
  <c r="M254" i="3" s="1"/>
  <c r="Y253" i="3"/>
  <c r="X253" i="3"/>
  <c r="U253" i="3"/>
  <c r="Q253" i="3"/>
  <c r="P253" i="3"/>
  <c r="N253" i="3"/>
  <c r="L253" i="3"/>
  <c r="H253" i="3"/>
  <c r="O253" i="3" s="1"/>
  <c r="D253" i="3"/>
  <c r="M253" i="3" s="1"/>
  <c r="Y252" i="3"/>
  <c r="X252" i="3"/>
  <c r="U252" i="3"/>
  <c r="Q252" i="3"/>
  <c r="P252" i="3"/>
  <c r="N252" i="3"/>
  <c r="L252" i="3"/>
  <c r="H252" i="3"/>
  <c r="O252" i="3" s="1"/>
  <c r="D252" i="3"/>
  <c r="M252" i="3" s="1"/>
  <c r="Y251" i="3"/>
  <c r="X251" i="3"/>
  <c r="U251" i="3"/>
  <c r="Q251" i="3"/>
  <c r="P251" i="3"/>
  <c r="N251" i="3"/>
  <c r="L251" i="3"/>
  <c r="H251" i="3"/>
  <c r="O251" i="3" s="1"/>
  <c r="D251" i="3"/>
  <c r="M251" i="3" s="1"/>
  <c r="Y250" i="3"/>
  <c r="X250" i="3"/>
  <c r="U250" i="3"/>
  <c r="Q250" i="3"/>
  <c r="P250" i="3"/>
  <c r="N250" i="3"/>
  <c r="L250" i="3"/>
  <c r="H250" i="3"/>
  <c r="O250" i="3" s="1"/>
  <c r="D250" i="3"/>
  <c r="M250" i="3" s="1"/>
  <c r="Y249" i="3"/>
  <c r="X249" i="3"/>
  <c r="U249" i="3"/>
  <c r="Q249" i="3"/>
  <c r="P249" i="3"/>
  <c r="N249" i="3"/>
  <c r="L249" i="3"/>
  <c r="H249" i="3"/>
  <c r="O249" i="3" s="1"/>
  <c r="D249" i="3"/>
  <c r="M249" i="3" s="1"/>
  <c r="Y248" i="3"/>
  <c r="X248" i="3"/>
  <c r="U248" i="3"/>
  <c r="Q248" i="3"/>
  <c r="P248" i="3"/>
  <c r="N248" i="3"/>
  <c r="L248" i="3"/>
  <c r="H248" i="3"/>
  <c r="O248" i="3" s="1"/>
  <c r="D248" i="3"/>
  <c r="M248" i="3" s="1"/>
  <c r="Y247" i="3"/>
  <c r="X247" i="3"/>
  <c r="U247" i="3"/>
  <c r="Q247" i="3"/>
  <c r="P247" i="3"/>
  <c r="N247" i="3"/>
  <c r="L247" i="3"/>
  <c r="H247" i="3"/>
  <c r="O247" i="3" s="1"/>
  <c r="D247" i="3"/>
  <c r="M247" i="3" s="1"/>
  <c r="Y246" i="3"/>
  <c r="X246" i="3"/>
  <c r="U246" i="3"/>
  <c r="Q246" i="3"/>
  <c r="P246" i="3"/>
  <c r="N246" i="3"/>
  <c r="L246" i="3"/>
  <c r="H246" i="3"/>
  <c r="O246" i="3" s="1"/>
  <c r="D246" i="3"/>
  <c r="M246" i="3" s="1"/>
  <c r="Y245" i="3"/>
  <c r="X245" i="3"/>
  <c r="U245" i="3"/>
  <c r="Q245" i="3"/>
  <c r="P245" i="3"/>
  <c r="N245" i="3"/>
  <c r="L245" i="3"/>
  <c r="H245" i="3"/>
  <c r="O245" i="3" s="1"/>
  <c r="D245" i="3"/>
  <c r="M245" i="3" s="1"/>
  <c r="Y244" i="3"/>
  <c r="X244" i="3"/>
  <c r="U244" i="3"/>
  <c r="Q244" i="3"/>
  <c r="P244" i="3"/>
  <c r="N244" i="3"/>
  <c r="L244" i="3"/>
  <c r="H244" i="3"/>
  <c r="O244" i="3" s="1"/>
  <c r="D244" i="3"/>
  <c r="M244" i="3" s="1"/>
  <c r="Y243" i="3"/>
  <c r="X243" i="3"/>
  <c r="U243" i="3"/>
  <c r="Q243" i="3"/>
  <c r="P243" i="3"/>
  <c r="N243" i="3"/>
  <c r="L243" i="3"/>
  <c r="H243" i="3"/>
  <c r="O243" i="3" s="1"/>
  <c r="D243" i="3"/>
  <c r="M243" i="3" s="1"/>
  <c r="Y242" i="3"/>
  <c r="X242" i="3"/>
  <c r="U242" i="3"/>
  <c r="Q242" i="3"/>
  <c r="P242" i="3"/>
  <c r="N242" i="3"/>
  <c r="L242" i="3"/>
  <c r="H242" i="3"/>
  <c r="O242" i="3" s="1"/>
  <c r="D242" i="3"/>
  <c r="M242" i="3" s="1"/>
  <c r="Y241" i="3"/>
  <c r="X241" i="3"/>
  <c r="U241" i="3"/>
  <c r="Q241" i="3"/>
  <c r="P241" i="3"/>
  <c r="N241" i="3"/>
  <c r="L241" i="3"/>
  <c r="H241" i="3"/>
  <c r="O241" i="3" s="1"/>
  <c r="D241" i="3"/>
  <c r="M241" i="3" s="1"/>
  <c r="Y240" i="3"/>
  <c r="X240" i="3"/>
  <c r="U240" i="3"/>
  <c r="Q240" i="3"/>
  <c r="P240" i="3"/>
  <c r="N240" i="3"/>
  <c r="L240" i="3"/>
  <c r="H240" i="3"/>
  <c r="O240" i="3" s="1"/>
  <c r="D240" i="3"/>
  <c r="M240" i="3" s="1"/>
  <c r="Y239" i="3"/>
  <c r="X239" i="3"/>
  <c r="U239" i="3"/>
  <c r="Q239" i="3"/>
  <c r="P239" i="3"/>
  <c r="N239" i="3"/>
  <c r="L239" i="3"/>
  <c r="H239" i="3"/>
  <c r="O239" i="3" s="1"/>
  <c r="D239" i="3"/>
  <c r="M239" i="3" s="1"/>
  <c r="Y238" i="3"/>
  <c r="X238" i="3"/>
  <c r="U238" i="3"/>
  <c r="Q238" i="3"/>
  <c r="P238" i="3"/>
  <c r="N238" i="3"/>
  <c r="L238" i="3"/>
  <c r="H238" i="3"/>
  <c r="O238" i="3" s="1"/>
  <c r="D238" i="3"/>
  <c r="M238" i="3" s="1"/>
  <c r="Y237" i="3"/>
  <c r="X237" i="3"/>
  <c r="U237" i="3"/>
  <c r="Q237" i="3"/>
  <c r="P237" i="3"/>
  <c r="N237" i="3"/>
  <c r="L237" i="3"/>
  <c r="H237" i="3"/>
  <c r="O237" i="3" s="1"/>
  <c r="D237" i="3"/>
  <c r="M237" i="3" s="1"/>
  <c r="Y236" i="3"/>
  <c r="X236" i="3"/>
  <c r="U236" i="3"/>
  <c r="Q236" i="3"/>
  <c r="P236" i="3"/>
  <c r="N236" i="3"/>
  <c r="L236" i="3"/>
  <c r="H236" i="3"/>
  <c r="O236" i="3" s="1"/>
  <c r="D236" i="3"/>
  <c r="M236" i="3" s="1"/>
  <c r="Y235" i="3"/>
  <c r="X235" i="3"/>
  <c r="U235" i="3"/>
  <c r="Q235" i="3"/>
  <c r="P235" i="3"/>
  <c r="N235" i="3"/>
  <c r="L235" i="3"/>
  <c r="H235" i="3"/>
  <c r="O235" i="3" s="1"/>
  <c r="D235" i="3"/>
  <c r="M235" i="3" s="1"/>
  <c r="Y234" i="3"/>
  <c r="X234" i="3"/>
  <c r="U234" i="3"/>
  <c r="Q234" i="3"/>
  <c r="P234" i="3"/>
  <c r="N234" i="3"/>
  <c r="L234" i="3"/>
  <c r="H234" i="3"/>
  <c r="O234" i="3" s="1"/>
  <c r="D234" i="3"/>
  <c r="M234" i="3" s="1"/>
  <c r="Y233" i="3"/>
  <c r="X233" i="3"/>
  <c r="U233" i="3"/>
  <c r="Q233" i="3"/>
  <c r="P233" i="3"/>
  <c r="N233" i="3"/>
  <c r="L233" i="3"/>
  <c r="H233" i="3"/>
  <c r="O233" i="3" s="1"/>
  <c r="D233" i="3"/>
  <c r="M233" i="3" s="1"/>
  <c r="Y232" i="3"/>
  <c r="X232" i="3"/>
  <c r="U232" i="3"/>
  <c r="Q232" i="3"/>
  <c r="P232" i="3"/>
  <c r="N232" i="3"/>
  <c r="L232" i="3"/>
  <c r="H232" i="3"/>
  <c r="O232" i="3" s="1"/>
  <c r="D232" i="3"/>
  <c r="M232" i="3" s="1"/>
  <c r="Y231" i="3"/>
  <c r="X231" i="3"/>
  <c r="U231" i="3"/>
  <c r="Q231" i="3"/>
  <c r="P231" i="3"/>
  <c r="N231" i="3"/>
  <c r="L231" i="3"/>
  <c r="H231" i="3"/>
  <c r="O231" i="3" s="1"/>
  <c r="D231" i="3"/>
  <c r="M231" i="3" s="1"/>
  <c r="Y230" i="3"/>
  <c r="X230" i="3"/>
  <c r="U230" i="3"/>
  <c r="Q230" i="3"/>
  <c r="P230" i="3"/>
  <c r="N230" i="3"/>
  <c r="L230" i="3"/>
  <c r="H230" i="3"/>
  <c r="O230" i="3" s="1"/>
  <c r="D230" i="3"/>
  <c r="M230" i="3" s="1"/>
  <c r="Y229" i="3"/>
  <c r="X229" i="3"/>
  <c r="U229" i="3"/>
  <c r="Q229" i="3"/>
  <c r="P229" i="3"/>
  <c r="N229" i="3"/>
  <c r="L229" i="3"/>
  <c r="H229" i="3"/>
  <c r="O229" i="3" s="1"/>
  <c r="D229" i="3"/>
  <c r="M229" i="3" s="1"/>
  <c r="Y228" i="3"/>
  <c r="X228" i="3"/>
  <c r="U228" i="3"/>
  <c r="Q228" i="3"/>
  <c r="P228" i="3"/>
  <c r="N228" i="3"/>
  <c r="L228" i="3"/>
  <c r="H228" i="3"/>
  <c r="O228" i="3" s="1"/>
  <c r="D228" i="3"/>
  <c r="M228" i="3" s="1"/>
  <c r="Y227" i="3"/>
  <c r="X227" i="3"/>
  <c r="U227" i="3"/>
  <c r="Q227" i="3"/>
  <c r="P227" i="3"/>
  <c r="N227" i="3"/>
  <c r="L227" i="3"/>
  <c r="H227" i="3"/>
  <c r="O227" i="3" s="1"/>
  <c r="D227" i="3"/>
  <c r="M227" i="3" s="1"/>
  <c r="Y226" i="3"/>
  <c r="X226" i="3"/>
  <c r="U226" i="3"/>
  <c r="Q226" i="3"/>
  <c r="P226" i="3"/>
  <c r="N226" i="3"/>
  <c r="L226" i="3"/>
  <c r="H226" i="3"/>
  <c r="O226" i="3" s="1"/>
  <c r="D226" i="3"/>
  <c r="M226" i="3" s="1"/>
  <c r="Y225" i="3"/>
  <c r="X225" i="3"/>
  <c r="U225" i="3"/>
  <c r="Q225" i="3"/>
  <c r="P225" i="3"/>
  <c r="N225" i="3"/>
  <c r="L225" i="3"/>
  <c r="H225" i="3"/>
  <c r="O225" i="3" s="1"/>
  <c r="D225" i="3"/>
  <c r="M225" i="3" s="1"/>
  <c r="Y224" i="3"/>
  <c r="X224" i="3"/>
  <c r="U224" i="3"/>
  <c r="Q224" i="3"/>
  <c r="P224" i="3"/>
  <c r="N224" i="3"/>
  <c r="L224" i="3"/>
  <c r="H224" i="3"/>
  <c r="O224" i="3" s="1"/>
  <c r="D224" i="3"/>
  <c r="M224" i="3" s="1"/>
  <c r="Y223" i="3"/>
  <c r="X223" i="3"/>
  <c r="U223" i="3"/>
  <c r="Q223" i="3"/>
  <c r="P223" i="3"/>
  <c r="N223" i="3"/>
  <c r="L223" i="3"/>
  <c r="H223" i="3"/>
  <c r="O223" i="3" s="1"/>
  <c r="D223" i="3"/>
  <c r="M223" i="3" s="1"/>
  <c r="Y222" i="3"/>
  <c r="X222" i="3"/>
  <c r="U222" i="3"/>
  <c r="Q222" i="3"/>
  <c r="P222" i="3"/>
  <c r="N222" i="3"/>
  <c r="L222" i="3"/>
  <c r="H222" i="3"/>
  <c r="O222" i="3" s="1"/>
  <c r="D222" i="3"/>
  <c r="M222" i="3" s="1"/>
  <c r="Y221" i="3"/>
  <c r="X221" i="3"/>
  <c r="U221" i="3"/>
  <c r="Q221" i="3"/>
  <c r="P221" i="3"/>
  <c r="N221" i="3"/>
  <c r="L221" i="3"/>
  <c r="H221" i="3"/>
  <c r="O221" i="3" s="1"/>
  <c r="D221" i="3"/>
  <c r="M221" i="3" s="1"/>
  <c r="Y220" i="3"/>
  <c r="X220" i="3"/>
  <c r="U220" i="3"/>
  <c r="Q220" i="3"/>
  <c r="P220" i="3"/>
  <c r="N220" i="3"/>
  <c r="L220" i="3"/>
  <c r="H220" i="3"/>
  <c r="O220" i="3" s="1"/>
  <c r="D220" i="3"/>
  <c r="M220" i="3" s="1"/>
  <c r="Y219" i="3"/>
  <c r="X219" i="3"/>
  <c r="U219" i="3"/>
  <c r="Q219" i="3"/>
  <c r="P219" i="3"/>
  <c r="N219" i="3"/>
  <c r="L219" i="3"/>
  <c r="H219" i="3"/>
  <c r="O219" i="3" s="1"/>
  <c r="D219" i="3"/>
  <c r="M219" i="3" s="1"/>
  <c r="Y218" i="3"/>
  <c r="X218" i="3"/>
  <c r="U218" i="3"/>
  <c r="Q218" i="3"/>
  <c r="P218" i="3"/>
  <c r="N218" i="3"/>
  <c r="L218" i="3"/>
  <c r="H218" i="3"/>
  <c r="O218" i="3" s="1"/>
  <c r="D218" i="3"/>
  <c r="M218" i="3" s="1"/>
  <c r="Y217" i="3"/>
  <c r="X217" i="3"/>
  <c r="U217" i="3"/>
  <c r="Q217" i="3"/>
  <c r="P217" i="3"/>
  <c r="N217" i="3"/>
  <c r="L217" i="3"/>
  <c r="H217" i="3"/>
  <c r="O217" i="3" s="1"/>
  <c r="D217" i="3"/>
  <c r="M217" i="3" s="1"/>
  <c r="Y216" i="3"/>
  <c r="X216" i="3"/>
  <c r="U216" i="3"/>
  <c r="Q216" i="3"/>
  <c r="P216" i="3"/>
  <c r="N216" i="3"/>
  <c r="L216" i="3"/>
  <c r="H216" i="3"/>
  <c r="O216" i="3" s="1"/>
  <c r="D216" i="3"/>
  <c r="M216" i="3" s="1"/>
  <c r="Y215" i="3"/>
  <c r="X215" i="3"/>
  <c r="U215" i="3"/>
  <c r="Q215" i="3"/>
  <c r="P215" i="3"/>
  <c r="N215" i="3"/>
  <c r="L215" i="3"/>
  <c r="H215" i="3"/>
  <c r="O215" i="3" s="1"/>
  <c r="D215" i="3"/>
  <c r="M215" i="3" s="1"/>
  <c r="Y214" i="3"/>
  <c r="X214" i="3"/>
  <c r="U214" i="3"/>
  <c r="Q214" i="3"/>
  <c r="P214" i="3"/>
  <c r="N214" i="3"/>
  <c r="L214" i="3"/>
  <c r="H214" i="3"/>
  <c r="O214" i="3" s="1"/>
  <c r="D214" i="3"/>
  <c r="M214" i="3" s="1"/>
  <c r="Y213" i="3"/>
  <c r="X213" i="3"/>
  <c r="U213" i="3"/>
  <c r="Q213" i="3"/>
  <c r="P213" i="3"/>
  <c r="N213" i="3"/>
  <c r="L213" i="3"/>
  <c r="H213" i="3"/>
  <c r="O213" i="3" s="1"/>
  <c r="D213" i="3"/>
  <c r="M213" i="3" s="1"/>
  <c r="Y212" i="3"/>
  <c r="X212" i="3"/>
  <c r="U212" i="3"/>
  <c r="Q212" i="3"/>
  <c r="P212" i="3"/>
  <c r="N212" i="3"/>
  <c r="L212" i="3"/>
  <c r="H212" i="3"/>
  <c r="O212" i="3" s="1"/>
  <c r="D212" i="3"/>
  <c r="M212" i="3" s="1"/>
  <c r="Y211" i="3"/>
  <c r="X211" i="3"/>
  <c r="U211" i="3"/>
  <c r="Q211" i="3"/>
  <c r="P211" i="3"/>
  <c r="N211" i="3"/>
  <c r="L211" i="3"/>
  <c r="H211" i="3"/>
  <c r="O211" i="3" s="1"/>
  <c r="D211" i="3"/>
  <c r="M211" i="3" s="1"/>
  <c r="Y210" i="3"/>
  <c r="X210" i="3"/>
  <c r="U210" i="3"/>
  <c r="Q210" i="3"/>
  <c r="P210" i="3"/>
  <c r="N210" i="3"/>
  <c r="L210" i="3"/>
  <c r="H210" i="3"/>
  <c r="O210" i="3" s="1"/>
  <c r="D210" i="3"/>
  <c r="M210" i="3" s="1"/>
  <c r="Y209" i="3"/>
  <c r="X209" i="3"/>
  <c r="U209" i="3"/>
  <c r="Q209" i="3"/>
  <c r="P209" i="3"/>
  <c r="N209" i="3"/>
  <c r="L209" i="3"/>
  <c r="H209" i="3"/>
  <c r="O209" i="3" s="1"/>
  <c r="D209" i="3"/>
  <c r="M209" i="3" s="1"/>
  <c r="Y208" i="3"/>
  <c r="X208" i="3"/>
  <c r="U208" i="3"/>
  <c r="Q208" i="3"/>
  <c r="P208" i="3"/>
  <c r="N208" i="3"/>
  <c r="L208" i="3"/>
  <c r="H208" i="3"/>
  <c r="O208" i="3" s="1"/>
  <c r="D208" i="3"/>
  <c r="M208" i="3" s="1"/>
  <c r="Y207" i="3"/>
  <c r="X207" i="3"/>
  <c r="U207" i="3"/>
  <c r="Q207" i="3"/>
  <c r="P207" i="3"/>
  <c r="N207" i="3"/>
  <c r="L207" i="3"/>
  <c r="H207" i="3"/>
  <c r="O207" i="3" s="1"/>
  <c r="D207" i="3"/>
  <c r="M207" i="3" s="1"/>
  <c r="Y206" i="3"/>
  <c r="X206" i="3"/>
  <c r="U206" i="3"/>
  <c r="Q206" i="3"/>
  <c r="P206" i="3"/>
  <c r="N206" i="3"/>
  <c r="L206" i="3"/>
  <c r="H206" i="3"/>
  <c r="O206" i="3" s="1"/>
  <c r="D206" i="3"/>
  <c r="M206" i="3" s="1"/>
  <c r="Y205" i="3"/>
  <c r="X205" i="3"/>
  <c r="U205" i="3"/>
  <c r="Q205" i="3"/>
  <c r="P205" i="3"/>
  <c r="N205" i="3"/>
  <c r="L205" i="3"/>
  <c r="H205" i="3"/>
  <c r="O205" i="3" s="1"/>
  <c r="D205" i="3"/>
  <c r="M205" i="3" s="1"/>
  <c r="Y204" i="3"/>
  <c r="X204" i="3"/>
  <c r="U204" i="3"/>
  <c r="Q204" i="3"/>
  <c r="P204" i="3"/>
  <c r="N204" i="3"/>
  <c r="L204" i="3"/>
  <c r="H204" i="3"/>
  <c r="O204" i="3" s="1"/>
  <c r="D204" i="3"/>
  <c r="M204" i="3" s="1"/>
  <c r="Y203" i="3"/>
  <c r="X203" i="3"/>
  <c r="U203" i="3"/>
  <c r="Q203" i="3"/>
  <c r="P203" i="3"/>
  <c r="N203" i="3"/>
  <c r="L203" i="3"/>
  <c r="H203" i="3"/>
  <c r="O203" i="3" s="1"/>
  <c r="D203" i="3"/>
  <c r="M203" i="3" s="1"/>
  <c r="Y202" i="3"/>
  <c r="X202" i="3"/>
  <c r="U202" i="3"/>
  <c r="Q202" i="3"/>
  <c r="P202" i="3"/>
  <c r="N202" i="3"/>
  <c r="L202" i="3"/>
  <c r="H202" i="3"/>
  <c r="O202" i="3" s="1"/>
  <c r="D202" i="3"/>
  <c r="M202" i="3" s="1"/>
  <c r="Y201" i="3"/>
  <c r="X201" i="3"/>
  <c r="U201" i="3"/>
  <c r="Q201" i="3"/>
  <c r="P201" i="3"/>
  <c r="N201" i="3"/>
  <c r="L201" i="3"/>
  <c r="H201" i="3"/>
  <c r="O201" i="3" s="1"/>
  <c r="D201" i="3"/>
  <c r="M201" i="3" s="1"/>
  <c r="Y200" i="3"/>
  <c r="X200" i="3"/>
  <c r="U200" i="3"/>
  <c r="Q200" i="3"/>
  <c r="P200" i="3"/>
  <c r="N200" i="3"/>
  <c r="L200" i="3"/>
  <c r="H200" i="3"/>
  <c r="O200" i="3" s="1"/>
  <c r="D200" i="3"/>
  <c r="M200" i="3" s="1"/>
  <c r="Y199" i="3"/>
  <c r="X199" i="3"/>
  <c r="U199" i="3"/>
  <c r="Q199" i="3"/>
  <c r="P199" i="3"/>
  <c r="N199" i="3"/>
  <c r="L199" i="3"/>
  <c r="H199" i="3"/>
  <c r="O199" i="3" s="1"/>
  <c r="D199" i="3"/>
  <c r="M199" i="3" s="1"/>
  <c r="Y198" i="3"/>
  <c r="X198" i="3"/>
  <c r="U198" i="3"/>
  <c r="Q198" i="3"/>
  <c r="P198" i="3"/>
  <c r="N198" i="3"/>
  <c r="L198" i="3"/>
  <c r="H198" i="3"/>
  <c r="O198" i="3" s="1"/>
  <c r="D198" i="3"/>
  <c r="M198" i="3" s="1"/>
  <c r="Y197" i="3"/>
  <c r="X197" i="3"/>
  <c r="U197" i="3"/>
  <c r="Q197" i="3"/>
  <c r="P197" i="3"/>
  <c r="N197" i="3"/>
  <c r="L197" i="3"/>
  <c r="H197" i="3"/>
  <c r="O197" i="3" s="1"/>
  <c r="D197" i="3"/>
  <c r="M197" i="3" s="1"/>
  <c r="Y196" i="3"/>
  <c r="X196" i="3"/>
  <c r="U196" i="3"/>
  <c r="Q196" i="3"/>
  <c r="P196" i="3"/>
  <c r="N196" i="3"/>
  <c r="L196" i="3"/>
  <c r="H196" i="3"/>
  <c r="O196" i="3" s="1"/>
  <c r="D196" i="3"/>
  <c r="M196" i="3" s="1"/>
  <c r="Y195" i="3"/>
  <c r="X195" i="3"/>
  <c r="U195" i="3"/>
  <c r="Q195" i="3"/>
  <c r="P195" i="3"/>
  <c r="N195" i="3"/>
  <c r="L195" i="3"/>
  <c r="H195" i="3"/>
  <c r="O195" i="3" s="1"/>
  <c r="D195" i="3"/>
  <c r="M195" i="3" s="1"/>
  <c r="Y194" i="3"/>
  <c r="X194" i="3"/>
  <c r="U194" i="3"/>
  <c r="Q194" i="3"/>
  <c r="P194" i="3"/>
  <c r="N194" i="3"/>
  <c r="L194" i="3"/>
  <c r="H194" i="3"/>
  <c r="O194" i="3" s="1"/>
  <c r="D194" i="3"/>
  <c r="M194" i="3" s="1"/>
  <c r="Y193" i="3"/>
  <c r="X193" i="3"/>
  <c r="U193" i="3"/>
  <c r="Q193" i="3"/>
  <c r="P193" i="3"/>
  <c r="N193" i="3"/>
  <c r="L193" i="3"/>
  <c r="H193" i="3"/>
  <c r="O193" i="3" s="1"/>
  <c r="D193" i="3"/>
  <c r="M193" i="3" s="1"/>
  <c r="Y192" i="3"/>
  <c r="X192" i="3"/>
  <c r="U192" i="3"/>
  <c r="Q192" i="3"/>
  <c r="P192" i="3"/>
  <c r="N192" i="3"/>
  <c r="L192" i="3"/>
  <c r="H192" i="3"/>
  <c r="O192" i="3" s="1"/>
  <c r="D192" i="3"/>
  <c r="M192" i="3" s="1"/>
  <c r="Y191" i="3"/>
  <c r="X191" i="3"/>
  <c r="U191" i="3"/>
  <c r="Q191" i="3"/>
  <c r="P191" i="3"/>
  <c r="N191" i="3"/>
  <c r="L191" i="3"/>
  <c r="H191" i="3"/>
  <c r="O191" i="3" s="1"/>
  <c r="D191" i="3"/>
  <c r="M191" i="3" s="1"/>
  <c r="Y190" i="3"/>
  <c r="X190" i="3"/>
  <c r="U190" i="3"/>
  <c r="Q190" i="3"/>
  <c r="P190" i="3"/>
  <c r="N190" i="3"/>
  <c r="L190" i="3"/>
  <c r="H190" i="3"/>
  <c r="O190" i="3" s="1"/>
  <c r="D190" i="3"/>
  <c r="M190" i="3" s="1"/>
  <c r="Y189" i="3"/>
  <c r="X189" i="3"/>
  <c r="U189" i="3"/>
  <c r="Q189" i="3"/>
  <c r="P189" i="3"/>
  <c r="N189" i="3"/>
  <c r="L189" i="3"/>
  <c r="H189" i="3"/>
  <c r="O189" i="3" s="1"/>
  <c r="D189" i="3"/>
  <c r="M189" i="3" s="1"/>
  <c r="Y188" i="3"/>
  <c r="X188" i="3"/>
  <c r="U188" i="3"/>
  <c r="Q188" i="3"/>
  <c r="P188" i="3"/>
  <c r="N188" i="3"/>
  <c r="L188" i="3"/>
  <c r="H188" i="3"/>
  <c r="O188" i="3" s="1"/>
  <c r="D188" i="3"/>
  <c r="M188" i="3" s="1"/>
  <c r="Y187" i="3"/>
  <c r="X187" i="3"/>
  <c r="U187" i="3"/>
  <c r="Q187" i="3"/>
  <c r="P187" i="3"/>
  <c r="N187" i="3"/>
  <c r="L187" i="3"/>
  <c r="H187" i="3"/>
  <c r="O187" i="3" s="1"/>
  <c r="D187" i="3"/>
  <c r="M187" i="3" s="1"/>
  <c r="Y186" i="3"/>
  <c r="X186" i="3"/>
  <c r="U186" i="3"/>
  <c r="Q186" i="3"/>
  <c r="P186" i="3"/>
  <c r="N186" i="3"/>
  <c r="L186" i="3"/>
  <c r="H186" i="3"/>
  <c r="O186" i="3" s="1"/>
  <c r="D186" i="3"/>
  <c r="M186" i="3" s="1"/>
  <c r="Y185" i="3"/>
  <c r="X185" i="3"/>
  <c r="U185" i="3"/>
  <c r="Q185" i="3"/>
  <c r="P185" i="3"/>
  <c r="N185" i="3"/>
  <c r="L185" i="3"/>
  <c r="H185" i="3"/>
  <c r="O185" i="3" s="1"/>
  <c r="D185" i="3"/>
  <c r="M185" i="3" s="1"/>
  <c r="Y184" i="3"/>
  <c r="X184" i="3"/>
  <c r="U184" i="3"/>
  <c r="Q184" i="3"/>
  <c r="P184" i="3"/>
  <c r="N184" i="3"/>
  <c r="L184" i="3"/>
  <c r="H184" i="3"/>
  <c r="O184" i="3" s="1"/>
  <c r="D184" i="3"/>
  <c r="M184" i="3" s="1"/>
  <c r="Y183" i="3"/>
  <c r="X183" i="3"/>
  <c r="U183" i="3"/>
  <c r="Q183" i="3"/>
  <c r="P183" i="3"/>
  <c r="N183" i="3"/>
  <c r="L183" i="3"/>
  <c r="H183" i="3"/>
  <c r="O183" i="3" s="1"/>
  <c r="D183" i="3"/>
  <c r="M183" i="3" s="1"/>
  <c r="Y182" i="3"/>
  <c r="X182" i="3"/>
  <c r="U182" i="3"/>
  <c r="Q182" i="3"/>
  <c r="P182" i="3"/>
  <c r="N182" i="3"/>
  <c r="L182" i="3"/>
  <c r="H182" i="3"/>
  <c r="O182" i="3" s="1"/>
  <c r="D182" i="3"/>
  <c r="M182" i="3" s="1"/>
  <c r="Y181" i="3"/>
  <c r="X181" i="3"/>
  <c r="U181" i="3"/>
  <c r="Q181" i="3"/>
  <c r="P181" i="3"/>
  <c r="N181" i="3"/>
  <c r="L181" i="3"/>
  <c r="H181" i="3"/>
  <c r="O181" i="3" s="1"/>
  <c r="D181" i="3"/>
  <c r="M181" i="3" s="1"/>
  <c r="Y180" i="3"/>
  <c r="X180" i="3"/>
  <c r="U180" i="3"/>
  <c r="Q180" i="3"/>
  <c r="P180" i="3"/>
  <c r="N180" i="3"/>
  <c r="L180" i="3"/>
  <c r="H180" i="3"/>
  <c r="O180" i="3" s="1"/>
  <c r="D180" i="3"/>
  <c r="M180" i="3" s="1"/>
  <c r="Y179" i="3"/>
  <c r="X179" i="3"/>
  <c r="U179" i="3"/>
  <c r="Q179" i="3"/>
  <c r="P179" i="3"/>
  <c r="N179" i="3"/>
  <c r="L179" i="3"/>
  <c r="H179" i="3"/>
  <c r="O179" i="3" s="1"/>
  <c r="D179" i="3"/>
  <c r="M179" i="3" s="1"/>
  <c r="Y178" i="3"/>
  <c r="X178" i="3"/>
  <c r="U178" i="3"/>
  <c r="Q178" i="3"/>
  <c r="P178" i="3"/>
  <c r="N178" i="3"/>
  <c r="L178" i="3"/>
  <c r="H178" i="3"/>
  <c r="O178" i="3" s="1"/>
  <c r="D178" i="3"/>
  <c r="M178" i="3" s="1"/>
  <c r="Y177" i="3"/>
  <c r="X177" i="3"/>
  <c r="U177" i="3"/>
  <c r="Q177" i="3"/>
  <c r="P177" i="3"/>
  <c r="N177" i="3"/>
  <c r="L177" i="3"/>
  <c r="H177" i="3"/>
  <c r="O177" i="3" s="1"/>
  <c r="D177" i="3"/>
  <c r="M177" i="3" s="1"/>
  <c r="Y176" i="3"/>
  <c r="X176" i="3"/>
  <c r="U176" i="3"/>
  <c r="Q176" i="3"/>
  <c r="P176" i="3"/>
  <c r="N176" i="3"/>
  <c r="L176" i="3"/>
  <c r="H176" i="3"/>
  <c r="O176" i="3" s="1"/>
  <c r="D176" i="3"/>
  <c r="M176" i="3" s="1"/>
  <c r="Y175" i="3"/>
  <c r="X175" i="3"/>
  <c r="U175" i="3"/>
  <c r="Q175" i="3"/>
  <c r="P175" i="3"/>
  <c r="N175" i="3"/>
  <c r="L175" i="3"/>
  <c r="H175" i="3"/>
  <c r="O175" i="3" s="1"/>
  <c r="D175" i="3"/>
  <c r="M175" i="3" s="1"/>
  <c r="Y174" i="3"/>
  <c r="X174" i="3"/>
  <c r="U174" i="3"/>
  <c r="Q174" i="3"/>
  <c r="P174" i="3"/>
  <c r="N174" i="3"/>
  <c r="L174" i="3"/>
  <c r="H174" i="3"/>
  <c r="O174" i="3" s="1"/>
  <c r="D174" i="3"/>
  <c r="M174" i="3" s="1"/>
  <c r="Y173" i="3"/>
  <c r="X173" i="3"/>
  <c r="U173" i="3"/>
  <c r="Q173" i="3"/>
  <c r="P173" i="3"/>
  <c r="N173" i="3"/>
  <c r="L173" i="3"/>
  <c r="H173" i="3"/>
  <c r="O173" i="3" s="1"/>
  <c r="D173" i="3"/>
  <c r="M173" i="3" s="1"/>
  <c r="Y172" i="3"/>
  <c r="X172" i="3"/>
  <c r="U172" i="3"/>
  <c r="Q172" i="3"/>
  <c r="P172" i="3"/>
  <c r="N172" i="3"/>
  <c r="L172" i="3"/>
  <c r="H172" i="3"/>
  <c r="O172" i="3" s="1"/>
  <c r="D172" i="3"/>
  <c r="M172" i="3" s="1"/>
  <c r="Y171" i="3"/>
  <c r="X171" i="3"/>
  <c r="U171" i="3"/>
  <c r="Q171" i="3"/>
  <c r="P171" i="3"/>
  <c r="N171" i="3"/>
  <c r="L171" i="3"/>
  <c r="H171" i="3"/>
  <c r="O171" i="3" s="1"/>
  <c r="D171" i="3"/>
  <c r="M171" i="3" s="1"/>
  <c r="Y170" i="3"/>
  <c r="X170" i="3"/>
  <c r="U170" i="3"/>
  <c r="Q170" i="3"/>
  <c r="P170" i="3"/>
  <c r="N170" i="3"/>
  <c r="L170" i="3"/>
  <c r="H170" i="3"/>
  <c r="O170" i="3" s="1"/>
  <c r="D170" i="3"/>
  <c r="M170" i="3" s="1"/>
  <c r="Y169" i="3"/>
  <c r="X169" i="3"/>
  <c r="U169" i="3"/>
  <c r="Q169" i="3"/>
  <c r="P169" i="3"/>
  <c r="N169" i="3"/>
  <c r="L169" i="3"/>
  <c r="H169" i="3"/>
  <c r="O169" i="3" s="1"/>
  <c r="D169" i="3"/>
  <c r="M169" i="3" s="1"/>
  <c r="Y168" i="3"/>
  <c r="X168" i="3"/>
  <c r="U168" i="3"/>
  <c r="Q168" i="3"/>
  <c r="P168" i="3"/>
  <c r="N168" i="3"/>
  <c r="L168" i="3"/>
  <c r="H168" i="3"/>
  <c r="O168" i="3" s="1"/>
  <c r="D168" i="3"/>
  <c r="M168" i="3" s="1"/>
  <c r="Y167" i="3"/>
  <c r="X167" i="3"/>
  <c r="U167" i="3"/>
  <c r="Q167" i="3"/>
  <c r="P167" i="3"/>
  <c r="N167" i="3"/>
  <c r="L167" i="3"/>
  <c r="H167" i="3"/>
  <c r="O167" i="3" s="1"/>
  <c r="D167" i="3"/>
  <c r="M167" i="3" s="1"/>
  <c r="Y166" i="3"/>
  <c r="X166" i="3"/>
  <c r="U166" i="3"/>
  <c r="Q166" i="3"/>
  <c r="P166" i="3"/>
  <c r="N166" i="3"/>
  <c r="L166" i="3"/>
  <c r="H166" i="3"/>
  <c r="O166" i="3" s="1"/>
  <c r="D166" i="3"/>
  <c r="M166" i="3" s="1"/>
  <c r="Y165" i="3"/>
  <c r="X165" i="3"/>
  <c r="U165" i="3"/>
  <c r="Q165" i="3"/>
  <c r="P165" i="3"/>
  <c r="N165" i="3"/>
  <c r="L165" i="3"/>
  <c r="H165" i="3"/>
  <c r="O165" i="3" s="1"/>
  <c r="D165" i="3"/>
  <c r="M165" i="3" s="1"/>
  <c r="Y164" i="3"/>
  <c r="X164" i="3"/>
  <c r="U164" i="3"/>
  <c r="Q164" i="3"/>
  <c r="P164" i="3"/>
  <c r="N164" i="3"/>
  <c r="L164" i="3"/>
  <c r="H164" i="3"/>
  <c r="O164" i="3" s="1"/>
  <c r="D164" i="3"/>
  <c r="M164" i="3" s="1"/>
  <c r="Y163" i="3"/>
  <c r="X163" i="3"/>
  <c r="U163" i="3"/>
  <c r="Q163" i="3"/>
  <c r="P163" i="3"/>
  <c r="N163" i="3"/>
  <c r="L163" i="3"/>
  <c r="H163" i="3"/>
  <c r="O163" i="3" s="1"/>
  <c r="D163" i="3"/>
  <c r="M163" i="3" s="1"/>
  <c r="Y162" i="3"/>
  <c r="X162" i="3"/>
  <c r="U162" i="3"/>
  <c r="Q162" i="3"/>
  <c r="P162" i="3"/>
  <c r="N162" i="3"/>
  <c r="L162" i="3"/>
  <c r="H162" i="3"/>
  <c r="O162" i="3" s="1"/>
  <c r="D162" i="3"/>
  <c r="M162" i="3" s="1"/>
  <c r="Y161" i="3"/>
  <c r="X161" i="3"/>
  <c r="U161" i="3"/>
  <c r="Q161" i="3"/>
  <c r="P161" i="3"/>
  <c r="N161" i="3"/>
  <c r="L161" i="3"/>
  <c r="H161" i="3"/>
  <c r="O161" i="3" s="1"/>
  <c r="D161" i="3"/>
  <c r="M161" i="3" s="1"/>
  <c r="Y160" i="3"/>
  <c r="X160" i="3"/>
  <c r="U160" i="3"/>
  <c r="Q160" i="3"/>
  <c r="P160" i="3"/>
  <c r="N160" i="3"/>
  <c r="L160" i="3"/>
  <c r="H160" i="3"/>
  <c r="O160" i="3" s="1"/>
  <c r="D160" i="3"/>
  <c r="M160" i="3" s="1"/>
  <c r="Y159" i="3"/>
  <c r="X159" i="3"/>
  <c r="U159" i="3"/>
  <c r="Q159" i="3"/>
  <c r="P159" i="3"/>
  <c r="N159" i="3"/>
  <c r="L159" i="3"/>
  <c r="H159" i="3"/>
  <c r="O159" i="3" s="1"/>
  <c r="D159" i="3"/>
  <c r="M159" i="3" s="1"/>
  <c r="Y158" i="3"/>
  <c r="X158" i="3"/>
  <c r="U158" i="3"/>
  <c r="Q158" i="3"/>
  <c r="P158" i="3"/>
  <c r="N158" i="3"/>
  <c r="L158" i="3"/>
  <c r="H158" i="3"/>
  <c r="O158" i="3" s="1"/>
  <c r="D158" i="3"/>
  <c r="M158" i="3" s="1"/>
  <c r="Y157" i="3"/>
  <c r="X157" i="3"/>
  <c r="U157" i="3"/>
  <c r="Q157" i="3"/>
  <c r="P157" i="3"/>
  <c r="N157" i="3"/>
  <c r="L157" i="3"/>
  <c r="H157" i="3"/>
  <c r="O157" i="3" s="1"/>
  <c r="D157" i="3"/>
  <c r="M157" i="3" s="1"/>
  <c r="Y156" i="3"/>
  <c r="X156" i="3"/>
  <c r="U156" i="3"/>
  <c r="Q156" i="3"/>
  <c r="P156" i="3"/>
  <c r="N156" i="3"/>
  <c r="L156" i="3"/>
  <c r="H156" i="3"/>
  <c r="O156" i="3" s="1"/>
  <c r="D156" i="3"/>
  <c r="M156" i="3" s="1"/>
  <c r="Y155" i="3"/>
  <c r="X155" i="3"/>
  <c r="U155" i="3"/>
  <c r="Q155" i="3"/>
  <c r="P155" i="3"/>
  <c r="N155" i="3"/>
  <c r="L155" i="3"/>
  <c r="H155" i="3"/>
  <c r="O155" i="3" s="1"/>
  <c r="D155" i="3"/>
  <c r="M155" i="3" s="1"/>
  <c r="Y154" i="3"/>
  <c r="X154" i="3"/>
  <c r="U154" i="3"/>
  <c r="Q154" i="3"/>
  <c r="P154" i="3"/>
  <c r="N154" i="3"/>
  <c r="L154" i="3"/>
  <c r="H154" i="3"/>
  <c r="O154" i="3" s="1"/>
  <c r="D154" i="3"/>
  <c r="M154" i="3" s="1"/>
  <c r="Y153" i="3"/>
  <c r="X153" i="3"/>
  <c r="U153" i="3"/>
  <c r="Q153" i="3"/>
  <c r="P153" i="3"/>
  <c r="N153" i="3"/>
  <c r="L153" i="3"/>
  <c r="H153" i="3"/>
  <c r="O153" i="3" s="1"/>
  <c r="D153" i="3"/>
  <c r="M153" i="3" s="1"/>
  <c r="Y152" i="3"/>
  <c r="X152" i="3"/>
  <c r="U152" i="3"/>
  <c r="Q152" i="3"/>
  <c r="P152" i="3"/>
  <c r="N152" i="3"/>
  <c r="L152" i="3"/>
  <c r="H152" i="3"/>
  <c r="O152" i="3" s="1"/>
  <c r="D152" i="3"/>
  <c r="M152" i="3" s="1"/>
  <c r="Y151" i="3"/>
  <c r="X151" i="3"/>
  <c r="U151" i="3"/>
  <c r="Q151" i="3"/>
  <c r="P151" i="3"/>
  <c r="N151" i="3"/>
  <c r="L151" i="3"/>
  <c r="H151" i="3"/>
  <c r="O151" i="3" s="1"/>
  <c r="D151" i="3"/>
  <c r="M151" i="3" s="1"/>
  <c r="Y150" i="3"/>
  <c r="X150" i="3"/>
  <c r="U150" i="3"/>
  <c r="Q150" i="3"/>
  <c r="P150" i="3"/>
  <c r="N150" i="3"/>
  <c r="L150" i="3"/>
  <c r="H150" i="3"/>
  <c r="O150" i="3" s="1"/>
  <c r="D150" i="3"/>
  <c r="M150" i="3" s="1"/>
  <c r="Y149" i="3"/>
  <c r="X149" i="3"/>
  <c r="U149" i="3"/>
  <c r="Q149" i="3"/>
  <c r="P149" i="3"/>
  <c r="N149" i="3"/>
  <c r="L149" i="3"/>
  <c r="H149" i="3"/>
  <c r="O149" i="3" s="1"/>
  <c r="D149" i="3"/>
  <c r="M149" i="3" s="1"/>
  <c r="Y148" i="3"/>
  <c r="X148" i="3"/>
  <c r="U148" i="3"/>
  <c r="Q148" i="3"/>
  <c r="P148" i="3"/>
  <c r="N148" i="3"/>
  <c r="L148" i="3"/>
  <c r="H148" i="3"/>
  <c r="O148" i="3" s="1"/>
  <c r="D148" i="3"/>
  <c r="M148" i="3" s="1"/>
  <c r="Y147" i="3"/>
  <c r="X147" i="3"/>
  <c r="U147" i="3"/>
  <c r="Q147" i="3"/>
  <c r="P147" i="3"/>
  <c r="N147" i="3"/>
  <c r="L147" i="3"/>
  <c r="H147" i="3"/>
  <c r="O147" i="3" s="1"/>
  <c r="D147" i="3"/>
  <c r="M147" i="3" s="1"/>
  <c r="Y146" i="3"/>
  <c r="X146" i="3"/>
  <c r="U146" i="3"/>
  <c r="Q146" i="3"/>
  <c r="P146" i="3"/>
  <c r="N146" i="3"/>
  <c r="L146" i="3"/>
  <c r="H146" i="3"/>
  <c r="O146" i="3" s="1"/>
  <c r="D146" i="3"/>
  <c r="M146" i="3" s="1"/>
  <c r="Y145" i="3"/>
  <c r="X145" i="3"/>
  <c r="U145" i="3"/>
  <c r="Q145" i="3"/>
  <c r="P145" i="3"/>
  <c r="N145" i="3"/>
  <c r="L145" i="3"/>
  <c r="H145" i="3"/>
  <c r="O145" i="3" s="1"/>
  <c r="D145" i="3"/>
  <c r="M145" i="3" s="1"/>
  <c r="Y144" i="3"/>
  <c r="X144" i="3"/>
  <c r="U144" i="3"/>
  <c r="Q144" i="3"/>
  <c r="P144" i="3"/>
  <c r="N144" i="3"/>
  <c r="L144" i="3"/>
  <c r="H144" i="3"/>
  <c r="O144" i="3" s="1"/>
  <c r="D144" i="3"/>
  <c r="M144" i="3" s="1"/>
  <c r="Y143" i="3"/>
  <c r="X143" i="3"/>
  <c r="U143" i="3"/>
  <c r="Q143" i="3"/>
  <c r="P143" i="3"/>
  <c r="N143" i="3"/>
  <c r="L143" i="3"/>
  <c r="H143" i="3"/>
  <c r="O143" i="3" s="1"/>
  <c r="D143" i="3"/>
  <c r="M143" i="3" s="1"/>
  <c r="Y142" i="3"/>
  <c r="X142" i="3"/>
  <c r="U142" i="3"/>
  <c r="Q142" i="3"/>
  <c r="P142" i="3"/>
  <c r="N142" i="3"/>
  <c r="L142" i="3"/>
  <c r="H142" i="3"/>
  <c r="O142" i="3" s="1"/>
  <c r="D142" i="3"/>
  <c r="M142" i="3" s="1"/>
  <c r="Y141" i="3"/>
  <c r="X141" i="3"/>
  <c r="U141" i="3"/>
  <c r="Q141" i="3"/>
  <c r="P141" i="3"/>
  <c r="N141" i="3"/>
  <c r="L141" i="3"/>
  <c r="H141" i="3"/>
  <c r="O141" i="3" s="1"/>
  <c r="D141" i="3"/>
  <c r="M141" i="3" s="1"/>
  <c r="Y140" i="3"/>
  <c r="X140" i="3"/>
  <c r="U140" i="3"/>
  <c r="Q140" i="3"/>
  <c r="P140" i="3"/>
  <c r="N140" i="3"/>
  <c r="L140" i="3"/>
  <c r="H140" i="3"/>
  <c r="O140" i="3" s="1"/>
  <c r="D140" i="3"/>
  <c r="M140" i="3" s="1"/>
  <c r="Y139" i="3"/>
  <c r="X139" i="3"/>
  <c r="U139" i="3"/>
  <c r="Q139" i="3"/>
  <c r="P139" i="3"/>
  <c r="N139" i="3"/>
  <c r="L139" i="3"/>
  <c r="H139" i="3"/>
  <c r="O139" i="3" s="1"/>
  <c r="D139" i="3"/>
  <c r="M139" i="3" s="1"/>
  <c r="Y138" i="3"/>
  <c r="X138" i="3"/>
  <c r="U138" i="3"/>
  <c r="Q138" i="3"/>
  <c r="P138" i="3"/>
  <c r="N138" i="3"/>
  <c r="L138" i="3"/>
  <c r="H138" i="3"/>
  <c r="O138" i="3" s="1"/>
  <c r="D138" i="3"/>
  <c r="M138" i="3" s="1"/>
  <c r="Y137" i="3"/>
  <c r="X137" i="3"/>
  <c r="U137" i="3"/>
  <c r="Q137" i="3"/>
  <c r="P137" i="3"/>
  <c r="N137" i="3"/>
  <c r="L137" i="3"/>
  <c r="H137" i="3"/>
  <c r="O137" i="3" s="1"/>
  <c r="D137" i="3"/>
  <c r="M137" i="3" s="1"/>
  <c r="Y136" i="3"/>
  <c r="X136" i="3"/>
  <c r="U136" i="3"/>
  <c r="Q136" i="3"/>
  <c r="P136" i="3"/>
  <c r="N136" i="3"/>
  <c r="L136" i="3"/>
  <c r="H136" i="3"/>
  <c r="O136" i="3" s="1"/>
  <c r="D136" i="3"/>
  <c r="M136" i="3" s="1"/>
  <c r="Y135" i="3"/>
  <c r="X135" i="3"/>
  <c r="U135" i="3"/>
  <c r="Q135" i="3"/>
  <c r="P135" i="3"/>
  <c r="N135" i="3"/>
  <c r="L135" i="3"/>
  <c r="H135" i="3"/>
  <c r="O135" i="3" s="1"/>
  <c r="D135" i="3"/>
  <c r="M135" i="3" s="1"/>
  <c r="Y134" i="3"/>
  <c r="X134" i="3"/>
  <c r="U134" i="3"/>
  <c r="Q134" i="3"/>
  <c r="P134" i="3"/>
  <c r="N134" i="3"/>
  <c r="L134" i="3"/>
  <c r="H134" i="3"/>
  <c r="O134" i="3" s="1"/>
  <c r="D134" i="3"/>
  <c r="M134" i="3" s="1"/>
  <c r="Y133" i="3"/>
  <c r="X133" i="3"/>
  <c r="U133" i="3"/>
  <c r="Q133" i="3"/>
  <c r="P133" i="3"/>
  <c r="N133" i="3"/>
  <c r="L133" i="3"/>
  <c r="H133" i="3"/>
  <c r="O133" i="3" s="1"/>
  <c r="D133" i="3"/>
  <c r="M133" i="3" s="1"/>
  <c r="Y132" i="3"/>
  <c r="X132" i="3"/>
  <c r="U132" i="3"/>
  <c r="Q132" i="3"/>
  <c r="P132" i="3"/>
  <c r="N132" i="3"/>
  <c r="L132" i="3"/>
  <c r="H132" i="3"/>
  <c r="O132" i="3" s="1"/>
  <c r="D132" i="3"/>
  <c r="M132" i="3" s="1"/>
  <c r="Y131" i="3"/>
  <c r="X131" i="3"/>
  <c r="U131" i="3"/>
  <c r="Q131" i="3"/>
  <c r="P131" i="3"/>
  <c r="N131" i="3"/>
  <c r="L131" i="3"/>
  <c r="H131" i="3"/>
  <c r="O131" i="3" s="1"/>
  <c r="D131" i="3"/>
  <c r="M131" i="3" s="1"/>
  <c r="Y130" i="3"/>
  <c r="X130" i="3"/>
  <c r="U130" i="3"/>
  <c r="Q130" i="3"/>
  <c r="P130" i="3"/>
  <c r="N130" i="3"/>
  <c r="L130" i="3"/>
  <c r="H130" i="3"/>
  <c r="O130" i="3" s="1"/>
  <c r="D130" i="3"/>
  <c r="M130" i="3" s="1"/>
  <c r="Y129" i="3"/>
  <c r="X129" i="3"/>
  <c r="U129" i="3"/>
  <c r="Q129" i="3"/>
  <c r="P129" i="3"/>
  <c r="N129" i="3"/>
  <c r="L129" i="3"/>
  <c r="H129" i="3"/>
  <c r="O129" i="3" s="1"/>
  <c r="D129" i="3"/>
  <c r="M129" i="3" s="1"/>
  <c r="Y128" i="3"/>
  <c r="X128" i="3"/>
  <c r="U128" i="3"/>
  <c r="Q128" i="3"/>
  <c r="P128" i="3"/>
  <c r="N128" i="3"/>
  <c r="L128" i="3"/>
  <c r="H128" i="3"/>
  <c r="O128" i="3" s="1"/>
  <c r="D128" i="3"/>
  <c r="M128" i="3" s="1"/>
  <c r="Y127" i="3"/>
  <c r="X127" i="3"/>
  <c r="U127" i="3"/>
  <c r="Q127" i="3"/>
  <c r="P127" i="3"/>
  <c r="N127" i="3"/>
  <c r="L127" i="3"/>
  <c r="H127" i="3"/>
  <c r="O127" i="3" s="1"/>
  <c r="D127" i="3"/>
  <c r="M127" i="3" s="1"/>
  <c r="Y126" i="3"/>
  <c r="X126" i="3"/>
  <c r="U126" i="3"/>
  <c r="Q126" i="3"/>
  <c r="P126" i="3"/>
  <c r="N126" i="3"/>
  <c r="L126" i="3"/>
  <c r="H126" i="3"/>
  <c r="O126" i="3" s="1"/>
  <c r="D126" i="3"/>
  <c r="M126" i="3" s="1"/>
  <c r="Y125" i="3"/>
  <c r="X125" i="3"/>
  <c r="U125" i="3"/>
  <c r="Q125" i="3"/>
  <c r="P125" i="3"/>
  <c r="N125" i="3"/>
  <c r="L125" i="3"/>
  <c r="H125" i="3"/>
  <c r="O125" i="3" s="1"/>
  <c r="D125" i="3"/>
  <c r="M125" i="3" s="1"/>
  <c r="Y124" i="3"/>
  <c r="X124" i="3"/>
  <c r="U124" i="3"/>
  <c r="Q124" i="3"/>
  <c r="P124" i="3"/>
  <c r="N124" i="3"/>
  <c r="L124" i="3"/>
  <c r="H124" i="3"/>
  <c r="O124" i="3" s="1"/>
  <c r="D124" i="3"/>
  <c r="M124" i="3" s="1"/>
  <c r="Y123" i="3"/>
  <c r="X123" i="3"/>
  <c r="U123" i="3"/>
  <c r="Q123" i="3"/>
  <c r="P123" i="3"/>
  <c r="N123" i="3"/>
  <c r="L123" i="3"/>
  <c r="H123" i="3"/>
  <c r="O123" i="3" s="1"/>
  <c r="D123" i="3"/>
  <c r="M123" i="3" s="1"/>
  <c r="Y122" i="3"/>
  <c r="X122" i="3"/>
  <c r="U122" i="3"/>
  <c r="Q122" i="3"/>
  <c r="P122" i="3"/>
  <c r="N122" i="3"/>
  <c r="L122" i="3"/>
  <c r="H122" i="3"/>
  <c r="O122" i="3" s="1"/>
  <c r="D122" i="3"/>
  <c r="M122" i="3" s="1"/>
  <c r="Y121" i="3"/>
  <c r="X121" i="3"/>
  <c r="U121" i="3"/>
  <c r="Q121" i="3"/>
  <c r="P121" i="3"/>
  <c r="N121" i="3"/>
  <c r="L121" i="3"/>
  <c r="H121" i="3"/>
  <c r="O121" i="3" s="1"/>
  <c r="D121" i="3"/>
  <c r="M121" i="3" s="1"/>
  <c r="Y120" i="3"/>
  <c r="X120" i="3"/>
  <c r="U120" i="3"/>
  <c r="Q120" i="3"/>
  <c r="P120" i="3"/>
  <c r="N120" i="3"/>
  <c r="L120" i="3"/>
  <c r="H120" i="3"/>
  <c r="O120" i="3" s="1"/>
  <c r="D120" i="3"/>
  <c r="M120" i="3" s="1"/>
  <c r="Y119" i="3"/>
  <c r="X119" i="3"/>
  <c r="U119" i="3"/>
  <c r="Q119" i="3"/>
  <c r="P119" i="3"/>
  <c r="N119" i="3"/>
  <c r="L119" i="3"/>
  <c r="H119" i="3"/>
  <c r="O119" i="3" s="1"/>
  <c r="D119" i="3"/>
  <c r="M119" i="3" s="1"/>
  <c r="Y118" i="3"/>
  <c r="X118" i="3"/>
  <c r="U118" i="3"/>
  <c r="Q118" i="3"/>
  <c r="P118" i="3"/>
  <c r="N118" i="3"/>
  <c r="L118" i="3"/>
  <c r="H118" i="3"/>
  <c r="O118" i="3" s="1"/>
  <c r="D118" i="3"/>
  <c r="M118" i="3" s="1"/>
  <c r="Y117" i="3"/>
  <c r="X117" i="3"/>
  <c r="U117" i="3"/>
  <c r="Q117" i="3"/>
  <c r="P117" i="3"/>
  <c r="N117" i="3"/>
  <c r="L117" i="3"/>
  <c r="H117" i="3"/>
  <c r="O117" i="3" s="1"/>
  <c r="D117" i="3"/>
  <c r="M117" i="3" s="1"/>
  <c r="Y116" i="3"/>
  <c r="X116" i="3"/>
  <c r="U116" i="3"/>
  <c r="Q116" i="3"/>
  <c r="P116" i="3"/>
  <c r="N116" i="3"/>
  <c r="L116" i="3"/>
  <c r="H116" i="3"/>
  <c r="O116" i="3" s="1"/>
  <c r="D116" i="3"/>
  <c r="M116" i="3" s="1"/>
  <c r="Y115" i="3"/>
  <c r="X115" i="3"/>
  <c r="U115" i="3"/>
  <c r="Q115" i="3"/>
  <c r="P115" i="3"/>
  <c r="N115" i="3"/>
  <c r="L115" i="3"/>
  <c r="H115" i="3"/>
  <c r="O115" i="3" s="1"/>
  <c r="D115" i="3"/>
  <c r="M115" i="3" s="1"/>
  <c r="Y114" i="3"/>
  <c r="X114" i="3"/>
  <c r="U114" i="3"/>
  <c r="Q114" i="3"/>
  <c r="P114" i="3"/>
  <c r="N114" i="3"/>
  <c r="L114" i="3"/>
  <c r="H114" i="3"/>
  <c r="O114" i="3" s="1"/>
  <c r="D114" i="3"/>
  <c r="M114" i="3" s="1"/>
  <c r="Y113" i="3"/>
  <c r="X113" i="3"/>
  <c r="U113" i="3"/>
  <c r="Q113" i="3"/>
  <c r="P113" i="3"/>
  <c r="N113" i="3"/>
  <c r="L113" i="3"/>
  <c r="H113" i="3"/>
  <c r="O113" i="3" s="1"/>
  <c r="D113" i="3"/>
  <c r="M113" i="3" s="1"/>
  <c r="Y112" i="3"/>
  <c r="X112" i="3"/>
  <c r="U112" i="3"/>
  <c r="Q112" i="3"/>
  <c r="P112" i="3"/>
  <c r="N112" i="3"/>
  <c r="L112" i="3"/>
  <c r="H112" i="3"/>
  <c r="O112" i="3" s="1"/>
  <c r="D112" i="3"/>
  <c r="M112" i="3" s="1"/>
  <c r="Y111" i="3"/>
  <c r="X111" i="3"/>
  <c r="U111" i="3"/>
  <c r="Q111" i="3"/>
  <c r="P111" i="3"/>
  <c r="N111" i="3"/>
  <c r="L111" i="3"/>
  <c r="H111" i="3"/>
  <c r="O111" i="3" s="1"/>
  <c r="D111" i="3"/>
  <c r="M111" i="3" s="1"/>
  <c r="Y110" i="3"/>
  <c r="X110" i="3"/>
  <c r="U110" i="3"/>
  <c r="Q110" i="3"/>
  <c r="P110" i="3"/>
  <c r="N110" i="3"/>
  <c r="L110" i="3"/>
  <c r="H110" i="3"/>
  <c r="O110" i="3" s="1"/>
  <c r="D110" i="3"/>
  <c r="M110" i="3" s="1"/>
  <c r="Y109" i="3"/>
  <c r="X109" i="3"/>
  <c r="U109" i="3"/>
  <c r="Q109" i="3"/>
  <c r="P109" i="3"/>
  <c r="N109" i="3"/>
  <c r="L109" i="3"/>
  <c r="H109" i="3"/>
  <c r="O109" i="3" s="1"/>
  <c r="D109" i="3"/>
  <c r="M109" i="3" s="1"/>
  <c r="Y108" i="3"/>
  <c r="X108" i="3"/>
  <c r="U108" i="3"/>
  <c r="Q108" i="3"/>
  <c r="P108" i="3"/>
  <c r="N108" i="3"/>
  <c r="L108" i="3"/>
  <c r="H108" i="3"/>
  <c r="O108" i="3" s="1"/>
  <c r="D108" i="3"/>
  <c r="M108" i="3" s="1"/>
  <c r="Y107" i="3"/>
  <c r="X107" i="3"/>
  <c r="U107" i="3"/>
  <c r="Q107" i="3"/>
  <c r="P107" i="3"/>
  <c r="N107" i="3"/>
  <c r="L107" i="3"/>
  <c r="H107" i="3"/>
  <c r="O107" i="3" s="1"/>
  <c r="D107" i="3"/>
  <c r="M107" i="3" s="1"/>
  <c r="Y106" i="3"/>
  <c r="X106" i="3"/>
  <c r="U106" i="3"/>
  <c r="Q106" i="3"/>
  <c r="P106" i="3"/>
  <c r="N106" i="3"/>
  <c r="L106" i="3"/>
  <c r="H106" i="3"/>
  <c r="O106" i="3" s="1"/>
  <c r="D106" i="3"/>
  <c r="M106" i="3" s="1"/>
  <c r="Y105" i="3"/>
  <c r="X105" i="3"/>
  <c r="U105" i="3"/>
  <c r="Q105" i="3"/>
  <c r="P105" i="3"/>
  <c r="N105" i="3"/>
  <c r="L105" i="3"/>
  <c r="H105" i="3"/>
  <c r="O105" i="3" s="1"/>
  <c r="D105" i="3"/>
  <c r="M105" i="3" s="1"/>
  <c r="Y104" i="3"/>
  <c r="X104" i="3"/>
  <c r="U104" i="3"/>
  <c r="Q104" i="3"/>
  <c r="P104" i="3"/>
  <c r="N104" i="3"/>
  <c r="L104" i="3"/>
  <c r="H104" i="3"/>
  <c r="O104" i="3" s="1"/>
  <c r="D104" i="3"/>
  <c r="M104" i="3" s="1"/>
  <c r="Y103" i="3"/>
  <c r="X103" i="3"/>
  <c r="U103" i="3"/>
  <c r="Q103" i="3"/>
  <c r="P103" i="3"/>
  <c r="N103" i="3"/>
  <c r="L103" i="3"/>
  <c r="H103" i="3"/>
  <c r="O103" i="3" s="1"/>
  <c r="D103" i="3"/>
  <c r="M103" i="3" s="1"/>
  <c r="Y102" i="3"/>
  <c r="X102" i="3"/>
  <c r="U102" i="3"/>
  <c r="Q102" i="3"/>
  <c r="P102" i="3"/>
  <c r="N102" i="3"/>
  <c r="L102" i="3"/>
  <c r="H102" i="3"/>
  <c r="O102" i="3" s="1"/>
  <c r="D102" i="3"/>
  <c r="M102" i="3" s="1"/>
  <c r="Y101" i="3"/>
  <c r="X101" i="3"/>
  <c r="U101" i="3"/>
  <c r="Q101" i="3"/>
  <c r="P101" i="3"/>
  <c r="N101" i="3"/>
  <c r="L101" i="3"/>
  <c r="H101" i="3"/>
  <c r="O101" i="3" s="1"/>
  <c r="D101" i="3"/>
  <c r="M101" i="3" s="1"/>
  <c r="Y100" i="3"/>
  <c r="X100" i="3"/>
  <c r="U100" i="3"/>
  <c r="Q100" i="3"/>
  <c r="P100" i="3"/>
  <c r="N100" i="3"/>
  <c r="L100" i="3"/>
  <c r="H100" i="3"/>
  <c r="O100" i="3" s="1"/>
  <c r="D100" i="3"/>
  <c r="M100" i="3" s="1"/>
  <c r="Y99" i="3"/>
  <c r="X99" i="3"/>
  <c r="U99" i="3"/>
  <c r="Q99" i="3"/>
  <c r="P99" i="3"/>
  <c r="N99" i="3"/>
  <c r="L99" i="3"/>
  <c r="H99" i="3"/>
  <c r="O99" i="3" s="1"/>
  <c r="D99" i="3"/>
  <c r="M99" i="3" s="1"/>
  <c r="Y98" i="3"/>
  <c r="X98" i="3"/>
  <c r="U98" i="3"/>
  <c r="Q98" i="3"/>
  <c r="P98" i="3"/>
  <c r="N98" i="3"/>
  <c r="L98" i="3"/>
  <c r="H98" i="3"/>
  <c r="O98" i="3" s="1"/>
  <c r="D98" i="3"/>
  <c r="M98" i="3" s="1"/>
  <c r="Y97" i="3"/>
  <c r="X97" i="3"/>
  <c r="U97" i="3"/>
  <c r="Q97" i="3"/>
  <c r="P97" i="3"/>
  <c r="N97" i="3"/>
  <c r="L97" i="3"/>
  <c r="H97" i="3"/>
  <c r="O97" i="3" s="1"/>
  <c r="D97" i="3"/>
  <c r="M97" i="3" s="1"/>
  <c r="Y96" i="3"/>
  <c r="X96" i="3"/>
  <c r="U96" i="3"/>
  <c r="Q96" i="3"/>
  <c r="P96" i="3"/>
  <c r="N96" i="3"/>
  <c r="L96" i="3"/>
  <c r="H96" i="3"/>
  <c r="O96" i="3" s="1"/>
  <c r="D96" i="3"/>
  <c r="M96" i="3" s="1"/>
  <c r="Y95" i="3"/>
  <c r="X95" i="3"/>
  <c r="U95" i="3"/>
  <c r="Q95" i="3"/>
  <c r="P95" i="3"/>
  <c r="N95" i="3"/>
  <c r="L95" i="3"/>
  <c r="H95" i="3"/>
  <c r="O95" i="3" s="1"/>
  <c r="D95" i="3"/>
  <c r="M95" i="3" s="1"/>
  <c r="Y94" i="3"/>
  <c r="X94" i="3"/>
  <c r="U94" i="3"/>
  <c r="Q94" i="3"/>
  <c r="P94" i="3"/>
  <c r="N94" i="3"/>
  <c r="L94" i="3"/>
  <c r="H94" i="3"/>
  <c r="O94" i="3" s="1"/>
  <c r="D94" i="3"/>
  <c r="M94" i="3" s="1"/>
  <c r="Y93" i="3"/>
  <c r="X93" i="3"/>
  <c r="U93" i="3"/>
  <c r="Q93" i="3"/>
  <c r="P93" i="3"/>
  <c r="N93" i="3"/>
  <c r="L93" i="3"/>
  <c r="H93" i="3"/>
  <c r="O93" i="3" s="1"/>
  <c r="D93" i="3"/>
  <c r="M93" i="3" s="1"/>
  <c r="Y92" i="3"/>
  <c r="X92" i="3"/>
  <c r="U92" i="3"/>
  <c r="Q92" i="3"/>
  <c r="P92" i="3"/>
  <c r="N92" i="3"/>
  <c r="L92" i="3"/>
  <c r="H92" i="3"/>
  <c r="O92" i="3" s="1"/>
  <c r="D92" i="3"/>
  <c r="M92" i="3" s="1"/>
  <c r="Y91" i="3"/>
  <c r="X91" i="3"/>
  <c r="U91" i="3"/>
  <c r="Q91" i="3"/>
  <c r="P91" i="3"/>
  <c r="N91" i="3"/>
  <c r="L91" i="3"/>
  <c r="H91" i="3"/>
  <c r="O91" i="3" s="1"/>
  <c r="D91" i="3"/>
  <c r="M91" i="3" s="1"/>
  <c r="Y90" i="3"/>
  <c r="X90" i="3"/>
  <c r="U90" i="3"/>
  <c r="Q90" i="3"/>
  <c r="P90" i="3"/>
  <c r="N90" i="3"/>
  <c r="L90" i="3"/>
  <c r="H90" i="3"/>
  <c r="O90" i="3" s="1"/>
  <c r="D90" i="3"/>
  <c r="M90" i="3" s="1"/>
  <c r="Y89" i="3"/>
  <c r="X89" i="3"/>
  <c r="U89" i="3"/>
  <c r="Q89" i="3"/>
  <c r="P89" i="3"/>
  <c r="N89" i="3"/>
  <c r="L89" i="3"/>
  <c r="H89" i="3"/>
  <c r="O89" i="3" s="1"/>
  <c r="D89" i="3"/>
  <c r="M89" i="3" s="1"/>
  <c r="Y88" i="3"/>
  <c r="X88" i="3"/>
  <c r="U88" i="3"/>
  <c r="Q88" i="3"/>
  <c r="P88" i="3"/>
  <c r="N88" i="3"/>
  <c r="L88" i="3"/>
  <c r="H88" i="3"/>
  <c r="O88" i="3" s="1"/>
  <c r="D88" i="3"/>
  <c r="M88" i="3" s="1"/>
  <c r="Y87" i="3"/>
  <c r="X87" i="3"/>
  <c r="U87" i="3"/>
  <c r="Q87" i="3"/>
  <c r="P87" i="3"/>
  <c r="N87" i="3"/>
  <c r="L87" i="3"/>
  <c r="H87" i="3"/>
  <c r="O87" i="3" s="1"/>
  <c r="D87" i="3"/>
  <c r="M87" i="3" s="1"/>
  <c r="Y86" i="3"/>
  <c r="X86" i="3"/>
  <c r="U86" i="3"/>
  <c r="Q86" i="3"/>
  <c r="P86" i="3"/>
  <c r="N86" i="3"/>
  <c r="L86" i="3"/>
  <c r="H86" i="3"/>
  <c r="O86" i="3" s="1"/>
  <c r="D86" i="3"/>
  <c r="M86" i="3" s="1"/>
  <c r="Y85" i="3"/>
  <c r="X85" i="3"/>
  <c r="U85" i="3"/>
  <c r="Q85" i="3"/>
  <c r="P85" i="3"/>
  <c r="N85" i="3"/>
  <c r="L85" i="3"/>
  <c r="H85" i="3"/>
  <c r="O85" i="3" s="1"/>
  <c r="D85" i="3"/>
  <c r="M85" i="3" s="1"/>
  <c r="Y84" i="3"/>
  <c r="X84" i="3"/>
  <c r="U84" i="3"/>
  <c r="Q84" i="3"/>
  <c r="P84" i="3"/>
  <c r="N84" i="3"/>
  <c r="L84" i="3"/>
  <c r="H84" i="3"/>
  <c r="O84" i="3" s="1"/>
  <c r="D84" i="3"/>
  <c r="M84" i="3" s="1"/>
  <c r="Y83" i="3"/>
  <c r="X83" i="3"/>
  <c r="U83" i="3"/>
  <c r="Q83" i="3"/>
  <c r="P83" i="3"/>
  <c r="N83" i="3"/>
  <c r="L83" i="3"/>
  <c r="H83" i="3"/>
  <c r="O83" i="3" s="1"/>
  <c r="D83" i="3"/>
  <c r="M83" i="3" s="1"/>
  <c r="Y82" i="3"/>
  <c r="X82" i="3"/>
  <c r="U82" i="3"/>
  <c r="Q82" i="3"/>
  <c r="P82" i="3"/>
  <c r="N82" i="3"/>
  <c r="L82" i="3"/>
  <c r="H82" i="3"/>
  <c r="O82" i="3" s="1"/>
  <c r="D82" i="3"/>
  <c r="M82" i="3" s="1"/>
  <c r="Y81" i="3"/>
  <c r="X81" i="3"/>
  <c r="U81" i="3"/>
  <c r="Q81" i="3"/>
  <c r="P81" i="3"/>
  <c r="N81" i="3"/>
  <c r="L81" i="3"/>
  <c r="H81" i="3"/>
  <c r="O81" i="3" s="1"/>
  <c r="D81" i="3"/>
  <c r="M81" i="3" s="1"/>
  <c r="Y80" i="3"/>
  <c r="X80" i="3"/>
  <c r="U80" i="3"/>
  <c r="Q80" i="3"/>
  <c r="P80" i="3"/>
  <c r="N80" i="3"/>
  <c r="L80" i="3"/>
  <c r="H80" i="3"/>
  <c r="O80" i="3" s="1"/>
  <c r="D80" i="3"/>
  <c r="M80" i="3" s="1"/>
  <c r="Y79" i="3"/>
  <c r="X79" i="3"/>
  <c r="U79" i="3"/>
  <c r="Q79" i="3"/>
  <c r="P79" i="3"/>
  <c r="N79" i="3"/>
  <c r="L79" i="3"/>
  <c r="H79" i="3"/>
  <c r="O79" i="3" s="1"/>
  <c r="D79" i="3"/>
  <c r="M79" i="3" s="1"/>
  <c r="Y78" i="3"/>
  <c r="X78" i="3"/>
  <c r="U78" i="3"/>
  <c r="Q78" i="3"/>
  <c r="P78" i="3"/>
  <c r="N78" i="3"/>
  <c r="L78" i="3"/>
  <c r="H78" i="3"/>
  <c r="O78" i="3" s="1"/>
  <c r="D78" i="3"/>
  <c r="M78" i="3" s="1"/>
  <c r="Y77" i="3"/>
  <c r="X77" i="3"/>
  <c r="U77" i="3"/>
  <c r="Q77" i="3"/>
  <c r="P77" i="3"/>
  <c r="N77" i="3"/>
  <c r="L77" i="3"/>
  <c r="H77" i="3"/>
  <c r="O77" i="3" s="1"/>
  <c r="D77" i="3"/>
  <c r="M77" i="3" s="1"/>
  <c r="Y76" i="3"/>
  <c r="X76" i="3"/>
  <c r="U76" i="3"/>
  <c r="Q76" i="3"/>
  <c r="P76" i="3"/>
  <c r="N76" i="3"/>
  <c r="L76" i="3"/>
  <c r="H76" i="3"/>
  <c r="O76" i="3" s="1"/>
  <c r="D76" i="3"/>
  <c r="M76" i="3" s="1"/>
  <c r="Y75" i="3"/>
  <c r="X75" i="3"/>
  <c r="U75" i="3"/>
  <c r="Q75" i="3"/>
  <c r="P75" i="3"/>
  <c r="N75" i="3"/>
  <c r="L75" i="3"/>
  <c r="H75" i="3"/>
  <c r="O75" i="3" s="1"/>
  <c r="D75" i="3"/>
  <c r="M75" i="3" s="1"/>
  <c r="Y74" i="3"/>
  <c r="X74" i="3"/>
  <c r="U74" i="3"/>
  <c r="Q74" i="3"/>
  <c r="P74" i="3"/>
  <c r="N74" i="3"/>
  <c r="L74" i="3"/>
  <c r="H74" i="3"/>
  <c r="O74" i="3" s="1"/>
  <c r="D74" i="3"/>
  <c r="M74" i="3" s="1"/>
  <c r="Y73" i="3"/>
  <c r="X73" i="3"/>
  <c r="U73" i="3"/>
  <c r="Q73" i="3"/>
  <c r="P73" i="3"/>
  <c r="N73" i="3"/>
  <c r="L73" i="3"/>
  <c r="H73" i="3"/>
  <c r="O73" i="3" s="1"/>
  <c r="D73" i="3"/>
  <c r="M73" i="3" s="1"/>
  <c r="Y72" i="3"/>
  <c r="X72" i="3"/>
  <c r="U72" i="3"/>
  <c r="Q72" i="3"/>
  <c r="P72" i="3"/>
  <c r="N72" i="3"/>
  <c r="L72" i="3"/>
  <c r="H72" i="3"/>
  <c r="O72" i="3" s="1"/>
  <c r="D72" i="3"/>
  <c r="M72" i="3" s="1"/>
  <c r="Y71" i="3"/>
  <c r="X71" i="3"/>
  <c r="U71" i="3"/>
  <c r="Q71" i="3"/>
  <c r="P71" i="3"/>
  <c r="N71" i="3"/>
  <c r="L71" i="3"/>
  <c r="H71" i="3"/>
  <c r="O71" i="3" s="1"/>
  <c r="D71" i="3"/>
  <c r="M71" i="3" s="1"/>
  <c r="Y70" i="3"/>
  <c r="X70" i="3"/>
  <c r="U70" i="3"/>
  <c r="Q70" i="3"/>
  <c r="P70" i="3"/>
  <c r="N70" i="3"/>
  <c r="L70" i="3"/>
  <c r="H70" i="3"/>
  <c r="O70" i="3" s="1"/>
  <c r="D70" i="3"/>
  <c r="M70" i="3" s="1"/>
  <c r="Y69" i="3"/>
  <c r="X69" i="3"/>
  <c r="U69" i="3"/>
  <c r="Q69" i="3"/>
  <c r="P69" i="3"/>
  <c r="N69" i="3"/>
  <c r="L69" i="3"/>
  <c r="H69" i="3"/>
  <c r="O69" i="3" s="1"/>
  <c r="D69" i="3"/>
  <c r="M69" i="3" s="1"/>
  <c r="Y68" i="3"/>
  <c r="X68" i="3"/>
  <c r="U68" i="3"/>
  <c r="Q68" i="3"/>
  <c r="P68" i="3"/>
  <c r="N68" i="3"/>
  <c r="L68" i="3"/>
  <c r="H68" i="3"/>
  <c r="O68" i="3" s="1"/>
  <c r="D68" i="3"/>
  <c r="M68" i="3" s="1"/>
  <c r="Y67" i="3"/>
  <c r="X67" i="3"/>
  <c r="U67" i="3"/>
  <c r="Q67" i="3"/>
  <c r="P67" i="3"/>
  <c r="N67" i="3"/>
  <c r="L67" i="3"/>
  <c r="H67" i="3"/>
  <c r="O67" i="3" s="1"/>
  <c r="D67" i="3"/>
  <c r="M67" i="3" s="1"/>
  <c r="Y66" i="3"/>
  <c r="X66" i="3"/>
  <c r="U66" i="3"/>
  <c r="Q66" i="3"/>
  <c r="P66" i="3"/>
  <c r="N66" i="3"/>
  <c r="L66" i="3"/>
  <c r="H66" i="3"/>
  <c r="O66" i="3" s="1"/>
  <c r="D66" i="3"/>
  <c r="M66" i="3" s="1"/>
  <c r="Y65" i="3"/>
  <c r="X65" i="3"/>
  <c r="U65" i="3"/>
  <c r="Q65" i="3"/>
  <c r="P65" i="3"/>
  <c r="N65" i="3"/>
  <c r="L65" i="3"/>
  <c r="H65" i="3"/>
  <c r="O65" i="3" s="1"/>
  <c r="D65" i="3"/>
  <c r="M65" i="3" s="1"/>
  <c r="Y64" i="3"/>
  <c r="X64" i="3"/>
  <c r="U64" i="3"/>
  <c r="Q64" i="3"/>
  <c r="P64" i="3"/>
  <c r="N64" i="3"/>
  <c r="L64" i="3"/>
  <c r="H64" i="3"/>
  <c r="O64" i="3" s="1"/>
  <c r="D64" i="3"/>
  <c r="M64" i="3" s="1"/>
  <c r="Y63" i="3"/>
  <c r="X63" i="3"/>
  <c r="U63" i="3"/>
  <c r="Q63" i="3"/>
  <c r="P63" i="3"/>
  <c r="N63" i="3"/>
  <c r="L63" i="3"/>
  <c r="H63" i="3"/>
  <c r="O63" i="3" s="1"/>
  <c r="D63" i="3"/>
  <c r="M63" i="3" s="1"/>
  <c r="Y62" i="3"/>
  <c r="X62" i="3"/>
  <c r="U62" i="3"/>
  <c r="Q62" i="3"/>
  <c r="P62" i="3"/>
  <c r="N62" i="3"/>
  <c r="L62" i="3"/>
  <c r="H62" i="3"/>
  <c r="O62" i="3" s="1"/>
  <c r="D62" i="3"/>
  <c r="M62" i="3" s="1"/>
  <c r="Y61" i="3"/>
  <c r="X61" i="3"/>
  <c r="U61" i="3"/>
  <c r="Q61" i="3"/>
  <c r="P61" i="3"/>
  <c r="N61" i="3"/>
  <c r="L61" i="3"/>
  <c r="H61" i="3"/>
  <c r="O61" i="3" s="1"/>
  <c r="D61" i="3"/>
  <c r="M61" i="3" s="1"/>
  <c r="Y60" i="3"/>
  <c r="X60" i="3"/>
  <c r="U60" i="3"/>
  <c r="Q60" i="3"/>
  <c r="P60" i="3"/>
  <c r="N60" i="3"/>
  <c r="L60" i="3"/>
  <c r="H60" i="3"/>
  <c r="O60" i="3" s="1"/>
  <c r="D60" i="3"/>
  <c r="M60" i="3" s="1"/>
  <c r="Y59" i="3"/>
  <c r="X59" i="3"/>
  <c r="U59" i="3"/>
  <c r="Q59" i="3"/>
  <c r="P59" i="3"/>
  <c r="N59" i="3"/>
  <c r="L59" i="3"/>
  <c r="H59" i="3"/>
  <c r="O59" i="3" s="1"/>
  <c r="D59" i="3"/>
  <c r="M59" i="3" s="1"/>
  <c r="Y58" i="3"/>
  <c r="X58" i="3"/>
  <c r="U58" i="3"/>
  <c r="Q58" i="3"/>
  <c r="P58" i="3"/>
  <c r="N58" i="3"/>
  <c r="L58" i="3"/>
  <c r="H58" i="3"/>
  <c r="O58" i="3" s="1"/>
  <c r="D58" i="3"/>
  <c r="M58" i="3" s="1"/>
  <c r="Y57" i="3"/>
  <c r="X57" i="3"/>
  <c r="U57" i="3"/>
  <c r="Q57" i="3"/>
  <c r="P57" i="3"/>
  <c r="N57" i="3"/>
  <c r="L57" i="3"/>
  <c r="H57" i="3"/>
  <c r="O57" i="3" s="1"/>
  <c r="D57" i="3"/>
  <c r="M57" i="3" s="1"/>
  <c r="Y56" i="3"/>
  <c r="X56" i="3"/>
  <c r="U56" i="3"/>
  <c r="Q56" i="3"/>
  <c r="P56" i="3"/>
  <c r="N56" i="3"/>
  <c r="L56" i="3"/>
  <c r="H56" i="3"/>
  <c r="O56" i="3" s="1"/>
  <c r="D56" i="3"/>
  <c r="M56" i="3" s="1"/>
  <c r="Y55" i="3"/>
  <c r="X55" i="3"/>
  <c r="U55" i="3"/>
  <c r="Q55" i="3"/>
  <c r="P55" i="3"/>
  <c r="N55" i="3"/>
  <c r="L55" i="3"/>
  <c r="H55" i="3"/>
  <c r="O55" i="3" s="1"/>
  <c r="D55" i="3"/>
  <c r="M55" i="3" s="1"/>
  <c r="Y54" i="3"/>
  <c r="X54" i="3"/>
  <c r="U54" i="3"/>
  <c r="Q54" i="3"/>
  <c r="P54" i="3"/>
  <c r="N54" i="3"/>
  <c r="L54" i="3"/>
  <c r="H54" i="3"/>
  <c r="O54" i="3" s="1"/>
  <c r="D54" i="3"/>
  <c r="M54" i="3" s="1"/>
  <c r="Y53" i="3"/>
  <c r="X53" i="3"/>
  <c r="U53" i="3"/>
  <c r="Q53" i="3"/>
  <c r="P53" i="3"/>
  <c r="N53" i="3"/>
  <c r="L53" i="3"/>
  <c r="H53" i="3"/>
  <c r="O53" i="3" s="1"/>
  <c r="D53" i="3"/>
  <c r="M53" i="3" s="1"/>
  <c r="Y52" i="3"/>
  <c r="X52" i="3"/>
  <c r="U52" i="3"/>
  <c r="Q52" i="3"/>
  <c r="P52" i="3"/>
  <c r="N52" i="3"/>
  <c r="L52" i="3"/>
  <c r="H52" i="3"/>
  <c r="O52" i="3" s="1"/>
  <c r="D52" i="3"/>
  <c r="M52" i="3" s="1"/>
  <c r="Y51" i="3"/>
  <c r="X51" i="3"/>
  <c r="U51" i="3"/>
  <c r="Q51" i="3"/>
  <c r="P51" i="3"/>
  <c r="N51" i="3"/>
  <c r="L51" i="3"/>
  <c r="H51" i="3"/>
  <c r="O51" i="3" s="1"/>
  <c r="D51" i="3"/>
  <c r="M51" i="3" s="1"/>
  <c r="Y50" i="3"/>
  <c r="X50" i="3"/>
  <c r="U50" i="3"/>
  <c r="Q50" i="3"/>
  <c r="P50" i="3"/>
  <c r="N50" i="3"/>
  <c r="L50" i="3"/>
  <c r="H50" i="3"/>
  <c r="O50" i="3" s="1"/>
  <c r="D50" i="3"/>
  <c r="M50" i="3" s="1"/>
  <c r="Y49" i="3"/>
  <c r="X49" i="3"/>
  <c r="U49" i="3"/>
  <c r="Q49" i="3"/>
  <c r="P49" i="3"/>
  <c r="N49" i="3"/>
  <c r="L49" i="3"/>
  <c r="H49" i="3"/>
  <c r="O49" i="3" s="1"/>
  <c r="D49" i="3"/>
  <c r="M49" i="3" s="1"/>
  <c r="Y48" i="3"/>
  <c r="X48" i="3"/>
  <c r="U48" i="3"/>
  <c r="Q48" i="3"/>
  <c r="P48" i="3"/>
  <c r="N48" i="3"/>
  <c r="L48" i="3"/>
  <c r="H48" i="3"/>
  <c r="O48" i="3" s="1"/>
  <c r="D48" i="3"/>
  <c r="M48" i="3" s="1"/>
  <c r="Y47" i="3"/>
  <c r="X47" i="3"/>
  <c r="U47" i="3"/>
  <c r="Q47" i="3"/>
  <c r="P47" i="3"/>
  <c r="N47" i="3"/>
  <c r="L47" i="3"/>
  <c r="H47" i="3"/>
  <c r="O47" i="3" s="1"/>
  <c r="D47" i="3"/>
  <c r="M47" i="3" s="1"/>
  <c r="Y46" i="3"/>
  <c r="X46" i="3"/>
  <c r="U46" i="3"/>
  <c r="Q46" i="3"/>
  <c r="P46" i="3"/>
  <c r="N46" i="3"/>
  <c r="L46" i="3"/>
  <c r="H46" i="3"/>
  <c r="O46" i="3" s="1"/>
  <c r="D46" i="3"/>
  <c r="M46" i="3" s="1"/>
  <c r="Y45" i="3"/>
  <c r="X45" i="3"/>
  <c r="U45" i="3"/>
  <c r="Q45" i="3"/>
  <c r="P45" i="3"/>
  <c r="N45" i="3"/>
  <c r="L45" i="3"/>
  <c r="H45" i="3"/>
  <c r="O45" i="3" s="1"/>
  <c r="D45" i="3"/>
  <c r="M45" i="3" s="1"/>
  <c r="Y44" i="3"/>
  <c r="X44" i="3"/>
  <c r="U44" i="3"/>
  <c r="Q44" i="3"/>
  <c r="P44" i="3"/>
  <c r="N44" i="3"/>
  <c r="L44" i="3"/>
  <c r="H44" i="3"/>
  <c r="O44" i="3" s="1"/>
  <c r="D44" i="3"/>
  <c r="M44" i="3" s="1"/>
  <c r="Y43" i="3"/>
  <c r="X43" i="3"/>
  <c r="U43" i="3"/>
  <c r="Q43" i="3"/>
  <c r="P43" i="3"/>
  <c r="N43" i="3"/>
  <c r="L43" i="3"/>
  <c r="H43" i="3"/>
  <c r="O43" i="3" s="1"/>
  <c r="D43" i="3"/>
  <c r="M43" i="3" s="1"/>
  <c r="Y42" i="3"/>
  <c r="X42" i="3"/>
  <c r="U42" i="3"/>
  <c r="Q42" i="3"/>
  <c r="P42" i="3"/>
  <c r="N42" i="3"/>
  <c r="L42" i="3"/>
  <c r="H42" i="3"/>
  <c r="O42" i="3" s="1"/>
  <c r="D42" i="3"/>
  <c r="M42" i="3" s="1"/>
  <c r="Y41" i="3"/>
  <c r="X41" i="3"/>
  <c r="U41" i="3"/>
  <c r="Q41" i="3"/>
  <c r="P41" i="3"/>
  <c r="N41" i="3"/>
  <c r="L41" i="3"/>
  <c r="H41" i="3"/>
  <c r="O41" i="3" s="1"/>
  <c r="D41" i="3"/>
  <c r="M41" i="3" s="1"/>
  <c r="Y40" i="3"/>
  <c r="X40" i="3"/>
  <c r="U40" i="3"/>
  <c r="Q40" i="3"/>
  <c r="P40" i="3"/>
  <c r="N40" i="3"/>
  <c r="L40" i="3"/>
  <c r="H40" i="3"/>
  <c r="O40" i="3" s="1"/>
  <c r="D40" i="3"/>
  <c r="M40" i="3" s="1"/>
  <c r="Y39" i="3"/>
  <c r="X39" i="3"/>
  <c r="U39" i="3"/>
  <c r="Q39" i="3"/>
  <c r="P39" i="3"/>
  <c r="N39" i="3"/>
  <c r="L39" i="3"/>
  <c r="H39" i="3"/>
  <c r="O39" i="3" s="1"/>
  <c r="D39" i="3"/>
  <c r="M39" i="3" s="1"/>
  <c r="Y38" i="3"/>
  <c r="X38" i="3"/>
  <c r="U38" i="3"/>
  <c r="Q38" i="3"/>
  <c r="P38" i="3"/>
  <c r="N38" i="3"/>
  <c r="L38" i="3"/>
  <c r="H38" i="3"/>
  <c r="O38" i="3" s="1"/>
  <c r="D38" i="3"/>
  <c r="M38" i="3" s="1"/>
  <c r="Y37" i="3"/>
  <c r="X37" i="3"/>
  <c r="U37" i="3"/>
  <c r="Q37" i="3"/>
  <c r="P37" i="3"/>
  <c r="N37" i="3"/>
  <c r="L37" i="3"/>
  <c r="H37" i="3"/>
  <c r="O37" i="3" s="1"/>
  <c r="D37" i="3"/>
  <c r="M37" i="3" s="1"/>
  <c r="Y36" i="3"/>
  <c r="X36" i="3"/>
  <c r="U36" i="3"/>
  <c r="Q36" i="3"/>
  <c r="P36" i="3"/>
  <c r="N36" i="3"/>
  <c r="L36" i="3"/>
  <c r="H36" i="3"/>
  <c r="O36" i="3" s="1"/>
  <c r="D36" i="3"/>
  <c r="M36" i="3" s="1"/>
  <c r="Y35" i="3"/>
  <c r="X35" i="3"/>
  <c r="U35" i="3"/>
  <c r="Q35" i="3"/>
  <c r="P35" i="3"/>
  <c r="N35" i="3"/>
  <c r="L35" i="3"/>
  <c r="H35" i="3"/>
  <c r="O35" i="3" s="1"/>
  <c r="D35" i="3"/>
  <c r="M35" i="3" s="1"/>
  <c r="Y34" i="3"/>
  <c r="X34" i="3"/>
  <c r="U34" i="3"/>
  <c r="Q34" i="3"/>
  <c r="P34" i="3"/>
  <c r="N34" i="3"/>
  <c r="L34" i="3"/>
  <c r="H34" i="3"/>
  <c r="O34" i="3" s="1"/>
  <c r="D34" i="3"/>
  <c r="M34" i="3" s="1"/>
  <c r="Y33" i="3"/>
  <c r="X33" i="3"/>
  <c r="U33" i="3"/>
  <c r="Q33" i="3"/>
  <c r="P33" i="3"/>
  <c r="N33" i="3"/>
  <c r="L33" i="3"/>
  <c r="H33" i="3"/>
  <c r="O33" i="3" s="1"/>
  <c r="D33" i="3"/>
  <c r="M33" i="3" s="1"/>
  <c r="Y32" i="3"/>
  <c r="X32" i="3"/>
  <c r="U32" i="3"/>
  <c r="Q32" i="3"/>
  <c r="P32" i="3"/>
  <c r="N32" i="3"/>
  <c r="L32" i="3"/>
  <c r="H32" i="3"/>
  <c r="O32" i="3" s="1"/>
  <c r="D32" i="3"/>
  <c r="M32" i="3" s="1"/>
  <c r="Y31" i="3"/>
  <c r="X31" i="3"/>
  <c r="U31" i="3"/>
  <c r="Q31" i="3"/>
  <c r="P31" i="3"/>
  <c r="N31" i="3"/>
  <c r="L31" i="3"/>
  <c r="H31" i="3"/>
  <c r="O31" i="3" s="1"/>
  <c r="D31" i="3"/>
  <c r="M31" i="3" s="1"/>
  <c r="Y30" i="3"/>
  <c r="X30" i="3"/>
  <c r="U30" i="3"/>
  <c r="Q30" i="3"/>
  <c r="P30" i="3"/>
  <c r="N30" i="3"/>
  <c r="L30" i="3"/>
  <c r="H30" i="3"/>
  <c r="O30" i="3" s="1"/>
  <c r="D30" i="3"/>
  <c r="M30" i="3" s="1"/>
  <c r="Y29" i="3"/>
  <c r="X29" i="3"/>
  <c r="U29" i="3"/>
  <c r="Q29" i="3"/>
  <c r="P29" i="3"/>
  <c r="N29" i="3"/>
  <c r="L29" i="3"/>
  <c r="H29" i="3"/>
  <c r="O29" i="3" s="1"/>
  <c r="D29" i="3"/>
  <c r="M29" i="3" s="1"/>
  <c r="Y28" i="3"/>
  <c r="X28" i="3"/>
  <c r="U28" i="3"/>
  <c r="Q28" i="3"/>
  <c r="P28" i="3"/>
  <c r="N28" i="3"/>
  <c r="L28" i="3"/>
  <c r="H28" i="3"/>
  <c r="O28" i="3" s="1"/>
  <c r="D28" i="3"/>
  <c r="M28" i="3" s="1"/>
  <c r="Y27" i="3"/>
  <c r="X27" i="3"/>
  <c r="U27" i="3"/>
  <c r="Q27" i="3"/>
  <c r="P27" i="3"/>
  <c r="N27" i="3"/>
  <c r="L27" i="3"/>
  <c r="H27" i="3"/>
  <c r="O27" i="3" s="1"/>
  <c r="D27" i="3"/>
  <c r="M27" i="3" s="1"/>
  <c r="Y26" i="3"/>
  <c r="X26" i="3"/>
  <c r="U26" i="3"/>
  <c r="Q26" i="3"/>
  <c r="P26" i="3"/>
  <c r="N26" i="3"/>
  <c r="L26" i="3"/>
  <c r="H26" i="3"/>
  <c r="O26" i="3" s="1"/>
  <c r="D26" i="3"/>
  <c r="M26" i="3" s="1"/>
  <c r="Y25" i="3"/>
  <c r="X25" i="3"/>
  <c r="U25" i="3"/>
  <c r="Q25" i="3"/>
  <c r="P25" i="3"/>
  <c r="N25" i="3"/>
  <c r="L25" i="3"/>
  <c r="H25" i="3"/>
  <c r="O25" i="3" s="1"/>
  <c r="D25" i="3"/>
  <c r="M25" i="3" s="1"/>
  <c r="Y24" i="3"/>
  <c r="X24" i="3"/>
  <c r="U24" i="3"/>
  <c r="Q24" i="3"/>
  <c r="P24" i="3"/>
  <c r="N24" i="3"/>
  <c r="L24" i="3"/>
  <c r="H24" i="3"/>
  <c r="O24" i="3" s="1"/>
  <c r="D24" i="3"/>
  <c r="M24" i="3" s="1"/>
  <c r="Y23" i="3"/>
  <c r="X23" i="3"/>
  <c r="U23" i="3"/>
  <c r="Q23" i="3"/>
  <c r="P23" i="3"/>
  <c r="N23" i="3"/>
  <c r="L23" i="3"/>
  <c r="H23" i="3"/>
  <c r="O23" i="3" s="1"/>
  <c r="D23" i="3"/>
  <c r="M23" i="3" s="1"/>
  <c r="Y22" i="3"/>
  <c r="X22" i="3"/>
  <c r="U22" i="3"/>
  <c r="Q22" i="3"/>
  <c r="P22" i="3"/>
  <c r="N22" i="3"/>
  <c r="L22" i="3"/>
  <c r="H22" i="3"/>
  <c r="O22" i="3" s="1"/>
  <c r="D22" i="3"/>
  <c r="M22" i="3" s="1"/>
  <c r="Y21" i="3"/>
  <c r="X21" i="3"/>
  <c r="U21" i="3"/>
  <c r="Q21" i="3"/>
  <c r="P21" i="3"/>
  <c r="N21" i="3"/>
  <c r="L21" i="3"/>
  <c r="H21" i="3"/>
  <c r="O21" i="3" s="1"/>
  <c r="D21" i="3"/>
  <c r="M21" i="3" s="1"/>
  <c r="Y20" i="3"/>
  <c r="X20" i="3"/>
  <c r="U20" i="3"/>
  <c r="Q20" i="3"/>
  <c r="P20" i="3"/>
  <c r="N20" i="3"/>
  <c r="L20" i="3"/>
  <c r="H20" i="3"/>
  <c r="O20" i="3" s="1"/>
  <c r="D20" i="3"/>
  <c r="M20" i="3" s="1"/>
  <c r="Y19" i="3"/>
  <c r="X19" i="3"/>
  <c r="U19" i="3"/>
  <c r="Q19" i="3"/>
  <c r="P19" i="3"/>
  <c r="N19" i="3"/>
  <c r="L19" i="3"/>
  <c r="H19" i="3"/>
  <c r="O19" i="3" s="1"/>
  <c r="D19" i="3"/>
  <c r="M19" i="3" s="1"/>
  <c r="Y18" i="3"/>
  <c r="X18" i="3"/>
  <c r="U18" i="3"/>
  <c r="Q18" i="3"/>
  <c r="P18" i="3"/>
  <c r="N18" i="3"/>
  <c r="L18" i="3"/>
  <c r="H18" i="3"/>
  <c r="O18" i="3" s="1"/>
  <c r="D18" i="3"/>
  <c r="M18" i="3" s="1"/>
  <c r="Y17" i="3"/>
  <c r="X17" i="3"/>
  <c r="U17" i="3"/>
  <c r="Q17" i="3"/>
  <c r="P17" i="3"/>
  <c r="N17" i="3"/>
  <c r="L17" i="3"/>
  <c r="H17" i="3"/>
  <c r="O17" i="3" s="1"/>
  <c r="D17" i="3"/>
  <c r="M17" i="3" s="1"/>
  <c r="Y16" i="3"/>
  <c r="X16" i="3"/>
  <c r="U16" i="3"/>
  <c r="Q16" i="3"/>
  <c r="P16" i="3"/>
  <c r="N16" i="3"/>
  <c r="L16" i="3"/>
  <c r="H16" i="3"/>
  <c r="O16" i="3" s="1"/>
  <c r="D16" i="3"/>
  <c r="M16" i="3" s="1"/>
  <c r="Y15" i="3"/>
  <c r="X15" i="3"/>
  <c r="U15" i="3"/>
  <c r="Q15" i="3"/>
  <c r="P15" i="3"/>
  <c r="N15" i="3"/>
  <c r="L15" i="3"/>
  <c r="H15" i="3"/>
  <c r="O15" i="3" s="1"/>
  <c r="D15" i="3"/>
  <c r="M15" i="3" s="1"/>
  <c r="Y14" i="3"/>
  <c r="X14" i="3"/>
  <c r="U14" i="3"/>
  <c r="Q14" i="3"/>
  <c r="P14" i="3"/>
  <c r="N14" i="3"/>
  <c r="L14" i="3"/>
  <c r="H14" i="3"/>
  <c r="O14" i="3" s="1"/>
  <c r="D14" i="3"/>
  <c r="M14" i="3" s="1"/>
  <c r="Y13" i="3"/>
  <c r="X13" i="3"/>
  <c r="U13" i="3"/>
  <c r="Q13" i="3"/>
  <c r="P13" i="3"/>
  <c r="N13" i="3"/>
  <c r="L13" i="3"/>
  <c r="H13" i="3"/>
  <c r="O13" i="3" s="1"/>
  <c r="D13" i="3"/>
  <c r="M13" i="3" s="1"/>
  <c r="Y12" i="3"/>
  <c r="X12" i="3"/>
  <c r="U12" i="3"/>
  <c r="Q12" i="3"/>
  <c r="P12" i="3"/>
  <c r="N12" i="3"/>
  <c r="L12" i="3"/>
  <c r="H12" i="3"/>
  <c r="O12" i="3" s="1"/>
  <c r="D12" i="3"/>
  <c r="M12" i="3" s="1"/>
  <c r="Y11" i="3"/>
  <c r="X11" i="3"/>
  <c r="U11" i="3"/>
  <c r="Q11" i="3"/>
  <c r="P11" i="3"/>
  <c r="N11" i="3"/>
  <c r="L11" i="3"/>
  <c r="H11" i="3"/>
  <c r="O11" i="3" s="1"/>
  <c r="D11" i="3"/>
  <c r="M11" i="3" s="1"/>
  <c r="Y10" i="3"/>
  <c r="X10" i="3"/>
  <c r="U10" i="3"/>
  <c r="Q10" i="3"/>
  <c r="P10" i="3"/>
  <c r="N10" i="3"/>
  <c r="L10" i="3"/>
  <c r="H10" i="3"/>
  <c r="O10" i="3" s="1"/>
  <c r="D10" i="3"/>
  <c r="M10" i="3" s="1"/>
  <c r="Y9" i="3"/>
  <c r="X9" i="3"/>
  <c r="U9" i="3"/>
  <c r="Q9" i="3"/>
  <c r="P9" i="3"/>
  <c r="N9" i="3"/>
  <c r="L9" i="3"/>
  <c r="H9" i="3"/>
  <c r="O9" i="3" s="1"/>
  <c r="D9" i="3"/>
  <c r="M9" i="3" s="1"/>
  <c r="Y8" i="3"/>
  <c r="X8" i="3"/>
  <c r="U8" i="3"/>
  <c r="Q8" i="3"/>
  <c r="P8" i="3"/>
  <c r="N8" i="3"/>
  <c r="L8" i="3"/>
  <c r="H8" i="3"/>
  <c r="O8" i="3" s="1"/>
  <c r="D8" i="3"/>
  <c r="M8" i="3" s="1"/>
  <c r="Y7" i="3"/>
  <c r="X7" i="3"/>
  <c r="U7" i="3"/>
  <c r="Q7" i="3"/>
  <c r="P7" i="3"/>
  <c r="N7" i="3"/>
  <c r="L7" i="3"/>
  <c r="H7" i="3"/>
  <c r="O7" i="3" s="1"/>
  <c r="D7" i="3"/>
  <c r="M7" i="3" s="1"/>
  <c r="Y6" i="3"/>
  <c r="X6" i="3"/>
  <c r="U6" i="3"/>
  <c r="Q6" i="3"/>
  <c r="P6" i="3"/>
  <c r="N6" i="3"/>
  <c r="L6" i="3"/>
  <c r="H6" i="3"/>
  <c r="O6" i="3" s="1"/>
  <c r="D6" i="3"/>
  <c r="M6" i="3" s="1"/>
  <c r="Y5" i="3"/>
  <c r="X5" i="3"/>
  <c r="U5" i="3"/>
  <c r="Q5" i="3"/>
  <c r="P5" i="3"/>
  <c r="N5" i="3"/>
  <c r="L5" i="3"/>
  <c r="H5" i="3"/>
  <c r="O5" i="3" s="1"/>
  <c r="D5" i="3"/>
  <c r="M5" i="3" s="1"/>
  <c r="Y4" i="3"/>
  <c r="X4" i="3"/>
  <c r="U4" i="3"/>
  <c r="Q4" i="3"/>
  <c r="P4" i="3"/>
  <c r="N4" i="3"/>
  <c r="L4" i="3"/>
  <c r="H4" i="3"/>
  <c r="O4" i="3" s="1"/>
  <c r="D4" i="3"/>
  <c r="M4" i="3" s="1"/>
  <c r="Y3" i="3"/>
  <c r="X3" i="3"/>
  <c r="U3" i="3"/>
  <c r="Q3" i="3"/>
  <c r="P3" i="3"/>
  <c r="N3" i="3"/>
  <c r="L3" i="3"/>
  <c r="H3" i="3"/>
  <c r="O3" i="3" s="1"/>
  <c r="D3" i="3"/>
  <c r="M3" i="3" s="1"/>
  <c r="Y2" i="3"/>
  <c r="X2" i="3"/>
  <c r="U2" i="3"/>
  <c r="Q2" i="3"/>
  <c r="P2" i="3"/>
  <c r="N2" i="3"/>
  <c r="L2" i="3"/>
  <c r="H2" i="3"/>
  <c r="O2" i="3" s="1"/>
  <c r="D2" i="3"/>
  <c r="M2" i="3" s="1"/>
  <c r="G10" i="2" l="1"/>
  <c r="S11" i="2"/>
  <c r="P4" i="2"/>
  <c r="P7" i="2"/>
  <c r="S14" i="2"/>
  <c r="P13" i="2"/>
  <c r="S9" i="2"/>
  <c r="S12" i="2"/>
  <c r="P9" i="2"/>
  <c r="P12" i="2"/>
  <c r="S10" i="2"/>
  <c r="P5" i="2"/>
  <c r="S13" i="2"/>
  <c r="P8" i="2"/>
  <c r="P11" i="2"/>
  <c r="S8" i="2"/>
  <c r="S5" i="2"/>
  <c r="Q15" i="2"/>
  <c r="S6" i="2"/>
  <c r="S3" i="2"/>
  <c r="M14" i="2"/>
  <c r="M6" i="2"/>
  <c r="J9" i="2"/>
  <c r="D10" i="2"/>
  <c r="M11" i="2"/>
  <c r="M12" i="2"/>
  <c r="M4" i="2"/>
  <c r="D8" i="2"/>
  <c r="M9" i="2"/>
  <c r="M10" i="2"/>
  <c r="D14" i="2"/>
  <c r="D6" i="2"/>
  <c r="D3" i="2"/>
  <c r="M7" i="2"/>
  <c r="J10" i="2"/>
  <c r="AI840" i="5"/>
  <c r="M8" i="2"/>
  <c r="J11" i="2"/>
  <c r="D4" i="2"/>
  <c r="M13" i="2"/>
  <c r="M5" i="2"/>
  <c r="J8" i="2"/>
  <c r="AI1210" i="5"/>
  <c r="AI765" i="5"/>
  <c r="AI1064" i="5"/>
  <c r="AI852" i="5"/>
  <c r="AI604" i="5"/>
  <c r="AI408" i="5"/>
  <c r="AI1258" i="5"/>
  <c r="AI918" i="5"/>
  <c r="AI868" i="5"/>
  <c r="AI713" i="5"/>
  <c r="AI478" i="5"/>
  <c r="AI326" i="5"/>
  <c r="AI165" i="5"/>
  <c r="AI1174" i="5"/>
  <c r="AI1131" i="5"/>
  <c r="AI1069" i="5"/>
  <c r="AI878" i="5"/>
  <c r="AI836" i="5"/>
  <c r="AI805" i="5"/>
  <c r="AI421" i="5"/>
  <c r="AI360" i="5"/>
  <c r="AI280" i="5"/>
  <c r="AI114" i="5"/>
  <c r="AI167" i="5"/>
  <c r="AI116" i="5"/>
  <c r="AI887" i="5"/>
  <c r="AI566" i="5"/>
  <c r="AI631" i="5"/>
  <c r="AI610" i="5"/>
  <c r="AI452" i="5"/>
  <c r="AI350" i="5"/>
  <c r="AI274" i="5"/>
  <c r="AI1033" i="5"/>
  <c r="AI1001" i="5"/>
  <c r="AI877" i="5"/>
  <c r="AI1212" i="5"/>
  <c r="AI1211" i="5"/>
  <c r="AI956" i="5"/>
  <c r="AI476" i="5"/>
  <c r="AI203" i="5"/>
  <c r="AI142" i="5"/>
  <c r="AI1243" i="5"/>
  <c r="AI293" i="5"/>
  <c r="AI364" i="5"/>
  <c r="AI77" i="5"/>
  <c r="AI986" i="5"/>
  <c r="AH986" i="5"/>
  <c r="AI948" i="5"/>
  <c r="AH948" i="5"/>
  <c r="AI901" i="5"/>
  <c r="AH901" i="5"/>
  <c r="AI885" i="5"/>
  <c r="AH885" i="5"/>
  <c r="AI824" i="5"/>
  <c r="AH824" i="5"/>
  <c r="AI808" i="5"/>
  <c r="AH808" i="5"/>
  <c r="AI792" i="5"/>
  <c r="AH792" i="5"/>
  <c r="AI1041" i="5"/>
  <c r="AH1041" i="5"/>
  <c r="AI827" i="5"/>
  <c r="AH827" i="5"/>
  <c r="AI811" i="5"/>
  <c r="AH811" i="5"/>
  <c r="AI680" i="5"/>
  <c r="AH680" i="5"/>
  <c r="AI664" i="5"/>
  <c r="AH664" i="5"/>
  <c r="AI1167" i="5"/>
  <c r="AH1167" i="5"/>
  <c r="AI1144" i="5"/>
  <c r="AH1144" i="5"/>
  <c r="AI1007" i="5"/>
  <c r="AH1007" i="5"/>
  <c r="AI907" i="5"/>
  <c r="AH907" i="5"/>
  <c r="AI891" i="5"/>
  <c r="AH891" i="5"/>
  <c r="AI822" i="5"/>
  <c r="AH822" i="5"/>
  <c r="AI806" i="5"/>
  <c r="AH806" i="5"/>
  <c r="AI790" i="5"/>
  <c r="AH790" i="5"/>
  <c r="AI1148" i="5"/>
  <c r="AH1148" i="5"/>
  <c r="AI825" i="5"/>
  <c r="AH825" i="5"/>
  <c r="AI809" i="5"/>
  <c r="AH809" i="5"/>
  <c r="AI793" i="5"/>
  <c r="AH793" i="5"/>
  <c r="AI678" i="5"/>
  <c r="AH678" i="5"/>
  <c r="AI667" i="5"/>
  <c r="AH667" i="5"/>
  <c r="AI651" i="5"/>
  <c r="AH651" i="5"/>
  <c r="AI635" i="5"/>
  <c r="AH635" i="5"/>
  <c r="AI619" i="5"/>
  <c r="AH619" i="5"/>
  <c r="AI603" i="5"/>
  <c r="AH603" i="5"/>
  <c r="AI587" i="5"/>
  <c r="AH587" i="5"/>
  <c r="AI571" i="5"/>
  <c r="AH571" i="5"/>
  <c r="AI495" i="5"/>
  <c r="AH495" i="5"/>
  <c r="AI475" i="5"/>
  <c r="AH475" i="5"/>
  <c r="AI411" i="5"/>
  <c r="AH411" i="5"/>
  <c r="AI402" i="5"/>
  <c r="AH402" i="5"/>
  <c r="AI354" i="5"/>
  <c r="AH354" i="5"/>
  <c r="AI677" i="5"/>
  <c r="AH677" i="5"/>
  <c r="AI568" i="5"/>
  <c r="AH568" i="5"/>
  <c r="AI560" i="5"/>
  <c r="AH560" i="5"/>
  <c r="AI76" i="5"/>
  <c r="AH76" i="5"/>
  <c r="AI169" i="5"/>
  <c r="AH169" i="5"/>
  <c r="AI122" i="5"/>
  <c r="AH122" i="5"/>
  <c r="AI54" i="5"/>
  <c r="AH54" i="5"/>
  <c r="AI22" i="5"/>
  <c r="AH22" i="5"/>
  <c r="AI6" i="5"/>
  <c r="AH6" i="5"/>
  <c r="AI157" i="5"/>
  <c r="AH157" i="5"/>
  <c r="AI553" i="5"/>
  <c r="AH553" i="5"/>
  <c r="AI537" i="5"/>
  <c r="AH537" i="5"/>
  <c r="AI521" i="5"/>
  <c r="AH521" i="5"/>
  <c r="AI505" i="5"/>
  <c r="AH505" i="5"/>
  <c r="AI283" i="5"/>
  <c r="AH283" i="5"/>
  <c r="AI432" i="5"/>
  <c r="AH432" i="5"/>
  <c r="AI412" i="5"/>
  <c r="AH412" i="5"/>
  <c r="AI1204" i="5"/>
  <c r="AH1204" i="5"/>
  <c r="AI733" i="5"/>
  <c r="AH733" i="5"/>
  <c r="AI629" i="5"/>
  <c r="AH629" i="5"/>
  <c r="AI613" i="5"/>
  <c r="AH613" i="5"/>
  <c r="AI342" i="5"/>
  <c r="AH342" i="5"/>
  <c r="AI220" i="5"/>
  <c r="AH220" i="5"/>
  <c r="AI188" i="5"/>
  <c r="AH188" i="5"/>
  <c r="AI1220" i="5"/>
  <c r="AH1220" i="5"/>
  <c r="AI636" i="5"/>
  <c r="AH636" i="5"/>
  <c r="AI620" i="5"/>
  <c r="AH620" i="5"/>
  <c r="AI592" i="5"/>
  <c r="AH592" i="5"/>
  <c r="AI118" i="5"/>
  <c r="AH118" i="5"/>
  <c r="AI428" i="5"/>
  <c r="AH428" i="5"/>
  <c r="AI140" i="5"/>
  <c r="AH140" i="5"/>
  <c r="AI717" i="5"/>
  <c r="AH717" i="5"/>
  <c r="AI886" i="5"/>
  <c r="AH886" i="5"/>
  <c r="AI155" i="5"/>
  <c r="AH155" i="5"/>
  <c r="AI588" i="5"/>
  <c r="AH588" i="5"/>
  <c r="AI572" i="5"/>
  <c r="AH572" i="5"/>
  <c r="AI709" i="5"/>
  <c r="AH709" i="5"/>
  <c r="AI601" i="5"/>
  <c r="AH601" i="5"/>
  <c r="AI854" i="5"/>
  <c r="AH854" i="5"/>
  <c r="AI838" i="5"/>
  <c r="AH838" i="5"/>
  <c r="AI386" i="5"/>
  <c r="AH386" i="5"/>
  <c r="AI321" i="5"/>
  <c r="AH321" i="5"/>
  <c r="AI258" i="5"/>
  <c r="AH258" i="5"/>
  <c r="AI931" i="5"/>
  <c r="AH931" i="5"/>
  <c r="AI915" i="5"/>
  <c r="AH915" i="5"/>
  <c r="AI1143" i="5"/>
  <c r="AH1143" i="5"/>
  <c r="AI949" i="5"/>
  <c r="AH949" i="5"/>
  <c r="AI917" i="5"/>
  <c r="AH917" i="5"/>
  <c r="AI95" i="5"/>
  <c r="AH95" i="5"/>
  <c r="AI856" i="5"/>
  <c r="AH856" i="5"/>
  <c r="AI239" i="5"/>
  <c r="AH239" i="5"/>
  <c r="AI219" i="5"/>
  <c r="AH219" i="5"/>
  <c r="AI187" i="5"/>
  <c r="AH187" i="5"/>
  <c r="AI171" i="5"/>
  <c r="AH171" i="5"/>
  <c r="AI1135" i="5"/>
  <c r="AH1135" i="5"/>
  <c r="AI1123" i="5"/>
  <c r="AH1123" i="5"/>
  <c r="AI1111" i="5"/>
  <c r="AH1111" i="5"/>
  <c r="AI1100" i="5"/>
  <c r="AH1100" i="5"/>
  <c r="AI1079" i="5"/>
  <c r="AH1079" i="5"/>
  <c r="AI1015" i="5"/>
  <c r="AH1015" i="5"/>
  <c r="AI972" i="5"/>
  <c r="AH972" i="5"/>
  <c r="AI1171" i="5"/>
  <c r="AH1171" i="5"/>
  <c r="AI1043" i="5"/>
  <c r="AH1043" i="5"/>
  <c r="AI978" i="5"/>
  <c r="AH978" i="5"/>
  <c r="AI913" i="5"/>
  <c r="AH913" i="5"/>
  <c r="AI869" i="5"/>
  <c r="AH869" i="5"/>
  <c r="AI804" i="5"/>
  <c r="AH804" i="5"/>
  <c r="AI788" i="5"/>
  <c r="AH788" i="5"/>
  <c r="AI1152" i="5"/>
  <c r="AH1152" i="5"/>
  <c r="AI807" i="5"/>
  <c r="AH807" i="5"/>
  <c r="AI676" i="5"/>
  <c r="AH676" i="5"/>
  <c r="AI660" i="5"/>
  <c r="AH660" i="5"/>
  <c r="AI1166" i="5"/>
  <c r="AH1166" i="5"/>
  <c r="AI1039" i="5"/>
  <c r="AH1039" i="5"/>
  <c r="AI999" i="5"/>
  <c r="AH999" i="5"/>
  <c r="AI958" i="5"/>
  <c r="AH958" i="5"/>
  <c r="AI903" i="5"/>
  <c r="AH903" i="5"/>
  <c r="AI818" i="5"/>
  <c r="AH818" i="5"/>
  <c r="AI894" i="5"/>
  <c r="AH894" i="5"/>
  <c r="AI674" i="5"/>
  <c r="AH674" i="5"/>
  <c r="AI658" i="5"/>
  <c r="AH658" i="5"/>
  <c r="AI663" i="5"/>
  <c r="AH663" i="5"/>
  <c r="AI599" i="5"/>
  <c r="AH599" i="5"/>
  <c r="AI569" i="5"/>
  <c r="AH569" i="5"/>
  <c r="AI561" i="5"/>
  <c r="AH561" i="5"/>
  <c r="AI491" i="5"/>
  <c r="AH491" i="5"/>
  <c r="AI471" i="5"/>
  <c r="AH471" i="5"/>
  <c r="AI455" i="5"/>
  <c r="AH455" i="5"/>
  <c r="AI359" i="5"/>
  <c r="AH359" i="5"/>
  <c r="AI626" i="5"/>
  <c r="AH626" i="5"/>
  <c r="AI594" i="5"/>
  <c r="AH594" i="5"/>
  <c r="AI578" i="5"/>
  <c r="AH578" i="5"/>
  <c r="AI462" i="5"/>
  <c r="AH462" i="5"/>
  <c r="AI446" i="5"/>
  <c r="AH446" i="5"/>
  <c r="AI430" i="5"/>
  <c r="AH430" i="5"/>
  <c r="AI414" i="5"/>
  <c r="AH414" i="5"/>
  <c r="AI398" i="5"/>
  <c r="AH398" i="5"/>
  <c r="AI346" i="5"/>
  <c r="AH346" i="5"/>
  <c r="AI673" i="5"/>
  <c r="AH673" i="5"/>
  <c r="AI485" i="5"/>
  <c r="AH485" i="5"/>
  <c r="AI469" i="5"/>
  <c r="AH469" i="5"/>
  <c r="AI453" i="5"/>
  <c r="AH453" i="5"/>
  <c r="AI437" i="5"/>
  <c r="AH437" i="5"/>
  <c r="AI405" i="5"/>
  <c r="AH405" i="5"/>
  <c r="AI357" i="5"/>
  <c r="AH357" i="5"/>
  <c r="AI299" i="5"/>
  <c r="AH299" i="5"/>
  <c r="AI146" i="5"/>
  <c r="AH146" i="5"/>
  <c r="AI80" i="5"/>
  <c r="AH80" i="5"/>
  <c r="AI50" i="5"/>
  <c r="AH50" i="5"/>
  <c r="AI34" i="5"/>
  <c r="AH34" i="5"/>
  <c r="AI18" i="5"/>
  <c r="AH18" i="5"/>
  <c r="AI120" i="5"/>
  <c r="AH120" i="5"/>
  <c r="AI984" i="5"/>
  <c r="AH984" i="5"/>
  <c r="AI533" i="5"/>
  <c r="AH533" i="5"/>
  <c r="AI517" i="5"/>
  <c r="AH517" i="5"/>
  <c r="AI456" i="5"/>
  <c r="AH456" i="5"/>
  <c r="AI132" i="5"/>
  <c r="AH132" i="5"/>
  <c r="AI880" i="5"/>
  <c r="AH880" i="5"/>
  <c r="AI729" i="5"/>
  <c r="AH729" i="5"/>
  <c r="AI661" i="5"/>
  <c r="AH661" i="5"/>
  <c r="AI641" i="5"/>
  <c r="AH641" i="5"/>
  <c r="AI625" i="5"/>
  <c r="AH625" i="5"/>
  <c r="AI200" i="5"/>
  <c r="AH200" i="5"/>
  <c r="AI126" i="5"/>
  <c r="AH126" i="5"/>
  <c r="AI616" i="5"/>
  <c r="AH616" i="5"/>
  <c r="AI1178" i="5"/>
  <c r="AH1178" i="5"/>
  <c r="AI150" i="5"/>
  <c r="AH150" i="5"/>
  <c r="AI850" i="5"/>
  <c r="AH850" i="5"/>
  <c r="AI834" i="5"/>
  <c r="AH834" i="5"/>
  <c r="AI682" i="5"/>
  <c r="AH682" i="5"/>
  <c r="AI382" i="5"/>
  <c r="AH382" i="5"/>
  <c r="AI309" i="5"/>
  <c r="AH309" i="5"/>
  <c r="AI290" i="5"/>
  <c r="AH290" i="5"/>
  <c r="AI257" i="5"/>
  <c r="AH257" i="5"/>
  <c r="AI241" i="5"/>
  <c r="AH241" i="5"/>
  <c r="AI1139" i="5"/>
  <c r="AH1139" i="5"/>
  <c r="AI945" i="5"/>
  <c r="AH945" i="5"/>
  <c r="AI929" i="5"/>
  <c r="AH929" i="5"/>
  <c r="AI92" i="5"/>
  <c r="AH92" i="5"/>
  <c r="AI84" i="5"/>
  <c r="AH84" i="5"/>
  <c r="AI215" i="5"/>
  <c r="AH215" i="5"/>
  <c r="AI199" i="5"/>
  <c r="AH199" i="5"/>
  <c r="AI183" i="5"/>
  <c r="AH183" i="5"/>
  <c r="AI1242" i="5"/>
  <c r="AH1242" i="5"/>
  <c r="AI1226" i="5"/>
  <c r="AH1226" i="5"/>
  <c r="AI1119" i="5"/>
  <c r="AH1119" i="5"/>
  <c r="AI1108" i="5"/>
  <c r="AH1108" i="5"/>
  <c r="AI1099" i="5"/>
  <c r="AH1099" i="5"/>
  <c r="AI1012" i="5"/>
  <c r="AH1012" i="5"/>
  <c r="AI882" i="5"/>
  <c r="AH882" i="5"/>
  <c r="AI1195" i="5"/>
  <c r="AH1195" i="5"/>
  <c r="AI966" i="5"/>
  <c r="AH966" i="5"/>
  <c r="AI875" i="5"/>
  <c r="AH875" i="5"/>
  <c r="AI867" i="5"/>
  <c r="AH867" i="5"/>
  <c r="AI761" i="5"/>
  <c r="AH761" i="5"/>
  <c r="AI745" i="5"/>
  <c r="AH745" i="5"/>
  <c r="AI1073" i="5"/>
  <c r="AH1073" i="5"/>
  <c r="AI993" i="5"/>
  <c r="AH993" i="5"/>
  <c r="AI908" i="5"/>
  <c r="AH908" i="5"/>
  <c r="AI1182" i="5"/>
  <c r="AH1182" i="5"/>
  <c r="AI1031" i="5"/>
  <c r="AH1031" i="5"/>
  <c r="AI952" i="5"/>
  <c r="AH952" i="5"/>
  <c r="AI814" i="5"/>
  <c r="AH814" i="5"/>
  <c r="AI798" i="5"/>
  <c r="AH798" i="5"/>
  <c r="AI782" i="5"/>
  <c r="AH782" i="5"/>
  <c r="AI670" i="5"/>
  <c r="AH670" i="5"/>
  <c r="AI654" i="5"/>
  <c r="AH654" i="5"/>
  <c r="AI567" i="5"/>
  <c r="AH567" i="5"/>
  <c r="AI559" i="5"/>
  <c r="AH559" i="5"/>
  <c r="AI483" i="5"/>
  <c r="AH483" i="5"/>
  <c r="AI467" i="5"/>
  <c r="AH467" i="5"/>
  <c r="AI451" i="5"/>
  <c r="AH451" i="5"/>
  <c r="AI435" i="5"/>
  <c r="AH435" i="5"/>
  <c r="AI419" i="5"/>
  <c r="AH419" i="5"/>
  <c r="AI403" i="5"/>
  <c r="AH403" i="5"/>
  <c r="AI324" i="5"/>
  <c r="AH324" i="5"/>
  <c r="AI292" i="5"/>
  <c r="AH292" i="5"/>
  <c r="AI260" i="5"/>
  <c r="AH260" i="5"/>
  <c r="AI638" i="5"/>
  <c r="AH638" i="5"/>
  <c r="AI622" i="5"/>
  <c r="AH622" i="5"/>
  <c r="AI606" i="5"/>
  <c r="AH606" i="5"/>
  <c r="AI590" i="5"/>
  <c r="AH590" i="5"/>
  <c r="AI574" i="5"/>
  <c r="AH574" i="5"/>
  <c r="AI362" i="5"/>
  <c r="AH362" i="5"/>
  <c r="AI338" i="5"/>
  <c r="AH338" i="5"/>
  <c r="AI481" i="5"/>
  <c r="AH481" i="5"/>
  <c r="AI433" i="5"/>
  <c r="AH433" i="5"/>
  <c r="AI97" i="5"/>
  <c r="AH97" i="5"/>
  <c r="AI267" i="5"/>
  <c r="AH267" i="5"/>
  <c r="AI106" i="5"/>
  <c r="AH106" i="5"/>
  <c r="AI62" i="5"/>
  <c r="AH62" i="5"/>
  <c r="AI30" i="5"/>
  <c r="AH30" i="5"/>
  <c r="AI14" i="5"/>
  <c r="AH14" i="5"/>
  <c r="AI232" i="5"/>
  <c r="AH232" i="5"/>
  <c r="AI545" i="5"/>
  <c r="AH545" i="5"/>
  <c r="AI529" i="5"/>
  <c r="AH529" i="5"/>
  <c r="AI513" i="5"/>
  <c r="AH513" i="5"/>
  <c r="AI1186" i="5"/>
  <c r="AH1186" i="5"/>
  <c r="AI468" i="5"/>
  <c r="AH468" i="5"/>
  <c r="AI404" i="5"/>
  <c r="AH404" i="5"/>
  <c r="AI741" i="5"/>
  <c r="AH741" i="5"/>
  <c r="AI725" i="5"/>
  <c r="AH725" i="5"/>
  <c r="AI637" i="5"/>
  <c r="AH637" i="5"/>
  <c r="AI605" i="5"/>
  <c r="AH605" i="5"/>
  <c r="AI212" i="5"/>
  <c r="AH212" i="5"/>
  <c r="AI196" i="5"/>
  <c r="AH196" i="5"/>
  <c r="AI180" i="5"/>
  <c r="AH180" i="5"/>
  <c r="AI1146" i="5"/>
  <c r="AH1146" i="5"/>
  <c r="AI448" i="5"/>
  <c r="AH448" i="5"/>
  <c r="AI251" i="5"/>
  <c r="AH251" i="5"/>
  <c r="AI597" i="5"/>
  <c r="AH597" i="5"/>
  <c r="AI72" i="5"/>
  <c r="AH72" i="5"/>
  <c r="AI701" i="5"/>
  <c r="AH701" i="5"/>
  <c r="AI685" i="5"/>
  <c r="AH685" i="5"/>
  <c r="AI862" i="5"/>
  <c r="AH862" i="5"/>
  <c r="AI846" i="5"/>
  <c r="AH846" i="5"/>
  <c r="AI378" i="5"/>
  <c r="AH378" i="5"/>
  <c r="AI325" i="5"/>
  <c r="AH325" i="5"/>
  <c r="AI306" i="5"/>
  <c r="AH306" i="5"/>
  <c r="AI939" i="5"/>
  <c r="AH939" i="5"/>
  <c r="AI1259" i="5"/>
  <c r="AH1259" i="5"/>
  <c r="AI100" i="5"/>
  <c r="AH100" i="5"/>
  <c r="AI91" i="5"/>
  <c r="AH91" i="5"/>
  <c r="AI83" i="5"/>
  <c r="AH83" i="5"/>
  <c r="AI1251" i="5"/>
  <c r="AH1251" i="5"/>
  <c r="AI1219" i="5"/>
  <c r="AH1219" i="5"/>
  <c r="AI1203" i="5"/>
  <c r="AH1203" i="5"/>
  <c r="AI1127" i="5"/>
  <c r="AH1127" i="5"/>
  <c r="AI1107" i="5"/>
  <c r="AH1107" i="5"/>
  <c r="AI1095" i="5"/>
  <c r="AH1095" i="5"/>
  <c r="AI1187" i="5"/>
  <c r="AH1187" i="5"/>
  <c r="AI1140" i="5"/>
  <c r="AH1140" i="5"/>
  <c r="AI963" i="5"/>
  <c r="AH963" i="5"/>
  <c r="AI873" i="5"/>
  <c r="AH873" i="5"/>
  <c r="AI828" i="5"/>
  <c r="AH828" i="5"/>
  <c r="AI796" i="5"/>
  <c r="AH796" i="5"/>
  <c r="AI1201" i="5"/>
  <c r="AH1201" i="5"/>
  <c r="AI1017" i="5"/>
  <c r="AH1017" i="5"/>
  <c r="AI799" i="5"/>
  <c r="AH799" i="5"/>
  <c r="AI783" i="5"/>
  <c r="AH783" i="5"/>
  <c r="AI652" i="5"/>
  <c r="AH652" i="5"/>
  <c r="AI982" i="5"/>
  <c r="AH982" i="5"/>
  <c r="AI911" i="5"/>
  <c r="AH911" i="5"/>
  <c r="AI895" i="5"/>
  <c r="AH895" i="5"/>
  <c r="AI810" i="5"/>
  <c r="AH810" i="5"/>
  <c r="AI879" i="5"/>
  <c r="AH879" i="5"/>
  <c r="AI813" i="5"/>
  <c r="AH813" i="5"/>
  <c r="AI797" i="5"/>
  <c r="AH797" i="5"/>
  <c r="AI781" i="5"/>
  <c r="AH781" i="5"/>
  <c r="AI666" i="5"/>
  <c r="AH666" i="5"/>
  <c r="AI650" i="5"/>
  <c r="AH650" i="5"/>
  <c r="AI655" i="5"/>
  <c r="AH655" i="5"/>
  <c r="AI623" i="5"/>
  <c r="AH623" i="5"/>
  <c r="AI575" i="5"/>
  <c r="AH575" i="5"/>
  <c r="AI463" i="5"/>
  <c r="AH463" i="5"/>
  <c r="AI447" i="5"/>
  <c r="AH447" i="5"/>
  <c r="AI415" i="5"/>
  <c r="AH415" i="5"/>
  <c r="AI348" i="5"/>
  <c r="AH348" i="5"/>
  <c r="AI279" i="5"/>
  <c r="AH279" i="5"/>
  <c r="AI602" i="5"/>
  <c r="AH602" i="5"/>
  <c r="AI470" i="5"/>
  <c r="AH470" i="5"/>
  <c r="AI454" i="5"/>
  <c r="AH454" i="5"/>
  <c r="AI422" i="5"/>
  <c r="AH422" i="5"/>
  <c r="AI562" i="5"/>
  <c r="AH562" i="5"/>
  <c r="AI89" i="5"/>
  <c r="AH89" i="5"/>
  <c r="AI264" i="5"/>
  <c r="AH264" i="5"/>
  <c r="AI93" i="5"/>
  <c r="AH93" i="5"/>
  <c r="AI58" i="5"/>
  <c r="AH58" i="5"/>
  <c r="AI42" i="5"/>
  <c r="AH42" i="5"/>
  <c r="AI26" i="5"/>
  <c r="AH26" i="5"/>
  <c r="AI161" i="5"/>
  <c r="AH161" i="5"/>
  <c r="AI136" i="5"/>
  <c r="AH136" i="5"/>
  <c r="AI104" i="5"/>
  <c r="AH104" i="5"/>
  <c r="AI557" i="5"/>
  <c r="AH557" i="5"/>
  <c r="AI541" i="5"/>
  <c r="AH541" i="5"/>
  <c r="AI525" i="5"/>
  <c r="AH525" i="5"/>
  <c r="AI509" i="5"/>
  <c r="AH509" i="5"/>
  <c r="AI312" i="5"/>
  <c r="AH312" i="5"/>
  <c r="AI480" i="5"/>
  <c r="AH480" i="5"/>
  <c r="AI464" i="5"/>
  <c r="AH464" i="5"/>
  <c r="AI416" i="5"/>
  <c r="AH416" i="5"/>
  <c r="AI1252" i="5"/>
  <c r="AH1252" i="5"/>
  <c r="AI653" i="5"/>
  <c r="AH653" i="5"/>
  <c r="AI224" i="5"/>
  <c r="AH224" i="5"/>
  <c r="AI208" i="5"/>
  <c r="AH208" i="5"/>
  <c r="AI192" i="5"/>
  <c r="AH192" i="5"/>
  <c r="AI176" i="5"/>
  <c r="AH176" i="5"/>
  <c r="AI234" i="5"/>
  <c r="AH234" i="5"/>
  <c r="AI248" i="5"/>
  <c r="AH248" i="5"/>
  <c r="AI1233" i="5"/>
  <c r="AH1233" i="5"/>
  <c r="AI589" i="5"/>
  <c r="AH589" i="5"/>
  <c r="AI159" i="5"/>
  <c r="AH159" i="5"/>
  <c r="AI697" i="5"/>
  <c r="AH697" i="5"/>
  <c r="AI573" i="5"/>
  <c r="AH573" i="5"/>
  <c r="AI1199" i="5"/>
  <c r="AH1199" i="5"/>
  <c r="AI858" i="5"/>
  <c r="AH858" i="5"/>
  <c r="AI842" i="5"/>
  <c r="AH842" i="5"/>
  <c r="AI322" i="5"/>
  <c r="AH322" i="5"/>
  <c r="AI278" i="5"/>
  <c r="AH278" i="5"/>
  <c r="AI245" i="5"/>
  <c r="AH245" i="5"/>
  <c r="AI81" i="5"/>
  <c r="AH81" i="5"/>
  <c r="AI935" i="5"/>
  <c r="AH935" i="5"/>
  <c r="AI1159" i="5"/>
  <c r="AH1159" i="5"/>
  <c r="AI99" i="5"/>
  <c r="AH99" i="5"/>
  <c r="AI772" i="5"/>
  <c r="AH772" i="5"/>
  <c r="AI223" i="5"/>
  <c r="AH223" i="5"/>
  <c r="AI175" i="5"/>
  <c r="AH175" i="5"/>
  <c r="AI1250" i="5"/>
  <c r="AH1250" i="5"/>
  <c r="AI1185" i="5"/>
  <c r="AH1185" i="5"/>
  <c r="AI1124" i="5"/>
  <c r="AH1124" i="5"/>
  <c r="AI1115" i="5"/>
  <c r="AH1115" i="5"/>
  <c r="AI1103" i="5"/>
  <c r="AH1103" i="5"/>
  <c r="AI1083" i="5"/>
  <c r="AH1083" i="5"/>
  <c r="AI872" i="5"/>
  <c r="AI242" i="5"/>
  <c r="AI1227" i="5"/>
  <c r="AI770" i="5"/>
  <c r="AI1194" i="5"/>
  <c r="AI1042" i="5"/>
  <c r="AI912" i="5"/>
  <c r="AI866" i="5"/>
  <c r="AI820" i="5"/>
  <c r="AI749" i="5"/>
  <c r="AI791" i="5"/>
  <c r="AI632" i="5"/>
  <c r="AI647" i="5"/>
  <c r="AI439" i="5"/>
  <c r="AI296" i="5"/>
  <c r="AI933" i="5"/>
  <c r="AI870" i="5"/>
  <c r="AI693" i="5"/>
  <c r="AI366" i="5"/>
  <c r="AI443" i="5"/>
  <c r="AI277" i="5"/>
  <c r="AI1183" i="5"/>
  <c r="AI1087" i="5"/>
  <c r="AI1136" i="5"/>
  <c r="AI927" i="5"/>
  <c r="AI965" i="5"/>
  <c r="AI914" i="5"/>
  <c r="AI823" i="5"/>
  <c r="AI644" i="5"/>
  <c r="AI584" i="5"/>
  <c r="AI424" i="5"/>
  <c r="AI332" i="5"/>
  <c r="AI1091" i="5"/>
  <c r="AI665" i="5"/>
  <c r="AI308" i="5"/>
  <c r="AI585" i="5"/>
  <c r="AI172" i="5"/>
  <c r="AI957" i="5"/>
  <c r="AI973" i="5"/>
  <c r="AI705" i="5"/>
  <c r="AI802" i="5"/>
  <c r="AI821" i="5"/>
  <c r="AI609" i="5"/>
  <c r="AI400" i="5"/>
  <c r="AI423" i="5"/>
  <c r="AI231" i="5"/>
  <c r="AI184" i="5"/>
  <c r="AI1218" i="5"/>
  <c r="AI844" i="5"/>
  <c r="AI1234" i="5"/>
  <c r="AI1049" i="5"/>
  <c r="AI943" i="5"/>
  <c r="AI897" i="5"/>
  <c r="AI896" i="5"/>
  <c r="AI689" i="5"/>
  <c r="AI786" i="5"/>
  <c r="AI581" i="5"/>
  <c r="AI549" i="5"/>
  <c r="AI679" i="5"/>
  <c r="AI615" i="5"/>
  <c r="AI642" i="5"/>
  <c r="AI472" i="5"/>
  <c r="AI315" i="5"/>
  <c r="AI240" i="5"/>
  <c r="AI295" i="5"/>
  <c r="AI152" i="5"/>
  <c r="AI860" i="5"/>
  <c r="AI1092" i="5"/>
  <c r="AI789" i="5"/>
  <c r="AI583" i="5"/>
  <c r="AI407" i="5"/>
  <c r="G9" i="2"/>
  <c r="G11" i="2"/>
  <c r="G13" i="2"/>
  <c r="G14" i="2"/>
  <c r="AI1150" i="5"/>
  <c r="AI1170" i="5"/>
  <c r="AI645" i="5"/>
  <c r="AI460" i="5"/>
  <c r="AI1236" i="5"/>
  <c r="AI1116" i="5"/>
  <c r="AI1057" i="5"/>
  <c r="AI996" i="5"/>
  <c r="AI964" i="5"/>
  <c r="AI401" i="5"/>
  <c r="AI211" i="5"/>
  <c r="AI228" i="5"/>
  <c r="AI1235" i="5"/>
  <c r="AI925" i="5"/>
  <c r="AI600" i="5"/>
  <c r="AI1075" i="5"/>
  <c r="AI1009" i="5"/>
  <c r="AI1047" i="5"/>
  <c r="AI148" i="5"/>
  <c r="AI1198" i="5"/>
  <c r="AI1191" i="5"/>
  <c r="AI906" i="5"/>
  <c r="AI204" i="5"/>
  <c r="AI1228" i="5"/>
  <c r="AI1179" i="5"/>
  <c r="AI1132" i="5"/>
  <c r="AI974" i="5"/>
  <c r="AI871" i="5"/>
  <c r="AI900" i="5"/>
  <c r="AI769" i="5"/>
  <c r="AI753" i="5"/>
  <c r="AI795" i="5"/>
  <c r="AI648" i="5"/>
  <c r="AI563" i="5"/>
  <c r="AI662" i="5"/>
  <c r="AI646" i="5"/>
  <c r="AI630" i="5"/>
  <c r="AI614" i="5"/>
  <c r="AI598" i="5"/>
  <c r="AI582" i="5"/>
  <c r="AI473" i="5"/>
  <c r="AI457" i="5"/>
  <c r="AI441" i="5"/>
  <c r="AI425" i="5"/>
  <c r="AI409" i="5"/>
  <c r="AI434" i="5"/>
  <c r="AI336" i="5"/>
  <c r="AI38" i="5"/>
  <c r="AI916" i="5"/>
  <c r="AI803" i="5"/>
  <c r="AI656" i="5"/>
  <c r="AI244" i="5"/>
  <c r="AI1209" i="5"/>
  <c r="AI1025" i="5"/>
  <c r="AI787" i="5"/>
  <c r="AI621" i="5"/>
  <c r="AI612" i="5"/>
  <c r="AI458" i="5"/>
  <c r="AI195" i="5"/>
  <c r="AI102" i="5"/>
  <c r="AI1035" i="5"/>
  <c r="AI899" i="5"/>
  <c r="AI675" i="5"/>
  <c r="AI465" i="5"/>
  <c r="AI394" i="5"/>
  <c r="AI246" i="5"/>
  <c r="AI233" i="5"/>
  <c r="AI191" i="5"/>
  <c r="AI988" i="5"/>
  <c r="AI881" i="5"/>
  <c r="AI817" i="5"/>
  <c r="AI580" i="5"/>
  <c r="AI595" i="5"/>
  <c r="AI273" i="5"/>
  <c r="AI160" i="5"/>
  <c r="AI1158" i="5"/>
  <c r="AI1084" i="5"/>
  <c r="AI1065" i="5"/>
  <c r="AI976" i="5"/>
  <c r="AI909" i="5"/>
  <c r="AI800" i="5"/>
  <c r="AI669" i="5"/>
  <c r="AI577" i="5"/>
  <c r="AI659" i="5"/>
  <c r="AI227" i="5"/>
  <c r="AI207" i="5"/>
  <c r="AI1260" i="5"/>
  <c r="AI1163" i="5"/>
  <c r="AI1071" i="5"/>
  <c r="AI904" i="5"/>
  <c r="AI784" i="5"/>
  <c r="AI657" i="5"/>
  <c r="AI672" i="5"/>
  <c r="AI611" i="5"/>
  <c r="AI179" i="5"/>
  <c r="AI46" i="5"/>
  <c r="AI474" i="5"/>
  <c r="AI334" i="5"/>
  <c r="AI144" i="5"/>
  <c r="AI112" i="5"/>
  <c r="AI134" i="5"/>
  <c r="AI163" i="5"/>
  <c r="AI991" i="5"/>
  <c r="AI923" i="5"/>
  <c r="AI941" i="5"/>
  <c r="AI893" i="5"/>
  <c r="AI830" i="5"/>
  <c r="AI892" i="5"/>
  <c r="AI864" i="5"/>
  <c r="AI848" i="5"/>
  <c r="AI832" i="5"/>
  <c r="AI910" i="5"/>
  <c r="AI902" i="5"/>
  <c r="AI890" i="5"/>
  <c r="AI779" i="5"/>
  <c r="AI801" i="5"/>
  <c r="AI628" i="5"/>
  <c r="AI643" i="5"/>
  <c r="AI579" i="5"/>
  <c r="AI449" i="5"/>
  <c r="AI417" i="5"/>
  <c r="AI484" i="5"/>
  <c r="AI440" i="5"/>
  <c r="AI420" i="5"/>
  <c r="AI410" i="5"/>
  <c r="AI352" i="5"/>
  <c r="AI289" i="5"/>
  <c r="AI162" i="5"/>
  <c r="AI138" i="5"/>
  <c r="AI110" i="5"/>
  <c r="AI816" i="5"/>
  <c r="AI819" i="5"/>
  <c r="AI785" i="5"/>
  <c r="AI564" i="5"/>
  <c r="AI627" i="5"/>
  <c r="AI442" i="5"/>
  <c r="AI426" i="5"/>
  <c r="AI108" i="5"/>
  <c r="AI4" i="5"/>
  <c r="AI1055" i="5"/>
  <c r="AI953" i="5"/>
  <c r="AI937" i="5"/>
  <c r="AI921" i="5"/>
  <c r="AI721" i="5"/>
  <c r="AI815" i="5"/>
  <c r="AI596" i="5"/>
  <c r="AI374" i="5"/>
  <c r="AI737" i="5"/>
  <c r="AI390" i="5"/>
  <c r="AI1244" i="5"/>
  <c r="AI1156" i="5"/>
  <c r="AI888" i="5"/>
  <c r="AI466" i="5"/>
  <c r="AI361" i="5"/>
  <c r="AI276" i="5"/>
  <c r="AI1175" i="5"/>
  <c r="AI1154" i="5"/>
  <c r="AI1027" i="5"/>
  <c r="AI919" i="5"/>
  <c r="AI905" i="5"/>
  <c r="AI889" i="5"/>
  <c r="AI898" i="5"/>
  <c r="AI774" i="5"/>
  <c r="AI649" i="5"/>
  <c r="AI633" i="5"/>
  <c r="AI617" i="5"/>
  <c r="AI593" i="5"/>
  <c r="AI570" i="5"/>
  <c r="AI591" i="5"/>
  <c r="AI261" i="5"/>
  <c r="AI1023" i="5"/>
  <c r="AI980" i="5"/>
  <c r="AI640" i="5"/>
  <c r="AI624" i="5"/>
  <c r="AI608" i="5"/>
  <c r="AI576" i="5"/>
  <c r="AI618" i="5"/>
  <c r="AI1200" i="5"/>
  <c r="AI671" i="5"/>
  <c r="AI812" i="5"/>
  <c r="AI826" i="5"/>
  <c r="AI668" i="5"/>
  <c r="AI499" i="5"/>
  <c r="AI365" i="5"/>
  <c r="AI85" i="5"/>
  <c r="AI780" i="5"/>
  <c r="AI757" i="5"/>
  <c r="AI794" i="5"/>
  <c r="AI427" i="5"/>
  <c r="AI68" i="5"/>
  <c r="AI634" i="5"/>
  <c r="AI486" i="5"/>
  <c r="AI356" i="5"/>
  <c r="AI154" i="5"/>
  <c r="AI639" i="5"/>
  <c r="AI479" i="5"/>
  <c r="AI459" i="5"/>
  <c r="AI482" i="5"/>
  <c r="AI450" i="5"/>
  <c r="AI418" i="5"/>
  <c r="AI363" i="5"/>
  <c r="AI340" i="5"/>
  <c r="AI128" i="5"/>
  <c r="AI607" i="5"/>
  <c r="AI565" i="5"/>
  <c r="AI438" i="5"/>
  <c r="AI344" i="5"/>
  <c r="AI586" i="5"/>
  <c r="AI477" i="5"/>
  <c r="AI461" i="5"/>
  <c r="AI445" i="5"/>
  <c r="AI429" i="5"/>
  <c r="AI413" i="5"/>
  <c r="AI444" i="5"/>
  <c r="AI436" i="5"/>
  <c r="AI431" i="5"/>
  <c r="AI406" i="5"/>
  <c r="AI305" i="5"/>
  <c r="AI311" i="5"/>
  <c r="AI399" i="5"/>
  <c r="AI156" i="5"/>
  <c r="AI130" i="5"/>
  <c r="AI247" i="5"/>
  <c r="AI158" i="5"/>
  <c r="AI10" i="5"/>
  <c r="AI330" i="5"/>
  <c r="AI124" i="5"/>
  <c r="AI358" i="5"/>
  <c r="AI88" i="5"/>
  <c r="AI355" i="5"/>
  <c r="AI1249" i="5"/>
  <c r="AI1254" i="5"/>
  <c r="AI1238" i="5"/>
  <c r="AI1222" i="5"/>
  <c r="AI1206" i="5"/>
  <c r="AI1257" i="5"/>
  <c r="AI1196" i="5"/>
  <c r="AI1253" i="5"/>
  <c r="AI1237" i="5"/>
  <c r="AI1221" i="5"/>
  <c r="AI1205" i="5"/>
  <c r="AI1193" i="5"/>
  <c r="AI1192" i="5"/>
  <c r="AI1169" i="5"/>
  <c r="AI1190" i="5"/>
  <c r="AI1202" i="5"/>
  <c r="AI1172" i="5"/>
  <c r="AI1155" i="5"/>
  <c r="AI1129" i="5"/>
  <c r="AI1120" i="5"/>
  <c r="AI1106" i="5"/>
  <c r="AI1097" i="5"/>
  <c r="AI1088" i="5"/>
  <c r="AI1070" i="5"/>
  <c r="AI1134" i="5"/>
  <c r="AI1076" i="5"/>
  <c r="AI1059" i="5"/>
  <c r="AI1051" i="5"/>
  <c r="AI1011" i="5"/>
  <c r="AI995" i="5"/>
  <c r="AI1060" i="5"/>
  <c r="AI1028" i="5"/>
  <c r="AI1004" i="5"/>
  <c r="AI979" i="5"/>
  <c r="AI1062" i="5"/>
  <c r="AI1054" i="5"/>
  <c r="AI1046" i="5"/>
  <c r="AI1038" i="5"/>
  <c r="AI990" i="5"/>
  <c r="AI1056" i="5"/>
  <c r="AI1032" i="5"/>
  <c r="AI1016" i="5"/>
  <c r="AI1000" i="5"/>
  <c r="AI975" i="5"/>
  <c r="AI959" i="5"/>
  <c r="AI940" i="5"/>
  <c r="AI924" i="5"/>
  <c r="AI955" i="5"/>
  <c r="AI961" i="5"/>
  <c r="AI946" i="5"/>
  <c r="AI930" i="5"/>
  <c r="AI884" i="5"/>
  <c r="AI876" i="5"/>
  <c r="AI855" i="5"/>
  <c r="AI839" i="5"/>
  <c r="AI853" i="5"/>
  <c r="AI837" i="5"/>
  <c r="AI777" i="5"/>
  <c r="AI766" i="5"/>
  <c r="AI750" i="5"/>
  <c r="AI734" i="5"/>
  <c r="AI718" i="5"/>
  <c r="AI702" i="5"/>
  <c r="AI686" i="5"/>
  <c r="AI763" i="5"/>
  <c r="AI747" i="5"/>
  <c r="AI731" i="5"/>
  <c r="AI715" i="5"/>
  <c r="AI699" i="5"/>
  <c r="AI768" i="5"/>
  <c r="AI752" i="5"/>
  <c r="AI736" i="5"/>
  <c r="AI720" i="5"/>
  <c r="AI704" i="5"/>
  <c r="AI688" i="5"/>
  <c r="AI493" i="5"/>
  <c r="AI556" i="5"/>
  <c r="AI540" i="5"/>
  <c r="AI524" i="5"/>
  <c r="AI510" i="5"/>
  <c r="AI494" i="5"/>
  <c r="AI547" i="5"/>
  <c r="AI531" i="5"/>
  <c r="AI515" i="5"/>
  <c r="AI546" i="5"/>
  <c r="AI530" i="5"/>
  <c r="AI514" i="5"/>
  <c r="AI496" i="5"/>
  <c r="AI393" i="5"/>
  <c r="AI377" i="5"/>
  <c r="AI345" i="5"/>
  <c r="AI329" i="5"/>
  <c r="AI383" i="5"/>
  <c r="AI367" i="5"/>
  <c r="AI396" i="5"/>
  <c r="AI380" i="5"/>
  <c r="AI349" i="5"/>
  <c r="AI333" i="5"/>
  <c r="AI328" i="5"/>
  <c r="AI316" i="5"/>
  <c r="AI303" i="5"/>
  <c r="AI268" i="5"/>
  <c r="AI255" i="5"/>
  <c r="AI238" i="5"/>
  <c r="AI226" i="5"/>
  <c r="AI210" i="5"/>
  <c r="AI194" i="5"/>
  <c r="AI178" i="5"/>
  <c r="AI166" i="5"/>
  <c r="AI141" i="5"/>
  <c r="AI125" i="5"/>
  <c r="AI109" i="5"/>
  <c r="AI317" i="5"/>
  <c r="AI285" i="5"/>
  <c r="AI253" i="5"/>
  <c r="AI320" i="5"/>
  <c r="AI304" i="5"/>
  <c r="AI288" i="5"/>
  <c r="AI272" i="5"/>
  <c r="AI256" i="5"/>
  <c r="AI237" i="5"/>
  <c r="AI221" i="5"/>
  <c r="AI205" i="5"/>
  <c r="AI189" i="5"/>
  <c r="AI173" i="5"/>
  <c r="AI139" i="5"/>
  <c r="AI123" i="5"/>
  <c r="AI107" i="5"/>
  <c r="AI101" i="5"/>
  <c r="AI74" i="5"/>
  <c r="AI75" i="5"/>
  <c r="AI59" i="5"/>
  <c r="AI43" i="5"/>
  <c r="AI27" i="5"/>
  <c r="AI11" i="5"/>
  <c r="AI56" i="5"/>
  <c r="AI40" i="5"/>
  <c r="AI24" i="5"/>
  <c r="AI8" i="5"/>
  <c r="AI79" i="5"/>
  <c r="AI65" i="5"/>
  <c r="AI49" i="5"/>
  <c r="AI33" i="5"/>
  <c r="AI17" i="5"/>
  <c r="AI1248" i="5"/>
  <c r="AI1232" i="5"/>
  <c r="AI1216" i="5"/>
  <c r="AI1263" i="5"/>
  <c r="AI1247" i="5"/>
  <c r="AI1231" i="5"/>
  <c r="AI1215" i="5"/>
  <c r="AI1162" i="5"/>
  <c r="AI1184" i="5"/>
  <c r="AI1168" i="5"/>
  <c r="AI1189" i="5"/>
  <c r="AI1188" i="5"/>
  <c r="AI1165" i="5"/>
  <c r="AI1149" i="5"/>
  <c r="AI1074" i="5"/>
  <c r="AI1138" i="5"/>
  <c r="AI1128" i="5"/>
  <c r="AI1114" i="5"/>
  <c r="AI1105" i="5"/>
  <c r="AI1096" i="5"/>
  <c r="AI1082" i="5"/>
  <c r="AI1068" i="5"/>
  <c r="AI1133" i="5"/>
  <c r="AI1066" i="5"/>
  <c r="AI1058" i="5"/>
  <c r="AI1050" i="5"/>
  <c r="AI1026" i="5"/>
  <c r="AI1010" i="5"/>
  <c r="AI994" i="5"/>
  <c r="AI1052" i="5"/>
  <c r="AI1036" i="5"/>
  <c r="AI1061" i="5"/>
  <c r="AI1053" i="5"/>
  <c r="AI1045" i="5"/>
  <c r="AI998" i="5"/>
  <c r="AI985" i="5"/>
  <c r="AI1067" i="5"/>
  <c r="AI1048" i="5"/>
  <c r="AI1029" i="5"/>
  <c r="AI1013" i="5"/>
  <c r="AI997" i="5"/>
  <c r="AI969" i="5"/>
  <c r="AI951" i="5"/>
  <c r="AI936" i="5"/>
  <c r="AI971" i="5"/>
  <c r="AI960" i="5"/>
  <c r="AI942" i="5"/>
  <c r="AI926" i="5"/>
  <c r="AI829" i="5"/>
  <c r="AI883" i="5"/>
  <c r="AI874" i="5"/>
  <c r="AI851" i="5"/>
  <c r="AI835" i="5"/>
  <c r="AI865" i="5"/>
  <c r="AI849" i="5"/>
  <c r="AI833" i="5"/>
  <c r="AI775" i="5"/>
  <c r="AI762" i="5"/>
  <c r="AI746" i="5"/>
  <c r="AI730" i="5"/>
  <c r="AI714" i="5"/>
  <c r="AI698" i="5"/>
  <c r="AI778" i="5"/>
  <c r="AI759" i="5"/>
  <c r="AI743" i="5"/>
  <c r="AI727" i="5"/>
  <c r="AI711" i="5"/>
  <c r="AI695" i="5"/>
  <c r="AI764" i="5"/>
  <c r="AI748" i="5"/>
  <c r="AI732" i="5"/>
  <c r="AI716" i="5"/>
  <c r="AI700" i="5"/>
  <c r="AI684" i="5"/>
  <c r="AI489" i="5"/>
  <c r="AI552" i="5"/>
  <c r="AI536" i="5"/>
  <c r="AI520" i="5"/>
  <c r="AI506" i="5"/>
  <c r="AI490" i="5"/>
  <c r="AI543" i="5"/>
  <c r="AI527" i="5"/>
  <c r="AI511" i="5"/>
  <c r="AI558" i="5"/>
  <c r="AI542" i="5"/>
  <c r="AI526" i="5"/>
  <c r="AI508" i="5"/>
  <c r="AI492" i="5"/>
  <c r="AI389" i="5"/>
  <c r="AI373" i="5"/>
  <c r="AI343" i="5"/>
  <c r="AI395" i="5"/>
  <c r="AI379" i="5"/>
  <c r="AI351" i="5"/>
  <c r="AI392" i="5"/>
  <c r="AI376" i="5"/>
  <c r="AI347" i="5"/>
  <c r="AI331" i="5"/>
  <c r="AI310" i="5"/>
  <c r="AI300" i="5"/>
  <c r="AI287" i="5"/>
  <c r="AI262" i="5"/>
  <c r="AI252" i="5"/>
  <c r="AI222" i="5"/>
  <c r="AI206" i="5"/>
  <c r="AI190" i="5"/>
  <c r="AI174" i="5"/>
  <c r="AI164" i="5"/>
  <c r="AI151" i="5"/>
  <c r="AI135" i="5"/>
  <c r="AI119" i="5"/>
  <c r="AI302" i="5"/>
  <c r="AI270" i="5"/>
  <c r="AI235" i="5"/>
  <c r="AI314" i="5"/>
  <c r="AI298" i="5"/>
  <c r="AI282" i="5"/>
  <c r="AI266" i="5"/>
  <c r="AI250" i="5"/>
  <c r="AI236" i="5"/>
  <c r="AI217" i="5"/>
  <c r="AI201" i="5"/>
  <c r="AI185" i="5"/>
  <c r="AI153" i="5"/>
  <c r="AI137" i="5"/>
  <c r="AI121" i="5"/>
  <c r="AI105" i="5"/>
  <c r="AI96" i="5"/>
  <c r="AI70" i="5"/>
  <c r="AI98" i="5"/>
  <c r="AI71" i="5"/>
  <c r="AI55" i="5"/>
  <c r="AI39" i="5"/>
  <c r="AI23" i="5"/>
  <c r="AI7" i="5"/>
  <c r="AI52" i="5"/>
  <c r="AI36" i="5"/>
  <c r="AI20" i="5"/>
  <c r="AI78" i="5"/>
  <c r="AI61" i="5"/>
  <c r="AI45" i="5"/>
  <c r="AI29" i="5"/>
  <c r="AI13" i="5"/>
  <c r="AI1261" i="5"/>
  <c r="AI1245" i="5"/>
  <c r="AI1229" i="5"/>
  <c r="AI1213" i="5"/>
  <c r="AI1225" i="5"/>
  <c r="AI1262" i="5"/>
  <c r="AI1246" i="5"/>
  <c r="AI1230" i="5"/>
  <c r="AI1214" i="5"/>
  <c r="AI1177" i="5"/>
  <c r="AI1161" i="5"/>
  <c r="AI1153" i="5"/>
  <c r="AI1181" i="5"/>
  <c r="AI1180" i="5"/>
  <c r="AI1164" i="5"/>
  <c r="AI1147" i="5"/>
  <c r="AI1072" i="5"/>
  <c r="AI1137" i="5"/>
  <c r="AI1122" i="5"/>
  <c r="AI1113" i="5"/>
  <c r="AI1104" i="5"/>
  <c r="AI1090" i="5"/>
  <c r="AI1081" i="5"/>
  <c r="AI1142" i="5"/>
  <c r="AI1126" i="5"/>
  <c r="AI1118" i="5"/>
  <c r="AI1110" i="5"/>
  <c r="AI1102" i="5"/>
  <c r="AI1094" i="5"/>
  <c r="AI1086" i="5"/>
  <c r="AI1078" i="5"/>
  <c r="AI1034" i="5"/>
  <c r="AI1019" i="5"/>
  <c r="AI1003" i="5"/>
  <c r="AI989" i="5"/>
  <c r="AI1044" i="5"/>
  <c r="AI1022" i="5"/>
  <c r="AI1006" i="5"/>
  <c r="AI977" i="5"/>
  <c r="AI1040" i="5"/>
  <c r="AI1024" i="5"/>
  <c r="AI1008" i="5"/>
  <c r="AI992" i="5"/>
  <c r="AI968" i="5"/>
  <c r="AI950" i="5"/>
  <c r="AI932" i="5"/>
  <c r="AI970" i="5"/>
  <c r="AI954" i="5"/>
  <c r="AI938" i="5"/>
  <c r="AI922" i="5"/>
  <c r="AI863" i="5"/>
  <c r="AI847" i="5"/>
  <c r="AI831" i="5"/>
  <c r="AI861" i="5"/>
  <c r="AI845" i="5"/>
  <c r="AI773" i="5"/>
  <c r="AI758" i="5"/>
  <c r="AI742" i="5"/>
  <c r="AI726" i="5"/>
  <c r="AI710" i="5"/>
  <c r="AI694" i="5"/>
  <c r="AI776" i="5"/>
  <c r="AI755" i="5"/>
  <c r="AI739" i="5"/>
  <c r="AI723" i="5"/>
  <c r="AI707" i="5"/>
  <c r="AI691" i="5"/>
  <c r="AI760" i="5"/>
  <c r="AI744" i="5"/>
  <c r="AI728" i="5"/>
  <c r="AI712" i="5"/>
  <c r="AI696" i="5"/>
  <c r="AI683" i="5"/>
  <c r="AI501" i="5"/>
  <c r="AI548" i="5"/>
  <c r="AI532" i="5"/>
  <c r="AI516" i="5"/>
  <c r="AI502" i="5"/>
  <c r="AI555" i="5"/>
  <c r="AI539" i="5"/>
  <c r="AI523" i="5"/>
  <c r="AI507" i="5"/>
  <c r="AI487" i="5"/>
  <c r="AI554" i="5"/>
  <c r="AI538" i="5"/>
  <c r="AI522" i="5"/>
  <c r="AI504" i="5"/>
  <c r="AI488" i="5"/>
  <c r="AI385" i="5"/>
  <c r="AI369" i="5"/>
  <c r="AI337" i="5"/>
  <c r="AI391" i="5"/>
  <c r="AI375" i="5"/>
  <c r="AI388" i="5"/>
  <c r="AI372" i="5"/>
  <c r="AI341" i="5"/>
  <c r="AI294" i="5"/>
  <c r="AI284" i="5"/>
  <c r="AI218" i="5"/>
  <c r="AI202" i="5"/>
  <c r="AI186" i="5"/>
  <c r="AI170" i="5"/>
  <c r="AI327" i="5"/>
  <c r="AI149" i="5"/>
  <c r="AI133" i="5"/>
  <c r="AI117" i="5"/>
  <c r="AI301" i="5"/>
  <c r="AI269" i="5"/>
  <c r="AI103" i="5"/>
  <c r="AI313" i="5"/>
  <c r="AI297" i="5"/>
  <c r="AI281" i="5"/>
  <c r="AI265" i="5"/>
  <c r="AI249" i="5"/>
  <c r="AI229" i="5"/>
  <c r="AI213" i="5"/>
  <c r="AI197" i="5"/>
  <c r="AI181" i="5"/>
  <c r="AI147" i="5"/>
  <c r="AI131" i="5"/>
  <c r="AI115" i="5"/>
  <c r="AI66" i="5"/>
  <c r="AI90" i="5"/>
  <c r="AI67" i="5"/>
  <c r="AI51" i="5"/>
  <c r="AI35" i="5"/>
  <c r="AI19" i="5"/>
  <c r="AI64" i="5"/>
  <c r="AI48" i="5"/>
  <c r="AI32" i="5"/>
  <c r="AI16" i="5"/>
  <c r="AI94" i="5"/>
  <c r="AI73" i="5"/>
  <c r="AI57" i="5"/>
  <c r="AI41" i="5"/>
  <c r="AI25" i="5"/>
  <c r="AI9" i="5"/>
  <c r="AI1217" i="5"/>
  <c r="AI1255" i="5"/>
  <c r="AI1239" i="5"/>
  <c r="AI1223" i="5"/>
  <c r="AI1207" i="5"/>
  <c r="AI1241" i="5"/>
  <c r="AI1197" i="5"/>
  <c r="AI1256" i="5"/>
  <c r="AI1240" i="5"/>
  <c r="AI1224" i="5"/>
  <c r="AI1208" i="5"/>
  <c r="AI1176" i="5"/>
  <c r="AI1160" i="5"/>
  <c r="AI1151" i="5"/>
  <c r="AI1145" i="5"/>
  <c r="AI1173" i="5"/>
  <c r="AI1157" i="5"/>
  <c r="AI1130" i="5"/>
  <c r="AI1121" i="5"/>
  <c r="AI1112" i="5"/>
  <c r="AI1098" i="5"/>
  <c r="AI1089" i="5"/>
  <c r="AI1080" i="5"/>
  <c r="AI1141" i="5"/>
  <c r="AI1125" i="5"/>
  <c r="AI1117" i="5"/>
  <c r="AI1109" i="5"/>
  <c r="AI1101" i="5"/>
  <c r="AI1093" i="5"/>
  <c r="AI1085" i="5"/>
  <c r="AI1077" i="5"/>
  <c r="AI1018" i="5"/>
  <c r="AI1002" i="5"/>
  <c r="AI981" i="5"/>
  <c r="AI1020" i="5"/>
  <c r="AI987" i="5"/>
  <c r="AI1063" i="5"/>
  <c r="AI1030" i="5"/>
  <c r="AI1014" i="5"/>
  <c r="AI1037" i="5"/>
  <c r="AI1021" i="5"/>
  <c r="AI1005" i="5"/>
  <c r="AI983" i="5"/>
  <c r="AI962" i="5"/>
  <c r="AI944" i="5"/>
  <c r="AI928" i="5"/>
  <c r="AI920" i="5"/>
  <c r="AI967" i="5"/>
  <c r="AI947" i="5"/>
  <c r="AI934" i="5"/>
  <c r="AI859" i="5"/>
  <c r="AI843" i="5"/>
  <c r="AI857" i="5"/>
  <c r="AI841" i="5"/>
  <c r="AI771" i="5"/>
  <c r="AI754" i="5"/>
  <c r="AI738" i="5"/>
  <c r="AI722" i="5"/>
  <c r="AI706" i="5"/>
  <c r="AI690" i="5"/>
  <c r="AI767" i="5"/>
  <c r="AI751" i="5"/>
  <c r="AI735" i="5"/>
  <c r="AI719" i="5"/>
  <c r="AI703" i="5"/>
  <c r="AI687" i="5"/>
  <c r="AI756" i="5"/>
  <c r="AI740" i="5"/>
  <c r="AI724" i="5"/>
  <c r="AI708" i="5"/>
  <c r="AI692" i="5"/>
  <c r="AI681" i="5"/>
  <c r="AI497" i="5"/>
  <c r="AI544" i="5"/>
  <c r="AI528" i="5"/>
  <c r="AI512" i="5"/>
  <c r="AI498" i="5"/>
  <c r="AI551" i="5"/>
  <c r="AI535" i="5"/>
  <c r="AI519" i="5"/>
  <c r="AI503" i="5"/>
  <c r="AI550" i="5"/>
  <c r="AI534" i="5"/>
  <c r="AI518" i="5"/>
  <c r="AI500" i="5"/>
  <c r="AI397" i="5"/>
  <c r="AI381" i="5"/>
  <c r="AI370" i="5"/>
  <c r="AI353" i="5"/>
  <c r="AI335" i="5"/>
  <c r="AI387" i="5"/>
  <c r="AI371" i="5"/>
  <c r="AI384" i="5"/>
  <c r="AI368" i="5"/>
  <c r="AI339" i="5"/>
  <c r="AI319" i="5"/>
  <c r="AI271" i="5"/>
  <c r="AI230" i="5"/>
  <c r="AI214" i="5"/>
  <c r="AI198" i="5"/>
  <c r="AI182" i="5"/>
  <c r="AI168" i="5"/>
  <c r="AI143" i="5"/>
  <c r="AI127" i="5"/>
  <c r="AI111" i="5"/>
  <c r="AI318" i="5"/>
  <c r="AI286" i="5"/>
  <c r="AI254" i="5"/>
  <c r="AI323" i="5"/>
  <c r="AI307" i="5"/>
  <c r="AI291" i="5"/>
  <c r="AI275" i="5"/>
  <c r="AI259" i="5"/>
  <c r="AI243" i="5"/>
  <c r="AI225" i="5"/>
  <c r="AI209" i="5"/>
  <c r="AI193" i="5"/>
  <c r="AI177" i="5"/>
  <c r="AI145" i="5"/>
  <c r="AI129" i="5"/>
  <c r="AI113" i="5"/>
  <c r="AI82" i="5"/>
  <c r="AI63" i="5"/>
  <c r="AI47" i="5"/>
  <c r="AI31" i="5"/>
  <c r="AI15" i="5"/>
  <c r="AI60" i="5"/>
  <c r="AI44" i="5"/>
  <c r="AI28" i="5"/>
  <c r="AI12" i="5"/>
  <c r="AI86" i="5"/>
  <c r="AI69" i="5"/>
  <c r="AI53" i="5"/>
  <c r="AI37" i="5"/>
  <c r="AI21" i="5"/>
  <c r="AI5" i="5"/>
  <c r="U957" i="3"/>
  <c r="R318" i="3"/>
  <c r="S318" i="3" s="1"/>
  <c r="R322" i="3"/>
  <c r="T322" i="3" s="1"/>
  <c r="R326" i="3"/>
  <c r="T326" i="3" s="1"/>
  <c r="R330" i="3"/>
  <c r="T330" i="3" s="1"/>
  <c r="R334" i="3"/>
  <c r="S334" i="3" s="1"/>
  <c r="R350" i="3"/>
  <c r="T350" i="3" s="1"/>
  <c r="R354" i="3"/>
  <c r="T354" i="3" s="1"/>
  <c r="R358" i="3"/>
  <c r="S358" i="3" s="1"/>
  <c r="R362" i="3"/>
  <c r="S362" i="3" s="1"/>
  <c r="R366" i="3"/>
  <c r="T366" i="3" s="1"/>
  <c r="R370" i="3"/>
  <c r="S370" i="3" s="1"/>
  <c r="R374" i="3"/>
  <c r="S374" i="3" s="1"/>
  <c r="R378" i="3"/>
  <c r="S378" i="3" s="1"/>
  <c r="R382" i="3"/>
  <c r="S382" i="3" s="1"/>
  <c r="R386" i="3"/>
  <c r="S386" i="3" s="1"/>
  <c r="R390" i="3"/>
  <c r="S390" i="3" s="1"/>
  <c r="R879" i="3"/>
  <c r="T879" i="3" s="1"/>
  <c r="R894" i="3"/>
  <c r="S894" i="3" s="1"/>
  <c r="R901" i="3"/>
  <c r="T901" i="3" s="1"/>
  <c r="R904" i="3"/>
  <c r="T904" i="3" s="1"/>
  <c r="R48" i="3"/>
  <c r="T48" i="3" s="1"/>
  <c r="R52" i="3"/>
  <c r="T52" i="3" s="1"/>
  <c r="R56" i="3"/>
  <c r="S56" i="3" s="1"/>
  <c r="R60" i="3"/>
  <c r="S60" i="3" s="1"/>
  <c r="R64" i="3"/>
  <c r="S64" i="3" s="1"/>
  <c r="R68" i="3"/>
  <c r="S68" i="3" s="1"/>
  <c r="R72" i="3"/>
  <c r="R76" i="3"/>
  <c r="S76" i="3" s="1"/>
  <c r="R80" i="3"/>
  <c r="T80" i="3" s="1"/>
  <c r="R84" i="3"/>
  <c r="T84" i="3" s="1"/>
  <c r="R108" i="3"/>
  <c r="S108" i="3" s="1"/>
  <c r="R112" i="3"/>
  <c r="R116" i="3"/>
  <c r="S116" i="3" s="1"/>
  <c r="R120" i="3"/>
  <c r="T120" i="3" s="1"/>
  <c r="R124" i="3"/>
  <c r="S124" i="3" s="1"/>
  <c r="R128" i="3"/>
  <c r="R132" i="3"/>
  <c r="T132" i="3" s="1"/>
  <c r="R136" i="3"/>
  <c r="S136" i="3" s="1"/>
  <c r="R150" i="3"/>
  <c r="S150" i="3" s="1"/>
  <c r="R224" i="3"/>
  <c r="R228" i="3"/>
  <c r="T228" i="3" s="1"/>
  <c r="R232" i="3"/>
  <c r="T232" i="3" s="1"/>
  <c r="R236" i="3"/>
  <c r="S236" i="3" s="1"/>
  <c r="R240" i="3"/>
  <c r="T240" i="3" s="1"/>
  <c r="R244" i="3"/>
  <c r="T244" i="3" s="1"/>
  <c r="R248" i="3"/>
  <c r="S248" i="3" s="1"/>
  <c r="R252" i="3"/>
  <c r="S252" i="3" s="1"/>
  <c r="R256" i="3"/>
  <c r="T256" i="3" s="1"/>
  <c r="R260" i="3"/>
  <c r="S260" i="3" s="1"/>
  <c r="R264" i="3"/>
  <c r="T264" i="3" s="1"/>
  <c r="R268" i="3"/>
  <c r="T268" i="3" s="1"/>
  <c r="R272" i="3"/>
  <c r="R276" i="3"/>
  <c r="T276" i="3" s="1"/>
  <c r="R280" i="3"/>
  <c r="T280" i="3" s="1"/>
  <c r="R735" i="3"/>
  <c r="T735" i="3" s="1"/>
  <c r="R776" i="3"/>
  <c r="T776" i="3" s="1"/>
  <c r="R794" i="3"/>
  <c r="T794" i="3" s="1"/>
  <c r="R809" i="3"/>
  <c r="T809" i="3" s="1"/>
  <c r="R811" i="3"/>
  <c r="T811" i="3" s="1"/>
  <c r="R815" i="3"/>
  <c r="T815" i="3" s="1"/>
  <c r="R825" i="3"/>
  <c r="T825" i="3" s="1"/>
  <c r="R860" i="3"/>
  <c r="T860" i="3" s="1"/>
  <c r="R861" i="3"/>
  <c r="S861" i="3" s="1"/>
  <c r="R865" i="3"/>
  <c r="T865" i="3" s="1"/>
  <c r="R505" i="3"/>
  <c r="T505" i="3" s="1"/>
  <c r="R709" i="3"/>
  <c r="T709" i="3" s="1"/>
  <c r="R713" i="3"/>
  <c r="S713" i="3" s="1"/>
  <c r="R717" i="3"/>
  <c r="T717" i="3" s="1"/>
  <c r="R721" i="3"/>
  <c r="T721" i="3" s="1"/>
  <c r="R725" i="3"/>
  <c r="S725" i="3" s="1"/>
  <c r="R729" i="3"/>
  <c r="T729" i="3" s="1"/>
  <c r="R769" i="3"/>
  <c r="S769" i="3" s="1"/>
  <c r="R915" i="3"/>
  <c r="T915" i="3" s="1"/>
  <c r="R28" i="3"/>
  <c r="T28" i="3" s="1"/>
  <c r="R44" i="3"/>
  <c r="S44" i="3" s="1"/>
  <c r="R49" i="3"/>
  <c r="S49" i="3" s="1"/>
  <c r="R53" i="3"/>
  <c r="S53" i="3" s="1"/>
  <c r="R57" i="3"/>
  <c r="T57" i="3" s="1"/>
  <c r="R61" i="3"/>
  <c r="S61" i="3" s="1"/>
  <c r="R65" i="3"/>
  <c r="R69" i="3"/>
  <c r="S69" i="3" s="1"/>
  <c r="R73" i="3"/>
  <c r="S73" i="3" s="1"/>
  <c r="R77" i="3"/>
  <c r="R81" i="3"/>
  <c r="S81" i="3" s="1"/>
  <c r="R85" i="3"/>
  <c r="S85" i="3" s="1"/>
  <c r="R89" i="3"/>
  <c r="S89" i="3" s="1"/>
  <c r="R93" i="3"/>
  <c r="R97" i="3"/>
  <c r="S97" i="3" s="1"/>
  <c r="R101" i="3"/>
  <c r="S101" i="3" s="1"/>
  <c r="R105" i="3"/>
  <c r="S105" i="3" s="1"/>
  <c r="R109" i="3"/>
  <c r="T109" i="3" s="1"/>
  <c r="R125" i="3"/>
  <c r="R129" i="3"/>
  <c r="T129" i="3" s="1"/>
  <c r="R133" i="3"/>
  <c r="T133" i="3" s="1"/>
  <c r="R185" i="3"/>
  <c r="T185" i="3" s="1"/>
  <c r="R189" i="3"/>
  <c r="T189" i="3" s="1"/>
  <c r="R397" i="3"/>
  <c r="S397" i="3" s="1"/>
  <c r="R148" i="3"/>
  <c r="T148" i="3" s="1"/>
  <c r="R152" i="3"/>
  <c r="S152" i="3" s="1"/>
  <c r="R320" i="3"/>
  <c r="R324" i="3"/>
  <c r="T324" i="3" s="1"/>
  <c r="R328" i="3"/>
  <c r="T328" i="3" s="1"/>
  <c r="R332" i="3"/>
  <c r="T332" i="3" s="1"/>
  <c r="R344" i="3"/>
  <c r="T344" i="3" s="1"/>
  <c r="R348" i="3"/>
  <c r="T348" i="3" s="1"/>
  <c r="R352" i="3"/>
  <c r="T352" i="3" s="1"/>
  <c r="R364" i="3"/>
  <c r="T364" i="3" s="1"/>
  <c r="R368" i="3"/>
  <c r="S368" i="3" s="1"/>
  <c r="R372" i="3"/>
  <c r="T372" i="3" s="1"/>
  <c r="R376" i="3"/>
  <c r="T376" i="3" s="1"/>
  <c r="R380" i="3"/>
  <c r="T380" i="3" s="1"/>
  <c r="R384" i="3"/>
  <c r="T384" i="3" s="1"/>
  <c r="R388" i="3"/>
  <c r="T388" i="3" s="1"/>
  <c r="R401" i="3"/>
  <c r="T401" i="3" s="1"/>
  <c r="R402" i="3"/>
  <c r="S402" i="3" s="1"/>
  <c r="R403" i="3"/>
  <c r="S403" i="3" s="1"/>
  <c r="R405" i="3"/>
  <c r="S405" i="3" s="1"/>
  <c r="R409" i="3"/>
  <c r="T409" i="3" s="1"/>
  <c r="R413" i="3"/>
  <c r="S413" i="3" s="1"/>
  <c r="R417" i="3"/>
  <c r="R421" i="3"/>
  <c r="S421" i="3" s="1"/>
  <c r="R425" i="3"/>
  <c r="T425" i="3" s="1"/>
  <c r="R429" i="3"/>
  <c r="S429" i="3" s="1"/>
  <c r="R433" i="3"/>
  <c r="T433" i="3" s="1"/>
  <c r="R437" i="3"/>
  <c r="S437" i="3" s="1"/>
  <c r="R441" i="3"/>
  <c r="S441" i="3" s="1"/>
  <c r="R445" i="3"/>
  <c r="S445" i="3" s="1"/>
  <c r="R449" i="3"/>
  <c r="T449" i="3" s="1"/>
  <c r="R453" i="3"/>
  <c r="S453" i="3" s="1"/>
  <c r="R457" i="3"/>
  <c r="T457" i="3" s="1"/>
  <c r="R2" i="3"/>
  <c r="T2" i="3" s="1"/>
  <c r="R6" i="3"/>
  <c r="R10" i="3"/>
  <c r="S10" i="3" s="1"/>
  <c r="R14" i="3"/>
  <c r="S14" i="3" s="1"/>
  <c r="R18" i="3"/>
  <c r="S18" i="3" s="1"/>
  <c r="R22" i="3"/>
  <c r="S22" i="3" s="1"/>
  <c r="R26" i="3"/>
  <c r="T26" i="3" s="1"/>
  <c r="R30" i="3"/>
  <c r="S30" i="3" s="1"/>
  <c r="R34" i="3"/>
  <c r="S34" i="3" s="1"/>
  <c r="R38" i="3"/>
  <c r="S38" i="3" s="1"/>
  <c r="R584" i="3"/>
  <c r="S584" i="3" s="1"/>
  <c r="R588" i="3"/>
  <c r="S588" i="3" s="1"/>
  <c r="R592" i="3"/>
  <c r="T592" i="3" s="1"/>
  <c r="R596" i="3"/>
  <c r="R600" i="3"/>
  <c r="S600" i="3" s="1"/>
  <c r="R604" i="3"/>
  <c r="S604" i="3" s="1"/>
  <c r="R608" i="3"/>
  <c r="S608" i="3" s="1"/>
  <c r="R612" i="3"/>
  <c r="R616" i="3"/>
  <c r="S616" i="3" s="1"/>
  <c r="R620" i="3"/>
  <c r="T620" i="3" s="1"/>
  <c r="R624" i="3"/>
  <c r="S624" i="3" s="1"/>
  <c r="R628" i="3"/>
  <c r="R632" i="3"/>
  <c r="S632" i="3" s="1"/>
  <c r="R636" i="3"/>
  <c r="S636" i="3" s="1"/>
  <c r="R640" i="3"/>
  <c r="S640" i="3" s="1"/>
  <c r="R644" i="3"/>
  <c r="R648" i="3"/>
  <c r="S648" i="3" s="1"/>
  <c r="R652" i="3"/>
  <c r="S652" i="3" s="1"/>
  <c r="R656" i="3"/>
  <c r="S656" i="3" s="1"/>
  <c r="R691" i="3"/>
  <c r="R694" i="3"/>
  <c r="S694" i="3" s="1"/>
  <c r="R697" i="3"/>
  <c r="T697" i="3" s="1"/>
  <c r="R700" i="3"/>
  <c r="R704" i="3"/>
  <c r="R779" i="3"/>
  <c r="T779" i="3" s="1"/>
  <c r="R798" i="3"/>
  <c r="T798" i="3" s="1"/>
  <c r="R828" i="3"/>
  <c r="T828" i="3" s="1"/>
  <c r="R830" i="3"/>
  <c r="T830" i="3" s="1"/>
  <c r="R849" i="3"/>
  <c r="S849" i="3" s="1"/>
  <c r="R867" i="3"/>
  <c r="T867" i="3" s="1"/>
  <c r="R868" i="3"/>
  <c r="T868" i="3" s="1"/>
  <c r="R882" i="3"/>
  <c r="T882" i="3" s="1"/>
  <c r="R886" i="3"/>
  <c r="T886" i="3" s="1"/>
  <c r="R890" i="3"/>
  <c r="S890" i="3" s="1"/>
  <c r="R907" i="3"/>
  <c r="T907" i="3" s="1"/>
  <c r="R921" i="3"/>
  <c r="T921" i="3" s="1"/>
  <c r="R923" i="3"/>
  <c r="T923" i="3" s="1"/>
  <c r="R935" i="3"/>
  <c r="S935" i="3" s="1"/>
  <c r="R461" i="3"/>
  <c r="S461" i="3" s="1"/>
  <c r="R465" i="3"/>
  <c r="R469" i="3"/>
  <c r="S469" i="3" s="1"/>
  <c r="R473" i="3"/>
  <c r="T473" i="3" s="1"/>
  <c r="R477" i="3"/>
  <c r="R481" i="3"/>
  <c r="T481" i="3" s="1"/>
  <c r="R485" i="3"/>
  <c r="S485" i="3" s="1"/>
  <c r="R489" i="3"/>
  <c r="S489" i="3" s="1"/>
  <c r="R493" i="3"/>
  <c r="R497" i="3"/>
  <c r="S497" i="3" s="1"/>
  <c r="R501" i="3"/>
  <c r="S501" i="3" s="1"/>
  <c r="R507" i="3"/>
  <c r="S507" i="3" s="1"/>
  <c r="R511" i="3"/>
  <c r="S511" i="3" s="1"/>
  <c r="R515" i="3"/>
  <c r="T515" i="3" s="1"/>
  <c r="R519" i="3"/>
  <c r="T519" i="3" s="1"/>
  <c r="R523" i="3"/>
  <c r="S523" i="3" s="1"/>
  <c r="R527" i="3"/>
  <c r="S527" i="3" s="1"/>
  <c r="R531" i="3"/>
  <c r="T531" i="3" s="1"/>
  <c r="R535" i="3"/>
  <c r="T535" i="3" s="1"/>
  <c r="R539" i="3"/>
  <c r="S539" i="3" s="1"/>
  <c r="R543" i="3"/>
  <c r="T543" i="3" s="1"/>
  <c r="R711" i="3"/>
  <c r="R715" i="3"/>
  <c r="T715" i="3" s="1"/>
  <c r="R719" i="3"/>
  <c r="T719" i="3" s="1"/>
  <c r="R723" i="3"/>
  <c r="T723" i="3" s="1"/>
  <c r="R727" i="3"/>
  <c r="R733" i="3"/>
  <c r="T733" i="3" s="1"/>
  <c r="R737" i="3"/>
  <c r="S737" i="3" s="1"/>
  <c r="R795" i="3"/>
  <c r="T795" i="3" s="1"/>
  <c r="R802" i="3"/>
  <c r="S802" i="3" s="1"/>
  <c r="R832" i="3"/>
  <c r="T832" i="3" s="1"/>
  <c r="R835" i="3"/>
  <c r="T835" i="3" s="1"/>
  <c r="R839" i="3"/>
  <c r="R852" i="3"/>
  <c r="S852" i="3" s="1"/>
  <c r="R853" i="3"/>
  <c r="T853" i="3" s="1"/>
  <c r="R875" i="3"/>
  <c r="S875" i="3" s="1"/>
  <c r="R898" i="3"/>
  <c r="S898" i="3" s="1"/>
  <c r="R939" i="3"/>
  <c r="S939" i="3" s="1"/>
  <c r="R946" i="3"/>
  <c r="T946" i="3" s="1"/>
  <c r="R739" i="3"/>
  <c r="S739" i="3" s="1"/>
  <c r="R743" i="3"/>
  <c r="S743" i="3" s="1"/>
  <c r="R746" i="3"/>
  <c r="S746" i="3" s="1"/>
  <c r="R750" i="3"/>
  <c r="S750" i="3" s="1"/>
  <c r="R754" i="3"/>
  <c r="T754" i="3" s="1"/>
  <c r="R760" i="3"/>
  <c r="S760" i="3" s="1"/>
  <c r="R763" i="3"/>
  <c r="S763" i="3" s="1"/>
  <c r="R772" i="3"/>
  <c r="T772" i="3" s="1"/>
  <c r="R773" i="3"/>
  <c r="S773" i="3" s="1"/>
  <c r="R788" i="3"/>
  <c r="S788" i="3" s="1"/>
  <c r="R806" i="3"/>
  <c r="S806" i="3" s="1"/>
  <c r="R822" i="3"/>
  <c r="T822" i="3" s="1"/>
  <c r="R836" i="3"/>
  <c r="T836" i="3" s="1"/>
  <c r="R855" i="3"/>
  <c r="S855" i="3" s="1"/>
  <c r="R857" i="3"/>
  <c r="R872" i="3"/>
  <c r="S872" i="3" s="1"/>
  <c r="R884" i="3"/>
  <c r="T884" i="3" s="1"/>
  <c r="R899" i="3"/>
  <c r="T899" i="3" s="1"/>
  <c r="R914" i="3"/>
  <c r="T914" i="3" s="1"/>
  <c r="R581" i="3"/>
  <c r="S581" i="3" s="1"/>
  <c r="R585" i="3"/>
  <c r="T585" i="3" s="1"/>
  <c r="R589" i="3"/>
  <c r="S589" i="3" s="1"/>
  <c r="R593" i="3"/>
  <c r="S593" i="3" s="1"/>
  <c r="R597" i="3"/>
  <c r="T597" i="3" s="1"/>
  <c r="R601" i="3"/>
  <c r="S601" i="3" s="1"/>
  <c r="R605" i="3"/>
  <c r="S605" i="3" s="1"/>
  <c r="R609" i="3"/>
  <c r="S609" i="3" s="1"/>
  <c r="R613" i="3"/>
  <c r="S613" i="3" s="1"/>
  <c r="R617" i="3"/>
  <c r="S617" i="3" s="1"/>
  <c r="R621" i="3"/>
  <c r="T621" i="3" s="1"/>
  <c r="R625" i="3"/>
  <c r="S625" i="3" s="1"/>
  <c r="R629" i="3"/>
  <c r="S629" i="3" s="1"/>
  <c r="R633" i="3"/>
  <c r="T633" i="3" s="1"/>
  <c r="R637" i="3"/>
  <c r="T637" i="3" s="1"/>
  <c r="R641" i="3"/>
  <c r="S641" i="3" s="1"/>
  <c r="R645" i="3"/>
  <c r="T645" i="3" s="1"/>
  <c r="R649" i="3"/>
  <c r="T649" i="3" s="1"/>
  <c r="R653" i="3"/>
  <c r="T653" i="3" s="1"/>
  <c r="R657" i="3"/>
  <c r="S657" i="3" s="1"/>
  <c r="R821" i="3"/>
  <c r="T821" i="3" s="1"/>
  <c r="R906" i="3"/>
  <c r="T906" i="3" s="1"/>
  <c r="R916" i="3"/>
  <c r="T916" i="3" s="1"/>
  <c r="R3" i="3"/>
  <c r="S3" i="3" s="1"/>
  <c r="R7" i="3"/>
  <c r="S7" i="3" s="1"/>
  <c r="R11" i="3"/>
  <c r="S11" i="3" s="1"/>
  <c r="R15" i="3"/>
  <c r="S15" i="3" s="1"/>
  <c r="R19" i="3"/>
  <c r="S19" i="3" s="1"/>
  <c r="R23" i="3"/>
  <c r="T23" i="3" s="1"/>
  <c r="R454" i="3"/>
  <c r="S454" i="3" s="1"/>
  <c r="R458" i="3"/>
  <c r="S458" i="3" s="1"/>
  <c r="R462" i="3"/>
  <c r="S462" i="3" s="1"/>
  <c r="R466" i="3"/>
  <c r="S466" i="3" s="1"/>
  <c r="R470" i="3"/>
  <c r="T470" i="3" s="1"/>
  <c r="R474" i="3"/>
  <c r="R478" i="3"/>
  <c r="S478" i="3" s="1"/>
  <c r="R482" i="3"/>
  <c r="S482" i="3" s="1"/>
  <c r="R486" i="3"/>
  <c r="S486" i="3" s="1"/>
  <c r="R490" i="3"/>
  <c r="T490" i="3" s="1"/>
  <c r="R494" i="3"/>
  <c r="R742" i="3"/>
  <c r="S742" i="3" s="1"/>
  <c r="R745" i="3"/>
  <c r="S745" i="3" s="1"/>
  <c r="R749" i="3"/>
  <c r="S749" i="3" s="1"/>
  <c r="R752" i="3"/>
  <c r="R753" i="3"/>
  <c r="S753" i="3" s="1"/>
  <c r="R758" i="3"/>
  <c r="S758" i="3" s="1"/>
  <c r="R759" i="3"/>
  <c r="T759" i="3" s="1"/>
  <c r="R766" i="3"/>
  <c r="R930" i="3"/>
  <c r="S930" i="3" s="1"/>
  <c r="R227" i="3"/>
  <c r="S227" i="3" s="1"/>
  <c r="R235" i="3"/>
  <c r="R239" i="3"/>
  <c r="T239" i="3" s="1"/>
  <c r="R243" i="3"/>
  <c r="T243" i="3" s="1"/>
  <c r="R247" i="3"/>
  <c r="S247" i="3" s="1"/>
  <c r="R251" i="3"/>
  <c r="T251" i="3" s="1"/>
  <c r="R255" i="3"/>
  <c r="R259" i="3"/>
  <c r="S259" i="3" s="1"/>
  <c r="R263" i="3"/>
  <c r="T263" i="3" s="1"/>
  <c r="R279" i="3"/>
  <c r="R283" i="3"/>
  <c r="S283" i="3" s="1"/>
  <c r="R291" i="3"/>
  <c r="T291" i="3" s="1"/>
  <c r="R295" i="3"/>
  <c r="S295" i="3" s="1"/>
  <c r="R299" i="3"/>
  <c r="R45" i="3"/>
  <c r="S45" i="3" s="1"/>
  <c r="R88" i="3"/>
  <c r="S88" i="3" s="1"/>
  <c r="R92" i="3"/>
  <c r="T92" i="3" s="1"/>
  <c r="R96" i="3"/>
  <c r="T96" i="3" s="1"/>
  <c r="R100" i="3"/>
  <c r="R104" i="3"/>
  <c r="T104" i="3" s="1"/>
  <c r="R140" i="3"/>
  <c r="T140" i="3" s="1"/>
  <c r="R144" i="3"/>
  <c r="T144" i="3" s="1"/>
  <c r="R284" i="3"/>
  <c r="T284" i="3" s="1"/>
  <c r="R288" i="3"/>
  <c r="T288" i="3" s="1"/>
  <c r="R292" i="3"/>
  <c r="S292" i="3" s="1"/>
  <c r="R296" i="3"/>
  <c r="T296" i="3" s="1"/>
  <c r="R300" i="3"/>
  <c r="T300" i="3" s="1"/>
  <c r="R304" i="3"/>
  <c r="T304" i="3" s="1"/>
  <c r="R308" i="3"/>
  <c r="S308" i="3" s="1"/>
  <c r="R312" i="3"/>
  <c r="S312" i="3" s="1"/>
  <c r="R316" i="3"/>
  <c r="T316" i="3" s="1"/>
  <c r="R43" i="3"/>
  <c r="T43" i="3" s="1"/>
  <c r="R113" i="3"/>
  <c r="S113" i="3" s="1"/>
  <c r="R117" i="3"/>
  <c r="S117" i="3" s="1"/>
  <c r="R121" i="3"/>
  <c r="T121" i="3" s="1"/>
  <c r="R137" i="3"/>
  <c r="T137" i="3" s="1"/>
  <c r="R141" i="3"/>
  <c r="S141" i="3" s="1"/>
  <c r="R145" i="3"/>
  <c r="S145" i="3" s="1"/>
  <c r="R149" i="3"/>
  <c r="S149" i="3" s="1"/>
  <c r="R153" i="3"/>
  <c r="S153" i="3" s="1"/>
  <c r="R193" i="3"/>
  <c r="S193" i="3" s="1"/>
  <c r="R197" i="3"/>
  <c r="R201" i="3"/>
  <c r="R205" i="3"/>
  <c r="T205" i="3" s="1"/>
  <c r="R209" i="3"/>
  <c r="T209" i="3" s="1"/>
  <c r="R213" i="3"/>
  <c r="T213" i="3" s="1"/>
  <c r="R217" i="3"/>
  <c r="T217" i="3" s="1"/>
  <c r="R221" i="3"/>
  <c r="T221" i="3" s="1"/>
  <c r="R225" i="3"/>
  <c r="T225" i="3" s="1"/>
  <c r="R229" i="3"/>
  <c r="R233" i="3"/>
  <c r="S233" i="3" s="1"/>
  <c r="R237" i="3"/>
  <c r="S237" i="3" s="1"/>
  <c r="R241" i="3"/>
  <c r="T241" i="3" s="1"/>
  <c r="R245" i="3"/>
  <c r="S245" i="3" s="1"/>
  <c r="R249" i="3"/>
  <c r="R253" i="3"/>
  <c r="S253" i="3" s="1"/>
  <c r="R257" i="3"/>
  <c r="S257" i="3" s="1"/>
  <c r="R261" i="3"/>
  <c r="S261" i="3" s="1"/>
  <c r="R265" i="3"/>
  <c r="S265" i="3" s="1"/>
  <c r="R269" i="3"/>
  <c r="S269" i="3" s="1"/>
  <c r="R273" i="3"/>
  <c r="T273" i="3" s="1"/>
  <c r="R277" i="3"/>
  <c r="R281" i="3"/>
  <c r="S281" i="3" s="1"/>
  <c r="R285" i="3"/>
  <c r="S285" i="3" s="1"/>
  <c r="R289" i="3"/>
  <c r="S289" i="3" s="1"/>
  <c r="R293" i="3"/>
  <c r="T293" i="3" s="1"/>
  <c r="R297" i="3"/>
  <c r="S297" i="3" s="1"/>
  <c r="R301" i="3"/>
  <c r="S301" i="3" s="1"/>
  <c r="R305" i="3"/>
  <c r="T305" i="3" s="1"/>
  <c r="R309" i="3"/>
  <c r="S309" i="3" s="1"/>
  <c r="R313" i="3"/>
  <c r="S313" i="3" s="1"/>
  <c r="R396" i="3"/>
  <c r="S396" i="3" s="1"/>
  <c r="R404" i="3"/>
  <c r="T404" i="3" s="1"/>
  <c r="R410" i="3"/>
  <c r="S410" i="3" s="1"/>
  <c r="R414" i="3"/>
  <c r="S414" i="3" s="1"/>
  <c r="R418" i="3"/>
  <c r="S418" i="3" s="1"/>
  <c r="R422" i="3"/>
  <c r="S422" i="3" s="1"/>
  <c r="R426" i="3"/>
  <c r="R430" i="3"/>
  <c r="S430" i="3" s="1"/>
  <c r="R434" i="3"/>
  <c r="S434" i="3" s="1"/>
  <c r="R438" i="3"/>
  <c r="S438" i="3" s="1"/>
  <c r="R442" i="3"/>
  <c r="T442" i="3" s="1"/>
  <c r="R446" i="3"/>
  <c r="S446" i="3" s="1"/>
  <c r="R450" i="3"/>
  <c r="S450" i="3" s="1"/>
  <c r="R50" i="3"/>
  <c r="T50" i="3" s="1"/>
  <c r="R54" i="3"/>
  <c r="T54" i="3" s="1"/>
  <c r="R58" i="3"/>
  <c r="T58" i="3" s="1"/>
  <c r="R62" i="3"/>
  <c r="S62" i="3" s="1"/>
  <c r="R66" i="3"/>
  <c r="T66" i="3" s="1"/>
  <c r="R70" i="3"/>
  <c r="R74" i="3"/>
  <c r="T74" i="3" s="1"/>
  <c r="R78" i="3"/>
  <c r="S78" i="3" s="1"/>
  <c r="R82" i="3"/>
  <c r="R86" i="3"/>
  <c r="R90" i="3"/>
  <c r="T90" i="3" s="1"/>
  <c r="R94" i="3"/>
  <c r="S94" i="3" s="1"/>
  <c r="R98" i="3"/>
  <c r="T98" i="3" s="1"/>
  <c r="R102" i="3"/>
  <c r="T102" i="3" s="1"/>
  <c r="R106" i="3"/>
  <c r="T106" i="3" s="1"/>
  <c r="R110" i="3"/>
  <c r="S110" i="3" s="1"/>
  <c r="R114" i="3"/>
  <c r="T114" i="3" s="1"/>
  <c r="R118" i="3"/>
  <c r="S118" i="3" s="1"/>
  <c r="R122" i="3"/>
  <c r="T122" i="3" s="1"/>
  <c r="R126" i="3"/>
  <c r="S126" i="3" s="1"/>
  <c r="R130" i="3"/>
  <c r="T130" i="3" s="1"/>
  <c r="R134" i="3"/>
  <c r="R138" i="3"/>
  <c r="T138" i="3" s="1"/>
  <c r="R142" i="3"/>
  <c r="S142" i="3" s="1"/>
  <c r="R146" i="3"/>
  <c r="T146" i="3" s="1"/>
  <c r="R226" i="3"/>
  <c r="R230" i="3"/>
  <c r="T230" i="3" s="1"/>
  <c r="R234" i="3"/>
  <c r="S234" i="3" s="1"/>
  <c r="R238" i="3"/>
  <c r="S238" i="3" s="1"/>
  <c r="R242" i="3"/>
  <c r="R246" i="3"/>
  <c r="T246" i="3" s="1"/>
  <c r="R250" i="3"/>
  <c r="T250" i="3" s="1"/>
  <c r="R254" i="3"/>
  <c r="S254" i="3" s="1"/>
  <c r="R258" i="3"/>
  <c r="T258" i="3" s="1"/>
  <c r="R262" i="3"/>
  <c r="T262" i="3" s="1"/>
  <c r="R266" i="3"/>
  <c r="T266" i="3" s="1"/>
  <c r="R270" i="3"/>
  <c r="S270" i="3" s="1"/>
  <c r="R274" i="3"/>
  <c r="S274" i="3" s="1"/>
  <c r="R278" i="3"/>
  <c r="T278" i="3" s="1"/>
  <c r="R282" i="3"/>
  <c r="T282" i="3" s="1"/>
  <c r="R286" i="3"/>
  <c r="S286" i="3" s="1"/>
  <c r="R290" i="3"/>
  <c r="T290" i="3" s="1"/>
  <c r="R294" i="3"/>
  <c r="T294" i="3" s="1"/>
  <c r="R298" i="3"/>
  <c r="S298" i="3" s="1"/>
  <c r="R302" i="3"/>
  <c r="T302" i="3" s="1"/>
  <c r="R306" i="3"/>
  <c r="R310" i="3"/>
  <c r="T310" i="3" s="1"/>
  <c r="R314" i="3"/>
  <c r="T314" i="3" s="1"/>
  <c r="R338" i="3"/>
  <c r="T338" i="3" s="1"/>
  <c r="R342" i="3"/>
  <c r="R346" i="3"/>
  <c r="T346" i="3" s="1"/>
  <c r="R411" i="3"/>
  <c r="S411" i="3" s="1"/>
  <c r="R415" i="3"/>
  <c r="T415" i="3" s="1"/>
  <c r="R419" i="3"/>
  <c r="R423" i="3"/>
  <c r="S423" i="3" s="1"/>
  <c r="R427" i="3"/>
  <c r="S427" i="3" s="1"/>
  <c r="R431" i="3"/>
  <c r="S431" i="3" s="1"/>
  <c r="R435" i="3"/>
  <c r="T435" i="3" s="1"/>
  <c r="R439" i="3"/>
  <c r="S439" i="3" s="1"/>
  <c r="R443" i="3"/>
  <c r="T443" i="3" s="1"/>
  <c r="R447" i="3"/>
  <c r="S447" i="3" s="1"/>
  <c r="R451" i="3"/>
  <c r="S451" i="3" s="1"/>
  <c r="R455" i="3"/>
  <c r="S455" i="3" s="1"/>
  <c r="R459" i="3"/>
  <c r="T459" i="3" s="1"/>
  <c r="R463" i="3"/>
  <c r="S463" i="3" s="1"/>
  <c r="R467" i="3"/>
  <c r="R471" i="3"/>
  <c r="S471" i="3" s="1"/>
  <c r="R475" i="3"/>
  <c r="R479" i="3"/>
  <c r="S479" i="3" s="1"/>
  <c r="R483" i="3"/>
  <c r="T483" i="3" s="1"/>
  <c r="R487" i="3"/>
  <c r="R491" i="3"/>
  <c r="R495" i="3"/>
  <c r="S495" i="3" s="1"/>
  <c r="R499" i="3"/>
  <c r="S499" i="3" s="1"/>
  <c r="R503" i="3"/>
  <c r="S503" i="3" s="1"/>
  <c r="R47" i="3"/>
  <c r="S47" i="3" s="1"/>
  <c r="R51" i="3"/>
  <c r="R55" i="3"/>
  <c r="T55" i="3" s="1"/>
  <c r="R59" i="3"/>
  <c r="S59" i="3" s="1"/>
  <c r="R63" i="3"/>
  <c r="T63" i="3" s="1"/>
  <c r="R67" i="3"/>
  <c r="S67" i="3" s="1"/>
  <c r="R71" i="3"/>
  <c r="R75" i="3"/>
  <c r="S75" i="3" s="1"/>
  <c r="R79" i="3"/>
  <c r="S79" i="3" s="1"/>
  <c r="R83" i="3"/>
  <c r="S83" i="3" s="1"/>
  <c r="R87" i="3"/>
  <c r="T87" i="3" s="1"/>
  <c r="R91" i="3"/>
  <c r="S91" i="3" s="1"/>
  <c r="R95" i="3"/>
  <c r="S95" i="3" s="1"/>
  <c r="R99" i="3"/>
  <c r="S99" i="3" s="1"/>
  <c r="R103" i="3"/>
  <c r="R107" i="3"/>
  <c r="S107" i="3" s="1"/>
  <c r="R111" i="3"/>
  <c r="S111" i="3" s="1"/>
  <c r="R115" i="3"/>
  <c r="S115" i="3" s="1"/>
  <c r="R119" i="3"/>
  <c r="T119" i="3" s="1"/>
  <c r="R123" i="3"/>
  <c r="S123" i="3" s="1"/>
  <c r="R127" i="3"/>
  <c r="T127" i="3" s="1"/>
  <c r="R131" i="3"/>
  <c r="S131" i="3" s="1"/>
  <c r="R135" i="3"/>
  <c r="T135" i="3" s="1"/>
  <c r="R139" i="3"/>
  <c r="S139" i="3" s="1"/>
  <c r="R143" i="3"/>
  <c r="S143" i="3" s="1"/>
  <c r="R147" i="3"/>
  <c r="S147" i="3" s="1"/>
  <c r="R151" i="3"/>
  <c r="R155" i="3"/>
  <c r="S155" i="3" s="1"/>
  <c r="R159" i="3"/>
  <c r="T159" i="3" s="1"/>
  <c r="R163" i="3"/>
  <c r="T163" i="3" s="1"/>
  <c r="R167" i="3"/>
  <c r="R171" i="3"/>
  <c r="S171" i="3" s="1"/>
  <c r="R175" i="3"/>
  <c r="T175" i="3" s="1"/>
  <c r="R179" i="3"/>
  <c r="T179" i="3" s="1"/>
  <c r="R183" i="3"/>
  <c r="T183" i="3" s="1"/>
  <c r="R231" i="3"/>
  <c r="T231" i="3" s="1"/>
  <c r="R267" i="3"/>
  <c r="S267" i="3" s="1"/>
  <c r="R271" i="3"/>
  <c r="T271" i="3" s="1"/>
  <c r="R275" i="3"/>
  <c r="S275" i="3" s="1"/>
  <c r="R287" i="3"/>
  <c r="T287" i="3" s="1"/>
  <c r="R303" i="3"/>
  <c r="T303" i="3" s="1"/>
  <c r="R307" i="3"/>
  <c r="T307" i="3" s="1"/>
  <c r="R311" i="3"/>
  <c r="R315" i="3"/>
  <c r="S315" i="3" s="1"/>
  <c r="R400" i="3"/>
  <c r="S400" i="3" s="1"/>
  <c r="R408" i="3"/>
  <c r="S408" i="3" s="1"/>
  <c r="R412" i="3"/>
  <c r="T412" i="3" s="1"/>
  <c r="R416" i="3"/>
  <c r="R420" i="3"/>
  <c r="T420" i="3" s="1"/>
  <c r="R424" i="3"/>
  <c r="T424" i="3" s="1"/>
  <c r="R428" i="3"/>
  <c r="S428" i="3" s="1"/>
  <c r="R432" i="3"/>
  <c r="R436" i="3"/>
  <c r="S436" i="3" s="1"/>
  <c r="R440" i="3"/>
  <c r="T440" i="3" s="1"/>
  <c r="R444" i="3"/>
  <c r="S444" i="3" s="1"/>
  <c r="R448" i="3"/>
  <c r="T448" i="3" s="1"/>
  <c r="R452" i="3"/>
  <c r="S452" i="3" s="1"/>
  <c r="R456" i="3"/>
  <c r="R460" i="3"/>
  <c r="T460" i="3" s="1"/>
  <c r="R464" i="3"/>
  <c r="R468" i="3"/>
  <c r="S468" i="3" s="1"/>
  <c r="R472" i="3"/>
  <c r="T472" i="3" s="1"/>
  <c r="R476" i="3"/>
  <c r="S476" i="3" s="1"/>
  <c r="R480" i="3"/>
  <c r="R484" i="3"/>
  <c r="T484" i="3" s="1"/>
  <c r="R488" i="3"/>
  <c r="S488" i="3" s="1"/>
  <c r="R492" i="3"/>
  <c r="S492" i="3" s="1"/>
  <c r="R496" i="3"/>
  <c r="T496" i="3" s="1"/>
  <c r="R498" i="3"/>
  <c r="T498" i="3" s="1"/>
  <c r="R502" i="3"/>
  <c r="T502" i="3" s="1"/>
  <c r="R506" i="3"/>
  <c r="S506" i="3" s="1"/>
  <c r="R554" i="3"/>
  <c r="T554" i="3" s="1"/>
  <c r="R570" i="3"/>
  <c r="T570" i="3" s="1"/>
  <c r="R574" i="3"/>
  <c r="T574" i="3" s="1"/>
  <c r="R578" i="3"/>
  <c r="R582" i="3"/>
  <c r="S582" i="3" s="1"/>
  <c r="R586" i="3"/>
  <c r="S586" i="3" s="1"/>
  <c r="R590" i="3"/>
  <c r="T590" i="3" s="1"/>
  <c r="R594" i="3"/>
  <c r="R598" i="3"/>
  <c r="S598" i="3" s="1"/>
  <c r="R602" i="3"/>
  <c r="T602" i="3" s="1"/>
  <c r="R606" i="3"/>
  <c r="T606" i="3" s="1"/>
  <c r="R610" i="3"/>
  <c r="R614" i="3"/>
  <c r="S614" i="3" s="1"/>
  <c r="R618" i="3"/>
  <c r="T618" i="3" s="1"/>
  <c r="R622" i="3"/>
  <c r="S622" i="3" s="1"/>
  <c r="R626" i="3"/>
  <c r="T626" i="3" s="1"/>
  <c r="R630" i="3"/>
  <c r="S630" i="3" s="1"/>
  <c r="R634" i="3"/>
  <c r="S634" i="3" s="1"/>
  <c r="R638" i="3"/>
  <c r="T638" i="3" s="1"/>
  <c r="R642" i="3"/>
  <c r="T642" i="3" s="1"/>
  <c r="R646" i="3"/>
  <c r="S646" i="3" s="1"/>
  <c r="R650" i="3"/>
  <c r="S650" i="3" s="1"/>
  <c r="R654" i="3"/>
  <c r="T654" i="3" s="1"/>
  <c r="R662" i="3"/>
  <c r="S662" i="3" s="1"/>
  <c r="R666" i="3"/>
  <c r="T666" i="3" s="1"/>
  <c r="R670" i="3"/>
  <c r="S670" i="3" s="1"/>
  <c r="R674" i="3"/>
  <c r="S674" i="3" s="1"/>
  <c r="R678" i="3"/>
  <c r="S678" i="3" s="1"/>
  <c r="R682" i="3"/>
  <c r="T682" i="3" s="1"/>
  <c r="R686" i="3"/>
  <c r="T686" i="3" s="1"/>
  <c r="R740" i="3"/>
  <c r="T740" i="3" s="1"/>
  <c r="R744" i="3"/>
  <c r="R747" i="3"/>
  <c r="T747" i="3" s="1"/>
  <c r="R755" i="3"/>
  <c r="S755" i="3" s="1"/>
  <c r="R761" i="3"/>
  <c r="S761" i="3" s="1"/>
  <c r="R764" i="3"/>
  <c r="R767" i="3"/>
  <c r="S767" i="3" s="1"/>
  <c r="R583" i="3"/>
  <c r="T583" i="3" s="1"/>
  <c r="R587" i="3"/>
  <c r="S587" i="3" s="1"/>
  <c r="R591" i="3"/>
  <c r="T591" i="3" s="1"/>
  <c r="R595" i="3"/>
  <c r="R599" i="3"/>
  <c r="T599" i="3" s="1"/>
  <c r="R603" i="3"/>
  <c r="T603" i="3" s="1"/>
  <c r="R607" i="3"/>
  <c r="S607" i="3" s="1"/>
  <c r="R611" i="3"/>
  <c r="S611" i="3" s="1"/>
  <c r="R615" i="3"/>
  <c r="T615" i="3" s="1"/>
  <c r="R619" i="3"/>
  <c r="T619" i="3" s="1"/>
  <c r="R623" i="3"/>
  <c r="R627" i="3"/>
  <c r="S627" i="3" s="1"/>
  <c r="R631" i="3"/>
  <c r="T631" i="3" s="1"/>
  <c r="R635" i="3"/>
  <c r="T635" i="3" s="1"/>
  <c r="R639" i="3"/>
  <c r="T639" i="3" s="1"/>
  <c r="R643" i="3"/>
  <c r="R647" i="3"/>
  <c r="T647" i="3" s="1"/>
  <c r="R651" i="3"/>
  <c r="S651" i="3" s="1"/>
  <c r="R655" i="3"/>
  <c r="S655" i="3" s="1"/>
  <c r="R741" i="3"/>
  <c r="R748" i="3"/>
  <c r="S748" i="3" s="1"/>
  <c r="R751" i="3"/>
  <c r="S751" i="3" s="1"/>
  <c r="R756" i="3"/>
  <c r="S756" i="3" s="1"/>
  <c r="R757" i="3"/>
  <c r="R762" i="3"/>
  <c r="T762" i="3" s="1"/>
  <c r="R765" i="3"/>
  <c r="T765" i="3" s="1"/>
  <c r="R768" i="3"/>
  <c r="R771" i="3"/>
  <c r="R774" i="3"/>
  <c r="T774" i="3" s="1"/>
  <c r="R786" i="3"/>
  <c r="T786" i="3" s="1"/>
  <c r="R500" i="3"/>
  <c r="R504" i="3"/>
  <c r="S504" i="3" s="1"/>
  <c r="R789" i="3"/>
  <c r="S789" i="3" s="1"/>
  <c r="R803" i="3"/>
  <c r="S803" i="3" s="1"/>
  <c r="R812" i="3"/>
  <c r="T812" i="3" s="1"/>
  <c r="R777" i="3"/>
  <c r="T777" i="3" s="1"/>
  <c r="R792" i="3"/>
  <c r="S792" i="3" s="1"/>
  <c r="R797" i="3"/>
  <c r="S797" i="3" s="1"/>
  <c r="R804" i="3"/>
  <c r="R805" i="3"/>
  <c r="S805" i="3" s="1"/>
  <c r="R810" i="3"/>
  <c r="T810" i="3" s="1"/>
  <c r="R817" i="3"/>
  <c r="S817" i="3" s="1"/>
  <c r="R820" i="3"/>
  <c r="S820" i="3" s="1"/>
  <c r="R823" i="3"/>
  <c r="R824" i="3"/>
  <c r="S824" i="3" s="1"/>
  <c r="R833" i="3"/>
  <c r="S833" i="3" s="1"/>
  <c r="R870" i="3"/>
  <c r="T870" i="3" s="1"/>
  <c r="R908" i="3"/>
  <c r="S908" i="3" s="1"/>
  <c r="R920" i="3"/>
  <c r="T920" i="3" s="1"/>
  <c r="R928" i="3"/>
  <c r="T928" i="3" s="1"/>
  <c r="R936" i="3"/>
  <c r="R941" i="3"/>
  <c r="T941" i="3" s="1"/>
  <c r="R947" i="3"/>
  <c r="T947" i="3" s="1"/>
  <c r="R877" i="3"/>
  <c r="S877" i="3" s="1"/>
  <c r="R892" i="3"/>
  <c r="R919" i="3"/>
  <c r="S919" i="3" s="1"/>
  <c r="R942" i="3"/>
  <c r="T942" i="3" s="1"/>
  <c r="R944" i="3"/>
  <c r="S944" i="3" s="1"/>
  <c r="R826" i="3"/>
  <c r="S826" i="3" s="1"/>
  <c r="R940" i="3"/>
  <c r="S940" i="3" s="1"/>
  <c r="R891" i="3"/>
  <c r="S891" i="3" s="1"/>
  <c r="R938" i="3"/>
  <c r="S938" i="3" s="1"/>
  <c r="R5" i="3"/>
  <c r="R9" i="3"/>
  <c r="R13" i="3"/>
  <c r="R17" i="3"/>
  <c r="R21" i="3"/>
  <c r="R25" i="3"/>
  <c r="R29" i="3"/>
  <c r="R33" i="3"/>
  <c r="R37" i="3"/>
  <c r="R41" i="3"/>
  <c r="R42" i="3"/>
  <c r="S50" i="3"/>
  <c r="S54" i="3"/>
  <c r="R4" i="3"/>
  <c r="R8" i="3"/>
  <c r="R12" i="3"/>
  <c r="R16" i="3"/>
  <c r="R20" i="3"/>
  <c r="R24" i="3"/>
  <c r="R32" i="3"/>
  <c r="R36" i="3"/>
  <c r="R40" i="3"/>
  <c r="R27" i="3"/>
  <c r="R31" i="3"/>
  <c r="R35" i="3"/>
  <c r="R39" i="3"/>
  <c r="R46" i="3"/>
  <c r="S84" i="3"/>
  <c r="R156" i="3"/>
  <c r="R160" i="3"/>
  <c r="R164" i="3"/>
  <c r="R168" i="3"/>
  <c r="R172" i="3"/>
  <c r="R176" i="3"/>
  <c r="R180" i="3"/>
  <c r="R184" i="3"/>
  <c r="R188" i="3"/>
  <c r="R192" i="3"/>
  <c r="R196" i="3"/>
  <c r="R200" i="3"/>
  <c r="R204" i="3"/>
  <c r="R208" i="3"/>
  <c r="R212" i="3"/>
  <c r="R216" i="3"/>
  <c r="R220" i="3"/>
  <c r="R187" i="3"/>
  <c r="R191" i="3"/>
  <c r="R195" i="3"/>
  <c r="R199" i="3"/>
  <c r="R203" i="3"/>
  <c r="R207" i="3"/>
  <c r="R211" i="3"/>
  <c r="R215" i="3"/>
  <c r="R219" i="3"/>
  <c r="R223" i="3"/>
  <c r="R154" i="3"/>
  <c r="R158" i="3"/>
  <c r="R162" i="3"/>
  <c r="R166" i="3"/>
  <c r="R170" i="3"/>
  <c r="R174" i="3"/>
  <c r="R178" i="3"/>
  <c r="R182" i="3"/>
  <c r="R186" i="3"/>
  <c r="R190" i="3"/>
  <c r="R194" i="3"/>
  <c r="R198" i="3"/>
  <c r="R202" i="3"/>
  <c r="R206" i="3"/>
  <c r="R210" i="3"/>
  <c r="R214" i="3"/>
  <c r="R218" i="3"/>
  <c r="R222" i="3"/>
  <c r="R157" i="3"/>
  <c r="R161" i="3"/>
  <c r="R165" i="3"/>
  <c r="R169" i="3"/>
  <c r="R173" i="3"/>
  <c r="R177" i="3"/>
  <c r="R181" i="3"/>
  <c r="R356" i="3"/>
  <c r="R360" i="3"/>
  <c r="R392" i="3"/>
  <c r="R394" i="3"/>
  <c r="R398" i="3"/>
  <c r="R399" i="3"/>
  <c r="R406" i="3"/>
  <c r="R407" i="3"/>
  <c r="R319" i="3"/>
  <c r="R323" i="3"/>
  <c r="R327" i="3"/>
  <c r="R331" i="3"/>
  <c r="R335" i="3"/>
  <c r="R339" i="3"/>
  <c r="R343" i="3"/>
  <c r="R347" i="3"/>
  <c r="R351" i="3"/>
  <c r="R355" i="3"/>
  <c r="R359" i="3"/>
  <c r="R363" i="3"/>
  <c r="R367" i="3"/>
  <c r="R371" i="3"/>
  <c r="R375" i="3"/>
  <c r="R379" i="3"/>
  <c r="R383" i="3"/>
  <c r="R387" i="3"/>
  <c r="R391" i="3"/>
  <c r="R393" i="3"/>
  <c r="R395" i="3"/>
  <c r="R317" i="3"/>
  <c r="R336" i="3"/>
  <c r="R340" i="3"/>
  <c r="R321" i="3"/>
  <c r="R325" i="3"/>
  <c r="R329" i="3"/>
  <c r="R333" i="3"/>
  <c r="R337" i="3"/>
  <c r="R341" i="3"/>
  <c r="R345" i="3"/>
  <c r="R349" i="3"/>
  <c r="R353" i="3"/>
  <c r="R357" i="3"/>
  <c r="R361" i="3"/>
  <c r="R365" i="3"/>
  <c r="R369" i="3"/>
  <c r="R373" i="3"/>
  <c r="R377" i="3"/>
  <c r="R381" i="3"/>
  <c r="R385" i="3"/>
  <c r="R389" i="3"/>
  <c r="R508" i="3"/>
  <c r="R509" i="3"/>
  <c r="R513" i="3"/>
  <c r="R517" i="3"/>
  <c r="R521" i="3"/>
  <c r="R525" i="3"/>
  <c r="R529" i="3"/>
  <c r="R533" i="3"/>
  <c r="R537" i="3"/>
  <c r="R541" i="3"/>
  <c r="R545" i="3"/>
  <c r="R549" i="3"/>
  <c r="R553" i="3"/>
  <c r="R557" i="3"/>
  <c r="R561" i="3"/>
  <c r="R565" i="3"/>
  <c r="R569" i="3"/>
  <c r="R573" i="3"/>
  <c r="R577" i="3"/>
  <c r="R512" i="3"/>
  <c r="R516" i="3"/>
  <c r="R520" i="3"/>
  <c r="R524" i="3"/>
  <c r="R528" i="3"/>
  <c r="R532" i="3"/>
  <c r="R536" i="3"/>
  <c r="R540" i="3"/>
  <c r="R544" i="3"/>
  <c r="R548" i="3"/>
  <c r="R552" i="3"/>
  <c r="R556" i="3"/>
  <c r="R560" i="3"/>
  <c r="R564" i="3"/>
  <c r="R568" i="3"/>
  <c r="R572" i="3"/>
  <c r="R576" i="3"/>
  <c r="R580" i="3"/>
  <c r="R547" i="3"/>
  <c r="R551" i="3"/>
  <c r="R555" i="3"/>
  <c r="R559" i="3"/>
  <c r="R563" i="3"/>
  <c r="R567" i="3"/>
  <c r="R571" i="3"/>
  <c r="R575" i="3"/>
  <c r="R579" i="3"/>
  <c r="R510" i="3"/>
  <c r="R514" i="3"/>
  <c r="R518" i="3"/>
  <c r="R522" i="3"/>
  <c r="R526" i="3"/>
  <c r="R530" i="3"/>
  <c r="R534" i="3"/>
  <c r="R538" i="3"/>
  <c r="R542" i="3"/>
  <c r="R546" i="3"/>
  <c r="R550" i="3"/>
  <c r="R558" i="3"/>
  <c r="R562" i="3"/>
  <c r="R566" i="3"/>
  <c r="R661" i="3"/>
  <c r="R665" i="3"/>
  <c r="R669" i="3"/>
  <c r="R673" i="3"/>
  <c r="R677" i="3"/>
  <c r="R681" i="3"/>
  <c r="R685" i="3"/>
  <c r="R689" i="3"/>
  <c r="R690" i="3"/>
  <c r="R692" i="3"/>
  <c r="R698" i="3"/>
  <c r="R701" i="3"/>
  <c r="R705" i="3"/>
  <c r="R660" i="3"/>
  <c r="R664" i="3"/>
  <c r="R668" i="3"/>
  <c r="R672" i="3"/>
  <c r="R676" i="3"/>
  <c r="R680" i="3"/>
  <c r="R684" i="3"/>
  <c r="R688" i="3"/>
  <c r="T737" i="3"/>
  <c r="R658" i="3"/>
  <c r="R659" i="3"/>
  <c r="R663" i="3"/>
  <c r="R667" i="3"/>
  <c r="R671" i="3"/>
  <c r="R675" i="3"/>
  <c r="R679" i="3"/>
  <c r="R683" i="3"/>
  <c r="R687" i="3"/>
  <c r="R696" i="3"/>
  <c r="R703" i="3"/>
  <c r="R707" i="3"/>
  <c r="R708" i="3"/>
  <c r="R710" i="3"/>
  <c r="R712" i="3"/>
  <c r="R714" i="3"/>
  <c r="R716" i="3"/>
  <c r="R718" i="3"/>
  <c r="R720" i="3"/>
  <c r="R722" i="3"/>
  <c r="R724" i="3"/>
  <c r="R726" i="3"/>
  <c r="R728" i="3"/>
  <c r="R730" i="3"/>
  <c r="R731" i="3"/>
  <c r="R732" i="3"/>
  <c r="R734" i="3"/>
  <c r="R736" i="3"/>
  <c r="R738" i="3"/>
  <c r="R693" i="3"/>
  <c r="R695" i="3"/>
  <c r="R699" i="3"/>
  <c r="R702" i="3"/>
  <c r="R706" i="3"/>
  <c r="R781" i="3"/>
  <c r="R784" i="3"/>
  <c r="R791" i="3"/>
  <c r="R800" i="3"/>
  <c r="R808" i="3"/>
  <c r="R814" i="3"/>
  <c r="R775" i="3"/>
  <c r="R778" i="3"/>
  <c r="R782" i="3"/>
  <c r="R783" i="3"/>
  <c r="R785" i="3"/>
  <c r="R787" i="3"/>
  <c r="R793" i="3"/>
  <c r="R801" i="3"/>
  <c r="R829" i="3"/>
  <c r="R834" i="3"/>
  <c r="R770" i="3"/>
  <c r="S809" i="3"/>
  <c r="R780" i="3"/>
  <c r="R790" i="3"/>
  <c r="R796" i="3"/>
  <c r="R799" i="3"/>
  <c r="R807" i="3"/>
  <c r="R813" i="3"/>
  <c r="R816" i="3"/>
  <c r="R818" i="3"/>
  <c r="R819" i="3"/>
  <c r="R827" i="3"/>
  <c r="S831" i="3"/>
  <c r="T831" i="3"/>
  <c r="R841" i="3"/>
  <c r="R842" i="3"/>
  <c r="R845" i="3"/>
  <c r="R846" i="3"/>
  <c r="R850" i="3"/>
  <c r="R856" i="3"/>
  <c r="R862" i="3"/>
  <c r="R863" i="3"/>
  <c r="R881" i="3"/>
  <c r="R896" i="3"/>
  <c r="R874" i="3"/>
  <c r="R837" i="3"/>
  <c r="R838" i="3"/>
  <c r="R840" i="3"/>
  <c r="R843" i="3"/>
  <c r="R844" i="3"/>
  <c r="R847" i="3"/>
  <c r="R848" i="3"/>
  <c r="R851" i="3"/>
  <c r="R854" i="3"/>
  <c r="R858" i="3"/>
  <c r="R859" i="3"/>
  <c r="R864" i="3"/>
  <c r="R866" i="3"/>
  <c r="R869" i="3"/>
  <c r="R871" i="3"/>
  <c r="R889" i="3"/>
  <c r="R883" i="3"/>
  <c r="R885" i="3"/>
  <c r="R887" i="3"/>
  <c r="R895" i="3"/>
  <c r="R903" i="3"/>
  <c r="R910" i="3"/>
  <c r="R873" i="3"/>
  <c r="R878" i="3"/>
  <c r="R893" i="3"/>
  <c r="R876" i="3"/>
  <c r="R880" i="3"/>
  <c r="R888" i="3"/>
  <c r="R900" i="3"/>
  <c r="R902" i="3"/>
  <c r="R897" i="3"/>
  <c r="R913" i="3"/>
  <c r="R905" i="3"/>
  <c r="R909" i="3"/>
  <c r="R911" i="3"/>
  <c r="R912" i="3"/>
  <c r="R917" i="3"/>
  <c r="R918" i="3"/>
  <c r="R925" i="3"/>
  <c r="R926" i="3"/>
  <c r="R929" i="3"/>
  <c r="R934" i="3"/>
  <c r="T937" i="3"/>
  <c r="S937" i="3"/>
  <c r="R922" i="3"/>
  <c r="R924" i="3"/>
  <c r="R927" i="3"/>
  <c r="R931" i="3"/>
  <c r="R932" i="3"/>
  <c r="R933" i="3"/>
  <c r="R949" i="3"/>
  <c r="R943" i="3"/>
  <c r="R948" i="3"/>
  <c r="R950" i="3"/>
  <c r="R951" i="3"/>
  <c r="R945" i="3"/>
  <c r="P15" i="2" l="1"/>
  <c r="S15" i="2"/>
  <c r="E6" i="2"/>
  <c r="I6" i="2"/>
  <c r="H6" i="2"/>
  <c r="E7" i="2"/>
  <c r="H4" i="2"/>
  <c r="H5" i="2"/>
  <c r="H7" i="2"/>
  <c r="I5" i="2"/>
  <c r="I7" i="2"/>
  <c r="I4" i="2"/>
  <c r="L15" i="2"/>
  <c r="I3" i="2"/>
  <c r="H3" i="2"/>
  <c r="F6" i="2"/>
  <c r="F7" i="2"/>
  <c r="F4" i="2"/>
  <c r="E3" i="2"/>
  <c r="F5" i="2"/>
  <c r="E4" i="2"/>
  <c r="E5" i="2"/>
  <c r="F3" i="2"/>
  <c r="T334" i="3"/>
  <c r="J4" i="2"/>
  <c r="T588" i="3"/>
  <c r="S473" i="3"/>
  <c r="S276" i="3"/>
  <c r="T85" i="3"/>
  <c r="T374" i="3"/>
  <c r="T370" i="3"/>
  <c r="S860" i="3"/>
  <c r="S697" i="3"/>
  <c r="S585" i="3"/>
  <c r="T441" i="3"/>
  <c r="S133" i="3"/>
  <c r="T378" i="3"/>
  <c r="T894" i="3"/>
  <c r="T652" i="3"/>
  <c r="S232" i="3"/>
  <c r="T73" i="3"/>
  <c r="S48" i="3"/>
  <c r="S772" i="3"/>
  <c r="T358" i="3"/>
  <c r="T898" i="3"/>
  <c r="S338" i="3"/>
  <c r="T270" i="3"/>
  <c r="T511" i="3"/>
  <c r="T438" i="3"/>
  <c r="S225" i="3"/>
  <c r="T247" i="3"/>
  <c r="S140" i="3"/>
  <c r="S853" i="3"/>
  <c r="T753" i="3"/>
  <c r="S388" i="3"/>
  <c r="S291" i="3"/>
  <c r="S923" i="3"/>
  <c r="S832" i="3"/>
  <c r="S733" i="3"/>
  <c r="S535" i="3"/>
  <c r="S243" i="3"/>
  <c r="T872" i="3"/>
  <c r="S645" i="3"/>
  <c r="T938" i="3"/>
  <c r="S776" i="3"/>
  <c r="T875" i="3"/>
  <c r="S865" i="3"/>
  <c r="T803" i="3"/>
  <c r="S830" i="3"/>
  <c r="T604" i="3"/>
  <c r="T651" i="3"/>
  <c r="T454" i="3"/>
  <c r="S425" i="3"/>
  <c r="T447" i="3"/>
  <c r="S376" i="3"/>
  <c r="S305" i="3"/>
  <c r="T30" i="3"/>
  <c r="S52" i="3"/>
  <c r="S354" i="3"/>
  <c r="T674" i="3"/>
  <c r="S574" i="3"/>
  <c r="T617" i="3"/>
  <c r="S449" i="3"/>
  <c r="T193" i="3"/>
  <c r="S120" i="3"/>
  <c r="S759" i="3"/>
  <c r="S268" i="3"/>
  <c r="S109" i="3"/>
  <c r="T890" i="3"/>
  <c r="S835" i="3"/>
  <c r="T773" i="3"/>
  <c r="T833" i="3"/>
  <c r="T760" i="3"/>
  <c r="S719" i="3"/>
  <c r="T605" i="3"/>
  <c r="T636" i="3"/>
  <c r="S619" i="3"/>
  <c r="T486" i="3"/>
  <c r="T410" i="3"/>
  <c r="T507" i="3"/>
  <c r="T461" i="3"/>
  <c r="S409" i="3"/>
  <c r="S424" i="3"/>
  <c r="T289" i="3"/>
  <c r="S185" i="3"/>
  <c r="T308" i="3"/>
  <c r="T252" i="3"/>
  <c r="T105" i="3"/>
  <c r="T61" i="3"/>
  <c r="T136" i="3"/>
  <c r="T68" i="3"/>
  <c r="T935" i="3"/>
  <c r="S899" i="3"/>
  <c r="S870" i="3"/>
  <c r="T739" i="3"/>
  <c r="T749" i="3"/>
  <c r="T713" i="3"/>
  <c r="S654" i="3"/>
  <c r="S649" i="3"/>
  <c r="T527" i="3"/>
  <c r="S620" i="3"/>
  <c r="T458" i="3"/>
  <c r="S404" i="3"/>
  <c r="T489" i="3"/>
  <c r="T382" i="3"/>
  <c r="S352" i="3"/>
  <c r="S241" i="3"/>
  <c r="S280" i="3"/>
  <c r="T248" i="3"/>
  <c r="T295" i="3"/>
  <c r="S57" i="3"/>
  <c r="T56" i="3"/>
  <c r="T826" i="3"/>
  <c r="T755" i="3"/>
  <c r="T891" i="3"/>
  <c r="S906" i="3"/>
  <c r="S884" i="3"/>
  <c r="S836" i="3"/>
  <c r="S798" i="3"/>
  <c r="T817" i="3"/>
  <c r="T797" i="3"/>
  <c r="S779" i="3"/>
  <c r="S740" i="3"/>
  <c r="S754" i="3"/>
  <c r="T745" i="3"/>
  <c r="T725" i="3"/>
  <c r="S709" i="3"/>
  <c r="T694" i="3"/>
  <c r="T622" i="3"/>
  <c r="S633" i="3"/>
  <c r="T601" i="3"/>
  <c r="T523" i="3"/>
  <c r="T422" i="3"/>
  <c r="T437" i="3"/>
  <c r="T390" i="3"/>
  <c r="T318" i="3"/>
  <c r="S505" i="3"/>
  <c r="S328" i="3"/>
  <c r="S273" i="3"/>
  <c r="S209" i="3"/>
  <c r="T292" i="3"/>
  <c r="S244" i="3"/>
  <c r="S271" i="3"/>
  <c r="T227" i="3"/>
  <c r="T113" i="3"/>
  <c r="T89" i="3"/>
  <c r="S26" i="3"/>
  <c r="S104" i="3"/>
  <c r="S148" i="3"/>
  <c r="S915" i="3"/>
  <c r="S867" i="3"/>
  <c r="S821" i="3"/>
  <c r="T750" i="3"/>
  <c r="T758" i="3"/>
  <c r="S721" i="3"/>
  <c r="T751" i="3"/>
  <c r="S606" i="3"/>
  <c r="T629" i="3"/>
  <c r="T539" i="3"/>
  <c r="T632" i="3"/>
  <c r="T600" i="3"/>
  <c r="T485" i="3"/>
  <c r="S457" i="3"/>
  <c r="T362" i="3"/>
  <c r="T479" i="3"/>
  <c r="S401" i="3"/>
  <c r="T257" i="3"/>
  <c r="S264" i="3"/>
  <c r="S307" i="3"/>
  <c r="S263" i="3"/>
  <c r="T141" i="3"/>
  <c r="T14" i="3"/>
  <c r="S132" i="3"/>
  <c r="T11" i="3"/>
  <c r="S28" i="3"/>
  <c r="S928" i="3"/>
  <c r="T761" i="3"/>
  <c r="S765" i="3"/>
  <c r="S638" i="3"/>
  <c r="S590" i="3"/>
  <c r="S603" i="3"/>
  <c r="S502" i="3"/>
  <c r="S440" i="3"/>
  <c r="T495" i="3"/>
  <c r="S415" i="3"/>
  <c r="S786" i="3"/>
  <c r="S302" i="3"/>
  <c r="T147" i="3"/>
  <c r="T586" i="3"/>
  <c r="S435" i="3"/>
  <c r="S810" i="3"/>
  <c r="S602" i="3"/>
  <c r="T824" i="3"/>
  <c r="S456" i="3"/>
  <c r="T456" i="3"/>
  <c r="S51" i="3"/>
  <c r="T51" i="3"/>
  <c r="T82" i="3"/>
  <c r="S82" i="3"/>
  <c r="S635" i="3"/>
  <c r="T587" i="3"/>
  <c r="T408" i="3"/>
  <c r="T463" i="3"/>
  <c r="T431" i="3"/>
  <c r="T245" i="3"/>
  <c r="S179" i="3"/>
  <c r="T83" i="3"/>
  <c r="S146" i="3"/>
  <c r="S491" i="3"/>
  <c r="T491" i="3"/>
  <c r="T475" i="3"/>
  <c r="S475" i="3"/>
  <c r="T944" i="3"/>
  <c r="T877" i="3"/>
  <c r="T788" i="3"/>
  <c r="S592" i="3"/>
  <c r="T506" i="3"/>
  <c r="S470" i="3"/>
  <c r="S472" i="3"/>
  <c r="S483" i="3"/>
  <c r="S296" i="3"/>
  <c r="S251" i="3"/>
  <c r="T238" i="3"/>
  <c r="T44" i="3"/>
  <c r="S92" i="3"/>
  <c r="S98" i="3"/>
  <c r="S768" i="3"/>
  <c r="T768" i="3"/>
  <c r="T610" i="3"/>
  <c r="S610" i="3"/>
  <c r="T594" i="3"/>
  <c r="S594" i="3"/>
  <c r="S578" i="3"/>
  <c r="T578" i="3"/>
  <c r="S242" i="3"/>
  <c r="T242" i="3"/>
  <c r="T197" i="3"/>
  <c r="S197" i="3"/>
  <c r="T839" i="3"/>
  <c r="S839" i="3"/>
  <c r="T493" i="3"/>
  <c r="S493" i="3"/>
  <c r="S477" i="3"/>
  <c r="T477" i="3"/>
  <c r="S700" i="3"/>
  <c r="T700" i="3"/>
  <c r="T93" i="3"/>
  <c r="S93" i="3"/>
  <c r="S77" i="3"/>
  <c r="T77" i="3"/>
  <c r="S72" i="3"/>
  <c r="T72" i="3"/>
  <c r="S597" i="3"/>
  <c r="S484" i="3"/>
  <c r="T908" i="3"/>
  <c r="S666" i="3"/>
  <c r="S717" i="3"/>
  <c r="T386" i="3"/>
  <c r="S326" i="3"/>
  <c r="T253" i="3"/>
  <c r="S288" i="3"/>
  <c r="T939" i="3"/>
  <c r="S882" i="3"/>
  <c r="T806" i="3"/>
  <c r="T746" i="3"/>
  <c r="S256" i="3"/>
  <c r="T756" i="3"/>
  <c r="S293" i="3"/>
  <c r="T145" i="3"/>
  <c r="S907" i="3"/>
  <c r="T855" i="3"/>
  <c r="S795" i="3"/>
  <c r="S729" i="3"/>
  <c r="S723" i="3"/>
  <c r="S626" i="3"/>
  <c r="S653" i="3"/>
  <c r="S637" i="3"/>
  <c r="S621" i="3"/>
  <c r="T589" i="3"/>
  <c r="T656" i="3"/>
  <c r="T640" i="3"/>
  <c r="T655" i="3"/>
  <c r="T445" i="3"/>
  <c r="S350" i="3"/>
  <c r="S322" i="3"/>
  <c r="T476" i="3"/>
  <c r="T428" i="3"/>
  <c r="T312" i="3"/>
  <c r="T236" i="3"/>
  <c r="T18" i="3"/>
  <c r="S2" i="3"/>
  <c r="T124" i="3"/>
  <c r="T108" i="3"/>
  <c r="T152" i="3"/>
  <c r="S916" i="3"/>
  <c r="S868" i="3"/>
  <c r="S901" i="3"/>
  <c r="T861" i="3"/>
  <c r="S828" i="3"/>
  <c r="T820" i="3"/>
  <c r="S811" i="3"/>
  <c r="T743" i="3"/>
  <c r="S735" i="3"/>
  <c r="S642" i="3"/>
  <c r="S543" i="3"/>
  <c r="T624" i="3"/>
  <c r="T608" i="3"/>
  <c r="S591" i="3"/>
  <c r="T429" i="3"/>
  <c r="T413" i="3"/>
  <c r="T402" i="3"/>
  <c r="S366" i="3"/>
  <c r="T488" i="3"/>
  <c r="S380" i="3"/>
  <c r="S364" i="3"/>
  <c r="S332" i="3"/>
  <c r="S163" i="3"/>
  <c r="T286" i="3"/>
  <c r="T254" i="3"/>
  <c r="T150" i="3"/>
  <c r="T15" i="3"/>
  <c r="T115" i="3"/>
  <c r="S130" i="3"/>
  <c r="S66" i="3"/>
  <c r="T678" i="3"/>
  <c r="T662" i="3"/>
  <c r="S490" i="3"/>
  <c r="S442" i="3"/>
  <c r="T99" i="3"/>
  <c r="S114" i="3"/>
  <c r="S631" i="3"/>
  <c r="S43" i="3"/>
  <c r="S266" i="3"/>
  <c r="T930" i="3"/>
  <c r="S947" i="3"/>
  <c r="S879" i="3"/>
  <c r="S822" i="3"/>
  <c r="T792" i="3"/>
  <c r="S686" i="3"/>
  <c r="T670" i="3"/>
  <c r="S715" i="3"/>
  <c r="S762" i="3"/>
  <c r="T748" i="3"/>
  <c r="S570" i="3"/>
  <c r="T613" i="3"/>
  <c r="T581" i="3"/>
  <c r="S647" i="3"/>
  <c r="S498" i="3"/>
  <c r="T482" i="3"/>
  <c r="T466" i="3"/>
  <c r="T469" i="3"/>
  <c r="T421" i="3"/>
  <c r="T397" i="3"/>
  <c r="S330" i="3"/>
  <c r="T468" i="3"/>
  <c r="T452" i="3"/>
  <c r="T436" i="3"/>
  <c r="T301" i="3"/>
  <c r="T269" i="3"/>
  <c r="T237" i="3"/>
  <c r="S221" i="3"/>
  <c r="S205" i="3"/>
  <c r="T260" i="3"/>
  <c r="S228" i="3"/>
  <c r="S314" i="3"/>
  <c r="S129" i="3"/>
  <c r="T69" i="3"/>
  <c r="T116" i="3"/>
  <c r="T110" i="3"/>
  <c r="S946" i="3"/>
  <c r="S942" i="3"/>
  <c r="S920" i="3"/>
  <c r="S886" i="3"/>
  <c r="T849" i="3"/>
  <c r="S794" i="3"/>
  <c r="S825" i="3"/>
  <c r="T742" i="3"/>
  <c r="T650" i="3"/>
  <c r="S519" i="3"/>
  <c r="T648" i="3"/>
  <c r="T616" i="3"/>
  <c r="T584" i="3"/>
  <c r="S599" i="3"/>
  <c r="S583" i="3"/>
  <c r="T450" i="3"/>
  <c r="T418" i="3"/>
  <c r="T396" i="3"/>
  <c r="T453" i="3"/>
  <c r="T405" i="3"/>
  <c r="T400" i="3"/>
  <c r="S443" i="3"/>
  <c r="T427" i="3"/>
  <c r="T411" i="3"/>
  <c r="S324" i="3"/>
  <c r="T285" i="3"/>
  <c r="S137" i="3"/>
  <c r="S80" i="3"/>
  <c r="S127" i="3"/>
  <c r="S774" i="3"/>
  <c r="T634" i="3"/>
  <c r="S618" i="3"/>
  <c r="S615" i="3"/>
  <c r="T434" i="3"/>
  <c r="T501" i="3"/>
  <c r="S420" i="3"/>
  <c r="S459" i="3"/>
  <c r="S348" i="3"/>
  <c r="S304" i="3"/>
  <c r="T88" i="3"/>
  <c r="T64" i="3"/>
  <c r="T259" i="3"/>
  <c r="S282" i="3"/>
  <c r="T53" i="3"/>
  <c r="T10" i="3"/>
  <c r="S23" i="3"/>
  <c r="T94" i="3"/>
  <c r="T789" i="3"/>
  <c r="S481" i="3"/>
  <c r="S372" i="3"/>
  <c r="T153" i="3"/>
  <c r="T267" i="3"/>
  <c r="T101" i="3"/>
  <c r="T7" i="3"/>
  <c r="T131" i="3"/>
  <c r="T67" i="3"/>
  <c r="S914" i="3"/>
  <c r="S815" i="3"/>
  <c r="T641" i="3"/>
  <c r="S189" i="3"/>
  <c r="S921" i="3"/>
  <c r="S904" i="3"/>
  <c r="T769" i="3"/>
  <c r="T614" i="3"/>
  <c r="S515" i="3"/>
  <c r="T368" i="3"/>
  <c r="T802" i="3"/>
  <c r="S531" i="3"/>
  <c r="S240" i="3"/>
  <c r="S87" i="3"/>
  <c r="T47" i="3"/>
  <c r="S159" i="3"/>
  <c r="S290" i="3"/>
  <c r="S303" i="3"/>
  <c r="S175" i="3"/>
  <c r="T111" i="3"/>
  <c r="S63" i="3"/>
  <c r="T298" i="3"/>
  <c r="S250" i="3"/>
  <c r="T234" i="3"/>
  <c r="T142" i="3"/>
  <c r="T78" i="3"/>
  <c r="T49" i="3"/>
  <c r="T38" i="3"/>
  <c r="T609" i="3"/>
  <c r="T283" i="3"/>
  <c r="T81" i="3"/>
  <c r="S941" i="3"/>
  <c r="T940" i="3"/>
  <c r="S747" i="3"/>
  <c r="T646" i="3"/>
  <c r="T919" i="3"/>
  <c r="T627" i="3"/>
  <c r="T582" i="3"/>
  <c r="T504" i="3"/>
  <c r="T3" i="3"/>
  <c r="S823" i="3"/>
  <c r="T823" i="3"/>
  <c r="S771" i="3"/>
  <c r="T771" i="3"/>
  <c r="S757" i="3"/>
  <c r="T757" i="3"/>
  <c r="S741" i="3"/>
  <c r="T741" i="3"/>
  <c r="S643" i="3"/>
  <c r="T643" i="3"/>
  <c r="S595" i="3"/>
  <c r="T595" i="3"/>
  <c r="T480" i="3"/>
  <c r="S480" i="3"/>
  <c r="T464" i="3"/>
  <c r="S464" i="3"/>
  <c r="T432" i="3"/>
  <c r="S432" i="3"/>
  <c r="T416" i="3"/>
  <c r="S416" i="3"/>
  <c r="S487" i="3"/>
  <c r="T487" i="3"/>
  <c r="S249" i="3"/>
  <c r="T249" i="3"/>
  <c r="T201" i="3"/>
  <c r="S201" i="3"/>
  <c r="S100" i="3"/>
  <c r="T100" i="3"/>
  <c r="T255" i="3"/>
  <c r="S255" i="3"/>
  <c r="S766" i="3"/>
  <c r="T766" i="3"/>
  <c r="S752" i="3"/>
  <c r="T752" i="3"/>
  <c r="S494" i="3"/>
  <c r="T494" i="3"/>
  <c r="T857" i="3"/>
  <c r="S857" i="3"/>
  <c r="T727" i="3"/>
  <c r="S727" i="3"/>
  <c r="T711" i="3"/>
  <c r="S711" i="3"/>
  <c r="T465" i="3"/>
  <c r="S465" i="3"/>
  <c r="T704" i="3"/>
  <c r="S704" i="3"/>
  <c r="T691" i="3"/>
  <c r="S691" i="3"/>
  <c r="S644" i="3"/>
  <c r="T644" i="3"/>
  <c r="S628" i="3"/>
  <c r="T628" i="3"/>
  <c r="S612" i="3"/>
  <c r="T612" i="3"/>
  <c r="S596" i="3"/>
  <c r="T596" i="3"/>
  <c r="S6" i="3"/>
  <c r="T6" i="3"/>
  <c r="S417" i="3"/>
  <c r="T417" i="3"/>
  <c r="T320" i="3"/>
  <c r="S320" i="3"/>
  <c r="S125" i="3"/>
  <c r="T125" i="3"/>
  <c r="T65" i="3"/>
  <c r="S65" i="3"/>
  <c r="T272" i="3"/>
  <c r="S272" i="3"/>
  <c r="T224" i="3"/>
  <c r="S224" i="3"/>
  <c r="T128" i="3"/>
  <c r="S128" i="3"/>
  <c r="T112" i="3"/>
  <c r="S112" i="3"/>
  <c r="T805" i="3"/>
  <c r="T767" i="3"/>
  <c r="S554" i="3"/>
  <c r="T611" i="3"/>
  <c r="T471" i="3"/>
  <c r="T423" i="3"/>
  <c r="T281" i="3"/>
  <c r="S239" i="3"/>
  <c r="S310" i="3"/>
  <c r="S892" i="3"/>
  <c r="T892" i="3"/>
  <c r="T804" i="3"/>
  <c r="S804" i="3"/>
  <c r="S500" i="3"/>
  <c r="T500" i="3"/>
  <c r="S623" i="3"/>
  <c r="T623" i="3"/>
  <c r="S764" i="3"/>
  <c r="T764" i="3"/>
  <c r="S744" i="3"/>
  <c r="T744" i="3"/>
  <c r="T311" i="3"/>
  <c r="S311" i="3"/>
  <c r="T167" i="3"/>
  <c r="S167" i="3"/>
  <c r="S151" i="3"/>
  <c r="T151" i="3"/>
  <c r="T103" i="3"/>
  <c r="S103" i="3"/>
  <c r="S71" i="3"/>
  <c r="T71" i="3"/>
  <c r="S467" i="3"/>
  <c r="T467" i="3"/>
  <c r="S419" i="3"/>
  <c r="T419" i="3"/>
  <c r="T342" i="3"/>
  <c r="S342" i="3"/>
  <c r="S306" i="3"/>
  <c r="T306" i="3"/>
  <c r="S226" i="3"/>
  <c r="T226" i="3"/>
  <c r="T134" i="3"/>
  <c r="S134" i="3"/>
  <c r="T86" i="3"/>
  <c r="S86" i="3"/>
  <c r="T70" i="3"/>
  <c r="S70" i="3"/>
  <c r="S426" i="3"/>
  <c r="T426" i="3"/>
  <c r="S277" i="3"/>
  <c r="T277" i="3"/>
  <c r="S229" i="3"/>
  <c r="T229" i="3"/>
  <c r="S299" i="3"/>
  <c r="T299" i="3"/>
  <c r="S279" i="3"/>
  <c r="T279" i="3"/>
  <c r="S235" i="3"/>
  <c r="T235" i="3"/>
  <c r="S474" i="3"/>
  <c r="T474" i="3"/>
  <c r="T852" i="3"/>
  <c r="S812" i="3"/>
  <c r="S682" i="3"/>
  <c r="T763" i="3"/>
  <c r="T630" i="3"/>
  <c r="T598" i="3"/>
  <c r="T657" i="3"/>
  <c r="T625" i="3"/>
  <c r="T607" i="3"/>
  <c r="T478" i="3"/>
  <c r="T430" i="3"/>
  <c r="T497" i="3"/>
  <c r="T403" i="3"/>
  <c r="S496" i="3"/>
  <c r="S460" i="3"/>
  <c r="S412" i="3"/>
  <c r="T499" i="3"/>
  <c r="T455" i="3"/>
  <c r="S344" i="3"/>
  <c r="T313" i="3"/>
  <c r="T265" i="3"/>
  <c r="S217" i="3"/>
  <c r="S284" i="3"/>
  <c r="T275" i="3"/>
  <c r="S183" i="3"/>
  <c r="T274" i="3"/>
  <c r="S121" i="3"/>
  <c r="S135" i="3"/>
  <c r="T118" i="3"/>
  <c r="S777" i="3"/>
  <c r="T593" i="3"/>
  <c r="S639" i="3"/>
  <c r="T462" i="3"/>
  <c r="T414" i="3"/>
  <c r="S433" i="3"/>
  <c r="T492" i="3"/>
  <c r="T444" i="3"/>
  <c r="T451" i="3"/>
  <c r="S384" i="3"/>
  <c r="T309" i="3"/>
  <c r="T261" i="3"/>
  <c r="S213" i="3"/>
  <c r="S316" i="3"/>
  <c r="S258" i="3"/>
  <c r="S246" i="3"/>
  <c r="T117" i="3"/>
  <c r="T97" i="3"/>
  <c r="S144" i="3"/>
  <c r="S96" i="3"/>
  <c r="T76" i="3"/>
  <c r="T34" i="3"/>
  <c r="T155" i="3"/>
  <c r="S262" i="3"/>
  <c r="T19" i="3"/>
  <c r="T123" i="3"/>
  <c r="T107" i="3"/>
  <c r="T95" i="3"/>
  <c r="T59" i="3"/>
  <c r="S106" i="3"/>
  <c r="S90" i="3"/>
  <c r="T446" i="3"/>
  <c r="S448" i="3"/>
  <c r="T503" i="3"/>
  <c r="T439" i="3"/>
  <c r="S346" i="3"/>
  <c r="T297" i="3"/>
  <c r="T233" i="3"/>
  <c r="T149" i="3"/>
  <c r="S300" i="3"/>
  <c r="T315" i="3"/>
  <c r="S287" i="3"/>
  <c r="T171" i="3"/>
  <c r="S278" i="3"/>
  <c r="T22" i="3"/>
  <c r="T60" i="3"/>
  <c r="T45" i="3"/>
  <c r="T143" i="3"/>
  <c r="S119" i="3"/>
  <c r="T79" i="3"/>
  <c r="S55" i="3"/>
  <c r="T126" i="3"/>
  <c r="S102" i="3"/>
  <c r="T62" i="3"/>
  <c r="S231" i="3"/>
  <c r="S294" i="3"/>
  <c r="S230" i="3"/>
  <c r="T139" i="3"/>
  <c r="T91" i="3"/>
  <c r="T75" i="3"/>
  <c r="S138" i="3"/>
  <c r="S122" i="3"/>
  <c r="S74" i="3"/>
  <c r="S58" i="3"/>
  <c r="S936" i="3"/>
  <c r="T936" i="3"/>
  <c r="S945" i="3"/>
  <c r="T945" i="3"/>
  <c r="S951" i="3"/>
  <c r="T951" i="3"/>
  <c r="T949" i="3"/>
  <c r="S949" i="3"/>
  <c r="T932" i="3"/>
  <c r="S932" i="3"/>
  <c r="T927" i="3"/>
  <c r="S927" i="3"/>
  <c r="T924" i="3"/>
  <c r="S924" i="3"/>
  <c r="T929" i="3"/>
  <c r="S929" i="3"/>
  <c r="T925" i="3"/>
  <c r="S925" i="3"/>
  <c r="S913" i="3"/>
  <c r="T913" i="3"/>
  <c r="T897" i="3"/>
  <c r="S897" i="3"/>
  <c r="S878" i="3"/>
  <c r="T878" i="3"/>
  <c r="T910" i="3"/>
  <c r="S910" i="3"/>
  <c r="S887" i="3"/>
  <c r="T887" i="3"/>
  <c r="T889" i="3"/>
  <c r="S889" i="3"/>
  <c r="T843" i="3"/>
  <c r="S843" i="3"/>
  <c r="T838" i="3"/>
  <c r="S838" i="3"/>
  <c r="T841" i="3"/>
  <c r="S841" i="3"/>
  <c r="T816" i="3"/>
  <c r="S816" i="3"/>
  <c r="T790" i="3"/>
  <c r="S790" i="3"/>
  <c r="T780" i="3"/>
  <c r="S780" i="3"/>
  <c r="T793" i="3"/>
  <c r="S793" i="3"/>
  <c r="T782" i="3"/>
  <c r="S782" i="3"/>
  <c r="T781" i="3"/>
  <c r="S781" i="3"/>
  <c r="T702" i="3"/>
  <c r="S702" i="3"/>
  <c r="T738" i="3"/>
  <c r="S738" i="3"/>
  <c r="T731" i="3"/>
  <c r="S731" i="3"/>
  <c r="T724" i="3"/>
  <c r="S724" i="3"/>
  <c r="T712" i="3"/>
  <c r="S712" i="3"/>
  <c r="T696" i="3"/>
  <c r="S696" i="3"/>
  <c r="T679" i="3"/>
  <c r="S679" i="3"/>
  <c r="T663" i="3"/>
  <c r="S663" i="3"/>
  <c r="T680" i="3"/>
  <c r="S680" i="3"/>
  <c r="T664" i="3"/>
  <c r="S664" i="3"/>
  <c r="T701" i="3"/>
  <c r="S701" i="3"/>
  <c r="T685" i="3"/>
  <c r="S685" i="3"/>
  <c r="T669" i="3"/>
  <c r="S669" i="3"/>
  <c r="T562" i="3"/>
  <c r="S562" i="3"/>
  <c r="T550" i="3"/>
  <c r="S550" i="3"/>
  <c r="T534" i="3"/>
  <c r="S534" i="3"/>
  <c r="T518" i="3"/>
  <c r="S518" i="3"/>
  <c r="T575" i="3"/>
  <c r="S575" i="3"/>
  <c r="T559" i="3"/>
  <c r="S559" i="3"/>
  <c r="S580" i="3"/>
  <c r="T580" i="3"/>
  <c r="T564" i="3"/>
  <c r="S564" i="3"/>
  <c r="T548" i="3"/>
  <c r="S548" i="3"/>
  <c r="T532" i="3"/>
  <c r="S532" i="3"/>
  <c r="T516" i="3"/>
  <c r="S516" i="3"/>
  <c r="T577" i="3"/>
  <c r="S577" i="3"/>
  <c r="T561" i="3"/>
  <c r="S561" i="3"/>
  <c r="T545" i="3"/>
  <c r="S545" i="3"/>
  <c r="T529" i="3"/>
  <c r="S529" i="3"/>
  <c r="T513" i="3"/>
  <c r="S513" i="3"/>
  <c r="T377" i="3"/>
  <c r="S377" i="3"/>
  <c r="T361" i="3"/>
  <c r="S361" i="3"/>
  <c r="T345" i="3"/>
  <c r="S345" i="3"/>
  <c r="T329" i="3"/>
  <c r="S329" i="3"/>
  <c r="T336" i="3"/>
  <c r="S336" i="3"/>
  <c r="T391" i="3"/>
  <c r="S391" i="3"/>
  <c r="T375" i="3"/>
  <c r="S375" i="3"/>
  <c r="T359" i="3"/>
  <c r="S359" i="3"/>
  <c r="T343" i="3"/>
  <c r="S343" i="3"/>
  <c r="T327" i="3"/>
  <c r="S327" i="3"/>
  <c r="T392" i="3"/>
  <c r="S392" i="3"/>
  <c r="T356" i="3"/>
  <c r="S356" i="3"/>
  <c r="T177" i="3"/>
  <c r="S177" i="3"/>
  <c r="T161" i="3"/>
  <c r="S161" i="3"/>
  <c r="S214" i="3"/>
  <c r="T214" i="3"/>
  <c r="S198" i="3"/>
  <c r="T198" i="3"/>
  <c r="S182" i="3"/>
  <c r="T182" i="3"/>
  <c r="S166" i="3"/>
  <c r="T166" i="3"/>
  <c r="T215" i="3"/>
  <c r="S215" i="3"/>
  <c r="T199" i="3"/>
  <c r="S199" i="3"/>
  <c r="S212" i="3"/>
  <c r="T212" i="3"/>
  <c r="S196" i="3"/>
  <c r="T196" i="3"/>
  <c r="S180" i="3"/>
  <c r="T180" i="3"/>
  <c r="S164" i="3"/>
  <c r="T164" i="3"/>
  <c r="T39" i="3"/>
  <c r="S39" i="3"/>
  <c r="S40" i="3"/>
  <c r="T40" i="3"/>
  <c r="S12" i="3"/>
  <c r="T12" i="3"/>
  <c r="T33" i="3"/>
  <c r="S33" i="3"/>
  <c r="T17" i="3"/>
  <c r="S17" i="3"/>
  <c r="T950" i="3"/>
  <c r="S950" i="3"/>
  <c r="S948" i="3"/>
  <c r="T948" i="3"/>
  <c r="T943" i="3"/>
  <c r="S943" i="3"/>
  <c r="T931" i="3"/>
  <c r="S931" i="3"/>
  <c r="T918" i="3"/>
  <c r="S918" i="3"/>
  <c r="S905" i="3"/>
  <c r="T905" i="3"/>
  <c r="T888" i="3"/>
  <c r="S888" i="3"/>
  <c r="S893" i="3"/>
  <c r="T893" i="3"/>
  <c r="S873" i="3"/>
  <c r="T873" i="3"/>
  <c r="T903" i="3"/>
  <c r="S903" i="3"/>
  <c r="T885" i="3"/>
  <c r="S885" i="3"/>
  <c r="S858" i="3"/>
  <c r="T858" i="3"/>
  <c r="T851" i="3"/>
  <c r="S851" i="3"/>
  <c r="T848" i="3"/>
  <c r="S848" i="3"/>
  <c r="T837" i="3"/>
  <c r="S837" i="3"/>
  <c r="T863" i="3"/>
  <c r="S863" i="3"/>
  <c r="T846" i="3"/>
  <c r="S846" i="3"/>
  <c r="T827" i="3"/>
  <c r="S827" i="3"/>
  <c r="T799" i="3"/>
  <c r="S799" i="3"/>
  <c r="T834" i="3"/>
  <c r="S834" i="3"/>
  <c r="T801" i="3"/>
  <c r="S801" i="3"/>
  <c r="T787" i="3"/>
  <c r="S787" i="3"/>
  <c r="T778" i="3"/>
  <c r="S778" i="3"/>
  <c r="T784" i="3"/>
  <c r="S784" i="3"/>
  <c r="T699" i="3"/>
  <c r="S699" i="3"/>
  <c r="T693" i="3"/>
  <c r="S693" i="3"/>
  <c r="T736" i="3"/>
  <c r="S736" i="3"/>
  <c r="T730" i="3"/>
  <c r="S730" i="3"/>
  <c r="T722" i="3"/>
  <c r="S722" i="3"/>
  <c r="T718" i="3"/>
  <c r="S718" i="3"/>
  <c r="T710" i="3"/>
  <c r="S710" i="3"/>
  <c r="T707" i="3"/>
  <c r="S707" i="3"/>
  <c r="T675" i="3"/>
  <c r="S675" i="3"/>
  <c r="T659" i="3"/>
  <c r="S659" i="3"/>
  <c r="T676" i="3"/>
  <c r="S676" i="3"/>
  <c r="T660" i="3"/>
  <c r="S660" i="3"/>
  <c r="T698" i="3"/>
  <c r="S698" i="3"/>
  <c r="T692" i="3"/>
  <c r="S692" i="3"/>
  <c r="T681" i="3"/>
  <c r="S681" i="3"/>
  <c r="T665" i="3"/>
  <c r="S665" i="3"/>
  <c r="T558" i="3"/>
  <c r="S558" i="3"/>
  <c r="T546" i="3"/>
  <c r="S546" i="3"/>
  <c r="T530" i="3"/>
  <c r="S530" i="3"/>
  <c r="T514" i="3"/>
  <c r="S514" i="3"/>
  <c r="T571" i="3"/>
  <c r="S571" i="3"/>
  <c r="T555" i="3"/>
  <c r="S555" i="3"/>
  <c r="T576" i="3"/>
  <c r="S576" i="3"/>
  <c r="T560" i="3"/>
  <c r="S560" i="3"/>
  <c r="T544" i="3"/>
  <c r="S544" i="3"/>
  <c r="T528" i="3"/>
  <c r="S528" i="3"/>
  <c r="T512" i="3"/>
  <c r="S512" i="3"/>
  <c r="T573" i="3"/>
  <c r="S573" i="3"/>
  <c r="T557" i="3"/>
  <c r="S557" i="3"/>
  <c r="T541" i="3"/>
  <c r="S541" i="3"/>
  <c r="T525" i="3"/>
  <c r="S525" i="3"/>
  <c r="T509" i="3"/>
  <c r="S509" i="3"/>
  <c r="T389" i="3"/>
  <c r="S389" i="3"/>
  <c r="T373" i="3"/>
  <c r="S373" i="3"/>
  <c r="T357" i="3"/>
  <c r="S357" i="3"/>
  <c r="T341" i="3"/>
  <c r="S341" i="3"/>
  <c r="T325" i="3"/>
  <c r="S325" i="3"/>
  <c r="T387" i="3"/>
  <c r="S387" i="3"/>
  <c r="T371" i="3"/>
  <c r="S371" i="3"/>
  <c r="T355" i="3"/>
  <c r="S355" i="3"/>
  <c r="T339" i="3"/>
  <c r="S339" i="3"/>
  <c r="T323" i="3"/>
  <c r="S323" i="3"/>
  <c r="S407" i="3"/>
  <c r="T407" i="3"/>
  <c r="S399" i="3"/>
  <c r="T399" i="3"/>
  <c r="T173" i="3"/>
  <c r="S173" i="3"/>
  <c r="T157" i="3"/>
  <c r="S157" i="3"/>
  <c r="S210" i="3"/>
  <c r="T210" i="3"/>
  <c r="S194" i="3"/>
  <c r="T194" i="3"/>
  <c r="S178" i="3"/>
  <c r="T178" i="3"/>
  <c r="S162" i="3"/>
  <c r="T162" i="3"/>
  <c r="T211" i="3"/>
  <c r="S211" i="3"/>
  <c r="T195" i="3"/>
  <c r="S195" i="3"/>
  <c r="S208" i="3"/>
  <c r="T208" i="3"/>
  <c r="S192" i="3"/>
  <c r="T192" i="3"/>
  <c r="S176" i="3"/>
  <c r="T176" i="3"/>
  <c r="S160" i="3"/>
  <c r="T160" i="3"/>
  <c r="S46" i="3"/>
  <c r="T46" i="3"/>
  <c r="T35" i="3"/>
  <c r="S35" i="3"/>
  <c r="S36" i="3"/>
  <c r="T36" i="3"/>
  <c r="S24" i="3"/>
  <c r="T24" i="3"/>
  <c r="S8" i="3"/>
  <c r="T8" i="3"/>
  <c r="S42" i="3"/>
  <c r="T42" i="3"/>
  <c r="T29" i="3"/>
  <c r="S29" i="3"/>
  <c r="T13" i="3"/>
  <c r="S13" i="3"/>
  <c r="T933" i="3"/>
  <c r="S933" i="3"/>
  <c r="T922" i="3"/>
  <c r="S922" i="3"/>
  <c r="T934" i="3"/>
  <c r="S934" i="3"/>
  <c r="T926" i="3"/>
  <c r="S926" i="3"/>
  <c r="T917" i="3"/>
  <c r="S917" i="3"/>
  <c r="T912" i="3"/>
  <c r="S912" i="3"/>
  <c r="T911" i="3"/>
  <c r="S911" i="3"/>
  <c r="S900" i="3"/>
  <c r="T900" i="3"/>
  <c r="S880" i="3"/>
  <c r="T880" i="3"/>
  <c r="T869" i="3"/>
  <c r="S869" i="3"/>
  <c r="S864" i="3"/>
  <c r="T864" i="3"/>
  <c r="T854" i="3"/>
  <c r="S854" i="3"/>
  <c r="S847" i="3"/>
  <c r="T847" i="3"/>
  <c r="T881" i="3"/>
  <c r="S881" i="3"/>
  <c r="T862" i="3"/>
  <c r="S862" i="3"/>
  <c r="T856" i="3"/>
  <c r="S856" i="3"/>
  <c r="T850" i="3"/>
  <c r="S850" i="3"/>
  <c r="T845" i="3"/>
  <c r="S845" i="3"/>
  <c r="T819" i="3"/>
  <c r="S819" i="3"/>
  <c r="T813" i="3"/>
  <c r="S813" i="3"/>
  <c r="T785" i="3"/>
  <c r="S785" i="3"/>
  <c r="T775" i="3"/>
  <c r="S775" i="3"/>
  <c r="T814" i="3"/>
  <c r="S814" i="3"/>
  <c r="T800" i="3"/>
  <c r="S800" i="3"/>
  <c r="T791" i="3"/>
  <c r="S791" i="3"/>
  <c r="T695" i="3"/>
  <c r="S695" i="3"/>
  <c r="T734" i="3"/>
  <c r="S734" i="3"/>
  <c r="T728" i="3"/>
  <c r="S728" i="3"/>
  <c r="T720" i="3"/>
  <c r="S720" i="3"/>
  <c r="T716" i="3"/>
  <c r="S716" i="3"/>
  <c r="T708" i="3"/>
  <c r="S708" i="3"/>
  <c r="T703" i="3"/>
  <c r="S703" i="3"/>
  <c r="T687" i="3"/>
  <c r="S687" i="3"/>
  <c r="T671" i="3"/>
  <c r="S671" i="3"/>
  <c r="S658" i="3"/>
  <c r="T658" i="3"/>
  <c r="T688" i="3"/>
  <c r="S688" i="3"/>
  <c r="T672" i="3"/>
  <c r="S672" i="3"/>
  <c r="T690" i="3"/>
  <c r="S690" i="3"/>
  <c r="T677" i="3"/>
  <c r="S677" i="3"/>
  <c r="T661" i="3"/>
  <c r="S661" i="3"/>
  <c r="T542" i="3"/>
  <c r="S542" i="3"/>
  <c r="T526" i="3"/>
  <c r="S526" i="3"/>
  <c r="T510" i="3"/>
  <c r="S510" i="3"/>
  <c r="T567" i="3"/>
  <c r="S567" i="3"/>
  <c r="T551" i="3"/>
  <c r="S551" i="3"/>
  <c r="T572" i="3"/>
  <c r="S572" i="3"/>
  <c r="T556" i="3"/>
  <c r="S556" i="3"/>
  <c r="T540" i="3"/>
  <c r="S540" i="3"/>
  <c r="T524" i="3"/>
  <c r="S524" i="3"/>
  <c r="T569" i="3"/>
  <c r="S569" i="3"/>
  <c r="T553" i="3"/>
  <c r="S553" i="3"/>
  <c r="T537" i="3"/>
  <c r="S537" i="3"/>
  <c r="T521" i="3"/>
  <c r="S521" i="3"/>
  <c r="S508" i="3"/>
  <c r="T508" i="3"/>
  <c r="T385" i="3"/>
  <c r="S385" i="3"/>
  <c r="T369" i="3"/>
  <c r="S369" i="3"/>
  <c r="T353" i="3"/>
  <c r="S353" i="3"/>
  <c r="T337" i="3"/>
  <c r="S337" i="3"/>
  <c r="T321" i="3"/>
  <c r="S321" i="3"/>
  <c r="S395" i="3"/>
  <c r="T395" i="3"/>
  <c r="T383" i="3"/>
  <c r="S383" i="3"/>
  <c r="T367" i="3"/>
  <c r="S367" i="3"/>
  <c r="T351" i="3"/>
  <c r="S351" i="3"/>
  <c r="T335" i="3"/>
  <c r="S335" i="3"/>
  <c r="T319" i="3"/>
  <c r="S319" i="3"/>
  <c r="T406" i="3"/>
  <c r="S406" i="3"/>
  <c r="T398" i="3"/>
  <c r="S398" i="3"/>
  <c r="T169" i="3"/>
  <c r="S169" i="3"/>
  <c r="S222" i="3"/>
  <c r="T222" i="3"/>
  <c r="S206" i="3"/>
  <c r="T206" i="3"/>
  <c r="S190" i="3"/>
  <c r="T190" i="3"/>
  <c r="S174" i="3"/>
  <c r="T174" i="3"/>
  <c r="S158" i="3"/>
  <c r="T158" i="3"/>
  <c r="S223" i="3"/>
  <c r="T223" i="3"/>
  <c r="T207" i="3"/>
  <c r="S207" i="3"/>
  <c r="T191" i="3"/>
  <c r="S191" i="3"/>
  <c r="S220" i="3"/>
  <c r="T220" i="3"/>
  <c r="S204" i="3"/>
  <c r="T204" i="3"/>
  <c r="S188" i="3"/>
  <c r="T188" i="3"/>
  <c r="S172" i="3"/>
  <c r="T172" i="3"/>
  <c r="S156" i="3"/>
  <c r="T156" i="3"/>
  <c r="T31" i="3"/>
  <c r="S31" i="3"/>
  <c r="S32" i="3"/>
  <c r="T32" i="3"/>
  <c r="S20" i="3"/>
  <c r="T20" i="3"/>
  <c r="S4" i="3"/>
  <c r="T4" i="3"/>
  <c r="T41" i="3"/>
  <c r="S41" i="3"/>
  <c r="T25" i="3"/>
  <c r="S25" i="3"/>
  <c r="T9" i="3"/>
  <c r="S9" i="3"/>
  <c r="S909" i="3"/>
  <c r="T909" i="3"/>
  <c r="T902" i="3"/>
  <c r="S902" i="3"/>
  <c r="T876" i="3"/>
  <c r="S876" i="3"/>
  <c r="T895" i="3"/>
  <c r="S895" i="3"/>
  <c r="S883" i="3"/>
  <c r="T883" i="3"/>
  <c r="T871" i="3"/>
  <c r="S871" i="3"/>
  <c r="S866" i="3"/>
  <c r="T866" i="3"/>
  <c r="T859" i="3"/>
  <c r="S859" i="3"/>
  <c r="S844" i="3"/>
  <c r="T844" i="3"/>
  <c r="S840" i="3"/>
  <c r="T840" i="3"/>
  <c r="S874" i="3"/>
  <c r="T874" i="3"/>
  <c r="T896" i="3"/>
  <c r="S896" i="3"/>
  <c r="S842" i="3"/>
  <c r="T842" i="3"/>
  <c r="T818" i="3"/>
  <c r="S818" i="3"/>
  <c r="T807" i="3"/>
  <c r="S807" i="3"/>
  <c r="T796" i="3"/>
  <c r="S796" i="3"/>
  <c r="S770" i="3"/>
  <c r="T770" i="3"/>
  <c r="T829" i="3"/>
  <c r="S829" i="3"/>
  <c r="T783" i="3"/>
  <c r="S783" i="3"/>
  <c r="T808" i="3"/>
  <c r="S808" i="3"/>
  <c r="T706" i="3"/>
  <c r="S706" i="3"/>
  <c r="T732" i="3"/>
  <c r="S732" i="3"/>
  <c r="T726" i="3"/>
  <c r="S726" i="3"/>
  <c r="T714" i="3"/>
  <c r="S714" i="3"/>
  <c r="T683" i="3"/>
  <c r="S683" i="3"/>
  <c r="T667" i="3"/>
  <c r="S667" i="3"/>
  <c r="T684" i="3"/>
  <c r="S684" i="3"/>
  <c r="T668" i="3"/>
  <c r="S668" i="3"/>
  <c r="T705" i="3"/>
  <c r="S705" i="3"/>
  <c r="T689" i="3"/>
  <c r="S689" i="3"/>
  <c r="T673" i="3"/>
  <c r="S673" i="3"/>
  <c r="T566" i="3"/>
  <c r="S566" i="3"/>
  <c r="T538" i="3"/>
  <c r="S538" i="3"/>
  <c r="T522" i="3"/>
  <c r="S522" i="3"/>
  <c r="T579" i="3"/>
  <c r="S579" i="3"/>
  <c r="T563" i="3"/>
  <c r="S563" i="3"/>
  <c r="T547" i="3"/>
  <c r="S547" i="3"/>
  <c r="T568" i="3"/>
  <c r="S568" i="3"/>
  <c r="T552" i="3"/>
  <c r="S552" i="3"/>
  <c r="T536" i="3"/>
  <c r="S536" i="3"/>
  <c r="T520" i="3"/>
  <c r="S520" i="3"/>
  <c r="T565" i="3"/>
  <c r="S565" i="3"/>
  <c r="T549" i="3"/>
  <c r="S549" i="3"/>
  <c r="T533" i="3"/>
  <c r="S533" i="3"/>
  <c r="T517" i="3"/>
  <c r="S517" i="3"/>
  <c r="T381" i="3"/>
  <c r="S381" i="3"/>
  <c r="T365" i="3"/>
  <c r="S365" i="3"/>
  <c r="T349" i="3"/>
  <c r="S349" i="3"/>
  <c r="T333" i="3"/>
  <c r="S333" i="3"/>
  <c r="T340" i="3"/>
  <c r="S340" i="3"/>
  <c r="S317" i="3"/>
  <c r="T317" i="3"/>
  <c r="T393" i="3"/>
  <c r="S393" i="3"/>
  <c r="T379" i="3"/>
  <c r="S379" i="3"/>
  <c r="T363" i="3"/>
  <c r="S363" i="3"/>
  <c r="T347" i="3"/>
  <c r="S347" i="3"/>
  <c r="T331" i="3"/>
  <c r="S331" i="3"/>
  <c r="T394" i="3"/>
  <c r="S394" i="3"/>
  <c r="T360" i="3"/>
  <c r="S360" i="3"/>
  <c r="T181" i="3"/>
  <c r="S181" i="3"/>
  <c r="T165" i="3"/>
  <c r="S165" i="3"/>
  <c r="S218" i="3"/>
  <c r="T218" i="3"/>
  <c r="S202" i="3"/>
  <c r="T202" i="3"/>
  <c r="S186" i="3"/>
  <c r="T186" i="3"/>
  <c r="S170" i="3"/>
  <c r="T170" i="3"/>
  <c r="S154" i="3"/>
  <c r="T154" i="3"/>
  <c r="T219" i="3"/>
  <c r="S219" i="3"/>
  <c r="T203" i="3"/>
  <c r="S203" i="3"/>
  <c r="T187" i="3"/>
  <c r="S187" i="3"/>
  <c r="S216" i="3"/>
  <c r="T216" i="3"/>
  <c r="S200" i="3"/>
  <c r="T200" i="3"/>
  <c r="S184" i="3"/>
  <c r="T184" i="3"/>
  <c r="S168" i="3"/>
  <c r="T168" i="3"/>
  <c r="T27" i="3"/>
  <c r="S27" i="3"/>
  <c r="S16" i="3"/>
  <c r="T16" i="3"/>
  <c r="T37" i="3"/>
  <c r="S37" i="3"/>
  <c r="T21" i="3"/>
  <c r="S21" i="3"/>
  <c r="T5" i="3"/>
  <c r="S5" i="3"/>
  <c r="J7" i="2" l="1"/>
  <c r="K15" i="2"/>
  <c r="M3" i="2"/>
  <c r="M15" i="2" s="1"/>
  <c r="G4" i="2"/>
  <c r="J5" i="2"/>
  <c r="I15" i="2"/>
  <c r="J6" i="2"/>
  <c r="H15" i="2"/>
  <c r="J3" i="2"/>
  <c r="G3" i="2"/>
  <c r="E15" i="2"/>
  <c r="F15" i="2"/>
  <c r="G6" i="2"/>
  <c r="G5" i="2"/>
  <c r="G7" i="2"/>
  <c r="S957" i="3"/>
  <c r="T957" i="3"/>
  <c r="J15" i="2" l="1"/>
  <c r="G15" i="2"/>
  <c r="B15" i="2" l="1"/>
  <c r="C15" i="2"/>
  <c r="D15" i="2"/>
</calcChain>
</file>

<file path=xl/sharedStrings.xml><?xml version="1.0" encoding="utf-8"?>
<sst xmlns="http://schemas.openxmlformats.org/spreadsheetml/2006/main" count="12475" uniqueCount="1464">
  <si>
    <t>Họ tên (*)</t>
  </si>
  <si>
    <t>Giới tính (*)</t>
  </si>
  <si>
    <t>Năm sinh (*)</t>
  </si>
  <si>
    <t>Tuổi</t>
  </si>
  <si>
    <t>Gia đình mắc ĐTD</t>
  </si>
  <si>
    <t>Chiều cao</t>
  </si>
  <si>
    <t>Cân nặng</t>
  </si>
  <si>
    <t>BMI</t>
  </si>
  <si>
    <t>Vòng eo</t>
  </si>
  <si>
    <t>HA tâm thu (*)</t>
  </si>
  <si>
    <t>HA tâm trương (*)</t>
  </si>
  <si>
    <t>Điểm Giới tính</t>
  </si>
  <si>
    <t>Điểm Tuổi</t>
  </si>
  <si>
    <t>Điểm Gia đình</t>
  </si>
  <si>
    <t>Điểm BMI</t>
  </si>
  <si>
    <t>Điểm Vòng eo</t>
  </si>
  <si>
    <t>Điểm Huyết áp</t>
  </si>
  <si>
    <t>Tổng điểm</t>
  </si>
  <si>
    <t>Nguy cơ Đái tháo đường</t>
  </si>
  <si>
    <t>Nghi ngờ Tăng huyết áp</t>
  </si>
  <si>
    <t>Địa chỉ</t>
  </si>
  <si>
    <t>Ngày khám (*)</t>
  </si>
  <si>
    <t>LIÊU THỊ NHE</t>
  </si>
  <si>
    <t>Nữ</t>
  </si>
  <si>
    <t>01/01/1943</t>
  </si>
  <si>
    <t>Có</t>
  </si>
  <si>
    <t>Không</t>
  </si>
  <si>
    <t/>
  </si>
  <si>
    <t>Ấp Biển Đông A, Phường Hiệp Thành, Tỉnh Cà Mau</t>
  </si>
  <si>
    <t>QUÁCH XÔM</t>
  </si>
  <si>
    <t>Nam</t>
  </si>
  <si>
    <t>01/01/1947</t>
  </si>
  <si>
    <t>Ấp Giồng Giữa B, Phường Hiệp Thành, Tỉnh Cà Mau</t>
  </si>
  <si>
    <t>HUỲNH VĂN HAI</t>
  </si>
  <si>
    <t>01/01/1948</t>
  </si>
  <si>
    <t>Chòm Xoài, Phường Hiệp Thành, Tỉnh Cà Mau</t>
  </si>
  <si>
    <t>THẠCH CƯƠNG</t>
  </si>
  <si>
    <t>01/01/1951</t>
  </si>
  <si>
    <t>Ấp Biển Đông B, Phường Hiệp Thành, Tỉnh Cà Mau</t>
  </si>
  <si>
    <t>TRẦN THỊ SÀ MÂY</t>
  </si>
  <si>
    <t>01/01/1956</t>
  </si>
  <si>
    <t>DƯƠNG THỊ MAI</t>
  </si>
  <si>
    <t>01/01/1967</t>
  </si>
  <si>
    <t>Ấp Giồng Nhãn A, Phường Hiệp Thành, Tỉnh Cà Mau</t>
  </si>
  <si>
    <t>THẠCH THỊ NƯƠNG</t>
  </si>
  <si>
    <t>01/01/1976</t>
  </si>
  <si>
    <t>ĐINH THỊ LANG</t>
  </si>
  <si>
    <t>01/01/1971</t>
  </si>
  <si>
    <t>ấp Giồng Giữa A, Phường Hiệp Thành, Tỉnh Cà Mau</t>
  </si>
  <si>
    <t>QUÁCH THANH HẢI</t>
  </si>
  <si>
    <t>01/01/1968</t>
  </si>
  <si>
    <t>Phường Hiệp Thành, Tỉnh Cà Mau</t>
  </si>
  <si>
    <t>LÝ THỊ BỮU HUA</t>
  </si>
  <si>
    <t>01/01/1954</t>
  </si>
  <si>
    <t>Khóm 3, Phường Bạc Liêu, Tỉnh Cà Mau</t>
  </si>
  <si>
    <t>NGUYỄN THỊ DUYÊN</t>
  </si>
  <si>
    <t>01/01/1961</t>
  </si>
  <si>
    <t>xã hiệp thành, Phường Hiệp Thành, Tỉnh Cà Mau</t>
  </si>
  <si>
    <t>LÂM THỊ SANG</t>
  </si>
  <si>
    <t>01/01/1952</t>
  </si>
  <si>
    <t>ấp Biển Đông A, Phường Hiệp Thành, Tỉnh Cà Mau</t>
  </si>
  <si>
    <t>DANH THƠM</t>
  </si>
  <si>
    <t>01/01/1962</t>
  </si>
  <si>
    <t>NGÔ THU HÀ</t>
  </si>
  <si>
    <t>01/01/1984</t>
  </si>
  <si>
    <t>Biển Tây B, Phường Hiệp Thành, Tỉnh Cà Mau</t>
  </si>
  <si>
    <t>KIM ĐÊL</t>
  </si>
  <si>
    <t>01/01/1978</t>
  </si>
  <si>
    <t>Ấp Biển Tây B, Phường Hiệp Thành, Tỉnh Cà Mau</t>
  </si>
  <si>
    <t>TRẦN CÙ LỰ</t>
  </si>
  <si>
    <t>Ấp Biển Tây A, Phường Hiệp Thành, Tỉnh Cà Mau</t>
  </si>
  <si>
    <t>DANH VONG</t>
  </si>
  <si>
    <t>Ấp Giồng Giữa A, Phường Hiệp Thành, Tỉnh Cà Mau</t>
  </si>
  <si>
    <t>TRỊNH NGỌC HOA</t>
  </si>
  <si>
    <t>ấp Biển Đông A, Phường Bạc Liêu, Tỉnh Cà Mau</t>
  </si>
  <si>
    <t>LÂM DANH</t>
  </si>
  <si>
    <t>01/01/1958</t>
  </si>
  <si>
    <t>NGUYỄN THỊ ĐẸP</t>
  </si>
  <si>
    <t>Ấp Cái Nước, Xã Cái Nước, Tỉnh Cà Mau</t>
  </si>
  <si>
    <t>HỨA THỊ ĐẸT</t>
  </si>
  <si>
    <t>01/01/1955</t>
  </si>
  <si>
    <t>TĂNG PHAL</t>
  </si>
  <si>
    <t>01/01/1953</t>
  </si>
  <si>
    <t>HUỲNH THU HƯƠNG</t>
  </si>
  <si>
    <t>01/01/1957</t>
  </si>
  <si>
    <t>TĂNG CÀ NHONG</t>
  </si>
  <si>
    <t>PHÙNG THÙY TRANG</t>
  </si>
  <si>
    <t>01/01/1977</t>
  </si>
  <si>
    <t>Giồng Giữa, Phường Hiệp Thành, Tỉnh Cà Mau</t>
  </si>
  <si>
    <t>ĐỖ HỒNG NĨ</t>
  </si>
  <si>
    <t>01/01/1972</t>
  </si>
  <si>
    <t>Ấp Giồng Giữa, Phường Hiệp Thành, Tỉnh Cà Mau</t>
  </si>
  <si>
    <t>LÊ THỊ HƯƠNG</t>
  </si>
  <si>
    <t>01/01/1960</t>
  </si>
  <si>
    <t>., Phường Hiệp Thành, Tỉnh Cà Mau</t>
  </si>
  <si>
    <t>KHƯU PO</t>
  </si>
  <si>
    <t>THẠCH HEL</t>
  </si>
  <si>
    <t>01/01/1934</t>
  </si>
  <si>
    <t>THACH CƯƠNG</t>
  </si>
  <si>
    <t>ấp Biển tây B, Phường Hiệp Thành, Tỉnh Cà Mau</t>
  </si>
  <si>
    <t>09/03/2026</t>
  </si>
  <si>
    <t>DIỆP THIỆN</t>
  </si>
  <si>
    <t>PHẠM THỊ TÁM</t>
  </si>
  <si>
    <t>Giồng Giữa B, Phường Hiệp Thành, Tỉnh Cà Mau</t>
  </si>
  <si>
    <t>HUỲNH KIỀU OANH</t>
  </si>
  <si>
    <t>01/01/1966</t>
  </si>
  <si>
    <t>xã Lai Hòa, Tỉnh Cần Thơ</t>
  </si>
  <si>
    <t>TRƯƠNG VĂN HỒNG</t>
  </si>
  <si>
    <t>Phường Hiệp Thành, tỉnh Cà Mau</t>
  </si>
  <si>
    <t>TRẦN TẤN CÔNG</t>
  </si>
  <si>
    <t>01/01/1964</t>
  </si>
  <si>
    <t>Phường Vĩnh Trạch, Tỉnh Cà Mau</t>
  </si>
  <si>
    <t>HUỲNH VĂN BÍ</t>
  </si>
  <si>
    <t>Giống Nhãn, Phường Hiệp Thành, Tỉnh Cà Mau</t>
  </si>
  <si>
    <t>TRẦN THỊ TƯƠI</t>
  </si>
  <si>
    <t>01/01/1986</t>
  </si>
  <si>
    <t>NGUYỄN THỊ HUÔI</t>
  </si>
  <si>
    <t>Khóm Đầu Lộ, Phường Hiệp Thành, Tỉnh Cà Mau</t>
  </si>
  <si>
    <t>NGUYỄN VĂN HIẾN</t>
  </si>
  <si>
    <t>THÁI VĂN NHÀN</t>
  </si>
  <si>
    <t>Ấp Xóm Lẫm, Phường Hiệp Thành, Tỉnh Cà Mau</t>
  </si>
  <si>
    <t>LÂM THỊ HUỆ</t>
  </si>
  <si>
    <t>Giồng Nhãn, Phường Hiệp Thành, Tỉnh Cà Mau</t>
  </si>
  <si>
    <t>LÝ VĂN TÝ</t>
  </si>
  <si>
    <t>THẠCH DÁT</t>
  </si>
  <si>
    <t>LÂM THỊ TỌP</t>
  </si>
  <si>
    <t>PHAN BÁ VI</t>
  </si>
  <si>
    <t>01/01/1950</t>
  </si>
  <si>
    <t>ấp giồng nhãn, Phường Hiệp Thành, Tỉnh Cà Mau</t>
  </si>
  <si>
    <t>LIÊU XÚ MÉN</t>
  </si>
  <si>
    <t>01/01/1969</t>
  </si>
  <si>
    <t>TRẦN THỊ A</t>
  </si>
  <si>
    <t>HUỲNH NGỌC QUẤN</t>
  </si>
  <si>
    <t>01/01/1970</t>
  </si>
  <si>
    <t>TRỊNH KIM THOA</t>
  </si>
  <si>
    <t>Khóm Kinh Tế, Phường Vĩnh Trạch, Tỉnh Cà Mau</t>
  </si>
  <si>
    <t>THẠCH ĐÔNG</t>
  </si>
  <si>
    <t>HỨA THỊ BƯỚM</t>
  </si>
  <si>
    <t>01/01/1959</t>
  </si>
  <si>
    <t>LÝ THỊ PHIA</t>
  </si>
  <si>
    <t>Biển Tây A, Phường Hiệp Thành, Tỉnh Cà Mau</t>
  </si>
  <si>
    <t>LÝ THỊ PHƯỚC</t>
  </si>
  <si>
    <t>LÝ NGA</t>
  </si>
  <si>
    <t>TRIỆU HỒNG CHƯƠNG</t>
  </si>
  <si>
    <t>NGUYỄN VĂN CHÂU</t>
  </si>
  <si>
    <t>TRẦN BÒ</t>
  </si>
  <si>
    <t>01/01/1974</t>
  </si>
  <si>
    <t>ẤP BIỂN TÂY B, Phường Hiệp Thành, Tỉnh Cà Mau</t>
  </si>
  <si>
    <t>PHAN THỊ LÝ</t>
  </si>
  <si>
    <t>văn đức b, Xã An Trạch, Tỉnh Cà Mau</t>
  </si>
  <si>
    <t>NGUYỄN HỮU THỌ</t>
  </si>
  <si>
    <t>NGUYỄN VĂN DỞ</t>
  </si>
  <si>
    <t>Khóm Giồng Giữa, Phường Hiệp Thành, Tỉnh Cà Mau</t>
  </si>
  <si>
    <t>LÝ HUÔI</t>
  </si>
  <si>
    <t>SƠN THỊ THÚY</t>
  </si>
  <si>
    <t>01/01/1973</t>
  </si>
  <si>
    <t>HUỲNH KIM CÚC</t>
  </si>
  <si>
    <t>Ấp 14, Phường Láng Tròn, Tỉnh Cà Mau</t>
  </si>
  <si>
    <t>NGUYỄN THỊ THƠ</t>
  </si>
  <si>
    <t>LÝ THỊ XÀ PHÉP</t>
  </si>
  <si>
    <t>Ấp Giồng Nhãn, Phường Hiệp Thành, Tỉnh Cà Mau</t>
  </si>
  <si>
    <t>ĐẶNG VĂN DỮNG</t>
  </si>
  <si>
    <t>THẠCH THỊ SI MAL</t>
  </si>
  <si>
    <t>01/01/1980</t>
  </si>
  <si>
    <t>ấp Biển Đông B, Xã Vĩnh Trạch Đông, Thành phố Bạc Liêu, Tỉnh Bạc Liêu</t>
  </si>
  <si>
    <t>HUỲNH THANH VÂN</t>
  </si>
  <si>
    <t>khóm Giồng Nhãn, Phường Hiệp Thành, Tỉnh Cà Mau</t>
  </si>
  <si>
    <t>LÊ THỊ HẾT</t>
  </si>
  <si>
    <t>giồng Nhãn, Phường Hiệp Thành, Tỉnh Cà Mau</t>
  </si>
  <si>
    <t>TÔ KHÁNH TÀI</t>
  </si>
  <si>
    <t>bưu điện, Phường Hiệp Thành, Tỉnh Cà Mau</t>
  </si>
  <si>
    <t>NGUYỄN VĂN THỨC</t>
  </si>
  <si>
    <t>Khóm Bờ Tây, Phường Hiệp Thành, Tỉnh Cà Mau</t>
  </si>
  <si>
    <t>NGUYỄN VĂN PHA</t>
  </si>
  <si>
    <t>khóm Giồng giữa, Phường Hiệp Thành, Tỉnh Cà Mau</t>
  </si>
  <si>
    <t>HUỲNH KHI</t>
  </si>
  <si>
    <t>ĐÀO MỘNG THU</t>
  </si>
  <si>
    <t>LA THỊ THU</t>
  </si>
  <si>
    <t>NGỤY VĂN TỌ</t>
  </si>
  <si>
    <t>HUỲNH THANH BÌNH</t>
  </si>
  <si>
    <t>ấp Nhà Lầu 2, Xã Ninh Thạnh Lợi, Tỉnh Cà Mau</t>
  </si>
  <si>
    <t>HUỲNH THỊ HƯƠNG</t>
  </si>
  <si>
    <t>QUÁCH THỊ TIÊN</t>
  </si>
  <si>
    <t>CHÂU THỊ LOAN</t>
  </si>
  <si>
    <t>Ấp Giồng Giữa B, xã Vĩnh Trạch Đông, thành phố Bạc Liêu, tỉnh Bạc Liêu, Phường Hiệp Thành, Tỉnh Cà Mau</t>
  </si>
  <si>
    <t>SƠN XÀ HUỴNH</t>
  </si>
  <si>
    <t>QUÁCH VĂN ĐỰC</t>
  </si>
  <si>
    <t>LA VĂN LIẾU</t>
  </si>
  <si>
    <t>01/01/1963</t>
  </si>
  <si>
    <t>Ấp Giồng Nhãn, Xã Hiệp Thành, Thành phố Bạc Liêu, Tỉnh Bạc Liêu</t>
  </si>
  <si>
    <t>DƯƠNG THỊ ẠI</t>
  </si>
  <si>
    <t>LA THỊ LÙNG</t>
  </si>
  <si>
    <t>Khóm Giồng Nhãn, Phường Hiệp Thành, Tỉnh Cà Mau</t>
  </si>
  <si>
    <t>THẠCH SỐCH</t>
  </si>
  <si>
    <t>01/01/1931</t>
  </si>
  <si>
    <t>Hòa Hiệp, Xã Lai Hòa, Thành phố Cần Thơ</t>
  </si>
  <si>
    <t>QUÁCH THỊ TEN</t>
  </si>
  <si>
    <t>SƠN QUÔNG</t>
  </si>
  <si>
    <t>NGUYỄN THỊ THANH VÂN</t>
  </si>
  <si>
    <t>MÃ THỊ NHẪN</t>
  </si>
  <si>
    <t>LÊ THỊ HUỆ</t>
  </si>
  <si>
    <t>TRẦN VĂN HIỆP</t>
  </si>
  <si>
    <t>CHÂU MỘNG THU</t>
  </si>
  <si>
    <t>01/01/1983</t>
  </si>
  <si>
    <t>PHAN NGỌC SƯƠNG</t>
  </si>
  <si>
    <t>THẠCH THỊ DOAN</t>
  </si>
  <si>
    <t>Prey Chóp B, Xã Lai Hòa, Thành phố Cần Thơ</t>
  </si>
  <si>
    <t>NGUYỄN VIỆT KIỀU</t>
  </si>
  <si>
    <t>TRẦN XIẾU KHẾN</t>
  </si>
  <si>
    <t>CHÂU THỊ KHƯƠL</t>
  </si>
  <si>
    <t>Biển Đông A, Phường Hiệp Thành, Tỉnh Cà Mau</t>
  </si>
  <si>
    <t>TRƯƠNG VĂN HƯNG</t>
  </si>
  <si>
    <t>TRẦN CHÍ HÙNG</t>
  </si>
  <si>
    <t>SƠN THỊ TAN</t>
  </si>
  <si>
    <t>TẠ VŨ MINH</t>
  </si>
  <si>
    <t>Giồng Nhãn A, Phường Hiệp Thành, Tỉnh Cà Mau</t>
  </si>
  <si>
    <t>HUỲNH THỊ BỘ</t>
  </si>
  <si>
    <t>LÂM VĂN TÂY</t>
  </si>
  <si>
    <t>Biển Đông B, Phường Hiệp Thành, Tỉnh Cà Mau</t>
  </si>
  <si>
    <t>TRẦN MINH</t>
  </si>
  <si>
    <t>CHIÊM VĂN MINH</t>
  </si>
  <si>
    <t>PHAN THỊ LOAN</t>
  </si>
  <si>
    <t>CAO THỊ NGỌC CHÂU</t>
  </si>
  <si>
    <t>Vĩnh Lộc, Xã Phước Long, Tỉnh Cà Mau</t>
  </si>
  <si>
    <t>CHUNG THỊ Y</t>
  </si>
  <si>
    <t>PHAN THỊ ME</t>
  </si>
  <si>
    <t>LÊ THỊ BÍCH</t>
  </si>
  <si>
    <t>LÂM THỊ LÍCH</t>
  </si>
  <si>
    <t>LA THỊ HỒNG DÂN</t>
  </si>
  <si>
    <t>Xã Vĩnh Trạch Đông, Thành phố Bạc Liêu, Tỉnh Bạc Liêu</t>
  </si>
  <si>
    <t>TÁC VĂN HÚA</t>
  </si>
  <si>
    <t>LÂM KHUÔN</t>
  </si>
  <si>
    <t>buu diên, Phường Hiệp Thành, Tỉnh Cà Mau</t>
  </si>
  <si>
    <t>THẠCH THỊ ƯƠNG</t>
  </si>
  <si>
    <t>ấp Biển Đông B, Phường Hiệp Thành, Tỉnh Cà Mau</t>
  </si>
  <si>
    <t>NGUYỄN THỊ HÀ</t>
  </si>
  <si>
    <t>LÂM THANH VÍ</t>
  </si>
  <si>
    <t>TÔ KIM LIÊN</t>
  </si>
  <si>
    <t>LÊ MỘNG TIỀN</t>
  </si>
  <si>
    <t>Xóm Lẫm, Phường Hiệp Thành, Tỉnh Cà Mau</t>
  </si>
  <si>
    <t>LÂM THANH XUNG</t>
  </si>
  <si>
    <t>NGUYỄN THỊ THỦY</t>
  </si>
  <si>
    <t>TRẦN QUANG THIỆN</t>
  </si>
  <si>
    <t>ấp Giồng Giữa B, Phường Hiệp Thành, Tỉnh Cà Mau</t>
  </si>
  <si>
    <t>DƯƠNG SÁI</t>
  </si>
  <si>
    <t>THẠCH THỊ QUYẾT</t>
  </si>
  <si>
    <t>ấp Biển Tây B, Phường Hiệp Thành, Tỉnh Cà Mau</t>
  </si>
  <si>
    <t>THẠCH ĐẸT</t>
  </si>
  <si>
    <t>LÂM THỊ ÚT</t>
  </si>
  <si>
    <t>NGUYỄN MINH HIẾU</t>
  </si>
  <si>
    <t>QUÁCH THỊ MẾN</t>
  </si>
  <si>
    <t>giồng giữa, Phường Hiệp Thành, Tỉnh Cà Mau</t>
  </si>
  <si>
    <t>TRẦN THỊ NGUYỆT ÁNH</t>
  </si>
  <si>
    <t>QUÁCH HIẾU KÝ</t>
  </si>
  <si>
    <t>TNSQ công an tỉnh Bạc liêu_CATP</t>
  </si>
  <si>
    <t>NGUYỄN KIỀU TRANG</t>
  </si>
  <si>
    <t>01/01/1985</t>
  </si>
  <si>
    <t>Cây Thẻ, Xã Định Thành, Tỉnh Cà Mau</t>
  </si>
  <si>
    <t>TRẦN THANH HẢI</t>
  </si>
  <si>
    <t>SƠN THỊ BÚ</t>
  </si>
  <si>
    <t>LIÊU XÚ XÉM</t>
  </si>
  <si>
    <t>PHƯƠNG THỊ XÀ QUỆT</t>
  </si>
  <si>
    <t>PHAN THỊ KIỀU TRINH</t>
  </si>
  <si>
    <t>DƯƠNG QUỐC CHUYÊN</t>
  </si>
  <si>
    <t>Số 207B/5, Khóm Chòm Xoài, Phường Nhà Mát, TP Bạc Liêu, Bạc Liêu</t>
  </si>
  <si>
    <t>TRẦN THỊ HUỐNG</t>
  </si>
  <si>
    <t>ấp Biển Tây A, Xã Vĩnh Trạch Đông, Thành phố Bạc Liêu, Tỉnh Bạc Liêu</t>
  </si>
  <si>
    <t>TRƯƠNG TẤN THÀNH</t>
  </si>
  <si>
    <t>01/01/1982</t>
  </si>
  <si>
    <t>NGÔ THỊ LOÁN</t>
  </si>
  <si>
    <t>LÊ THỊ LỘC</t>
  </si>
  <si>
    <t>HUỲNH THỊ ĐỜI</t>
  </si>
  <si>
    <t>TRẦN THANH ĐIỀN</t>
  </si>
  <si>
    <t>01/01/1979</t>
  </si>
  <si>
    <t>HUỲNH THỊ MA SI</t>
  </si>
  <si>
    <t>LÂM THỊ XÀ QUI</t>
  </si>
  <si>
    <t>KIM THỊ THƯƠNG</t>
  </si>
  <si>
    <t>TP - Ấp Giồng Giữa B, Phường Hiệp Thành, Tỉnh Cà Mau</t>
  </si>
  <si>
    <t>NGHIÊM SÀ RAI</t>
  </si>
  <si>
    <t>LÝ THỊ ÁNH</t>
  </si>
  <si>
    <t>SƠN CHUỘT</t>
  </si>
  <si>
    <t>NGUYỄN VĂN LỰC</t>
  </si>
  <si>
    <t>TRẦN VĂN HÒA</t>
  </si>
  <si>
    <t>LÊ THỊ KIẾP</t>
  </si>
  <si>
    <t>TRƯƠNG THỊ RƯƠL</t>
  </si>
  <si>
    <t>TRẦN MINH DŨNG</t>
  </si>
  <si>
    <t>TRẦN THỊ XA</t>
  </si>
  <si>
    <t>PHƯƠNG THỊ ÚT</t>
  </si>
  <si>
    <t>THÁI HUỲNH TẤT</t>
  </si>
  <si>
    <t>NGUYỄN THỊ THƠI</t>
  </si>
  <si>
    <t>NGUYỄN THỊ CHẮC</t>
  </si>
  <si>
    <t>Ấp 15, Xã Vĩnh Hậu, Tỉnh Cà Mau</t>
  </si>
  <si>
    <t>NGUYỄN THỊ THÁN</t>
  </si>
  <si>
    <t>PHAN KHEN</t>
  </si>
  <si>
    <t>Phường Mỹ Xuyên, Thành phố Cần Thơ</t>
  </si>
  <si>
    <t>LÝ ÚT</t>
  </si>
  <si>
    <t>TRỊNH THỊ MẪN</t>
  </si>
  <si>
    <t>TRẦN THỊ SON</t>
  </si>
  <si>
    <t>ấp Biển Tây A, Phường Hiệp Thành, Tỉnh Cà Mau</t>
  </si>
  <si>
    <t>LÂM THỊ SÀ VƯƠNG</t>
  </si>
  <si>
    <t>01/01/1946</t>
  </si>
  <si>
    <t>NGUYỄN VĂN THÔI</t>
  </si>
  <si>
    <t>giồng nhãn, Phường Hiệp Thành, Tỉnh Cà Mau</t>
  </si>
  <si>
    <t>THẠCH THỊ ĐIỆP</t>
  </si>
  <si>
    <t>HUỲNH THỊ ĐIỆP</t>
  </si>
  <si>
    <t>THẠCH THỊ NA</t>
  </si>
  <si>
    <t>Giồng Giữa A, Phường Hiệp Thành, Tỉnh Cà Mau</t>
  </si>
  <si>
    <t>TRƯƠNG THỊ KIM TIẾC</t>
  </si>
  <si>
    <t>ấp Giồng Giữa A, Xã Vĩnh Trạch Đông, Thành phố Bạc Liêu, Tỉnh Bạc Liêu</t>
  </si>
  <si>
    <t>NGUYỄN THỊ TRANG</t>
  </si>
  <si>
    <t>CHÂU THỊ HUỆ</t>
  </si>
  <si>
    <t>LÝ BÙ KHÉN</t>
  </si>
  <si>
    <t>Ấp biển đông A, Phường Hiệp Thành, Tỉnh Cà Mau</t>
  </si>
  <si>
    <t>LÝ THỊ DƯƠNG</t>
  </si>
  <si>
    <t>01/01/1949</t>
  </si>
  <si>
    <t>NGUYỄN VĂN LÀNH</t>
  </si>
  <si>
    <t>NGUYỄN THỊ MỪNG</t>
  </si>
  <si>
    <t>ONG XÁI</t>
  </si>
  <si>
    <t>01/01/1944</t>
  </si>
  <si>
    <t>Khóm Đầu Lộ A, Phường Hiệp Thành, Tỉnh Cà Mau</t>
  </si>
  <si>
    <t>MÃ ANH KIỆT</t>
  </si>
  <si>
    <t>khóm Giồng Nhãn A, Phường Hiệp Thành, Tỉnh Cà Mau</t>
  </si>
  <si>
    <t>LÂM THỊ CẢNH</t>
  </si>
  <si>
    <t>TRƯƠNG HÁN MẾN</t>
  </si>
  <si>
    <t>TRỊNH ĐƠN</t>
  </si>
  <si>
    <t>Ấp Giồng Giữa A, Xã Vĩnh Trạch Đông, Thành phố Bạc Liêu, Tỉnh Bạc Liêu</t>
  </si>
  <si>
    <t>THẠCH THỊ SƯNG</t>
  </si>
  <si>
    <t>ĐÀO THỊ LÀI</t>
  </si>
  <si>
    <t>DƯƠNG THỊ DUNG</t>
  </si>
  <si>
    <t>01/01/1945</t>
  </si>
  <si>
    <t>NGUYỄN THỊ ĐÔNG TUYẾT</t>
  </si>
  <si>
    <t>LÝ THỊ DẾT</t>
  </si>
  <si>
    <t>NGUYỄN HẰNG DUY</t>
  </si>
  <si>
    <t>ấp 14, Xã Vĩnh Hậu, Tỉnh Cà Mau</t>
  </si>
  <si>
    <t>KIM THỊ CƯƠNG</t>
  </si>
  <si>
    <t>ấp Giồng Giữa B, Xã Vĩnh Trạch Đông, Thành phố Bạc Liêu, Tỉnh Bạc Liêu</t>
  </si>
  <si>
    <t>LÂM THỊ SƯƠN</t>
  </si>
  <si>
    <t>01/01/1940</t>
  </si>
  <si>
    <t>CAO VĂN THIÊN</t>
  </si>
  <si>
    <t>THẠCH PHẾT</t>
  </si>
  <si>
    <t>PHẠM NGỌC THƠ</t>
  </si>
  <si>
    <t>01/01/1975</t>
  </si>
  <si>
    <t>ấp Giồng nhãn A, Phường Hiệp Thành, Tỉnh Cà Mau</t>
  </si>
  <si>
    <t>TRỊNH LOST</t>
  </si>
  <si>
    <t>LÝ THỊ ĐẸP</t>
  </si>
  <si>
    <t>LÊ THỊ HỒNG THUỶ</t>
  </si>
  <si>
    <t>ấp Giồng giữa, Phường Hiệp Thành, Tỉnh Cà Mau</t>
  </si>
  <si>
    <t>HUỲNH VĂN KHỘT</t>
  </si>
  <si>
    <t>QUÁCH THỊ SUỐL</t>
  </si>
  <si>
    <t>PHAN THỊ MỘNG CẦM</t>
  </si>
  <si>
    <t>Khóm 6, Phường 2, Thành phố Bạc Liêu, Tỉnh Bạc Liêu</t>
  </si>
  <si>
    <t>TRƯƠNG THỊ SÀ PHIL</t>
  </si>
  <si>
    <t>LÂM NHẬT QUYÊN</t>
  </si>
  <si>
    <t>KHƯU CHỦ ẸT</t>
  </si>
  <si>
    <t>QUÁCH THỊ HEN</t>
  </si>
  <si>
    <t>LÊ NGỌC BÍCH</t>
  </si>
  <si>
    <t>PHAN CHÍ NHŨ</t>
  </si>
  <si>
    <t>TRẦN THỊ CHIẾN</t>
  </si>
  <si>
    <t>THÁI THỊ HIỀN</t>
  </si>
  <si>
    <t>ĐÀO THỊ MỘNG THÚY</t>
  </si>
  <si>
    <t>XE VĂN HÁ</t>
  </si>
  <si>
    <t>NGUYỄN THỊ ĐÀO</t>
  </si>
  <si>
    <t>NGUYỄN THỊ HUỆ</t>
  </si>
  <si>
    <t>TP Bạc Liêu, Bạc Liêu - PC68, Phường An Cư, Quận Ninh Kiều, Thành phố Cần Thơ</t>
  </si>
  <si>
    <t>TRƯƠNG HỒNG NƯƠNG</t>
  </si>
  <si>
    <t>Phường Bạc Liêu, Tỉnh Cà Mau</t>
  </si>
  <si>
    <t>HỒ THANH TÂM</t>
  </si>
  <si>
    <t>LÊ THỊ CẨM</t>
  </si>
  <si>
    <t>HUỲNH THỊ MAI</t>
  </si>
  <si>
    <t>TRẦN THỊ CHE</t>
  </si>
  <si>
    <t>DANH XIN</t>
  </si>
  <si>
    <t>THẠCH THỊ BẢY</t>
  </si>
  <si>
    <t>THẠCH SINH</t>
  </si>
  <si>
    <t>01/01/1965</t>
  </si>
  <si>
    <t>NGUYỄN VĂN LẬP</t>
  </si>
  <si>
    <t>SƠN VĂN MINH</t>
  </si>
  <si>
    <t>THẠCH SI RA</t>
  </si>
  <si>
    <t>LÝ THỊ BỬU YÀ</t>
  </si>
  <si>
    <t>HUỲNH LUỐN</t>
  </si>
  <si>
    <t>HỮU THỊ KIM HOÀNG</t>
  </si>
  <si>
    <t>THẠCH THỊ XÀ QUÃNG</t>
  </si>
  <si>
    <t>Ấp Biển Đông B, Xã Vĩnh Trạch Đông, Thành phố Bạc Liêu, Tỉnh Bạc Liêu</t>
  </si>
  <si>
    <t>HUỲNH THỊ SA VÊNH</t>
  </si>
  <si>
    <t>ấp Biển Đông A, Xã Vĩnh Trạch Đông, Thành phố Bạc Liêu, Tỉnh Bạc Liêu</t>
  </si>
  <si>
    <t>HỨA VĂN TẢ</t>
  </si>
  <si>
    <t>HỨA THỊ ÚT SAO</t>
  </si>
  <si>
    <t>ấp Giồng Giữa B, Phường Hiệp Thành, Thành phố Bạc Liêu, Tỉnh Cà Mau</t>
  </si>
  <si>
    <t>LÂM THỊ SEN</t>
  </si>
  <si>
    <t>THÁI NGƯU ANH</t>
  </si>
  <si>
    <t>LÂM THỊ GIỀNG</t>
  </si>
  <si>
    <t>khóm giồng nhãn, Phường Hiệp Thành, Tỉnh Cà Mau</t>
  </si>
  <si>
    <t>NGÔ HUỆ PHƯƠNG</t>
  </si>
  <si>
    <t>LỮ THỊ TUYẾT MAI</t>
  </si>
  <si>
    <t>TẠ VĂN BÚ</t>
  </si>
  <si>
    <t>01/01/1981</t>
  </si>
  <si>
    <t>Khóm Chòm Xoài, Phường Hiệp Thành, Tỉnh Cà Mau</t>
  </si>
  <si>
    <t>LỘ MINH PHƯỚC</t>
  </si>
  <si>
    <t>Nhà Mát, Phường Hiệp Thành, Tỉnh Cà Mau</t>
  </si>
  <si>
    <t>LIÊU THỊ SÀ VÀNG</t>
  </si>
  <si>
    <t>THẠCH THỊ MY</t>
  </si>
  <si>
    <t>THẠCH CÚC</t>
  </si>
  <si>
    <t>NGUYỄN THỊ TIẾNG</t>
  </si>
  <si>
    <t>Ấp An Trạch Đông, Phường Vĩnh Trạch, Tỉnh Cà Mau</t>
  </si>
  <si>
    <t>TRẦN LÔM</t>
  </si>
  <si>
    <t>TRỊNH THỊ NGỌC QUI</t>
  </si>
  <si>
    <t>NGUYỄN THANH KHÔI</t>
  </si>
  <si>
    <t>Phường 7, Thành phố Bạc Liêu, Tỉnh Bạc Liêu</t>
  </si>
  <si>
    <t>HÀNG THỊ LAI HOA</t>
  </si>
  <si>
    <t>KHƯU HÔN</t>
  </si>
  <si>
    <t>LÝ THỊ CHỊT</t>
  </si>
  <si>
    <t>NGUYỄN THỊ NHANH</t>
  </si>
  <si>
    <t>Ấp Hòa Thân, Phường Sơn Qui, Tỉnh Đồng Tháp</t>
  </si>
  <si>
    <t>SƠN XUA</t>
  </si>
  <si>
    <t>CHIÊM THỊ KIM</t>
  </si>
  <si>
    <t>THẠCH THỊ QUÊN</t>
  </si>
  <si>
    <t>THẠCH THỊ SÀ NƯƠL</t>
  </si>
  <si>
    <t>SƠN THỊ SON</t>
  </si>
  <si>
    <t>LÂM THỊ HUÔNG</t>
  </si>
  <si>
    <t>KHA VĂN HÍ</t>
  </si>
  <si>
    <t>NGUYỄN NGỌC EM</t>
  </si>
  <si>
    <t>DƯƠNG VĂN MẬU</t>
  </si>
  <si>
    <t>Khóm Biển Tây A, Phường Hiệp Thành, Tỉnh Cà Mau</t>
  </si>
  <si>
    <t>LÝ MỸ</t>
  </si>
  <si>
    <t>LÂM THỊ LAN PHƯƠNG</t>
  </si>
  <si>
    <t>NGUYỄN THỊ LỆ</t>
  </si>
  <si>
    <t>NGUYỄN THỊ VIỆT</t>
  </si>
  <si>
    <t>ĐINH VIỆT TIẾN</t>
  </si>
  <si>
    <t>THẠCH THỊ PHOL</t>
  </si>
  <si>
    <t>BÀNH VĂN MINH</t>
  </si>
  <si>
    <t>MAI THANH MẬU</t>
  </si>
  <si>
    <t>LƯU TÀI KHẾN</t>
  </si>
  <si>
    <t>TRẦN THỊ VOAN</t>
  </si>
  <si>
    <t>ấp biển tây B, Phường Hiệp Thành, Tỉnh Cà Mau</t>
  </si>
  <si>
    <t>LÂM THỊ KIỀU</t>
  </si>
  <si>
    <t>LÂM SƯƠL</t>
  </si>
  <si>
    <t>HUỲNH TUYẾT PHƯỢNG</t>
  </si>
  <si>
    <t>ấp giồng nhãn a, Phường Hiệp Thành, Tỉnh Cà Mau</t>
  </si>
  <si>
    <t>THẠCH THỊ HUỲNH</t>
  </si>
  <si>
    <t>p Giồng Giữa A, Phường Hiệp Thành, Tỉnh Cà Mau</t>
  </si>
  <si>
    <t>HỬU THỊ SÁU</t>
  </si>
  <si>
    <t>TRẦN VĂN CA</t>
  </si>
  <si>
    <t>NGUYỄN VĂN NHỜ</t>
  </si>
  <si>
    <t>NGUYỄN THỊ BÔNG</t>
  </si>
  <si>
    <t>QUÁCH THỊ CÁO</t>
  </si>
  <si>
    <t>THẠCH THỊ NAL</t>
  </si>
  <si>
    <t>LÝ HEM</t>
  </si>
  <si>
    <t>VÕ THỊ TUYỀN</t>
  </si>
  <si>
    <t>Ấp Giáp Nước, Phường Vĩnh Trạch, Tỉnh Cà Mau</t>
  </si>
  <si>
    <t>THẠCH TY</t>
  </si>
  <si>
    <t>TRƯƠNG HAI</t>
  </si>
  <si>
    <t>CHIÊM LIN ĐA</t>
  </si>
  <si>
    <t>MÃ LỆ XUÂN</t>
  </si>
  <si>
    <t>HUỲNH THỊ SA MY</t>
  </si>
  <si>
    <t>NGUYỄN THỊ KIM EM</t>
  </si>
  <si>
    <t>NGÔ THANH TRÍ</t>
  </si>
  <si>
    <t>LÝ KHA</t>
  </si>
  <si>
    <t>TRẦN VUI</t>
  </si>
  <si>
    <t>QUÁCH CÚI HEN</t>
  </si>
  <si>
    <t>VÕ MINH THẶM</t>
  </si>
  <si>
    <t>Ấp Phước Hậu, Xã Vĩnh Phước, Tỉnh Cà Mau</t>
  </si>
  <si>
    <t>LAI THỊ LÓN</t>
  </si>
  <si>
    <t>khóm giồng nhãn , Phường Hiệp Thành, Tỉnh Cà Mau</t>
  </si>
  <si>
    <t>LÂM MÍT</t>
  </si>
  <si>
    <t>LÊ THỊ TRÚT</t>
  </si>
  <si>
    <t>HUỲNH KHÁNH TƯỢNG</t>
  </si>
  <si>
    <t>SƠN XÀ QUANH</t>
  </si>
  <si>
    <t>THẠCH THỊ LIÊN</t>
  </si>
  <si>
    <t>LÝ THỊ SÀ PHA</t>
  </si>
  <si>
    <t>LÝ VĂN CHÁNH</t>
  </si>
  <si>
    <t>LIÊN HÁN SÊN</t>
  </si>
  <si>
    <t>TRẦN THỊ MỘNG KIỀU</t>
  </si>
  <si>
    <t>NGUYỄN THÀNH SƠN</t>
  </si>
  <si>
    <t>Khóm Nhà Mát Phường Hiệp Thành, Tỉnh Cà Mau</t>
  </si>
  <si>
    <t>LÂM THỊ SƯƠNG</t>
  </si>
  <si>
    <t>SƠN ĐINH</t>
  </si>
  <si>
    <t>LÝ SỐN</t>
  </si>
  <si>
    <t>khóm Biển Đông B, Phường Hiệp Thành, Tỉnh Cà Mau</t>
  </si>
  <si>
    <t>TRẦN THỊ MƯA</t>
  </si>
  <si>
    <t>Giồng nhãn A, Phường Hiệp Thành, Tỉnh Cà Mau</t>
  </si>
  <si>
    <t>LÂM VĂN DIÊN</t>
  </si>
  <si>
    <t>BÀNH PHƯỚC ĐẠI</t>
  </si>
  <si>
    <t>LÂM THỊ HẢI</t>
  </si>
  <si>
    <t>Vĩnh Mẫu, Xã Vĩnh Hậu, Tỉnh Cà Mau</t>
  </si>
  <si>
    <t>THẠCH THỊ MINH</t>
  </si>
  <si>
    <t>NGUYỄN TUYẾT LINH</t>
  </si>
  <si>
    <t>TRƯƠNG THỊ TỐ QUYÊN</t>
  </si>
  <si>
    <t>TRẦN VĂN DƯỠNG</t>
  </si>
  <si>
    <t>TIÊU THỊ PHE</t>
  </si>
  <si>
    <t>TRẦN MINH TẠO</t>
  </si>
  <si>
    <t>PHƯƠNG THỊ DƯƠL</t>
  </si>
  <si>
    <t>HUỲNH VĂN LÂM</t>
  </si>
  <si>
    <t>Khóm 3, Phường Lý Văn Lâm, Tỉnh Cà Mau</t>
  </si>
  <si>
    <t>HUỲNH THỊ ĐẸP</t>
  </si>
  <si>
    <t>TRẦN BÁ ANH QUYỀN</t>
  </si>
  <si>
    <t>CHÂU THỊ KIM YẾN</t>
  </si>
  <si>
    <t>giồng giữa B phường Hiệp Thành, Tỉnh Cà Mau</t>
  </si>
  <si>
    <t>TÔ THỊ MƯỜI</t>
  </si>
  <si>
    <t>LÝ THỊ SI</t>
  </si>
  <si>
    <t>LÝ THỊ SƯƠL</t>
  </si>
  <si>
    <t>Ấp Biển Đông A, Xã Vĩnh Trạch Đông, Thành phố Bạc Liêu, Tỉnh Bạc Liêu</t>
  </si>
  <si>
    <t>LÊ THỊ THÚY</t>
  </si>
  <si>
    <t>ấp Giồng Nhãn, Phường Hiệp Thành, Tỉnh Cà Mau</t>
  </si>
  <si>
    <t>THẠCH THỊ DƯƠL</t>
  </si>
  <si>
    <t>HUỲNH THỊ HAI</t>
  </si>
  <si>
    <t>TRỊNH THỊ ĐEN</t>
  </si>
  <si>
    <t>THỊ HAL</t>
  </si>
  <si>
    <t>ấp Biển Tây B, phường Hiệp Thành, Tỉnh Cà Mau</t>
  </si>
  <si>
    <t>SƠN QUAY</t>
  </si>
  <si>
    <t>LÝ THỊ SÊN</t>
  </si>
  <si>
    <t>Khóm Nhà Mát, Phường Hiệp Thành, Tỉnh Cà Mau</t>
  </si>
  <si>
    <t>LÝ KIM SƠN</t>
  </si>
  <si>
    <t>TRỊNH THỊ THU</t>
  </si>
  <si>
    <t>Ấp Biển Tây B, Xã Vĩnh Trạch Đông, Thành phố Bạc Liêu, Tỉnh Bạc Liêu</t>
  </si>
  <si>
    <t>LÝ THỊ NY</t>
  </si>
  <si>
    <t>SƠN THỊ PHIÊL</t>
  </si>
  <si>
    <t>BẠCH GIA HƯNG</t>
  </si>
  <si>
    <t>HUỲNH HOÀNG VÂN</t>
  </si>
  <si>
    <t>THẠCH THỦY</t>
  </si>
  <si>
    <t>HUỲNH NGỌC LIÊN</t>
  </si>
  <si>
    <t>ẤP Biển Tây A, Phường Hiệp Thành, Tỉnh Cà Mau</t>
  </si>
  <si>
    <t>THẠCH HOÀNG HƯỜNG</t>
  </si>
  <si>
    <t>TRẦN THỊ ÚT</t>
  </si>
  <si>
    <t>KHƯU THỊ HẾN</t>
  </si>
  <si>
    <t>HUỲNH VĂN SIỆL</t>
  </si>
  <si>
    <t>Khóm Giồng Giữa A, Phường Hiệp Thành, Tỉnh Cà Mau</t>
  </si>
  <si>
    <t>TRẦN THỊ HIẾU</t>
  </si>
  <si>
    <t>NGUYỄN THỊ XUYẾN</t>
  </si>
  <si>
    <t>Ấp Biển Tây A, Phường Bạc Liêu, Thành phố Bạc Liêu, Tỉnh Cà Mau</t>
  </si>
  <si>
    <t>NGUYỄN VĂN TIỀN</t>
  </si>
  <si>
    <t>Phường Nhà Mát, Thành phố Bạc Liêu, Tỉnh Bạc Liêu</t>
  </si>
  <si>
    <t>THÁI VĂN TIẾN</t>
  </si>
  <si>
    <t>TRẦN BÍCH TRANG</t>
  </si>
  <si>
    <t>THẠCH DÀNH NI</t>
  </si>
  <si>
    <t>Ấp Biển Tây A, Xã Vĩnh Trạch Đông, Thành phố Bạc Liêu, Tỉnh Bạc Liêu</t>
  </si>
  <si>
    <t>TRẦN THỊ QUÁN</t>
  </si>
  <si>
    <t>NGÔ THỊ THU MAI</t>
  </si>
  <si>
    <t>THẠCH THỊ THÀ</t>
  </si>
  <si>
    <t>HUỲNH VĂN THÁI</t>
  </si>
  <si>
    <t>Ấp 17, Xã Vĩnh Hậu, Tỉnh Cà Mau</t>
  </si>
  <si>
    <t>PHẠM THỊ MẬT</t>
  </si>
  <si>
    <t>LA THANH PHONG</t>
  </si>
  <si>
    <t>VÕ THỊ KIỆT</t>
  </si>
  <si>
    <t>Ấp Giồng Nhãn A, Phường Hiệp Thành, Tỉnh Cà Mau</t>
  </si>
  <si>
    <t>TRẦN MINH TÂM</t>
  </si>
  <si>
    <t>LÂM THỊ HẠNH</t>
  </si>
  <si>
    <t>NGÔ VĂN TỶ</t>
  </si>
  <si>
    <t>LÊ THỊ TÁM</t>
  </si>
  <si>
    <t>LÝ THỊ NGA</t>
  </si>
  <si>
    <t>LÝ THỊ GHE</t>
  </si>
  <si>
    <t>LÂM THỊ THÚY AN</t>
  </si>
  <si>
    <t>TRƯƠNG DƯƠNG</t>
  </si>
  <si>
    <t>TRẦN THỊ KHÊN</t>
  </si>
  <si>
    <t>ấp Biển Đông A , Phường Hiệp Thành, Tỉnh Cà Mau</t>
  </si>
  <si>
    <t>NHAN VĂN THẮNG</t>
  </si>
  <si>
    <t>NGUYỄN THỊ KIM SINH</t>
  </si>
  <si>
    <t>TRẦN THANH KIỀU</t>
  </si>
  <si>
    <t>khóm Xóm Lẫm, Phường Hiệp Thành, Tỉnh Cà Mau</t>
  </si>
  <si>
    <t>NGUYỄN VĂN ĐỦ</t>
  </si>
  <si>
    <t>LIÊU KHAI MẾN</t>
  </si>
  <si>
    <t>LÂM THỊ SOL</t>
  </si>
  <si>
    <t>SƠN PHAI</t>
  </si>
  <si>
    <t>Ấp Biển Tây A, Xã Vĩnh Trạch Đông, Thành phố Bạc Liêu</t>
  </si>
  <si>
    <t>DANH QUỐC MINH</t>
  </si>
  <si>
    <t>NGÔ VĂN HUỲNH</t>
  </si>
  <si>
    <t>ấp giồng giữa, Phường Hiệp Thành, Tỉnh Cà Mau</t>
  </si>
  <si>
    <t>LÂM THƯƠNG</t>
  </si>
  <si>
    <t>KHƯU VI HIẾU</t>
  </si>
  <si>
    <t>XE THỊ THÚY</t>
  </si>
  <si>
    <t>TRẦN THỊ XÀ VƯỢL</t>
  </si>
  <si>
    <t>SƠN THỊ CUỐI</t>
  </si>
  <si>
    <t>LÂM THỊ KHOL</t>
  </si>
  <si>
    <t>CHIÊM VĂN CHÚC</t>
  </si>
  <si>
    <t>THẠCH THỊ KIM ANH</t>
  </si>
  <si>
    <t>TRẦN THANH HIẾN</t>
  </si>
  <si>
    <t>NGUYỄN THỊ MAI</t>
  </si>
  <si>
    <t>Giồng giữa, Phường Hiệp Thành, Tỉnh Cà Mau</t>
  </si>
  <si>
    <t>HUỲNH THỊ ĐAL</t>
  </si>
  <si>
    <t>ấp Biển Đông B, Phường Hiệp Thành, Thành phố Bạc Liêu, Tỉnh Cà Mau</t>
  </si>
  <si>
    <t>TĂNG THỊ CHƯƠL</t>
  </si>
  <si>
    <t>LÂM VĂN DŨNG</t>
  </si>
  <si>
    <t>THẠCH TEL</t>
  </si>
  <si>
    <t>PHẠM THỊ CẨM</t>
  </si>
  <si>
    <t>Ấp Lung Lá, Xã Định Thành, Huyện Đông Hải, Tỉnh Cà Mau</t>
  </si>
  <si>
    <t>LÊ THỊ THANH LOAN</t>
  </si>
  <si>
    <t>KHƯU THỊ HỒNG</t>
  </si>
  <si>
    <t>DANH KIM SANG</t>
  </si>
  <si>
    <t>THẠCH KHUM</t>
  </si>
  <si>
    <t>ĐỖ THANH PHÚC</t>
  </si>
  <si>
    <t>HỒ VIỆT TÂN</t>
  </si>
  <si>
    <t>TRẦN THỊ LUÔL</t>
  </si>
  <si>
    <t>LÝ THỊ PHA</t>
  </si>
  <si>
    <t>TRẦN THỊ HOÀNG</t>
  </si>
  <si>
    <t>HUỲNH VĂN PHÚC</t>
  </si>
  <si>
    <t>NGÔ KIM DUNG</t>
  </si>
  <si>
    <t>KHƯU THỊ LỦNG</t>
  </si>
  <si>
    <t>QUÁCH VĂN TẸN</t>
  </si>
  <si>
    <t>THẠCH LIÊN</t>
  </si>
  <si>
    <t>TRẦN THỊ NGA</t>
  </si>
  <si>
    <t>THẠCH THỊ BÍCH THỦY</t>
  </si>
  <si>
    <t>THẠCH THỊ XÀ VỚT</t>
  </si>
  <si>
    <t>TRẦN THỊ HUỆ</t>
  </si>
  <si>
    <t>LÂM VĂN LOAN</t>
  </si>
  <si>
    <t>TRƯƠNG THỊ BÍCH NGÂN</t>
  </si>
  <si>
    <t>ấp Cù Lao, Xã Hưng Hội, Tỉnh Cà Mau</t>
  </si>
  <si>
    <t>TRẦN HUÔNG</t>
  </si>
  <si>
    <t>SƠN HOÀNG THI</t>
  </si>
  <si>
    <t>KHƯU TUYẾT NGA</t>
  </si>
  <si>
    <t>CHIÊM VĂN SOÁN</t>
  </si>
  <si>
    <t>HỮU THỊ LỆ</t>
  </si>
  <si>
    <t>NGUYỄN THANH PHONG</t>
  </si>
  <si>
    <t>LÝ THỊ CÚC</t>
  </si>
  <si>
    <t>QUÁCH THỊ LIẾU</t>
  </si>
  <si>
    <t>TRẦN Ô EM</t>
  </si>
  <si>
    <t>THẠCH THỊ PHIA</t>
  </si>
  <si>
    <t>TRẦN NGỌC XỨNG</t>
  </si>
  <si>
    <t>THẠCH THỊ KIM HỒNG</t>
  </si>
  <si>
    <t>LÝ VĂN HIỀN</t>
  </si>
  <si>
    <t>THẠCH THỊ BANH</t>
  </si>
  <si>
    <t>THẠCH XÀ LỆ</t>
  </si>
  <si>
    <t>TRƯƠNG THỊ DEM</t>
  </si>
  <si>
    <t>DƯƠNG MINH KIÊN</t>
  </si>
  <si>
    <t>Khóm Kinh Tế, Phường Nhà Mát, Thành phố Bạc Liêu, Tỉnh Bạc Liêu</t>
  </si>
  <si>
    <t>NGUYỄN THỊ NHIÊN</t>
  </si>
  <si>
    <t>LÂM ÁNH LAN</t>
  </si>
  <si>
    <t>KIM THỊ NGA</t>
  </si>
  <si>
    <t>THẠCH THỊ HÒA</t>
  </si>
  <si>
    <t>THẠCH THỊ XUÂN MAI</t>
  </si>
  <si>
    <t>VÕ THỊ LÂM</t>
  </si>
  <si>
    <t>LIÊU DOL</t>
  </si>
  <si>
    <t>SƠN THỊ HÓL</t>
  </si>
  <si>
    <t>BÙI MỸ THU</t>
  </si>
  <si>
    <t>SƠN PHÉP</t>
  </si>
  <si>
    <t>LÝ THỊ MỸ DUNG</t>
  </si>
  <si>
    <t>LÝ THỊ HOÀNH</t>
  </si>
  <si>
    <t>LÝ THỊ THA</t>
  </si>
  <si>
    <t>TRẦN THỊ Ở</t>
  </si>
  <si>
    <t>CHUNG VĂN CHÂU</t>
  </si>
  <si>
    <t>VÕ THỊ AN</t>
  </si>
  <si>
    <t>HUỲNH THÀ</t>
  </si>
  <si>
    <t>NGUYỄN HOÀNG OANH</t>
  </si>
  <si>
    <t>NGUYỄN THỊ THANH</t>
  </si>
  <si>
    <t>THẠCH THỊ NGA</t>
  </si>
  <si>
    <t>SƠN THỊ NGỌC HIỀN</t>
  </si>
  <si>
    <t>VƯƠNG KHÁNH LY</t>
  </si>
  <si>
    <t>THẠCH THỊ KIM LIÊN</t>
  </si>
  <si>
    <t>LÝ THỊ VÔL</t>
  </si>
  <si>
    <t>BÙI QUỐC TUẤN</t>
  </si>
  <si>
    <t>TRẦN VĂN TÈO</t>
  </si>
  <si>
    <t>ấp Mai Hoa, Xã Nguyễn Huân, Huyện Đầm Dơi, Tỉnh Cà Mau</t>
  </si>
  <si>
    <t>NGUYỄN THỊ ĐIỆP</t>
  </si>
  <si>
    <t>TÂN QUI, Phường Vĩnh Phước, Thành phố Cần Thơ</t>
  </si>
  <si>
    <t>THẠCH TƯƠI</t>
  </si>
  <si>
    <t>ấp Sóc Bưng, Xã Nhu Gia, Thành phố Cần Thơ</t>
  </si>
  <si>
    <t>SƠN THỊ BÔ</t>
  </si>
  <si>
    <t>LÊ THỊ CHÍN</t>
  </si>
  <si>
    <t>Khóm 4, Phường Hòa Thành, Tỉnh Cà Mau</t>
  </si>
  <si>
    <t>LÊ VĂN ĐỊNH</t>
  </si>
  <si>
    <t>khóm 2, Phường 7, Thành phố Cà Mau, Tỉnh Cà Mau</t>
  </si>
  <si>
    <t>SƠN THỊ CẢNH</t>
  </si>
  <si>
    <t>HUỲNH VĂN MUM</t>
  </si>
  <si>
    <t>LÝ CƯỜNG</t>
  </si>
  <si>
    <t>LÝ HIỀN</t>
  </si>
  <si>
    <t>DƯƠNG THỊ XUÂN MAI</t>
  </si>
  <si>
    <t>SƠN HÀ</t>
  </si>
  <si>
    <t>ĐẶNG QUỐC KHÁNH</t>
  </si>
  <si>
    <t>LÂM THỊ QUANH</t>
  </si>
  <si>
    <t>TRẦN THỊ MÊ</t>
  </si>
  <si>
    <t>HUỲNH THỊ THA</t>
  </si>
  <si>
    <t>LÝ LÊN</t>
  </si>
  <si>
    <t>LÝ THÁI</t>
  </si>
  <si>
    <t>C4/33E Ấp 24 Tân Nhựt, Xã Tân Nhựt, Thành phố Hồ Chí Minh</t>
  </si>
  <si>
    <t>THẠCH THỊ LẮC</t>
  </si>
  <si>
    <t>TRẦN THỊ NANG</t>
  </si>
  <si>
    <t>NGÔ THỊ THƯƠNG</t>
  </si>
  <si>
    <t>ấp biển tây b, Phường Hiệp Thành, Tỉnh Cà Mau</t>
  </si>
  <si>
    <t>NGUYỄN VĂN THANH</t>
  </si>
  <si>
    <t>LÊ VĂN HƠ</t>
  </si>
  <si>
    <t>THẠCH CHIẾN</t>
  </si>
  <si>
    <t>TRƯƠNG THỊ HUÔL</t>
  </si>
  <si>
    <t>HUỲNH VĂN SUỘI</t>
  </si>
  <si>
    <t>THẠCH THỊ NĂM</t>
  </si>
  <si>
    <t>TRƯƠNG NHỎ</t>
  </si>
  <si>
    <t>KHƯU HÊN</t>
  </si>
  <si>
    <t>01/01/1938</t>
  </si>
  <si>
    <t>VÕ THỊ ĐEN</t>
  </si>
  <si>
    <t>Khóm Giồng Nhãn A, Phường Hiệp Thành, Tỉnh Cà Mau</t>
  </si>
  <si>
    <t>NGUYỄN NGỌC ẨN</t>
  </si>
  <si>
    <t>NGUYỄN PHƯỚC MINH</t>
  </si>
  <si>
    <t>ấp Xẻo Trâm, Xã Hòa An, Thành phố Cần Thơ</t>
  </si>
  <si>
    <t>CA THỊ HẢO</t>
  </si>
  <si>
    <t>VÕ VĂN LUỐT</t>
  </si>
  <si>
    <t>NGUYỄN THU HÀ</t>
  </si>
  <si>
    <t>khóm 3, Phường Bạc Liêu, Tỉnh Cà Mau</t>
  </si>
  <si>
    <t>TRẦN VĂN ĐEN</t>
  </si>
  <si>
    <t>TRƯƠNG NHẬT THĂNG</t>
  </si>
  <si>
    <t>Ấp Kim Cấu, Phường Vĩnh Trạch, Tỉnh Cà Mau</t>
  </si>
  <si>
    <t>LÊ THỊ THÊU</t>
  </si>
  <si>
    <t>KHA VĂN SÚNG</t>
  </si>
  <si>
    <t>NGUYỄN VĂN NGỌT</t>
  </si>
  <si>
    <t>01/01/1942</t>
  </si>
  <si>
    <t>SƠN THỊ LOL</t>
  </si>
  <si>
    <t>SƠN THỊ MỸ</t>
  </si>
  <si>
    <t>VÕ VĂN AN</t>
  </si>
  <si>
    <t>khóm Giồng Giữa, Phường Hiệp Thành, Tỉnh Cà Mau</t>
  </si>
  <si>
    <t>MÃ LỆ HOA</t>
  </si>
  <si>
    <t>LÂM MỸ</t>
  </si>
  <si>
    <t>LÂM THỊ ÊNG</t>
  </si>
  <si>
    <t>Biển đông b, Xã Vĩnh Trạch Đông, Thành phố Bạc Liêu, Tỉnh Bạc Liêu</t>
  </si>
  <si>
    <t>LÊ VĂN ĐẦY</t>
  </si>
  <si>
    <t>NGUYỄN THỊ QUÝCH</t>
  </si>
  <si>
    <t>TRẦN THỊ NGỌC HÒA</t>
  </si>
  <si>
    <t>khóm giồng nhãn A, Phường Hiệp Thành, Tỉnh Cà Mau</t>
  </si>
  <si>
    <t>TRẦN VĂN KÊ</t>
  </si>
  <si>
    <t>NGÔ VĂN ỦI</t>
  </si>
  <si>
    <t>KIM DAL</t>
  </si>
  <si>
    <t>KIM THỊ GIANG</t>
  </si>
  <si>
    <t>LÂM THỊ HOA</t>
  </si>
  <si>
    <t>NGUYỄN VĂN DANH</t>
  </si>
  <si>
    <t>TRẦN MINH HẰNG</t>
  </si>
  <si>
    <t>413/1 Khóm Đầu Lộ, Phường Hiệp Thành, Tỉnh Cà Mau</t>
  </si>
  <si>
    <t>TRƯƠNG MINH VIỄN</t>
  </si>
  <si>
    <t>LÂM ÊM</t>
  </si>
  <si>
    <t>SƠN HOÀNG SOẠN</t>
  </si>
  <si>
    <t>LA THỊ THU LOAN</t>
  </si>
  <si>
    <t>LÊ TRUNG TÍNH</t>
  </si>
  <si>
    <t>NGUYỄN PHI ĐÀO</t>
  </si>
  <si>
    <t>HUỲNH THỊ TUYẾT</t>
  </si>
  <si>
    <t>THẠCH SÀ RẾT</t>
  </si>
  <si>
    <t>PHẠM HẠNH PHÚC</t>
  </si>
  <si>
    <t>LÂM THỊ LIÊN</t>
  </si>
  <si>
    <t>giồng nhãn a, Phường Hiệp Thành, Tỉnh Cà Mau</t>
  </si>
  <si>
    <t>TRƯƠNG THỊ NĂM</t>
  </si>
  <si>
    <t>THẠCH THỊ VƯƠL</t>
  </si>
  <si>
    <t>LA THỊ HỒNG</t>
  </si>
  <si>
    <t>ấp Xóm Lẩm, Phường Hiệp Thành, Tỉnh Cà Mau</t>
  </si>
  <si>
    <t>HỨA MỸ IN</t>
  </si>
  <si>
    <t>NGUYỄN HỮU HƯỞNG</t>
  </si>
  <si>
    <t>Khóm Kinh Tế, Phường Hiệp Thành, Tỉnh Cà Mau</t>
  </si>
  <si>
    <t>NGUYỄN THỊ ÚT BẢY</t>
  </si>
  <si>
    <t>THẠCH TUL</t>
  </si>
  <si>
    <t>VÕ THỊ ĐÀO</t>
  </si>
  <si>
    <t>TRẦN NGỌC XEM</t>
  </si>
  <si>
    <t>TRỊNH DOL</t>
  </si>
  <si>
    <t>THẠCH THỊ QUỆL</t>
  </si>
  <si>
    <t>ấp Vĩnh Mẫu, Xã Vĩnh Hậu, Tỉnh Cà Mau</t>
  </si>
  <si>
    <t>MÃ THỊ NHÃN</t>
  </si>
  <si>
    <t>LƯU NGỌC LONG</t>
  </si>
  <si>
    <t>Ấp Tân Long, Xã Tân Bình, Thành phố Cần Thơ</t>
  </si>
  <si>
    <t>TRỊNH HOÀNG ĐIỆU</t>
  </si>
  <si>
    <t>HỒ HOÀNG KHỞI</t>
  </si>
  <si>
    <t>Tân Qui, Phường Vĩnh Phước, Thành phố Cần Thơ</t>
  </si>
  <si>
    <t>LÂM THỊ PHƯỢNG</t>
  </si>
  <si>
    <t>LIÊU SONG</t>
  </si>
  <si>
    <t>TĂNG MƯỜI</t>
  </si>
  <si>
    <t>KIM THỊ SÀ MỌL</t>
  </si>
  <si>
    <t>HUỲNH THÔL</t>
  </si>
  <si>
    <t>LÂM THANH SANG</t>
  </si>
  <si>
    <t>Ấp Giồng Giữa B, Xã Vĩnh Trạch Đông, Thành phố Bạc Liêu, Tỉnh Bạc Liêu</t>
  </si>
  <si>
    <t>NGÔ XẢO NGHÍA</t>
  </si>
  <si>
    <t>NGUYỄN VĂN VẸN</t>
  </si>
  <si>
    <t>LÊ THỊ PHƯỢNG</t>
  </si>
  <si>
    <t>THẠCH HY</t>
  </si>
  <si>
    <t>THẠCH NẾT</t>
  </si>
  <si>
    <t>Xung Thum B, Xã Lai Hòa, Thành phố Cần Thơ</t>
  </si>
  <si>
    <t>TĂNG RƯƠNG</t>
  </si>
  <si>
    <t>LÝ THỊ KHEN</t>
  </si>
  <si>
    <t>TRẦN THỊ DUNG</t>
  </si>
  <si>
    <t>NGUYỄN THỊ VANG</t>
  </si>
  <si>
    <t>SƠN THỊ CÚC</t>
  </si>
  <si>
    <t>TRẦN THỊ THÓ</t>
  </si>
  <si>
    <t>PHẠM VĂN VIỂN</t>
  </si>
  <si>
    <t>ấp Giồng Giữa, Phường Hiệp Thành, Tỉnh Cà Mau</t>
  </si>
  <si>
    <t>KHƯU XIẾU HỐN</t>
  </si>
  <si>
    <t>BÙI QUANG SANG</t>
  </si>
  <si>
    <t>Khóm 2, Phường 3, Thành phố Bạc Liêu, Tỉnh Bạc Liêu</t>
  </si>
  <si>
    <t>LÂM TẤN HƯNG</t>
  </si>
  <si>
    <t>Khóm 1, Phường 2, Thành phố Bạc Liêu, Tỉnh Bạc Liêu</t>
  </si>
  <si>
    <t>NGUYỄN THỊ TRÚC</t>
  </si>
  <si>
    <t>Khóm 1, Phường Bạc Liêu, Tỉnh Cà Mau</t>
  </si>
  <si>
    <t>TRƯƠNG THANH LIÊM</t>
  </si>
  <si>
    <t>ấp giồng Giữa B, Phường Hiệp Thành, Tỉnh Cà Mau</t>
  </si>
  <si>
    <t>HỒ THỊ HỒNG</t>
  </si>
  <si>
    <t>HOÀNG THỊ LIÊN</t>
  </si>
  <si>
    <t>khóm Nhà Mát, phường Hiệp Thành, tỉnh Cà Mau</t>
  </si>
  <si>
    <t>NGUYỄN THỊ LY</t>
  </si>
  <si>
    <t>SƠN VŨ PHƯƠNG</t>
  </si>
  <si>
    <t>HỒNG BẢO SƠN</t>
  </si>
  <si>
    <t>LÊ THỊ HIẾU</t>
  </si>
  <si>
    <t>SƠN HẢI</t>
  </si>
  <si>
    <t>TRẦN TUYẾT MAI</t>
  </si>
  <si>
    <t>giồng Nhãn A, Phường Hiệp Thành, Tỉnh Cà Mau</t>
  </si>
  <si>
    <t>HỒ THỊ ĐIỆN</t>
  </si>
  <si>
    <t>Giống Nhãn A, Phường Hiệp Thành, Tỉnh Cà Mau</t>
  </si>
  <si>
    <t>CHÂU THỊ CHIÊN</t>
  </si>
  <si>
    <t>NGUYỄN TẤN HOÀNG</t>
  </si>
  <si>
    <t>Giồng nhãn, Phường Hiệp Thành, Tỉnh Cà Mau</t>
  </si>
  <si>
    <t>LÊ THỊ HỘI</t>
  </si>
  <si>
    <t>01/01/1941</t>
  </si>
  <si>
    <t>NGUYỄN VĂN KHÔN</t>
  </si>
  <si>
    <t>QUÁCH THỊ ỬNG</t>
  </si>
  <si>
    <t>ẤP GIỒNG GIỮA B, Phường Hiệp Thành, Tỉnh Cà Mau</t>
  </si>
  <si>
    <t>DƯƠNG TÝ</t>
  </si>
  <si>
    <t>HUỲNH THỊ THÊN</t>
  </si>
  <si>
    <t>LÂM THỊ HƠN</t>
  </si>
  <si>
    <t>SƠN THỊ HỒNG</t>
  </si>
  <si>
    <t>NGUYỄN VĂN TRẢI</t>
  </si>
  <si>
    <t>TRẦN THỊ HUỔI</t>
  </si>
  <si>
    <t>TRẦN THỊ THI</t>
  </si>
  <si>
    <t>THẠCH LÂY</t>
  </si>
  <si>
    <t>THẠCH THỊ XI NA</t>
  </si>
  <si>
    <t>TRẦN THỊ THAN</t>
  </si>
  <si>
    <t>PHAN THỊ VỊNH</t>
  </si>
  <si>
    <t>SƠN THỊ DIỆU THANH</t>
  </si>
  <si>
    <t>LA BÌNH EM</t>
  </si>
  <si>
    <t>LÂM DÔL</t>
  </si>
  <si>
    <t>Biển Đông B, Xã Vĩnh Trạch Đông, Thành phố Bạc Liêu, Tỉnh Bạc Liêu</t>
  </si>
  <si>
    <t>THẠCH THỊ KIỆM</t>
  </si>
  <si>
    <t>VĂN HIẾU QUY</t>
  </si>
  <si>
    <t>ấp Biển đông A, Xã Vĩnh Trạch Đông, Thành phố Bạc Liêu, Tỉnh Bạc Liêu</t>
  </si>
  <si>
    <t>TRƯƠNG HOÀNG SANG</t>
  </si>
  <si>
    <t>TRẦN MỸ HẬU</t>
  </si>
  <si>
    <t>NGÔ VĂN TỰA</t>
  </si>
  <si>
    <t>SƠN VĂN LÊN</t>
  </si>
  <si>
    <t>LÊ CAO TRÍ</t>
  </si>
  <si>
    <t>CAO THỊ THÚY</t>
  </si>
  <si>
    <t>VÕ VĂN THỜI</t>
  </si>
  <si>
    <t>LÂM VĂN ĐỜI</t>
  </si>
  <si>
    <t>Giồng Nhãn, Xã Hiệp Thành, Thành phố Bạc Liêu, Tỉnh Bạc Liêu</t>
  </si>
  <si>
    <t>SƠN THỊ KHA MAU</t>
  </si>
  <si>
    <t>KIM DIÊNG</t>
  </si>
  <si>
    <t>THẠCH THỊ HUYÊN</t>
  </si>
  <si>
    <t>LÝ THỊ PHÊL</t>
  </si>
  <si>
    <t>SƠN HÊN</t>
  </si>
  <si>
    <t>NGUYỄN THỊ ÁNH</t>
  </si>
  <si>
    <t>ấp Giòng Nhãn A, Phường Hiệp Thành, Tỉnh Cà Mau</t>
  </si>
  <si>
    <t>LA VĂN UỐL</t>
  </si>
  <si>
    <t>THẠCH THỊ LY</t>
  </si>
  <si>
    <t>KIM THỊ DUNG</t>
  </si>
  <si>
    <t>Phường 7, Thành phố Sóc Trăng, Tỉnh Sóc Trăng</t>
  </si>
  <si>
    <t>HỮU MẠNH</t>
  </si>
  <si>
    <t>THẠCH THỊ CHẠP</t>
  </si>
  <si>
    <t>LÂM THỊ HIỀN</t>
  </si>
  <si>
    <t>TRẦN THỊ CHÂM</t>
  </si>
  <si>
    <t>TRẦN THỊ TƯ</t>
  </si>
  <si>
    <t>852/3 Ấp Giồng Giữa, Phường Hiệp Thành, Tỉnh Cà Mau</t>
  </si>
  <si>
    <t>KHƯU XÍA XÔN</t>
  </si>
  <si>
    <t>THẠCH NAL</t>
  </si>
  <si>
    <t>KHƯU HỘT</t>
  </si>
  <si>
    <t>PHƯƠNG VĂN VIỆT</t>
  </si>
  <si>
    <t>THẠCH THỊ PHƯỢNG</t>
  </si>
  <si>
    <t>Hiệp Thành, Phường Hiệp Thành, Tỉnh Cà Mau</t>
  </si>
  <si>
    <t>HỒNG VĂN VẸN</t>
  </si>
  <si>
    <t>Khóm 10, Phường Bạc Liêu, Tỉnh Cà Mau</t>
  </si>
  <si>
    <t>TRẦN THỊ KHÊNH</t>
  </si>
  <si>
    <t>NGUYỄN VĂN VỮNG</t>
  </si>
  <si>
    <t>Đầu Lộ, Phường Hiệp Thành, Tỉnh Cà Mau</t>
  </si>
  <si>
    <t>NGUYỄN THỊ PHƯƠNG</t>
  </si>
  <si>
    <t>Xã Vĩnh Hậu, Tỉnh Cà Mau</t>
  </si>
  <si>
    <t>LÂM CHƯƠNG</t>
  </si>
  <si>
    <t>LÂM THỊ PHƯƠL</t>
  </si>
  <si>
    <t>LÝ THỊ SÀ MỸ</t>
  </si>
  <si>
    <t>MÃ HOÀNG OANH</t>
  </si>
  <si>
    <t>TRẦN THỊ HOA</t>
  </si>
  <si>
    <t>THẠCH GẾT</t>
  </si>
  <si>
    <t>SƠN THỊ QƯƠL</t>
  </si>
  <si>
    <t>TĂNG HOÀNG</t>
  </si>
  <si>
    <t>DIỆP ĐẸP</t>
  </si>
  <si>
    <t>TRẦN THỊ SA NƯƠNG</t>
  </si>
  <si>
    <t>PHẠM THU HAI</t>
  </si>
  <si>
    <t>Văn Đức A, Xã An Trạch, Tỉnh Cà Mau</t>
  </si>
  <si>
    <t>LÝ TỶ</t>
  </si>
  <si>
    <t>TRƯƠNG THỊ DUYÊN</t>
  </si>
  <si>
    <t>KHÓM ĐẦU LỘ, Phường Hiệp Thành, Tỉnh Cà Mau</t>
  </si>
  <si>
    <t>THẠCH NGÓN</t>
  </si>
  <si>
    <t>VÕ TRƯỜNG VŨ</t>
  </si>
  <si>
    <t>HUỲNH THỊ NGỌC HOA</t>
  </si>
  <si>
    <t>LIÊU ĐĂM</t>
  </si>
  <si>
    <t>TRẦN NHAN</t>
  </si>
  <si>
    <t>Ấp Biển Đông A, xã Vĩnh Trạch Đông, thành phố Bạc Liêu, tỉnh Bạc Liêu, Phường Hiệp Thành, Tỉnh Cà Mau</t>
  </si>
  <si>
    <t>SƠN QƯƠL</t>
  </si>
  <si>
    <t>TRƯƠNG THANH THÚY</t>
  </si>
  <si>
    <t>bưu điện hiệp thành, Phường Hiệp Thành, Tỉnh Cà Mau</t>
  </si>
  <si>
    <t>TRỊNH RƯƠNG</t>
  </si>
  <si>
    <t>Số 9/367, Ấp Biển Tây B, Phường Hiệp Thành, Tỉnh Cà Mau</t>
  </si>
  <si>
    <t>TRƯƠNG THỊ HẰNG</t>
  </si>
  <si>
    <t>TRẦN KIỀU TRINH</t>
  </si>
  <si>
    <t>421/3 Lê Quang Sung, Phường 09, Quận 6, Thành phố Hồ Chí Minh</t>
  </si>
  <si>
    <t>DANH THỊ EM</t>
  </si>
  <si>
    <t>TRẦN VĂN MÓT</t>
  </si>
  <si>
    <t>TRƯƠNG THỊ SO</t>
  </si>
  <si>
    <t>THẠCH THỊ TÔI</t>
  </si>
  <si>
    <t>SƠN THỊ OANH</t>
  </si>
  <si>
    <t>NGUYỄN TẤN HẬU</t>
  </si>
  <si>
    <t>ấp Biển Tây B, Xã Phú Tân, Huyện Châu Thành, Tỉnh Sóc Trăng</t>
  </si>
  <si>
    <t>LÝ THỊ HÍA</t>
  </si>
  <si>
    <t>NGÔ THỊ CẨM HƯỜNG</t>
  </si>
  <si>
    <t>NGUYỄN THỊ DỤNG</t>
  </si>
  <si>
    <t>Giồng Giữa, Xã Hiệp Thành, Thành phố Bạc Liêu, Tỉnh Bạc Liêu</t>
  </si>
  <si>
    <t>NGÔ THỊ TEO</t>
  </si>
  <si>
    <t>THẠCH THỊ HƯỜNG</t>
  </si>
  <si>
    <t>TRƯƠNG THỊ PHIA</t>
  </si>
  <si>
    <t>THẠCH THỊ QUYỀN</t>
  </si>
  <si>
    <t>THẠCH THỊ XIẾU</t>
  </si>
  <si>
    <t>LÊ VĂN HIỀN</t>
  </si>
  <si>
    <t>THẠCH THỊ XÀ VẾT</t>
  </si>
  <si>
    <t>TRẦN VĂN CHỌN</t>
  </si>
  <si>
    <t>LÂM THỊ HẰNG</t>
  </si>
  <si>
    <t>THẠCH THU</t>
  </si>
  <si>
    <t>TRƯƠNG THỊ THU VÂN</t>
  </si>
  <si>
    <t>TRƯƠNG THỊ KIM TRANG</t>
  </si>
  <si>
    <t>SƠN DƯƠNG</t>
  </si>
  <si>
    <t>HOÀNG CHI OANH</t>
  </si>
  <si>
    <t>NGÔ QUẢNG</t>
  </si>
  <si>
    <t>01/01/1933</t>
  </si>
  <si>
    <t>HỨA THỊ HUYỀN</t>
  </si>
  <si>
    <t>SƠN SƯƠNG</t>
  </si>
  <si>
    <t>VÕ THỊ NGỌC HIẾU</t>
  </si>
  <si>
    <t>SƠN HOÀI PHONG</t>
  </si>
  <si>
    <t>HUỲNH THỊ THẮM</t>
  </si>
  <si>
    <t>Ấp Biển tây B, Phường Hiệp Thành, Tỉnh Cà Mau</t>
  </si>
  <si>
    <t>HỨA THỊ ẠI</t>
  </si>
  <si>
    <t>SƠN THỊ PHIỀN</t>
  </si>
  <si>
    <t>ĐẶNG THỊ BIÊN</t>
  </si>
  <si>
    <t>01/01/1937</t>
  </si>
  <si>
    <t>LÂM BƯƠL</t>
  </si>
  <si>
    <t>ẤP BIỂN ĐÔNG B, Phường Hiệp Thành, Tỉnh Cà Mau</t>
  </si>
  <si>
    <t>QUÁCH THỊ THANH HẰNG</t>
  </si>
  <si>
    <t>TRẦN THỊ SẢNH</t>
  </si>
  <si>
    <t>LÝ THỊ NA</t>
  </si>
  <si>
    <t>THẠCH THỊ MAL</t>
  </si>
  <si>
    <t>THẠCH QUYÊN</t>
  </si>
  <si>
    <t>NGUYỄN NGỌC MỸ</t>
  </si>
  <si>
    <t>THẠCH SANH</t>
  </si>
  <si>
    <t>PHẠM THANH TUẤN</t>
  </si>
  <si>
    <t>Kinh Xáng, Xã Định Thành, Tỉnh Cà Mau</t>
  </si>
  <si>
    <t>SƠN THỊ TIẾP</t>
  </si>
  <si>
    <t>SƠN ĐUL</t>
  </si>
  <si>
    <t>LÝ THỊ NỮ</t>
  </si>
  <si>
    <t>HỒ TUYẾT MAI</t>
  </si>
  <si>
    <t>TẠ VĂN ĐỨC</t>
  </si>
  <si>
    <t>VÕ THỊ QUỞN</t>
  </si>
  <si>
    <t>Trung Hưng 1A, Xã Châu Thới, Tỉnh Cà Mau</t>
  </si>
  <si>
    <t>TRẦN THỊ HỖN</t>
  </si>
  <si>
    <t>NGÔ SÁI LÁNG</t>
  </si>
  <si>
    <t>QUÁCH THUỴ THÙY LINH</t>
  </si>
  <si>
    <t>THẠCH BA</t>
  </si>
  <si>
    <t>TRẦN VĂN HIẾU</t>
  </si>
  <si>
    <t>Xã Vĩnh Hậu, Huyện Hòa Bình, Tỉnh Bạc Liêu</t>
  </si>
  <si>
    <t>NGUYỄN THỊ BÍCH TUYỀN</t>
  </si>
  <si>
    <t>HUỲNH BÔL</t>
  </si>
  <si>
    <t>THẠCH MỸ</t>
  </si>
  <si>
    <t>THẠCH TUẤN NGỌC</t>
  </si>
  <si>
    <t>THẠCH THỊ SÀ VIL</t>
  </si>
  <si>
    <t>TRƯƠNG THỊ HỒNG ĐIỆP</t>
  </si>
  <si>
    <t>SƠN KỈNH</t>
  </si>
  <si>
    <t>LÂM THỊ PHÊN</t>
  </si>
  <si>
    <t>TRẦN THỊ CÔ</t>
  </si>
  <si>
    <t>THẠCH THỊ SƯƠL</t>
  </si>
  <si>
    <t>9/98 Ấp Biển Đông B, Phường Hiệp Thành, Tỉnh Cà Mau</t>
  </si>
  <si>
    <t>TRẦN PHO LY</t>
  </si>
  <si>
    <t>THẠCH NƯA</t>
  </si>
  <si>
    <t>DANH CHƯƠL</t>
  </si>
  <si>
    <t>TRẦN VĂN QUANG</t>
  </si>
  <si>
    <t>LÊ THỊ BẢY</t>
  </si>
  <si>
    <t>DANH THỊ CỐC</t>
  </si>
  <si>
    <t>xã Vĩnh Trạch Đông, Phường Hiệp Thành, Tỉnh Cà Mau</t>
  </si>
  <si>
    <t>NGUYỄN VĂN CAI</t>
  </si>
  <si>
    <t>SƠN THỊ HOL</t>
  </si>
  <si>
    <t>THẠCH PHEL</t>
  </si>
  <si>
    <t>Ấp Biển Đông B, Phường Bạc Liêu, Thành phố Bạc Liêu, Tỉnh Cà Mau</t>
  </si>
  <si>
    <t>HUỲNH THỊ THY</t>
  </si>
  <si>
    <t>THẠCH THỊ THI</t>
  </si>
  <si>
    <t>QUÁCH VĂN THIỆP</t>
  </si>
  <si>
    <t>NGUYỄN THANH THÚY</t>
  </si>
  <si>
    <t>NGUYỄN THỊ HIỀN</t>
  </si>
  <si>
    <t>Ấp Bình Tiền 2, Xã Đức Hòa, Tỉnh Tây Ninh</t>
  </si>
  <si>
    <t>DANH THỊ KIM PHÚC</t>
  </si>
  <si>
    <t>QUÁCH NGỌC HOÀNG</t>
  </si>
  <si>
    <t>LÊ THỊ MI</t>
  </si>
  <si>
    <t>THẠCH THỊ MẬU</t>
  </si>
  <si>
    <t>CHIÊM THỊ LỆ HOA</t>
  </si>
  <si>
    <t>NGUYỄN THỊ HỒNG</t>
  </si>
  <si>
    <t>QUÁCH LÁI</t>
  </si>
  <si>
    <t>LÊ VĂN DỮ</t>
  </si>
  <si>
    <t>HUỲNH SAO QUA RY</t>
  </si>
  <si>
    <t>THẠCH KHƯƠNG</t>
  </si>
  <si>
    <t>BÀNH HÉN</t>
  </si>
  <si>
    <t>NGUYỄN THỊ OANH</t>
  </si>
  <si>
    <t>Khóm Bờ Tây, Phường Hiệp Thành, tỉnh Cà Mau</t>
  </si>
  <si>
    <t>PHAN NGỌC NHỊN</t>
  </si>
  <si>
    <t>buu dien, Phường Hiệp Thành, Tỉnh Cà Mau</t>
  </si>
  <si>
    <t>HUỲNH PHƯƠL</t>
  </si>
  <si>
    <t>KIM NÍT</t>
  </si>
  <si>
    <t>TĂNG ĐEN</t>
  </si>
  <si>
    <t>TRẦN THỊ NA</t>
  </si>
  <si>
    <t>ấp giồng nhãn a, Xã Hiệp Thành, Thành phố Bạc Liêu, Tỉnh Bạc Liêu</t>
  </si>
  <si>
    <t>TRƯƠNG THỊ TÚ MINH</t>
  </si>
  <si>
    <t>NGUYỄN THỊ YẾN</t>
  </si>
  <si>
    <t>TRẦN THỊ LÊL</t>
  </si>
  <si>
    <t>Khóm Giồng Nhãn A, Phường Hiệp Thành, Tỉnh Cà Mau</t>
  </si>
  <si>
    <t>NGUYỄN THỊ LANH</t>
  </si>
  <si>
    <t>Giồng nhãn A, Xã Hiệp Thành, Thành phố Bạc Liêu, Tỉnh Bạc Liêu</t>
  </si>
  <si>
    <t>SƠN LON</t>
  </si>
  <si>
    <t>Biển Tây A, Xã Vĩnh Trạch Đông, Thành phố Bạc Liêu, Tỉnh Bạc Liêu</t>
  </si>
  <si>
    <t>LÂM THỊ KIM TIÊN</t>
  </si>
  <si>
    <t>TRẦN THỊ THƯƠNG</t>
  </si>
  <si>
    <t>TRƯƠNG TÂY</t>
  </si>
  <si>
    <t>NGUYỄN THỊ TÚ TRINH</t>
  </si>
  <si>
    <t>THẠCH THỊ SÀ LƯỢNG</t>
  </si>
  <si>
    <t>WÁTH PÍCH, Phường Vĩnh Phước, Thành phố Cần Thơ</t>
  </si>
  <si>
    <t>TRẦN HOÀI</t>
  </si>
  <si>
    <t>CA QUỐC VIỆT</t>
  </si>
  <si>
    <t>Ấp Tân Long, Xã Hòa Bình, Tỉnh Cà Mau</t>
  </si>
  <si>
    <t>PHƯƠNG THỊ THƠI</t>
  </si>
  <si>
    <t>TRẦN VĂN ĐÔI</t>
  </si>
  <si>
    <t>TRẦN THỊ PHƯỢNG</t>
  </si>
  <si>
    <t>THẠCH THỊ THƯƠNG</t>
  </si>
  <si>
    <t>PHẠM THỊ TÀN</t>
  </si>
  <si>
    <t>SƠN THỊ KIM HIỀN</t>
  </si>
  <si>
    <t>THẠCH BAL</t>
  </si>
  <si>
    <t>LÂM HIÊN</t>
  </si>
  <si>
    <t>TRẦN THỊ CANH</t>
  </si>
  <si>
    <t>THẠCH CAO</t>
  </si>
  <si>
    <t>Ấp Công Điền, Phường Vĩnh Trạch, Tỉnh Cà Mau</t>
  </si>
  <si>
    <t>TRƯƠNG MỸ TIÊN</t>
  </si>
  <si>
    <t>KIM CON</t>
  </si>
  <si>
    <t>NGUYỄN THỊ THU</t>
  </si>
  <si>
    <t>HUỲNH NGỌC THU</t>
  </si>
  <si>
    <t>Khóm Nhà Mát, Phường Hiệp Thành, Tỉnh Và mau</t>
  </si>
  <si>
    <t>HỨA SINH</t>
  </si>
  <si>
    <t>NGUYỄN VĂN HÙNG</t>
  </si>
  <si>
    <t>THẠCH THỊ VƯƠNG</t>
  </si>
  <si>
    <t>HUỲNH THỊ THỦY</t>
  </si>
  <si>
    <t>SƠN SÀ QUẠNH</t>
  </si>
  <si>
    <t>THẠCH THỊ NGƯƠN</t>
  </si>
  <si>
    <t>THẠCH THỊ TIÊU</t>
  </si>
  <si>
    <t>NGÔ ĐỒNG KHẢI</t>
  </si>
  <si>
    <t>Khóm giồng nhãn A, Phường Hiệp Thành, Tỉnh Cà Mau</t>
  </si>
  <si>
    <t>THẠCH THỊ MẠO</t>
  </si>
  <si>
    <t>VÕ THỊ TÔI</t>
  </si>
  <si>
    <t>NGUYỄN THANH HẢO</t>
  </si>
  <si>
    <t>SƠN THỊ CUÔN</t>
  </si>
  <si>
    <t>LAI THỊ LY</t>
  </si>
  <si>
    <t>Cần xét nghiệm đường máu mao mạch</t>
  </si>
  <si>
    <t>Tháng 3</t>
  </si>
  <si>
    <t>Tháng 4</t>
  </si>
  <si>
    <t>Tháng 1</t>
  </si>
  <si>
    <t>Tháng 2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</si>
  <si>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</si>
  <si>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</si>
  <si>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</si>
  <si>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</si>
  <si>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</si>
  <si>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</si>
  <si>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</si>
  <si>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</si>
  <si>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Khóm</t>
  </si>
  <si>
    <t>Giới tính</t>
  </si>
  <si>
    <t>Tháng</t>
  </si>
  <si>
    <t>Tổng cộng</t>
  </si>
  <si>
    <t>DƯƠNG KIM CHUNG</t>
  </si>
  <si>
    <t>VĂN THỊ NGỌC MAI</t>
  </si>
  <si>
    <t>THẠCH THỊ HƯƠNG</t>
  </si>
  <si>
    <t>KHƯU VĂN HÙNG</t>
  </si>
  <si>
    <t>NGUYỄN NGỌC QUỚI</t>
  </si>
  <si>
    <t>KHƯU YẾU</t>
  </si>
  <si>
    <t>TRANG VĨNH MINH</t>
  </si>
  <si>
    <t>NGÔ MỸ HỄN</t>
  </si>
  <si>
    <t>CHIÊM MỸ DU</t>
  </si>
  <si>
    <t>ĐỖ THỊ HUA</t>
  </si>
  <si>
    <t>THẠCH THỊ DANH</t>
  </si>
  <si>
    <t>THẠCH THỊ NGHIÊM</t>
  </si>
  <si>
    <t>TRẦN THỊ MỸ</t>
  </si>
  <si>
    <t>HUỲNH VĂN HOÀI</t>
  </si>
  <si>
    <t>TRẦN THỊ KIM SÀNH</t>
  </si>
  <si>
    <t>TÁC VĂN HIẾN</t>
  </si>
  <si>
    <t>HUỲNH THỊ NGỌC</t>
  </si>
  <si>
    <t>TRẦN KIM LÝ</t>
  </si>
  <si>
    <t>LÂM ÁI KHUÔI</t>
  </si>
  <si>
    <t>LÂM THỊ HIÊM</t>
  </si>
  <si>
    <t>NGUYỄN VĂN ÁNH</t>
  </si>
  <si>
    <t>HỨA THỊ HOÀNG</t>
  </si>
  <si>
    <t>SƠN CHUM</t>
  </si>
  <si>
    <t>HÀ NGỌC HẠNH</t>
  </si>
  <si>
    <t>LÝ SONG</t>
  </si>
  <si>
    <t>LÂM THỊ XÀ VƯƠL</t>
  </si>
  <si>
    <t>KHƯU HÁT</t>
  </si>
  <si>
    <t>NGUYỄN THÀNH LONG</t>
  </si>
  <si>
    <t>LÝ THỊ SÀ DINH</t>
  </si>
  <si>
    <t>SƠN THỊ DÂY</t>
  </si>
  <si>
    <t>NGUYỄN THU NGUYỆT</t>
  </si>
  <si>
    <t>NGUYỄN VĂN TỨC</t>
  </si>
  <si>
    <t>THẠCH THỊ SÀ PHƯƠL</t>
  </si>
  <si>
    <t>SƠN THỊ SẬY</t>
  </si>
  <si>
    <t>TRẦN HUÔL</t>
  </si>
  <si>
    <t>SƠN THỊ LUÔN</t>
  </si>
  <si>
    <t>SƠN DÁT</t>
  </si>
  <si>
    <t>DANH THỊ THIỆT</t>
  </si>
  <si>
    <t>NGUYỄN THỊ KIM CÚC</t>
  </si>
  <si>
    <t>THẠCH THỊ BẠCH</t>
  </si>
  <si>
    <t>SƠN THỊ LAI</t>
  </si>
  <si>
    <t>TĂNG SƯỢNG</t>
  </si>
  <si>
    <t>SƠN THỊ RƯƠNG</t>
  </si>
  <si>
    <t>THẠCH THỊ LÁCH</t>
  </si>
  <si>
    <t>CHUNG THỊ DỄ</t>
  </si>
  <si>
    <t>LÂM THỊ TUYẾT NGA</t>
  </si>
  <si>
    <t>THẠCH THỊ NGỘ</t>
  </si>
  <si>
    <t>THẠCH THỊ RẾT</t>
  </si>
  <si>
    <t>HỮU KIM DUNG</t>
  </si>
  <si>
    <t>NGÔ THỊ KIM HÍA</t>
  </si>
  <si>
    <t>THẠCH THỊ QUYÊN</t>
  </si>
  <si>
    <t>LÂM MAU</t>
  </si>
  <si>
    <t>SƠN THỊ LIÊN</t>
  </si>
  <si>
    <t>LÂM THỊ SAO</t>
  </si>
  <si>
    <t>NGÔ THỊ GHẾT</t>
  </si>
  <si>
    <t>TRẦN THỊ KIM HOÀNG</t>
  </si>
  <si>
    <t>TRẦN THỊ XÀ NGẬM</t>
  </si>
  <si>
    <t>TRẦN CÔNG LÝ</t>
  </si>
  <si>
    <t>TRẦN THỊ ĐÀO</t>
  </si>
  <si>
    <t>KIM DOL</t>
  </si>
  <si>
    <t>DANH THỊ HAI</t>
  </si>
  <si>
    <t>HUỲNH THỊ SÀ QUẾT</t>
  </si>
  <si>
    <t>LÝ TẤN ĐIỀN</t>
  </si>
  <si>
    <t>TRẦN THỊ THANH THẢO</t>
  </si>
  <si>
    <t>HỮU THỊ SẾT</t>
  </si>
  <si>
    <t>KIM THỊ DỊNH</t>
  </si>
  <si>
    <t>SƠN THỊ PHẾT</t>
  </si>
  <si>
    <t>ĐỒNG THANH ÚT</t>
  </si>
  <si>
    <t>SƠN PHÔL</t>
  </si>
  <si>
    <t>THẠCH SUÔL</t>
  </si>
  <si>
    <t>KIM THỊ PHƯỢNG</t>
  </si>
  <si>
    <t>LÂM THỊ TEN</t>
  </si>
  <si>
    <t>QUÁCH HUA</t>
  </si>
  <si>
    <t>TRẦN THỊ MINH</t>
  </si>
  <si>
    <t>QUÁCH TRUNG NGHĨA</t>
  </si>
  <si>
    <t>LÝ THỊ CỤA</t>
  </si>
  <si>
    <t>SƠN VẾT</t>
  </si>
  <si>
    <t>LÂM THỊ SA LINH</t>
  </si>
  <si>
    <t>QUÁCH VĂN HÙNG</t>
  </si>
  <si>
    <t>THẠCH THỊ MÍT</t>
  </si>
  <si>
    <t>KIM BÊ</t>
  </si>
  <si>
    <t>QUÁCH THỊ PHOL</t>
  </si>
  <si>
    <t>LÝ KIM LƯƠNG</t>
  </si>
  <si>
    <t>THẠCH THỊ HÔL</t>
  </si>
  <si>
    <t>PHAN THANH HỒNG</t>
  </si>
  <si>
    <t>VŨ VĂN ĐIỆP</t>
  </si>
  <si>
    <t>NGUYỄN THỊ NĂM</t>
  </si>
  <si>
    <t>CHÂU THỊ CHU</t>
  </si>
  <si>
    <t>TRẦN CHÍ QUANG</t>
  </si>
  <si>
    <t>LÂM VĂN VĨNH</t>
  </si>
  <si>
    <t>THẠCH THỊ PHƯỚC</t>
  </si>
  <si>
    <t>HUỲNH CHANH ĐA RA</t>
  </si>
  <si>
    <t>LÝ KIM CHUNG</t>
  </si>
  <si>
    <t>MÃ KHẮC ĐỊNH</t>
  </si>
  <si>
    <t>LÂM THỊ KHÊN</t>
  </si>
  <si>
    <t>NGUYỄN VĂN TUẤN</t>
  </si>
  <si>
    <t>TRẦN THU NGUYỆT</t>
  </si>
  <si>
    <t>CHÂU THỊ NGUYÊN</t>
  </si>
  <si>
    <t>LA THỊ LÁNG</t>
  </si>
  <si>
    <t>HUỲNH SA QUI LÂY</t>
  </si>
  <si>
    <t>THẠCH THỊ PHƯA</t>
  </si>
  <si>
    <t>DƯƠNG KIM HOAL</t>
  </si>
  <si>
    <t>LƯU THỊ HƯƠNG</t>
  </si>
  <si>
    <t>HỨA THẠCH VĨNH HƯNG</t>
  </si>
  <si>
    <t>LA VĂN HÒA</t>
  </si>
  <si>
    <t>THẠCH THỊ QUÁCH</t>
  </si>
  <si>
    <t>TRẦN XƯƠNG</t>
  </si>
  <si>
    <t>LÂM MỸ LỆ</t>
  </si>
  <si>
    <t>LÂM THỊ MỸ LIÊN</t>
  </si>
  <si>
    <t>SƠN LẾT</t>
  </si>
  <si>
    <t>TRẦN THỊ LÊ</t>
  </si>
  <si>
    <t>ĐÌNH KHI</t>
  </si>
  <si>
    <t>SƠN THỊ SÀ KHÊNH</t>
  </si>
  <si>
    <t>HỮU THỊ SÊN</t>
  </si>
  <si>
    <t>TĂNG THỊ ÚT</t>
  </si>
  <si>
    <t>THẠCH SA RÂM</t>
  </si>
  <si>
    <t>TRẦN VĂN SANG</t>
  </si>
  <si>
    <t>TRẦN THỊ YẾN</t>
  </si>
  <si>
    <t>ĐẶNG THỊ TIẾM</t>
  </si>
  <si>
    <t>LÝ THỊ CHANH THU</t>
  </si>
  <si>
    <t>DƯƠNG MỸ TÂN</t>
  </si>
  <si>
    <t>LIÊU THỊ MINH</t>
  </si>
  <si>
    <t>QUÁCH BA</t>
  </si>
  <si>
    <t>THẠCH THỊ PHI</t>
  </si>
  <si>
    <t>THẠCH PEN</t>
  </si>
  <si>
    <t>THẠCH LÀNH</t>
  </si>
  <si>
    <t>TIÊU MINH ĐỨC</t>
  </si>
  <si>
    <t>LÂM VĂN LẾT</t>
  </si>
  <si>
    <t>THẠCH THỊ DOL</t>
  </si>
  <si>
    <t>KHƯU HÒA THUẬN</t>
  </si>
  <si>
    <t>TĂNG HƯƠNG</t>
  </si>
  <si>
    <t>LÝ VĂN HOÀNG</t>
  </si>
  <si>
    <t>SƠN CHEN</t>
  </si>
  <si>
    <t>HUỲNH THÂY</t>
  </si>
  <si>
    <t xml:space="preserve">HUỲNH CHANH ĐA </t>
  </si>
  <si>
    <t>LÝ THỊ XÀ NÊN</t>
  </si>
  <si>
    <t>NGÔ TIẾC MẾN</t>
  </si>
  <si>
    <t>HUỲNH THỊ NGUYÊN</t>
  </si>
  <si>
    <t>NGÔ SIA</t>
  </si>
  <si>
    <t>TRỊNH THỊ LAN</t>
  </si>
  <si>
    <t>TRẦN VĂN XÉN</t>
  </si>
  <si>
    <t>HUỲNH VẬN</t>
  </si>
  <si>
    <t>CHIÊM ÍCH IN</t>
  </si>
  <si>
    <t>THẠCH THỊ DEN</t>
  </si>
  <si>
    <t>THẠCH THỊ HIỀN</t>
  </si>
  <si>
    <t>LÝ THỊ SẸN</t>
  </si>
  <si>
    <t>LÂM VĂN NHAN</t>
  </si>
  <si>
    <t>LÊ THỊ CÚC</t>
  </si>
  <si>
    <t>LÝ BÍCH THỦY</t>
  </si>
  <si>
    <t>LÝ HOÀI</t>
  </si>
  <si>
    <t>THẠCH MINH</t>
  </si>
  <si>
    <t>HỨA THỊ TEN</t>
  </si>
  <si>
    <t>NGUYỄN HOÀNG VÂN</t>
  </si>
  <si>
    <t>QUÁCH THỊ LÙNG</t>
  </si>
  <si>
    <t>TRẦN MINH ĐÁNG</t>
  </si>
  <si>
    <t>LÝ PHA</t>
  </si>
  <si>
    <t>DƯƠNG CẢO</t>
  </si>
  <si>
    <t>CHIÊM HÊN</t>
  </si>
  <si>
    <t>QUÁCH THỊ ÓI</t>
  </si>
  <si>
    <t>QUÁCH THỊ BỐ</t>
  </si>
  <si>
    <t>TRẦN SA DOL</t>
  </si>
  <si>
    <t>NGUYỄN TẤN PHONG</t>
  </si>
  <si>
    <t>TRẦN THỊ LIÊN</t>
  </si>
  <si>
    <t>CHIÊM QUANG</t>
  </si>
  <si>
    <t>PHƯƠNG NĂM</t>
  </si>
  <si>
    <t>LÂM MỸ TIÊN</t>
  </si>
  <si>
    <t>NGUYỄN THỊ TÚ NIÊN</t>
  </si>
  <si>
    <t>NGÔ LẾN</t>
  </si>
  <si>
    <t>THẠCH THỊ PHE</t>
  </si>
  <si>
    <t>BÙI THỊ NHẪN</t>
  </si>
  <si>
    <t>TRỊNH ĐI</t>
  </si>
  <si>
    <t>LÂM VĂN PHÚC</t>
  </si>
  <si>
    <t>LÝ THỊ KUA</t>
  </si>
  <si>
    <t>LÝ THỊ HÊN</t>
  </si>
  <si>
    <t>SƠN THỊ HƯNG</t>
  </si>
  <si>
    <t>SƠN QUANG</t>
  </si>
  <si>
    <t>TRẦN THỊ LY</t>
  </si>
  <si>
    <t>NGÔ TÉN PÁO</t>
  </si>
  <si>
    <t>THẠCH THỊ SUỐI</t>
  </si>
  <si>
    <t>NGÔ HÓ CHEM</t>
  </si>
  <si>
    <t>QUÁCH XA</t>
  </si>
  <si>
    <t>LÝ THỊ THU</t>
  </si>
  <si>
    <t>TẠ KIỀU YẾN</t>
  </si>
  <si>
    <t>TRẦN NGỌC TRIỆU</t>
  </si>
  <si>
    <t>PHƯƠNG TẤN HÙNG</t>
  </si>
  <si>
    <t>LƯU MINH LỢI</t>
  </si>
  <si>
    <t>TRƯƠNG QÚI</t>
  </si>
  <si>
    <t>THẠCH THỊ TÀI</t>
  </si>
  <si>
    <t>LÝ XIẾU NÉM</t>
  </si>
  <si>
    <t>KHƯU MỸ LÃ</t>
  </si>
  <si>
    <t xml:space="preserve">QUÁCH THỊ THANH </t>
  </si>
  <si>
    <t>THẠCH MÍT</t>
  </si>
  <si>
    <t>SƠN THỊ THI</t>
  </si>
  <si>
    <t>THẠCH XÀ LY</t>
  </si>
  <si>
    <t>TĂNG THỊ THA</t>
  </si>
  <si>
    <t>NGÔ SÁI HI</t>
  </si>
  <si>
    <t>CHÂU THỊ LỆ</t>
  </si>
  <si>
    <t>TRẦN THỊ KINH</t>
  </si>
  <si>
    <t>DANH KIÊN</t>
  </si>
  <si>
    <t>SƠN THỊ MẮT</t>
  </si>
  <si>
    <t>TRẦN THỊ EM</t>
  </si>
  <si>
    <t>DANH THỊ VÀNG</t>
  </si>
  <si>
    <t>DƯƠNG TỐ NHẨN</t>
  </si>
  <si>
    <t>TRẦN BẬU</t>
  </si>
  <si>
    <t>LÝ THỊ NGÂN</t>
  </si>
  <si>
    <t>SƠN KIẾN</t>
  </si>
  <si>
    <t>HÀNG PHÁT ĐẠT</t>
  </si>
  <si>
    <t>NGUYỄN THỊ QUAN</t>
  </si>
  <si>
    <t>LÂM THỊ NUÔNG</t>
  </si>
  <si>
    <t>KHƯU KIM TÀI</t>
  </si>
  <si>
    <t>LÝ THỊ PHƠI</t>
  </si>
  <si>
    <t>THẠCH THỊ CHANH</t>
  </si>
  <si>
    <t>TRẦN NÊN</t>
  </si>
  <si>
    <t>SƠN THANH</t>
  </si>
  <si>
    <t>PHẠM KIM TIÊN</t>
  </si>
  <si>
    <t>THẠCH THỊ XÀ RÉT</t>
  </si>
  <si>
    <t>CHIÊM ÍCH LONG</t>
  </si>
  <si>
    <t>TRẦN PHÓNG</t>
  </si>
  <si>
    <t>DANH HOÀNG THANH</t>
  </si>
  <si>
    <t>TÔ QUYỀN</t>
  </si>
  <si>
    <t>HIỆU MOL</t>
  </si>
  <si>
    <t>TRƯƠNG ỨNG HÚN</t>
  </si>
  <si>
    <t>NGUYỄN VĂN TỶ</t>
  </si>
  <si>
    <t>HỨA THỊ NGA</t>
  </si>
  <si>
    <t>SƠN THỊ DƯƠL</t>
  </si>
  <si>
    <t>LÂM VĂN LO</t>
  </si>
  <si>
    <t>TRƯƠNG THỊ PHÉP</t>
  </si>
  <si>
    <t>HUỲNH VĂN PHƯỚC</t>
  </si>
  <si>
    <t>PHƯƠNG THỊ THU HÀ</t>
  </si>
  <si>
    <t>NGUYỄN THỊ KIM AN</t>
  </si>
  <si>
    <t>TRẦN THỊ KHÁ</t>
  </si>
  <si>
    <t>NGUYỄN VĂN CƯƠNG</t>
  </si>
  <si>
    <t>BÀNH KIM QUANG</t>
  </si>
  <si>
    <t>BÙI HẬU NGUYÊN</t>
  </si>
  <si>
    <t>KIM ĐOL</t>
  </si>
  <si>
    <t>DƯƠNG THỊ CẨM HOA</t>
  </si>
  <si>
    <t>THẠCH THỊ SANH</t>
  </si>
  <si>
    <t>THẠCH THỊ NÊ</t>
  </si>
  <si>
    <t>LÝ THỊ BA TỎ</t>
  </si>
  <si>
    <t>HUỲNH MỸ HOA</t>
  </si>
  <si>
    <t>THẠCH VĂN LƯƠNG</t>
  </si>
  <si>
    <t>THẠCH THỊ LA</t>
  </si>
  <si>
    <t>THẠCH THƯƠNG</t>
  </si>
  <si>
    <t>TRƯƠNG NA RY</t>
  </si>
  <si>
    <t>PHẠM ÚT HIỀN</t>
  </si>
  <si>
    <t>TRẦN DÙ HẠO</t>
  </si>
  <si>
    <t>TRẦN THỊ XÀ RÂM</t>
  </si>
  <si>
    <t>TĂNG THỊ HÀ</t>
  </si>
  <si>
    <t>QUÁCH THỊ YẾN</t>
  </si>
  <si>
    <t>THẠCH LOAN</t>
  </si>
  <si>
    <t>TĂNG THỊ DANH</t>
  </si>
  <si>
    <t>THẠCH THỊ VƯƠN</t>
  </si>
  <si>
    <t>HUỲNH THỊ LỆ NHI</t>
  </si>
  <si>
    <t>TRIỆU THỊ SANG</t>
  </si>
  <si>
    <t>TRẦN DŨNG TÂM</t>
  </si>
  <si>
    <t>TRẦN THỊ PHIẾN</t>
  </si>
  <si>
    <t>TÁC THỊ HỂ</t>
  </si>
  <si>
    <t>SƠN EN</t>
  </si>
  <si>
    <t>HÀNG HẢI</t>
  </si>
  <si>
    <t>PHƯƠNG THỊ DẾT</t>
  </si>
  <si>
    <t>SƠN ĐẶNG</t>
  </si>
  <si>
    <t>SƠN THỊ SÀ MỆN</t>
  </si>
  <si>
    <t>PHƯƠNG VĂN TOÀN</t>
  </si>
  <si>
    <t>QUÁCH VĂN LỐN</t>
  </si>
  <si>
    <t>BÙI KIM HẰNG</t>
  </si>
  <si>
    <t>THẠCH THỊ XÀ LÊN</t>
  </si>
  <si>
    <t>SƠN VẺM</t>
  </si>
  <si>
    <t>LIÊU SÀ HOÁT</t>
  </si>
  <si>
    <t>QUÁCH SÀ HOẠNH</t>
  </si>
  <si>
    <t>THẠCH NGHĨA</t>
  </si>
  <si>
    <t>THẠCH ĐEN</t>
  </si>
  <si>
    <t>TRẦN THỊ DẾT</t>
  </si>
  <si>
    <t>SƠN THÀ LY</t>
  </si>
  <si>
    <t xml:space="preserve">THẠCH THỊ CHANH </t>
  </si>
  <si>
    <t>SƠN THỊ LÊ</t>
  </si>
  <si>
    <t xml:space="preserve">TRẦN THỊ PHƯỢNG </t>
  </si>
  <si>
    <t>THẠCH THỊ SỂ</t>
  </si>
  <si>
    <t>LÊ THỊ ĐẦM</t>
  </si>
  <si>
    <t>THẠCH THỊ THÂN</t>
  </si>
  <si>
    <t>TRƯƠNG THỊ HƯỜNG</t>
  </si>
  <si>
    <t>THẠCH PHIẾN</t>
  </si>
  <si>
    <t>LÂM SƯƠNG</t>
  </si>
  <si>
    <t>TRẦN NGỌC SANG</t>
  </si>
  <si>
    <t>TRỊNH VĂN QUÍ</t>
  </si>
  <si>
    <t>TĂNG THANH VÂN</t>
  </si>
  <si>
    <t>THẠCH PHÚ CƯỜNG</t>
  </si>
  <si>
    <t>LÝ SOL</t>
  </si>
  <si>
    <t>DANH THỊ CHUÔNG</t>
  </si>
  <si>
    <t>KIM THỊ KHÁNH</t>
  </si>
  <si>
    <t>LÂM THỊ SUI</t>
  </si>
  <si>
    <t>NGÔ THỊ VỐN</t>
  </si>
  <si>
    <t>LONG TRƯỜNG KHÁNG</t>
  </si>
  <si>
    <t>LÂM MỸ PHƯƠNG</t>
  </si>
  <si>
    <t>PHẠM THỊ THAO</t>
  </si>
  <si>
    <t>TRƯƠNG SƠN</t>
  </si>
  <si>
    <t>QUÁCH THỊ TẠO</t>
  </si>
  <si>
    <t>PHÙNG THỊ HƯƠNG</t>
  </si>
  <si>
    <t>LÝ THỊ MAI</t>
  </si>
  <si>
    <t>TRẦN NA RI</t>
  </si>
  <si>
    <t>TRẦN DÔL</t>
  </si>
  <si>
    <t>DƯƠNG THỊ KIM TIÊN</t>
  </si>
  <si>
    <t>LÊ THỊ NHU</t>
  </si>
  <si>
    <t>THẠCH SÀ CẾT</t>
  </si>
  <si>
    <t>TRẦN QUANG</t>
  </si>
  <si>
    <t>TRƯƠNG MI</t>
  </si>
  <si>
    <t>LIÊU XI KHAL</t>
  </si>
  <si>
    <t>LÊ TẤN HÙNG</t>
  </si>
  <si>
    <t>LÝ THỊ SA MÊ</t>
  </si>
  <si>
    <t>LÝ THỊ SAL</t>
  </si>
  <si>
    <t>QUÁCH KIỀU PHƯƠNG</t>
  </si>
  <si>
    <t>THẠCH THỊ MÊN</t>
  </si>
  <si>
    <t>NGÔ BUÔL ẠI</t>
  </si>
  <si>
    <t>TRẦN THỊ CHÉT</t>
  </si>
  <si>
    <r>
      <rPr>
        <sz val="13"/>
        <rFont val="Times New Roman"/>
        <family val="1"/>
      </rPr>
      <t>Nữ</t>
    </r>
  </si>
  <si>
    <r>
      <rPr>
        <sz val="13"/>
        <rFont val="Times New Roman"/>
        <family val="1"/>
      </rPr>
      <t>PHẠM THỊ YẾN</t>
    </r>
  </si>
  <si>
    <r>
      <rPr>
        <sz val="13"/>
        <rFont val="Times New Roman"/>
        <family val="1"/>
      </rPr>
      <t>PHƯƠNG THỊ LIÊN</t>
    </r>
  </si>
  <si>
    <t>Phường Hiệp Thành</t>
  </si>
  <si>
    <r>
      <rPr>
        <sz val="13"/>
        <rFont val="Times New Roman"/>
        <family val="1"/>
      </rPr>
      <t>Nam</t>
    </r>
  </si>
  <si>
    <r>
      <rPr>
        <sz val="13"/>
        <rFont val="Times New Roman"/>
        <family val="1"/>
      </rPr>
      <t xml:space="preserve">DƯƠNG THỊ TUYẾT </t>
    </r>
  </si>
  <si>
    <r>
      <rPr>
        <sz val="13"/>
        <rFont val="Times New Roman"/>
        <family val="1"/>
      </rPr>
      <t xml:space="preserve">HÀNG THỊ TUYẾT </t>
    </r>
  </si>
  <si>
    <r>
      <rPr>
        <sz val="13"/>
        <rFont val="Times New Roman"/>
        <family val="1"/>
      </rPr>
      <t>HỒ TUYẾT MAI</t>
    </r>
  </si>
  <si>
    <r>
      <rPr>
        <sz val="13"/>
        <rFont val="Times New Roman"/>
        <family val="1"/>
      </rPr>
      <t>HỨA HÙI HÍA</t>
    </r>
  </si>
  <si>
    <r>
      <rPr>
        <sz val="13"/>
        <rFont val="Times New Roman"/>
        <family val="1"/>
      </rPr>
      <t>HỮU TIỂN</t>
    </r>
  </si>
  <si>
    <r>
      <rPr>
        <sz val="13"/>
        <rFont val="Times New Roman"/>
        <family val="1"/>
      </rPr>
      <t>HUỲNH PHƯỚC</t>
    </r>
  </si>
  <si>
    <r>
      <rPr>
        <sz val="13"/>
        <rFont val="Times New Roman"/>
        <family val="1"/>
      </rPr>
      <t>HUỲNH THỊ ĐÀO</t>
    </r>
  </si>
  <si>
    <r>
      <rPr>
        <sz val="13"/>
        <rFont val="Times New Roman"/>
        <family val="1"/>
      </rPr>
      <t>HUỲNH THỊ SA VÊNH</t>
    </r>
  </si>
  <si>
    <r>
      <rPr>
        <sz val="13"/>
        <rFont val="Times New Roman"/>
        <family val="1"/>
      </rPr>
      <t>KIM THỊ SÀ RƯỢL</t>
    </r>
  </si>
  <si>
    <t>Số nghi ngờ THA thông qua tầm soát</t>
  </si>
  <si>
    <t>Số nghi ngờ ĐTĐ thông qua tầm soát</t>
  </si>
  <si>
    <t>Số người cần xét nghiệm đường máu mao mạch</t>
  </si>
  <si>
    <t>Câu hỏi tầm soát Hen (GINA)</t>
  </si>
  <si>
    <t>Câu hỏi tầm soát bệnh Phổi tắc nghẽn mãn tính (GOLD)</t>
  </si>
  <si>
    <t>Nguy cơ mắc COPD</t>
  </si>
  <si>
    <t>x</t>
  </si>
  <si>
    <t>Ông/bà có những cơn khò khè/thở rít hay những đợt khò khè/thở rít tái đi tái lại?</t>
  </si>
  <si>
    <t>Ông/bà có bị ho gây khó chịu lúc đêm khuya?</t>
  </si>
  <si>
    <t>Ông/bà có bị thức giấc vì cơn ho hay khó thở bất cứ khi nào?</t>
  </si>
  <si>
    <t>Ông/bà có bị ho, khò khè hay thở rít sau khi vận động thể lực (chạy, tập thể dục)?</t>
  </si>
  <si>
    <t>Ông/bà có vấn đề hô hấp vào mùa nhất định nào đó trong năm?</t>
  </si>
  <si>
    <t>Ông/bà có bị ho, khò khè hay nặng ngực khi hít phải chất kích thích trong không khí?</t>
  </si>
  <si>
    <t>Ông/bà có những đợt cảm lạnh 'nhập vào phổi' HOẶC phải điều trị hơn mười ngày mới khỏi?</t>
  </si>
  <si>
    <t>Khi có những triệu chứng hô hấp, ông/bà có cải thiện với điều trị hen thích hợp?</t>
  </si>
  <si>
    <t>Ông/bà có ho vài lần trong ngày ở hầu hết các ngày?</t>
  </si>
  <si>
    <t>Ông/bà có khạc đàm ở hầu hết các ngày?</t>
  </si>
  <si>
    <t>Ông/bà có dễ bị khó thở hơn những người cùng tuổi?</t>
  </si>
  <si>
    <t>Ông/bà có trên 40 tuổi?</t>
  </si>
  <si>
    <t>Ông/bà có vẫn còn hút thuốc lá hoặc đã từng hút thuốc lá?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</si>
  <si>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</si>
  <si>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</si>
  <si>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</si>
  <si>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</si>
  <si>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</si>
  <si>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</si>
  <si>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</si>
  <si>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</si>
  <si>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</si>
  <si>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</si>
  <si>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</si>
  <si>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</si>
  <si>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</si>
  <si>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</si>
  <si>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</si>
  <si>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</si>
  <si>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</si>
  <si>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</si>
  <si>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</si>
  <si>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</si>
  <si>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</si>
  <si>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</si>
  <si>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</si>
  <si>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</si>
  <si>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</si>
  <si>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</si>
  <si>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</si>
  <si>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</si>
  <si>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</si>
  <si>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</si>
  <si>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Column1</t>
  </si>
  <si>
    <t>Column2</t>
  </si>
  <si>
    <t>Column3</t>
  </si>
  <si>
    <t>Column4</t>
  </si>
  <si>
    <t>Column5</t>
  </si>
  <si>
    <t>Column6</t>
  </si>
  <si>
    <t>Column19</t>
  </si>
  <si>
    <t>Column20</t>
  </si>
  <si>
    <t>Column21</t>
  </si>
  <si>
    <t>Column22</t>
  </si>
  <si>
    <t>Nguy cơ mắc Hen</t>
  </si>
  <si>
    <t>BMI
(Tự động)</t>
  </si>
  <si>
    <t>Tuổi
(Tự động)</t>
  </si>
  <si>
    <t>Điểm Giới tính
(Tự động)</t>
  </si>
  <si>
    <t>Điểm Tuổi
(Tự động)</t>
  </si>
  <si>
    <t>Điểm Gia đình
(Tự động)</t>
  </si>
  <si>
    <t>Điểm BMI
(Tự động)</t>
  </si>
  <si>
    <t>Điểm Vòng eo
(Tự động)</t>
  </si>
  <si>
    <t>Điểm Huyết áp
(Tự động)</t>
  </si>
  <si>
    <t>Tổng điểm
(Tự động)</t>
  </si>
  <si>
    <t>Nguy cơ mắc HEN
(Tự động)</t>
  </si>
  <si>
    <t>Nguy cơ mắc COPD
(Tự động)</t>
  </si>
  <si>
    <t>Cần xét nghiệm đường máu mao mạch
(Tự động)</t>
  </si>
  <si>
    <t>Nguy cơ Đái tháo đường
(Tự động)</t>
  </si>
  <si>
    <t>Nghi ngờ Tăng huyết áp
(Tự động)</t>
  </si>
  <si>
    <t>Tháng
(Tự động)</t>
  </si>
  <si>
    <t>Khóm
(Tự động)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</si>
</sst>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2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theme="1" tint="4.9989318521683403E-2"/>
      <name val="Times New Roman"/>
      <family val="1"/>
    </font>
    <font>
      <sz val="13"/>
      <color rgb="FF000000"/>
      <name val="Times New Roman"/>
      <family val="1"/>
    </font>
    <font>
      <sz val="13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3"/>
      <color theme="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77">
    <xf numFmtId="0" fontId="0" fillId="0" borderId="0" xfId="0" applyNumberFormat="1"/>
    <xf numFmtId="0" fontId="2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 wrapText="1"/>
    </xf>
    <xf numFmtId="0" fontId="1" fillId="2" borderId="0" xfId="0" applyNumberFormat="1" applyFont="1" applyFill="1" applyAlignment="1">
      <alignment horizontal="center" vertical="center" wrapText="1"/>
    </xf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 wrapText="1"/>
    </xf>
    <xf numFmtId="0" fontId="4" fillId="0" borderId="0" xfId="0" applyNumberFormat="1" applyFont="1" applyAlignment="1" applyProtection="1">
      <alignment horizontal="center" vertical="center"/>
    </xf>
    <xf numFmtId="164" fontId="4" fillId="0" borderId="0" xfId="0" applyNumberFormat="1" applyFont="1" applyAlignment="1" applyProtection="1">
      <alignment horizontal="center" vertical="center"/>
    </xf>
    <xf numFmtId="0" fontId="1" fillId="0" borderId="0" xfId="0" applyNumberFormat="1" applyFont="1" applyAlignment="1" applyProtection="1">
      <alignment horizontal="center" vertical="center" wrapText="1"/>
    </xf>
    <xf numFmtId="0" fontId="1" fillId="0" borderId="2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0" fontId="2" fillId="5" borderId="0" xfId="0" applyNumberFormat="1" applyFont="1" applyFill="1" applyAlignment="1" applyProtection="1">
      <alignment horizontal="center" vertical="center"/>
    </xf>
    <xf numFmtId="0" fontId="1" fillId="6" borderId="1" xfId="0" applyNumberFormat="1" applyFont="1" applyFill="1" applyBorder="1" applyAlignment="1">
      <alignment horizontal="center" vertical="center"/>
    </xf>
    <xf numFmtId="0" fontId="1" fillId="6" borderId="4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5" fillId="4" borderId="1" xfId="0" applyNumberFormat="1" applyFont="1" applyFill="1" applyBorder="1" applyAlignment="1" applyProtection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6" fillId="3" borderId="1" xfId="0" applyNumberFormat="1" applyFont="1" applyFill="1" applyBorder="1" applyAlignment="1" applyProtection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5" fillId="4" borderId="1" xfId="0" applyNumberFormat="1" applyFont="1" applyFill="1" applyBorder="1" applyAlignment="1" applyProtection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4" fillId="0" borderId="1" xfId="0" applyNumberFormat="1" applyFont="1" applyBorder="1" applyAlignment="1" applyProtection="1">
      <alignment horizontal="center" vertical="center" wrapText="1"/>
    </xf>
    <xf numFmtId="0" fontId="4" fillId="0" borderId="1" xfId="0" applyNumberFormat="1" applyFont="1" applyBorder="1" applyAlignment="1" applyProtection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 applyProtection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 applyProtection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1" fillId="6" borderId="2" xfId="0" applyNumberFormat="1" applyFont="1" applyFill="1" applyBorder="1" applyAlignment="1">
      <alignment horizontal="center" vertical="center"/>
    </xf>
    <xf numFmtId="0" fontId="1" fillId="6" borderId="3" xfId="0" applyNumberFormat="1" applyFont="1" applyFill="1" applyBorder="1" applyAlignment="1">
      <alignment horizontal="center" vertical="center"/>
    </xf>
    <xf numFmtId="0" fontId="3" fillId="6" borderId="2" xfId="0" applyNumberFormat="1" applyFont="1" applyFill="1" applyBorder="1" applyAlignment="1" applyProtection="1">
      <alignment horizontal="center" vertical="top" wrapText="1"/>
    </xf>
    <xf numFmtId="0" fontId="3" fillId="6" borderId="3" xfId="0" applyNumberFormat="1" applyFont="1" applyFill="1" applyBorder="1" applyAlignment="1" applyProtection="1">
      <alignment horizontal="center" vertical="top" wrapText="1"/>
    </xf>
    <xf numFmtId="0" fontId="1" fillId="6" borderId="1" xfId="0" applyNumberFormat="1" applyFont="1" applyFill="1" applyBorder="1" applyAlignment="1">
      <alignment horizontal="center" vertical="top" wrapText="1"/>
    </xf>
    <xf numFmtId="0" fontId="3" fillId="6" borderId="1" xfId="0" applyNumberFormat="1" applyFont="1" applyFill="1" applyBorder="1" applyAlignment="1" applyProtection="1">
      <alignment horizontal="center" vertical="top" wrapText="1"/>
    </xf>
    <xf numFmtId="0" fontId="8" fillId="6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2" fillId="0" borderId="5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/>
    </xf>
    <xf numFmtId="0" fontId="5" fillId="4" borderId="5" xfId="0" applyNumberFormat="1" applyFont="1" applyFill="1" applyBorder="1" applyAlignment="1" applyProtection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6" fillId="3" borderId="5" xfId="0" applyNumberFormat="1" applyFont="1" applyFill="1" applyBorder="1" applyAlignment="1" applyProtection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4" fillId="0" borderId="1" xfId="0" applyNumberFormat="1" applyFont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 wrapText="1"/>
    </xf>
    <xf numFmtId="0" fontId="13" fillId="0" borderId="0" xfId="0" applyNumberFormat="1" applyFont="1" applyFill="1" applyAlignment="1">
      <alignment horizontal="center" vertical="center"/>
    </xf>
    <xf numFmtId="0" fontId="13" fillId="7" borderId="5" xfId="0" applyNumberFormat="1" applyFont="1" applyFill="1" applyBorder="1" applyAlignment="1">
      <alignment horizontal="center"/>
    </xf>
    <xf numFmtId="0" fontId="13" fillId="7" borderId="1" xfId="0" applyNumberFormat="1" applyFont="1" applyFill="1" applyBorder="1" applyAlignment="1">
      <alignment horizontal="center"/>
    </xf>
    <xf numFmtId="0" fontId="13" fillId="7" borderId="1" xfId="0" applyNumberFormat="1" applyFont="1" applyFill="1" applyBorder="1" applyAlignment="1" applyProtection="1">
      <alignment horizontal="center"/>
    </xf>
    <xf numFmtId="164" fontId="13" fillId="7" borderId="1" xfId="0" applyNumberFormat="1" applyFont="1" applyFill="1" applyBorder="1" applyAlignment="1" applyProtection="1">
      <alignment horizontal="center"/>
    </xf>
    <xf numFmtId="0" fontId="11" fillId="7" borderId="1" xfId="0" applyFont="1" applyFill="1" applyBorder="1" applyAlignment="1">
      <alignment horizontal="center" wrapText="1"/>
    </xf>
    <xf numFmtId="14" fontId="13" fillId="7" borderId="1" xfId="0" applyNumberFormat="1" applyFont="1" applyFill="1" applyBorder="1" applyAlignment="1">
      <alignment horizontal="center"/>
    </xf>
    <xf numFmtId="0" fontId="4" fillId="7" borderId="1" xfId="0" applyNumberFormat="1" applyFont="1" applyFill="1" applyBorder="1" applyAlignment="1" applyProtection="1">
      <alignment horizontal="center"/>
    </xf>
    <xf numFmtId="0" fontId="4" fillId="5" borderId="1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1" fillId="6" borderId="4" xfId="0" applyNumberFormat="1" applyFont="1" applyFill="1" applyBorder="1" applyAlignment="1">
      <alignment horizontal="center" vertical="center"/>
    </xf>
    <xf numFmtId="0" fontId="1" fillId="6" borderId="5" xfId="0" applyNumberFormat="1" applyFont="1" applyFill="1" applyBorder="1" applyAlignment="1">
      <alignment horizontal="center" vertical="center"/>
    </xf>
    <xf numFmtId="0" fontId="3" fillId="0" borderId="4" xfId="0" applyNumberFormat="1" applyFont="1" applyBorder="1" applyAlignment="1" applyProtection="1">
      <alignment horizontal="center" vertical="center" wrapText="1"/>
    </xf>
    <xf numFmtId="0" fontId="3" fillId="0" borderId="5" xfId="0" applyNumberFormat="1" applyFont="1" applyBorder="1" applyAlignment="1" applyProtection="1">
      <alignment horizontal="center" vertical="center" wrapText="1"/>
    </xf>
    <xf numFmtId="0" fontId="1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FF0000"/>
        <name val="Times New Roman"/>
        <scheme val="none"/>
      </font>
      <numFmt numFmtId="0" formatCode="General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FF0000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Times New Roman"/>
        <scheme val="none"/>
      </font>
      <numFmt numFmtId="0" formatCode="General"/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FF0000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FF0000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FF0000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FF0000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FF0000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FF0000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FF0000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FF0000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FF0000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FF0000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FF0000"/>
        <name val="Times New Roman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FF0000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4" name="Table4" displayName="Table4" ref="A3:AN1263" totalsRowShown="0" headerRowDxfId="2" dataDxfId="4" tableBorderDxfId="3">
  <autoFilter ref="A3:AN1263"/>
  <tableColumns count="40">
    <tableColumn id="1" name="Column1" dataDxfId="42"/>
    <tableColumn id="2" name="Column2" dataDxfId="41"/>
    <tableColumn id="3" name="Column3" dataDxfId="40"/>
    <tableColumn id="4" name="Column4" dataDxfId="39">
      <calculatedColumnFormula>DATEDIF(C4,TODAY(),"Y")</calculatedColumnFormula>
    </tableColumn>
    <tableColumn id="5" name="Column5" dataDxfId="38"/>
    <tableColumn id="6" name="Column6" dataDxfId="37"/>
    <tableColumn id="7" name="Column7" dataDxfId="36"/>
    <tableColumn id="8" name="Column8" dataDxfId="35">
      <calculatedColumnFormula>G4/((F4/100)*(F4/100))</calculatedColumnFormula>
    </tableColumn>
    <tableColumn id="9" name="Column9" dataDxfId="34"/>
    <tableColumn id="10" name="Column10" dataDxfId="33"/>
    <tableColumn id="11" name="Column11" dataDxfId="32"/>
    <tableColumn id="12" name="Column12" dataDxfId="31">
      <calculatedColumnFormula>IF(B4="Nữ",0,2)</calculatedColumnFormula>
    </tableColumn>
    <tableColumn id="13" name="Column13" dataDxfId="30">
      <calculatedColumnFormula>IF(D4&lt;45,0,IF(D4&lt;=49,1,2))</calculatedColumnFormula>
    </tableColumn>
    <tableColumn id="14" name="Column14" dataDxfId="29">
      <calculatedColumnFormula>IF(E4="Có",4,0)</calculatedColumnFormula>
    </tableColumn>
    <tableColumn id="15" name="Column15" dataDxfId="28">
      <calculatedColumnFormula>IF(H4&lt;23,0,IF(H4&lt;27.5,3,5))</calculatedColumnFormula>
    </tableColumn>
    <tableColumn id="16" name="Column16" dataDxfId="27">
      <calculatedColumnFormula>IF(OR(AND(B4="Nam",I4&gt;=90),AND(B4="Nữ",I4&gt;=80)),2,0)</calculatedColumnFormula>
    </tableColumn>
    <tableColumn id="17" name="Column17" dataDxfId="26">
      <calculatedColumnFormula>IF(OR(J4&gt;=140,K4&gt;=90),2,0)</calculatedColumnFormula>
    </tableColumn>
    <tableColumn id="18" name="Column18" dataDxfId="25">
      <calculatedColumnFormula>SUM(L4:Q4)</calculatedColumnFormula>
    </tableColumn>
    <tableColumn id="19" name="Column19" dataDxfId="20"/>
    <tableColumn id="20" name="Column20" dataDxfId="19"/>
    <tableColumn id="21" name="Column21" dataDxfId="18"/>
    <tableColumn id="22" name="Column22" dataDxfId="17"/>
    <tableColumn id="23" name="Column23" dataDxfId="16"/>
    <tableColumn id="24" name="Column24" dataDxfId="15"/>
    <tableColumn id="25" name="Column25" dataDxfId="14"/>
    <tableColumn id="26" name="Column26" dataDxfId="13"/>
    <tableColumn id="27" name="Column27" dataDxfId="12"/>
    <tableColumn id="28" name="Column28" dataDxfId="11"/>
    <tableColumn id="29" name="Column29" dataDxfId="10"/>
    <tableColumn id="30" name="Column30" dataDxfId="9"/>
    <tableColumn id="31" name="Column31" dataDxfId="8"/>
    <tableColumn id="32" name="Column32" dataDxfId="6">
      <calculatedColumnFormula>IF(COUNTIF(S4:Z4,"X")&gt;=2,"Có","Không")</calculatedColumnFormula>
    </tableColumn>
    <tableColumn id="33" name="Column33" dataDxfId="5">
      <calculatedColumnFormula>IF(COUNTIF(AA4:AE4,"X")&gt;=3,"Có","Không")</calculatedColumnFormula>
    </tableColumn>
    <tableColumn id="34" name="Column34" dataDxfId="7">
      <calculatedColumnFormula>IF((R4)&gt;=6,"Có","Không")</calculatedColumnFormula>
    </tableColumn>
    <tableColumn id="35" name="Column35" dataDxfId="24">
      <calculatedColumnFormula>IF((R4)&gt;=6,"Có","Không")</calculatedColumnFormula>
    </tableColumn>
    <tableColumn id="36" name="Column36" dataDxfId="23">
      <calculatedColumnFormula>IF(OR(J4&gt;=140,K4&gt;=90),"Có","Không")</calculatedColumnFormula>
    </tableColumn>
    <tableColumn id="37" name="Column37" dataDxfId="22"/>
    <tableColumn id="38" name="Column38" dataDxfId="21"/>
    <tableColumn id="39" name="Column39" dataDxfId="1">
      <calculatedColumnFormula>"Tháng "&amp;MONTH(AL4)</calculatedColumnFormula>
    </tableColumn>
    <tableColumn id="40" name="Column40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16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6" sqref="G6"/>
    </sheetView>
  </sheetViews>
  <sheetFormatPr defaultRowHeight="16.5" x14ac:dyDescent="0.25"/>
  <cols>
    <col min="1" max="1" width="10.625" style="2" bestFit="1" customWidth="1"/>
    <col min="2" max="3" width="9" style="2"/>
    <col min="4" max="4" width="10" style="2" bestFit="1" customWidth="1"/>
    <col min="5" max="5" width="21.5" style="2" customWidth="1"/>
    <col min="6" max="6" width="24.5" style="2" customWidth="1"/>
    <col min="7" max="13" width="19" style="2" customWidth="1"/>
    <col min="14" max="19" width="20.125" style="2" customWidth="1"/>
    <col min="20" max="16384" width="9" style="2"/>
  </cols>
  <sheetData>
    <row r="1" spans="1:19" s="76" customFormat="1" ht="26.25" customHeight="1" x14ac:dyDescent="0.25">
      <c r="A1" s="36" t="s">
        <v>1058</v>
      </c>
      <c r="B1" s="72" t="s">
        <v>1057</v>
      </c>
      <c r="C1" s="73"/>
      <c r="D1" s="36" t="s">
        <v>1059</v>
      </c>
      <c r="E1" s="74" t="s">
        <v>1389</v>
      </c>
      <c r="F1" s="75"/>
      <c r="G1" s="36" t="s">
        <v>1059</v>
      </c>
      <c r="H1" s="74" t="s">
        <v>1388</v>
      </c>
      <c r="I1" s="75"/>
      <c r="J1" s="36" t="s">
        <v>1059</v>
      </c>
      <c r="K1" s="74" t="s">
        <v>1387</v>
      </c>
      <c r="L1" s="75"/>
      <c r="M1" s="36" t="s">
        <v>1059</v>
      </c>
      <c r="N1" s="74" t="s">
        <v>1447</v>
      </c>
      <c r="O1" s="75"/>
      <c r="P1" s="36" t="s">
        <v>1059</v>
      </c>
      <c r="Q1" s="74" t="s">
        <v>1392</v>
      </c>
      <c r="R1" s="75"/>
      <c r="S1" s="36" t="s">
        <v>1059</v>
      </c>
    </row>
    <row r="2" spans="1:19" ht="26.25" customHeight="1" x14ac:dyDescent="0.25">
      <c r="A2" s="37"/>
      <c r="B2" s="18" t="s">
        <v>30</v>
      </c>
      <c r="C2" s="18" t="s">
        <v>23</v>
      </c>
      <c r="D2" s="37"/>
      <c r="E2" s="18" t="s">
        <v>30</v>
      </c>
      <c r="F2" s="18" t="s">
        <v>23</v>
      </c>
      <c r="G2" s="37"/>
      <c r="H2" s="18" t="s">
        <v>30</v>
      </c>
      <c r="I2" s="18" t="s">
        <v>23</v>
      </c>
      <c r="J2" s="37"/>
      <c r="K2" s="18" t="s">
        <v>30</v>
      </c>
      <c r="L2" s="18" t="s">
        <v>23</v>
      </c>
      <c r="M2" s="37"/>
      <c r="N2" s="18" t="s">
        <v>30</v>
      </c>
      <c r="O2" s="18" t="s">
        <v>23</v>
      </c>
      <c r="P2" s="37"/>
      <c r="Q2" s="18" t="s">
        <v>30</v>
      </c>
      <c r="R2" s="18" t="s">
        <v>23</v>
      </c>
      <c r="S2" s="37"/>
    </row>
    <row r="3" spans="1:19" ht="26.25" customHeight="1" x14ac:dyDescent="0.25">
      <c r="A3" s="13" t="s">
        <v>1046</v>
      </c>
      <c r="B3" s="5">
        <f>COUNTIFS('ksl2'!$AM:$AM,$A3,'ksl2'!$B:$B,$B$2)</f>
        <v>55</v>
      </c>
      <c r="C3" s="5">
        <f>COUNTIFS('ksl2'!$AM:$AM,$A3,'ksl2'!$B:$B,$C$2)</f>
        <v>95</v>
      </c>
      <c r="D3" s="18">
        <f>SUM(B3:C3)</f>
        <v>150</v>
      </c>
      <c r="E3" s="5">
        <f ca="1">COUNTIFS('ksl2'!$AM:$AM,$A3,'ksl2'!$B:$B,$E$2,'ksl2'!$AH:$AH,"Có")</f>
        <v>46</v>
      </c>
      <c r="F3" s="5">
        <f ca="1">COUNTIFS('ksl2'!$AM:$AM,$A3,'ksl2'!$B:$B,$F$2,'ksl2'!$AH:$AH,"Có")</f>
        <v>68</v>
      </c>
      <c r="G3" s="18">
        <f ca="1">SUM(E3:F3)</f>
        <v>114</v>
      </c>
      <c r="H3" s="5">
        <f ca="1">COUNTIFS('ksl2'!$AM:$AM,$A3,'ksl2'!$B:$B,$H$2,'ksl2'!$AI:$AI,"Có")</f>
        <v>46</v>
      </c>
      <c r="I3" s="5">
        <f ca="1">COUNTIFS('ksl2'!$AM:$AM,$A3,'ksl2'!$B:$B,$I$2,'ksl2'!$AI:$AI,"Có")</f>
        <v>68</v>
      </c>
      <c r="J3" s="18">
        <f ca="1">SUM(H3:I3)</f>
        <v>114</v>
      </c>
      <c r="K3" s="5">
        <f>COUNTIFS('ksl2'!$AM:$AM,$A3,'ksl2'!$B:$B,$K$2,'ksl2'!$AJ:$AJ,"Có")</f>
        <v>22</v>
      </c>
      <c r="L3" s="5">
        <f>COUNTIFS('ksl2'!$AM:$AM,$A3,'ksl2'!$B:$B,$L$2,'ksl2'!$AJ:$AJ,"Có")</f>
        <v>24</v>
      </c>
      <c r="M3" s="18">
        <f>SUM(K3:L3)</f>
        <v>46</v>
      </c>
      <c r="N3" s="5">
        <f>COUNTIFS('ksl2'!$AM:$AM,$A3,'ksl2'!$B:$B,$N$2,'ksl2'!$AF:$AF,"Có")</f>
        <v>0</v>
      </c>
      <c r="O3" s="5">
        <f>COUNTIFS('ksl2'!$AM:$AM,$A3,'ksl2'!$B:$B,$O$2,'ksl2'!$AF:$AF,"Có")</f>
        <v>0</v>
      </c>
      <c r="P3" s="18">
        <f>SUM(N3:O3)</f>
        <v>0</v>
      </c>
      <c r="Q3" s="5">
        <f>COUNTIFS('ksl2'!$AM:$AM,$A3,'ksl2'!$B:$B,$Q$2,'ksl2'!$AG:$AG,"Có")</f>
        <v>0</v>
      </c>
      <c r="R3" s="5">
        <f>COUNTIFS('ksl2'!$AM:$AM,$A3,'ksl2'!$B:$B,$R$2,'ksl2'!$AG:$AG,"Có")</f>
        <v>0</v>
      </c>
      <c r="S3" s="18">
        <f>SUM(Q3:R3)</f>
        <v>0</v>
      </c>
    </row>
    <row r="4" spans="1:19" ht="26.25" customHeight="1" x14ac:dyDescent="0.25">
      <c r="A4" s="13" t="s">
        <v>1047</v>
      </c>
      <c r="B4" s="5">
        <f>COUNTIFS('ksl2'!$AM:$AM,$A4,'ksl2'!$B:$B,$B$2)</f>
        <v>95</v>
      </c>
      <c r="C4" s="5">
        <f>COUNTIFS('ksl2'!$AM:$AM,$A4,'ksl2'!$B:$B,$C$2)</f>
        <v>105</v>
      </c>
      <c r="D4" s="18">
        <f t="shared" ref="D4:D14" si="0">SUM(B4:C4)</f>
        <v>200</v>
      </c>
      <c r="E4" s="5">
        <f ca="1">COUNTIFS('ksl2'!$AM:$AM,$A4,'ksl2'!$B:$B,$E$2,'ksl2'!$AH:$AH,"Có")</f>
        <v>83</v>
      </c>
      <c r="F4" s="5">
        <f ca="1">COUNTIFS('ksl2'!$AM:$AM,$A4,'ksl2'!$B:$B,$F$2,'ksl2'!$AH:$AH,"Có")</f>
        <v>62</v>
      </c>
      <c r="G4" s="18">
        <f t="shared" ref="G4:G7" ca="1" si="1">SUM(E4:F4)</f>
        <v>145</v>
      </c>
      <c r="H4" s="5">
        <f ca="1">COUNTIFS('ksl2'!$AM:$AM,$A4,'ksl2'!$B:$B,$H$2,'ksl2'!$AI:$AI,"Có")</f>
        <v>83</v>
      </c>
      <c r="I4" s="5">
        <f ca="1">COUNTIFS('ksl2'!$AM:$AM,$A4,'ksl2'!$B:$B,$I$2,'ksl2'!$AI:$AI,"Có")</f>
        <v>62</v>
      </c>
      <c r="J4" s="18">
        <f t="shared" ref="J4:J14" ca="1" si="2">SUM(H4:I4)</f>
        <v>145</v>
      </c>
      <c r="K4" s="5">
        <f>COUNTIFS('ksl2'!$AM:$AM,$A4,'ksl2'!$B:$B,$K$2,'ksl2'!$AJ:$AJ,"Có")</f>
        <v>36</v>
      </c>
      <c r="L4" s="5">
        <f>COUNTIFS('ksl2'!$AM:$AM,$A4,'ksl2'!$B:$B,$L$2,'ksl2'!$AJ:$AJ,"Có")</f>
        <v>29</v>
      </c>
      <c r="M4" s="18">
        <f t="shared" ref="M4:M14" si="3">SUM(K4:L4)</f>
        <v>65</v>
      </c>
      <c r="N4" s="5">
        <f>COUNTIFS('ksl2'!$AM:$AM,$A4,'ksl2'!$B:$B,$N$2,'ksl2'!$AF:$AF,"Có")</f>
        <v>0</v>
      </c>
      <c r="O4" s="5">
        <f>COUNTIFS('ksl2'!$AM:$AM,$A4,'ksl2'!$B:$B,$O$2,'ksl2'!$AF:$AF,"Có")</f>
        <v>0</v>
      </c>
      <c r="P4" s="18">
        <f t="shared" ref="P4:P14" si="4">SUM(N4:O4)</f>
        <v>0</v>
      </c>
      <c r="Q4" s="5">
        <f>COUNTIFS('ksl2'!$AM:$AM,$A4,'ksl2'!$B:$B,$Q$2,'ksl2'!$AG:$AG,"Có")</f>
        <v>0</v>
      </c>
      <c r="R4" s="5">
        <f>COUNTIFS('ksl2'!$AM:$AM,$A4,'ksl2'!$B:$B,$R$2,'ksl2'!$AG:$AG,"Có")</f>
        <v>0</v>
      </c>
      <c r="S4" s="18">
        <f t="shared" ref="S4:S14" si="5">SUM(Q4:R4)</f>
        <v>0</v>
      </c>
    </row>
    <row r="5" spans="1:19" ht="26.25" customHeight="1" x14ac:dyDescent="0.25">
      <c r="A5" s="13" t="s">
        <v>1044</v>
      </c>
      <c r="B5" s="5">
        <f>COUNTIFS('ksl2'!$AM:$AM,$A5,'ksl2'!$B:$B,$B$2)</f>
        <v>78</v>
      </c>
      <c r="C5" s="5">
        <f>COUNTIFS('ksl2'!$AM:$AM,$A5,'ksl2'!$B:$B,$C$2)</f>
        <v>122</v>
      </c>
      <c r="D5" s="18">
        <f t="shared" si="0"/>
        <v>200</v>
      </c>
      <c r="E5" s="5">
        <f ca="1">COUNTIFS('ksl2'!$AM:$AM,$A5,'ksl2'!$B:$B,$E$2,'ksl2'!$AH:$AH,"Có")</f>
        <v>61</v>
      </c>
      <c r="F5" s="5">
        <f ca="1">COUNTIFS('ksl2'!$AM:$AM,$A5,'ksl2'!$B:$B,$F$2,'ksl2'!$AH:$AH,"Có")</f>
        <v>76</v>
      </c>
      <c r="G5" s="18">
        <f t="shared" ca="1" si="1"/>
        <v>137</v>
      </c>
      <c r="H5" s="5">
        <f ca="1">COUNTIFS('ksl2'!$AM:$AM,$A5,'ksl2'!$B:$B,$H$2,'ksl2'!$AI:$AI,"Có")</f>
        <v>61</v>
      </c>
      <c r="I5" s="5">
        <f ca="1">COUNTIFS('ksl2'!$AM:$AM,$A5,'ksl2'!$B:$B,$I$2,'ksl2'!$AI:$AI,"Có")</f>
        <v>76</v>
      </c>
      <c r="J5" s="18">
        <f t="shared" ca="1" si="2"/>
        <v>137</v>
      </c>
      <c r="K5" s="5">
        <f>COUNTIFS('ksl2'!$AM:$AM,$A5,'ksl2'!$B:$B,$K$2,'ksl2'!$AJ:$AJ,"Có")</f>
        <v>25</v>
      </c>
      <c r="L5" s="5">
        <f>COUNTIFS('ksl2'!$AM:$AM,$A5,'ksl2'!$B:$B,$L$2,'ksl2'!$AJ:$AJ,"Có")</f>
        <v>37</v>
      </c>
      <c r="M5" s="18">
        <f t="shared" si="3"/>
        <v>62</v>
      </c>
      <c r="N5" s="5">
        <f>COUNTIFS('ksl2'!$AM:$AM,$A5,'ksl2'!$B:$B,$N$2,'ksl2'!$AF:$AF,"Có")</f>
        <v>0</v>
      </c>
      <c r="O5" s="5">
        <f>COUNTIFS('ksl2'!$AM:$AM,$A5,'ksl2'!$B:$B,$O$2,'ksl2'!$AF:$AF,"Có")</f>
        <v>0</v>
      </c>
      <c r="P5" s="18">
        <f t="shared" si="4"/>
        <v>0</v>
      </c>
      <c r="Q5" s="5">
        <f>COUNTIFS('ksl2'!$AM:$AM,$A5,'ksl2'!$B:$B,$Q$2,'ksl2'!$AG:$AG,"Có")</f>
        <v>0</v>
      </c>
      <c r="R5" s="5">
        <f>COUNTIFS('ksl2'!$AM:$AM,$A5,'ksl2'!$B:$B,$R$2,'ksl2'!$AG:$AG,"Có")</f>
        <v>0</v>
      </c>
      <c r="S5" s="18">
        <f t="shared" si="5"/>
        <v>0</v>
      </c>
    </row>
    <row r="6" spans="1:19" ht="26.25" customHeight="1" x14ac:dyDescent="0.25">
      <c r="A6" s="13" t="s">
        <v>1045</v>
      </c>
      <c r="B6" s="5">
        <f>COUNTIFS('ksl2'!$AM:$AM,$A6,'ksl2'!$B:$B,$B$2)</f>
        <v>156</v>
      </c>
      <c r="C6" s="5">
        <f>COUNTIFS('ksl2'!$AM:$AM,$A6,'ksl2'!$B:$B,$C$2)</f>
        <v>244</v>
      </c>
      <c r="D6" s="18">
        <f t="shared" si="0"/>
        <v>400</v>
      </c>
      <c r="E6" s="5">
        <f ca="1">COUNTIFS('ksl2'!$AM:$AM,$A6,'ksl2'!$B:$B,$E$2,'ksl2'!$AH:$AH,"Có")</f>
        <v>140</v>
      </c>
      <c r="F6" s="5">
        <f ca="1">COUNTIFS('ksl2'!$AM:$AM,$A6,'ksl2'!$B:$B,$F$2,'ksl2'!$AH:$AH,"Có")</f>
        <v>153</v>
      </c>
      <c r="G6" s="18">
        <f t="shared" ca="1" si="1"/>
        <v>293</v>
      </c>
      <c r="H6" s="5">
        <f ca="1">COUNTIFS('ksl2'!$AM:$AM,$A6,'ksl2'!$B:$B,$H$2,'ksl2'!$AI:$AI,"Có")</f>
        <v>140</v>
      </c>
      <c r="I6" s="5">
        <f ca="1">COUNTIFS('ksl2'!$AM:$AM,$A6,'ksl2'!$B:$B,$I$2,'ksl2'!$AI:$AI,"Có")</f>
        <v>153</v>
      </c>
      <c r="J6" s="18">
        <f t="shared" ca="1" si="2"/>
        <v>293</v>
      </c>
      <c r="K6" s="5">
        <f>COUNTIFS('ksl2'!$AM:$AM,$A6,'ksl2'!$B:$B,$K$2,'ksl2'!$AJ:$AJ,"Có")</f>
        <v>44</v>
      </c>
      <c r="L6" s="5">
        <f>COUNTIFS('ksl2'!$AM:$AM,$A6,'ksl2'!$B:$B,$L$2,'ksl2'!$AJ:$AJ,"Có")</f>
        <v>77</v>
      </c>
      <c r="M6" s="18">
        <f t="shared" si="3"/>
        <v>121</v>
      </c>
      <c r="N6" s="5">
        <f>COUNTIFS('ksl2'!$AM:$AM,$A6,'ksl2'!$B:$B,$N$2,'ksl2'!$AF:$AF,"Có")</f>
        <v>0</v>
      </c>
      <c r="O6" s="5">
        <f>COUNTIFS('ksl2'!$AM:$AM,$A6,'ksl2'!$B:$B,$O$2,'ksl2'!$AF:$AF,"Có")</f>
        <v>0</v>
      </c>
      <c r="P6" s="18">
        <f t="shared" si="4"/>
        <v>0</v>
      </c>
      <c r="Q6" s="5">
        <f>COUNTIFS('ksl2'!$AM:$AM,$A6,'ksl2'!$B:$B,$Q$2,'ksl2'!$AG:$AG,"Có")</f>
        <v>0</v>
      </c>
      <c r="R6" s="5">
        <f>COUNTIFS('ksl2'!$AM:$AM,$A6,'ksl2'!$B:$B,$R$2,'ksl2'!$AG:$AG,"Có")</f>
        <v>0</v>
      </c>
      <c r="S6" s="18">
        <f t="shared" si="5"/>
        <v>0</v>
      </c>
    </row>
    <row r="7" spans="1:19" ht="26.25" customHeight="1" x14ac:dyDescent="0.25">
      <c r="A7" s="13" t="s">
        <v>1048</v>
      </c>
      <c r="B7" s="5">
        <f>COUNTIFS('ksl2'!$AM:$AM,$A7,'ksl2'!$B:$B,$B$2)</f>
        <v>119</v>
      </c>
      <c r="C7" s="5">
        <f>COUNTIFS('ksl2'!$AM:$AM,$A7,'ksl2'!$B:$B,$C$2)</f>
        <v>191</v>
      </c>
      <c r="D7" s="18">
        <f t="shared" si="0"/>
        <v>310</v>
      </c>
      <c r="E7" s="5">
        <f ca="1">COUNTIFS('ksl2'!$AM:$AM,$A7,'ksl2'!$B:$B,$E$2,'ksl2'!$AH:$AH,"Có")</f>
        <v>108</v>
      </c>
      <c r="F7" s="5">
        <f ca="1">COUNTIFS('ksl2'!$AM:$AM,$A7,'ksl2'!$B:$B,$F$2,'ksl2'!$AH:$AH,"Có")</f>
        <v>136</v>
      </c>
      <c r="G7" s="18">
        <f t="shared" ca="1" si="1"/>
        <v>244</v>
      </c>
      <c r="H7" s="5">
        <f ca="1">COUNTIFS('ksl2'!$AM:$AM,$A7,'ksl2'!$B:$B,$H$2,'ksl2'!$AI:$AI,"Có")</f>
        <v>108</v>
      </c>
      <c r="I7" s="5">
        <f ca="1">COUNTIFS('ksl2'!$AM:$AM,$A7,'ksl2'!$B:$B,$I$2,'ksl2'!$AI:$AI,"Có")</f>
        <v>136</v>
      </c>
      <c r="J7" s="18">
        <f t="shared" ca="1" si="2"/>
        <v>244</v>
      </c>
      <c r="K7" s="5">
        <f>COUNTIFS('ksl2'!$AM:$AM,$A7,'ksl2'!$B:$B,$K$2,'ksl2'!$AJ:$AJ,"Có")</f>
        <v>34</v>
      </c>
      <c r="L7" s="5">
        <f>COUNTIFS('ksl2'!$AM:$AM,$A7,'ksl2'!$B:$B,$L$2,'ksl2'!$AJ:$AJ,"Có")</f>
        <v>57</v>
      </c>
      <c r="M7" s="18">
        <f t="shared" si="3"/>
        <v>91</v>
      </c>
      <c r="N7" s="5">
        <f>COUNTIFS('ksl2'!$AM:$AM,$A7,'ksl2'!$B:$B,$N$2,'ksl2'!$AF:$AF,"Có")</f>
        <v>0</v>
      </c>
      <c r="O7" s="5">
        <f>COUNTIFS('ksl2'!$AM:$AM,$A7,'ksl2'!$B:$B,$O$2,'ksl2'!$AF:$AF,"Có")</f>
        <v>0</v>
      </c>
      <c r="P7" s="18">
        <f t="shared" si="4"/>
        <v>0</v>
      </c>
      <c r="Q7" s="5">
        <f>COUNTIFS('ksl2'!$AM:$AM,$A7,'ksl2'!$B:$B,$Q$2,'ksl2'!$AG:$AG,"Có")</f>
        <v>0</v>
      </c>
      <c r="R7" s="5">
        <f>COUNTIFS('ksl2'!$AM:$AM,$A7,'ksl2'!$B:$B,$R$2,'ksl2'!$AG:$AG,"Có")</f>
        <v>0</v>
      </c>
      <c r="S7" s="18">
        <f t="shared" si="5"/>
        <v>0</v>
      </c>
    </row>
    <row r="8" spans="1:19" s="71" customFormat="1" ht="26.25" customHeight="1" x14ac:dyDescent="0.25">
      <c r="A8" s="70" t="s">
        <v>1049</v>
      </c>
      <c r="B8" s="56">
        <f>COUNTIFS('ksl2'!$AM:$AM,$A8,'ksl2'!$B:$B,$B$2)</f>
        <v>0</v>
      </c>
      <c r="C8" s="56">
        <f>COUNTIFS('ksl2'!$AM:$AM,$A8,'ksl2'!$B:$B,$C$2)</f>
        <v>0</v>
      </c>
      <c r="D8" s="57">
        <f t="shared" si="0"/>
        <v>0</v>
      </c>
      <c r="E8" s="56">
        <f>COUNTIFS('ksl2'!$AM:$AM,$A8,'ksl2'!$B:$B,$E$2,'ksl2'!$AH:$AH,"Có")</f>
        <v>0</v>
      </c>
      <c r="F8" s="56">
        <f>COUNTIFS('ksl2'!$AM:$AM,$A8,'ksl2'!$B:$B,$F$2,'ksl2'!$AH:$AH,"Có")</f>
        <v>0</v>
      </c>
      <c r="G8" s="57">
        <f t="shared" ref="G8:G14" si="6">SUM(E8:F8)</f>
        <v>0</v>
      </c>
      <c r="H8" s="56">
        <f>COUNTIFS('ksl2'!$AM:$AM,$A8,'ksl2'!$B:$B,$H$2,'ksl2'!$AI:$AI,"Có")</f>
        <v>0</v>
      </c>
      <c r="I8" s="56">
        <f>COUNTIFS('ksl2'!$AM:$AM,$A8,'ksl2'!$B:$B,$I$2,'ksl2'!$AI:$AI,"Có")</f>
        <v>0</v>
      </c>
      <c r="J8" s="57">
        <f t="shared" si="2"/>
        <v>0</v>
      </c>
      <c r="K8" s="56">
        <f>COUNTIFS('ksl2'!$AM:$AM,$A8,'ksl2'!$B:$B,$K$2,'ksl2'!$AJ:$AJ,"Có")</f>
        <v>0</v>
      </c>
      <c r="L8" s="56">
        <f>COUNTIFS('ksl2'!$AM:$AM,$A8,'ksl2'!$B:$B,$L$2,'ksl2'!$AJ:$AJ,"Có")</f>
        <v>0</v>
      </c>
      <c r="M8" s="57">
        <f t="shared" si="3"/>
        <v>0</v>
      </c>
      <c r="N8" s="56">
        <f>COUNTIFS('ksl2'!$AM:$AM,$A8,'ksl2'!$B:$B,$N$2,'ksl2'!$AF:$AF,"Có")</f>
        <v>0</v>
      </c>
      <c r="O8" s="56">
        <f>COUNTIFS('ksl2'!$AM:$AM,$A8,'ksl2'!$B:$B,$O$2,'ksl2'!$AF:$AF,"Có")</f>
        <v>0</v>
      </c>
      <c r="P8" s="57">
        <f t="shared" si="4"/>
        <v>0</v>
      </c>
      <c r="Q8" s="56">
        <f>COUNTIFS('ksl2'!$AM:$AM,$A8,'ksl2'!$B:$B,$Q$2,'ksl2'!$AG:$AG,"Có")</f>
        <v>0</v>
      </c>
      <c r="R8" s="56">
        <f>COUNTIFS('ksl2'!$AM:$AM,$A8,'ksl2'!$B:$B,$R$2,'ksl2'!$AG:$AG,"Có")</f>
        <v>0</v>
      </c>
      <c r="S8" s="57">
        <f t="shared" si="5"/>
        <v>0</v>
      </c>
    </row>
    <row r="9" spans="1:19" s="71" customFormat="1" ht="26.25" customHeight="1" x14ac:dyDescent="0.25">
      <c r="A9" s="70" t="s">
        <v>1050</v>
      </c>
      <c r="B9" s="56">
        <f>COUNTIFS('ksl2'!$AM:$AM,$A9,'ksl2'!$B:$B,$B$2)</f>
        <v>0</v>
      </c>
      <c r="C9" s="56">
        <f>COUNTIFS('ksl2'!$AM:$AM,$A9,'ksl2'!$B:$B,$C$2)</f>
        <v>0</v>
      </c>
      <c r="D9" s="57">
        <f t="shared" si="0"/>
        <v>0</v>
      </c>
      <c r="E9" s="56">
        <f>COUNTIFS('ksl2'!$AM:$AM,$A9,'ksl2'!$B:$B,$E$2,'ksl2'!$AH:$AH,"Có")</f>
        <v>0</v>
      </c>
      <c r="F9" s="56">
        <f>COUNTIFS('ksl2'!$AM:$AM,$A9,'ksl2'!$B:$B,$F$2,'ksl2'!$AH:$AH,"Có")</f>
        <v>0</v>
      </c>
      <c r="G9" s="57">
        <f t="shared" si="6"/>
        <v>0</v>
      </c>
      <c r="H9" s="56">
        <f>COUNTIFS('ksl2'!$AM:$AM,$A9,'ksl2'!$B:$B,$H$2,'ksl2'!$AI:$AI,"Có")</f>
        <v>0</v>
      </c>
      <c r="I9" s="56">
        <f>COUNTIFS('ksl2'!$AM:$AM,$A9,'ksl2'!$B:$B,$I$2,'ksl2'!$AI:$AI,"Có")</f>
        <v>0</v>
      </c>
      <c r="J9" s="57">
        <f t="shared" si="2"/>
        <v>0</v>
      </c>
      <c r="K9" s="56">
        <f>COUNTIFS('ksl2'!$AM:$AM,$A9,'ksl2'!$B:$B,$K$2,'ksl2'!$AJ:$AJ,"Có")</f>
        <v>0</v>
      </c>
      <c r="L9" s="56">
        <f>COUNTIFS('ksl2'!$AM:$AM,$A9,'ksl2'!$B:$B,$L$2,'ksl2'!$AJ:$AJ,"Có")</f>
        <v>0</v>
      </c>
      <c r="M9" s="57">
        <f t="shared" si="3"/>
        <v>0</v>
      </c>
      <c r="N9" s="56">
        <f>COUNTIFS('ksl2'!$AM:$AM,$A9,'ksl2'!$B:$B,$N$2,'ksl2'!$AF:$AF,"Có")</f>
        <v>0</v>
      </c>
      <c r="O9" s="56">
        <f>COUNTIFS('ksl2'!$AM:$AM,$A9,'ksl2'!$B:$B,$O$2,'ksl2'!$AF:$AF,"Có")</f>
        <v>0</v>
      </c>
      <c r="P9" s="57">
        <f t="shared" si="4"/>
        <v>0</v>
      </c>
      <c r="Q9" s="56">
        <f>COUNTIFS('ksl2'!$AM:$AM,$A9,'ksl2'!$B:$B,$Q$2,'ksl2'!$AG:$AG,"Có")</f>
        <v>0</v>
      </c>
      <c r="R9" s="56">
        <f>COUNTIFS('ksl2'!$AM:$AM,$A9,'ksl2'!$B:$B,$R$2,'ksl2'!$AG:$AG,"Có")</f>
        <v>0</v>
      </c>
      <c r="S9" s="57">
        <f t="shared" si="5"/>
        <v>0</v>
      </c>
    </row>
    <row r="10" spans="1:19" s="71" customFormat="1" ht="26.25" customHeight="1" x14ac:dyDescent="0.25">
      <c r="A10" s="70" t="s">
        <v>1051</v>
      </c>
      <c r="B10" s="56">
        <f>COUNTIFS('ksl2'!$AM:$AM,$A10,'ksl2'!$B:$B,$B$2)</f>
        <v>0</v>
      </c>
      <c r="C10" s="56">
        <f>COUNTIFS('ksl2'!$AM:$AM,$A10,'ksl2'!$B:$B,$C$2)</f>
        <v>0</v>
      </c>
      <c r="D10" s="57">
        <f t="shared" si="0"/>
        <v>0</v>
      </c>
      <c r="E10" s="56">
        <f>COUNTIFS('ksl2'!$AM:$AM,$A10,'ksl2'!$B:$B,$E$2,'ksl2'!$AH:$AH,"Có")</f>
        <v>0</v>
      </c>
      <c r="F10" s="56">
        <f>COUNTIFS('ksl2'!$AM:$AM,$A10,'ksl2'!$B:$B,$F$2,'ksl2'!$AH:$AH,"Có")</f>
        <v>0</v>
      </c>
      <c r="G10" s="57">
        <f t="shared" si="6"/>
        <v>0</v>
      </c>
      <c r="H10" s="56">
        <f>COUNTIFS('ksl2'!$AM:$AM,$A10,'ksl2'!$B:$B,$H$2,'ksl2'!$AI:$AI,"Có")</f>
        <v>0</v>
      </c>
      <c r="I10" s="56">
        <f>COUNTIFS('ksl2'!$AM:$AM,$A10,'ksl2'!$B:$B,$I$2,'ksl2'!$AI:$AI,"Có")</f>
        <v>0</v>
      </c>
      <c r="J10" s="57">
        <f t="shared" si="2"/>
        <v>0</v>
      </c>
      <c r="K10" s="56">
        <f>COUNTIFS('ksl2'!$AM:$AM,$A10,'ksl2'!$B:$B,$K$2,'ksl2'!$AJ:$AJ,"Có")</f>
        <v>0</v>
      </c>
      <c r="L10" s="56">
        <f>COUNTIFS('ksl2'!$AM:$AM,$A10,'ksl2'!$B:$B,$L$2,'ksl2'!$AJ:$AJ,"Có")</f>
        <v>0</v>
      </c>
      <c r="M10" s="57">
        <f t="shared" si="3"/>
        <v>0</v>
      </c>
      <c r="N10" s="56">
        <f>COUNTIFS('ksl2'!$AM:$AM,$A10,'ksl2'!$B:$B,$N$2,'ksl2'!$AF:$AF,"Có")</f>
        <v>0</v>
      </c>
      <c r="O10" s="56">
        <f>COUNTIFS('ksl2'!$AM:$AM,$A10,'ksl2'!$B:$B,$O$2,'ksl2'!$AF:$AF,"Có")</f>
        <v>0</v>
      </c>
      <c r="P10" s="57">
        <f t="shared" si="4"/>
        <v>0</v>
      </c>
      <c r="Q10" s="56">
        <f>COUNTIFS('ksl2'!$AM:$AM,$A10,'ksl2'!$B:$B,$Q$2,'ksl2'!$AG:$AG,"Có")</f>
        <v>0</v>
      </c>
      <c r="R10" s="56">
        <f>COUNTIFS('ksl2'!$AM:$AM,$A10,'ksl2'!$B:$B,$R$2,'ksl2'!$AG:$AG,"Có")</f>
        <v>0</v>
      </c>
      <c r="S10" s="57">
        <f t="shared" si="5"/>
        <v>0</v>
      </c>
    </row>
    <row r="11" spans="1:19" s="71" customFormat="1" ht="26.25" customHeight="1" x14ac:dyDescent="0.25">
      <c r="A11" s="70" t="s">
        <v>1052</v>
      </c>
      <c r="B11" s="56">
        <f>COUNTIFS('ksl2'!$AM:$AM,$A11,'ksl2'!$B:$B,$B$2)</f>
        <v>0</v>
      </c>
      <c r="C11" s="56">
        <f>COUNTIFS('ksl2'!$AM:$AM,$A11,'ksl2'!$B:$B,$C$2)</f>
        <v>0</v>
      </c>
      <c r="D11" s="57">
        <f t="shared" si="0"/>
        <v>0</v>
      </c>
      <c r="E11" s="56">
        <f>COUNTIFS('ksl2'!$AM:$AM,$A11,'ksl2'!$B:$B,$E$2,'ksl2'!$AH:$AH,"Có")</f>
        <v>0</v>
      </c>
      <c r="F11" s="56">
        <f>COUNTIFS('ksl2'!$AM:$AM,$A11,'ksl2'!$B:$B,$F$2,'ksl2'!$AH:$AH,"Có")</f>
        <v>0</v>
      </c>
      <c r="G11" s="57">
        <f t="shared" si="6"/>
        <v>0</v>
      </c>
      <c r="H11" s="56">
        <f>COUNTIFS('ksl2'!$AM:$AM,$A11,'ksl2'!$B:$B,$H$2,'ksl2'!$AI:$AI,"Có")</f>
        <v>0</v>
      </c>
      <c r="I11" s="56">
        <f>COUNTIFS('ksl2'!$AM:$AM,$A11,'ksl2'!$B:$B,$I$2,'ksl2'!$AI:$AI,"Có")</f>
        <v>0</v>
      </c>
      <c r="J11" s="57">
        <f t="shared" si="2"/>
        <v>0</v>
      </c>
      <c r="K11" s="56">
        <f>COUNTIFS('ksl2'!$AM:$AM,$A11,'ksl2'!$B:$B,$K$2,'ksl2'!$AJ:$AJ,"Có")</f>
        <v>0</v>
      </c>
      <c r="L11" s="56">
        <f>COUNTIFS('ksl2'!$AM:$AM,$A11,'ksl2'!$B:$B,$L$2,'ksl2'!$AJ:$AJ,"Có")</f>
        <v>0</v>
      </c>
      <c r="M11" s="57">
        <f t="shared" si="3"/>
        <v>0</v>
      </c>
      <c r="N11" s="56">
        <f>COUNTIFS('ksl2'!$AM:$AM,$A11,'ksl2'!$B:$B,$N$2,'ksl2'!$AF:$AF,"Có")</f>
        <v>0</v>
      </c>
      <c r="O11" s="56">
        <f>COUNTIFS('ksl2'!$AM:$AM,$A11,'ksl2'!$B:$B,$O$2,'ksl2'!$AF:$AF,"Có")</f>
        <v>0</v>
      </c>
      <c r="P11" s="57">
        <f t="shared" si="4"/>
        <v>0</v>
      </c>
      <c r="Q11" s="56">
        <f>COUNTIFS('ksl2'!$AM:$AM,$A11,'ksl2'!$B:$B,$Q$2,'ksl2'!$AG:$AG,"Có")</f>
        <v>0</v>
      </c>
      <c r="R11" s="56">
        <f>COUNTIFS('ksl2'!$AM:$AM,$A11,'ksl2'!$B:$B,$R$2,'ksl2'!$AG:$AG,"Có")</f>
        <v>0</v>
      </c>
      <c r="S11" s="57">
        <f t="shared" si="5"/>
        <v>0</v>
      </c>
    </row>
    <row r="12" spans="1:19" s="71" customFormat="1" ht="26.25" customHeight="1" x14ac:dyDescent="0.25">
      <c r="A12" s="70" t="s">
        <v>1053</v>
      </c>
      <c r="B12" s="56">
        <f>COUNTIFS('ksl2'!$AM:$AM,$A12,'ksl2'!$B:$B,$B$2)</f>
        <v>0</v>
      </c>
      <c r="C12" s="56">
        <f>COUNTIFS('ksl2'!$AM:$AM,$A12,'ksl2'!$B:$B,$C$2)</f>
        <v>0</v>
      </c>
      <c r="D12" s="57">
        <f t="shared" si="0"/>
        <v>0</v>
      </c>
      <c r="E12" s="56">
        <f>COUNTIFS('ksl2'!$AM:$AM,$A12,'ksl2'!$B:$B,$E$2,'ksl2'!$AH:$AH,"Có")</f>
        <v>0</v>
      </c>
      <c r="F12" s="56">
        <f>COUNTIFS('ksl2'!$AM:$AM,$A12,'ksl2'!$B:$B,$F$2,'ksl2'!$AH:$AH,"Có")</f>
        <v>0</v>
      </c>
      <c r="G12" s="57">
        <f t="shared" si="6"/>
        <v>0</v>
      </c>
      <c r="H12" s="56">
        <f>COUNTIFS('ksl2'!$AM:$AM,$A12,'ksl2'!$B:$B,$H$2,'ksl2'!$AI:$AI,"Có")</f>
        <v>0</v>
      </c>
      <c r="I12" s="56">
        <f>COUNTIFS('ksl2'!$AM:$AM,$A12,'ksl2'!$B:$B,$I$2,'ksl2'!$AI:$AI,"Có")</f>
        <v>0</v>
      </c>
      <c r="J12" s="57">
        <f t="shared" si="2"/>
        <v>0</v>
      </c>
      <c r="K12" s="56">
        <f>COUNTIFS('ksl2'!$AM:$AM,$A12,'ksl2'!$B:$B,$K$2,'ksl2'!$AJ:$AJ,"Có")</f>
        <v>0</v>
      </c>
      <c r="L12" s="56">
        <f>COUNTIFS('ksl2'!$AM:$AM,$A12,'ksl2'!$B:$B,$L$2,'ksl2'!$AJ:$AJ,"Có")</f>
        <v>0</v>
      </c>
      <c r="M12" s="57">
        <f t="shared" si="3"/>
        <v>0</v>
      </c>
      <c r="N12" s="56">
        <f>COUNTIFS('ksl2'!$AM:$AM,$A12,'ksl2'!$B:$B,$N$2,'ksl2'!$AF:$AF,"Có")</f>
        <v>0</v>
      </c>
      <c r="O12" s="56">
        <f>COUNTIFS('ksl2'!$AM:$AM,$A12,'ksl2'!$B:$B,$O$2,'ksl2'!$AF:$AF,"Có")</f>
        <v>0</v>
      </c>
      <c r="P12" s="57">
        <f t="shared" si="4"/>
        <v>0</v>
      </c>
      <c r="Q12" s="56">
        <f>COUNTIFS('ksl2'!$AM:$AM,$A12,'ksl2'!$B:$B,$Q$2,'ksl2'!$AG:$AG,"Có")</f>
        <v>0</v>
      </c>
      <c r="R12" s="56">
        <f>COUNTIFS('ksl2'!$AM:$AM,$A12,'ksl2'!$B:$B,$R$2,'ksl2'!$AG:$AG,"Có")</f>
        <v>0</v>
      </c>
      <c r="S12" s="57">
        <f t="shared" si="5"/>
        <v>0</v>
      </c>
    </row>
    <row r="13" spans="1:19" s="71" customFormat="1" ht="26.25" customHeight="1" x14ac:dyDescent="0.25">
      <c r="A13" s="70" t="s">
        <v>1054</v>
      </c>
      <c r="B13" s="56">
        <f>COUNTIFS('ksl2'!$AM:$AM,$A13,'ksl2'!$B:$B,$B$2)</f>
        <v>0</v>
      </c>
      <c r="C13" s="56">
        <f>COUNTIFS('ksl2'!$AM:$AM,$A13,'ksl2'!$B:$B,$C$2)</f>
        <v>0</v>
      </c>
      <c r="D13" s="57">
        <f t="shared" si="0"/>
        <v>0</v>
      </c>
      <c r="E13" s="56">
        <f>COUNTIFS('ksl2'!$AM:$AM,$A13,'ksl2'!$B:$B,$E$2,'ksl2'!$AH:$AH,"Có")</f>
        <v>0</v>
      </c>
      <c r="F13" s="56">
        <f>COUNTIFS('ksl2'!$AM:$AM,$A13,'ksl2'!$B:$B,$F$2,'ksl2'!$AH:$AH,"Có")</f>
        <v>0</v>
      </c>
      <c r="G13" s="57">
        <f t="shared" si="6"/>
        <v>0</v>
      </c>
      <c r="H13" s="56">
        <f>COUNTIFS('ksl2'!$AM:$AM,$A13,'ksl2'!$B:$B,$H$2,'ksl2'!$AI:$AI,"Có")</f>
        <v>0</v>
      </c>
      <c r="I13" s="56">
        <f>COUNTIFS('ksl2'!$AM:$AM,$A13,'ksl2'!$B:$B,$I$2,'ksl2'!$AI:$AI,"Có")</f>
        <v>0</v>
      </c>
      <c r="J13" s="57">
        <f t="shared" si="2"/>
        <v>0</v>
      </c>
      <c r="K13" s="56">
        <f>COUNTIFS('ksl2'!$AM:$AM,$A13,'ksl2'!$B:$B,$K$2,'ksl2'!$AJ:$AJ,"Có")</f>
        <v>0</v>
      </c>
      <c r="L13" s="56">
        <f>COUNTIFS('ksl2'!$AM:$AM,$A13,'ksl2'!$B:$B,$L$2,'ksl2'!$AJ:$AJ,"Có")</f>
        <v>0</v>
      </c>
      <c r="M13" s="57">
        <f t="shared" si="3"/>
        <v>0</v>
      </c>
      <c r="N13" s="56">
        <f>COUNTIFS('ksl2'!$AM:$AM,$A13,'ksl2'!$B:$B,$N$2,'ksl2'!$AF:$AF,"Có")</f>
        <v>0</v>
      </c>
      <c r="O13" s="56">
        <f>COUNTIFS('ksl2'!$AM:$AM,$A13,'ksl2'!$B:$B,$O$2,'ksl2'!$AF:$AF,"Có")</f>
        <v>0</v>
      </c>
      <c r="P13" s="57">
        <f t="shared" si="4"/>
        <v>0</v>
      </c>
      <c r="Q13" s="56">
        <f>COUNTIFS('ksl2'!$AM:$AM,$A13,'ksl2'!$B:$B,$Q$2,'ksl2'!$AG:$AG,"Có")</f>
        <v>0</v>
      </c>
      <c r="R13" s="56">
        <f>COUNTIFS('ksl2'!$AM:$AM,$A13,'ksl2'!$B:$B,$R$2,'ksl2'!$AG:$AG,"Có")</f>
        <v>0</v>
      </c>
      <c r="S13" s="57">
        <f t="shared" si="5"/>
        <v>0</v>
      </c>
    </row>
    <row r="14" spans="1:19" ht="26.25" customHeight="1" x14ac:dyDescent="0.25">
      <c r="A14" s="13" t="s">
        <v>1055</v>
      </c>
      <c r="B14" s="5">
        <f>COUNTIFS('ksl2'!$AM:$AM,$A14,'ksl2'!$B:$B,$B$2)</f>
        <v>0</v>
      </c>
      <c r="C14" s="5">
        <f>COUNTIFS('ksl2'!$AM:$AM,$A14,'ksl2'!$B:$B,$C$2)</f>
        <v>0</v>
      </c>
      <c r="D14" s="18">
        <f t="shared" si="0"/>
        <v>0</v>
      </c>
      <c r="E14" s="5">
        <f>COUNTIFS('ksl2'!$AM:$AM,$A14,'ksl2'!$B:$B,$E$2,'ksl2'!$AH:$AH,"Có")</f>
        <v>0</v>
      </c>
      <c r="F14" s="5">
        <f>COUNTIFS('ksl2'!$AM:$AM,$A14,'ksl2'!$B:$B,$F$2,'ksl2'!$AH:$AH,"Có")</f>
        <v>0</v>
      </c>
      <c r="G14" s="18">
        <f t="shared" si="6"/>
        <v>0</v>
      </c>
      <c r="H14" s="5">
        <f>COUNTIFS('ksl2'!$AM:$AM,$A14,'ksl2'!$B:$B,$H$2,'ksl2'!$AI:$AI,"Có")</f>
        <v>0</v>
      </c>
      <c r="I14" s="5">
        <f>COUNTIFS('ksl2'!$AM:$AM,$A14,'ksl2'!$B:$B,$I$2,'ksl2'!$AI:$AI,"Có")</f>
        <v>0</v>
      </c>
      <c r="J14" s="18">
        <f t="shared" si="2"/>
        <v>0</v>
      </c>
      <c r="K14" s="5">
        <f>COUNTIFS('ksl2'!$AM:$AM,$A14,'ksl2'!$B:$B,$K$2,'ksl2'!$AJ:$AJ,"Có")</f>
        <v>0</v>
      </c>
      <c r="L14" s="5">
        <f>COUNTIFS('ksl2'!$AM:$AM,$A14,'ksl2'!$B:$B,$L$2,'ksl2'!$AJ:$AJ,"Có")</f>
        <v>0</v>
      </c>
      <c r="M14" s="18">
        <f t="shared" si="3"/>
        <v>0</v>
      </c>
      <c r="N14" s="5">
        <f>COUNTIFS('ksl2'!$AM:$AM,$A14,'ksl2'!$B:$B,$N$2,'ksl2'!$AF:$AF,"Có")</f>
        <v>0</v>
      </c>
      <c r="O14" s="5">
        <f>COUNTIFS('ksl2'!$AM:$AM,$A14,'ksl2'!$B:$B,$O$2,'ksl2'!$AF:$AF,"Có")</f>
        <v>0</v>
      </c>
      <c r="P14" s="18">
        <f t="shared" si="4"/>
        <v>0</v>
      </c>
      <c r="Q14" s="5">
        <f>COUNTIFS('ksl2'!$AM:$AM,$A14,'ksl2'!$B:$B,$Q$2,'ksl2'!$AG:$AG,"Có")</f>
        <v>0</v>
      </c>
      <c r="R14" s="5">
        <f>COUNTIFS('ksl2'!$AM:$AM,$A14,'ksl2'!$B:$B,$R$2,'ksl2'!$AG:$AG,"Có")</f>
        <v>0</v>
      </c>
      <c r="S14" s="18">
        <f t="shared" si="5"/>
        <v>0</v>
      </c>
    </row>
    <row r="15" spans="1:19" ht="26.25" customHeight="1" x14ac:dyDescent="0.25">
      <c r="A15" s="19" t="s">
        <v>1059</v>
      </c>
      <c r="B15" s="18">
        <f>SUM(B3:B14)</f>
        <v>503</v>
      </c>
      <c r="C15" s="18">
        <f>SUM(C3:C14)</f>
        <v>757</v>
      </c>
      <c r="D15" s="18">
        <f>SUM(D3:D14)</f>
        <v>1260</v>
      </c>
      <c r="E15" s="18">
        <f ca="1">SUM(E3:E14)</f>
        <v>438</v>
      </c>
      <c r="F15" s="18">
        <f ca="1">SUM(F3:F14)</f>
        <v>495</v>
      </c>
      <c r="G15" s="18">
        <f ca="1">SUM(G3:G14)</f>
        <v>933</v>
      </c>
      <c r="H15" s="18">
        <f ca="1">SUM(H3:H14)</f>
        <v>438</v>
      </c>
      <c r="I15" s="18">
        <f ca="1">SUM(I3:I14)</f>
        <v>495</v>
      </c>
      <c r="J15" s="18">
        <f ca="1">SUM(J3:J14)</f>
        <v>933</v>
      </c>
      <c r="K15" s="18">
        <f>SUM(K3:K14)</f>
        <v>161</v>
      </c>
      <c r="L15" s="18">
        <f>SUM(L3:L14)</f>
        <v>224</v>
      </c>
      <c r="M15" s="18">
        <f>SUM(M3:M14)</f>
        <v>385</v>
      </c>
      <c r="N15" s="18">
        <f>SUM(N3:N14)</f>
        <v>0</v>
      </c>
      <c r="O15" s="18">
        <f>SUM(O3:O14)</f>
        <v>0</v>
      </c>
      <c r="P15" s="18">
        <f>SUM(P3:P14)</f>
        <v>0</v>
      </c>
      <c r="Q15" s="18">
        <f>SUM(Q3:Q14)</f>
        <v>0</v>
      </c>
      <c r="R15" s="18">
        <f>SUM(R3:R14)</f>
        <v>0</v>
      </c>
      <c r="S15" s="18">
        <f>SUM(S3:S14)</f>
        <v>0</v>
      </c>
    </row>
    <row r="16" spans="1:19" s="76" customFormat="1" ht="26.25" customHeight="1" x14ac:dyDescent="0.25">
      <c r="A16" s="2"/>
      <c r="B16" s="72" t="s">
        <v>1057</v>
      </c>
      <c r="C16" s="73"/>
      <c r="D16" s="2"/>
      <c r="E16" s="74" t="s">
        <v>1389</v>
      </c>
      <c r="F16" s="75"/>
      <c r="G16" s="2"/>
      <c r="H16" s="74" t="s">
        <v>1388</v>
      </c>
      <c r="I16" s="75"/>
      <c r="J16" s="2"/>
      <c r="K16" s="74" t="s">
        <v>1387</v>
      </c>
      <c r="L16" s="75"/>
      <c r="M16" s="2"/>
      <c r="N16" s="74" t="s">
        <v>1447</v>
      </c>
      <c r="O16" s="75"/>
      <c r="P16" s="2"/>
      <c r="Q16" s="74" t="s">
        <v>1392</v>
      </c>
      <c r="R16" s="75"/>
      <c r="S16" s="2"/>
    </row>
  </sheetData>
  <mergeCells count="19">
    <mergeCell ref="P1:P2"/>
    <mergeCell ref="Q1:R1"/>
    <mergeCell ref="S1:S2"/>
    <mergeCell ref="B16:C16"/>
    <mergeCell ref="E16:F16"/>
    <mergeCell ref="H16:I16"/>
    <mergeCell ref="K16:L16"/>
    <mergeCell ref="N16:O16"/>
    <mergeCell ref="Q16:R16"/>
    <mergeCell ref="J1:J2"/>
    <mergeCell ref="M1:M2"/>
    <mergeCell ref="H1:I1"/>
    <mergeCell ref="K1:L1"/>
    <mergeCell ref="N1:O1"/>
    <mergeCell ref="D1:D2"/>
    <mergeCell ref="A1:A2"/>
    <mergeCell ref="B1:C1"/>
    <mergeCell ref="E1:F1"/>
    <mergeCell ref="G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N126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230" sqref="D230"/>
    </sheetView>
  </sheetViews>
  <sheetFormatPr defaultColWidth="24.125" defaultRowHeight="16.5" x14ac:dyDescent="0.25"/>
  <cols>
    <col min="1" max="1" width="27.375" style="1" bestFit="1" customWidth="1"/>
    <col min="2" max="3" width="13.625" style="2" bestFit="1" customWidth="1"/>
    <col min="4" max="4" width="13.625" style="10" bestFit="1" customWidth="1"/>
    <col min="5" max="5" width="18.5" style="2" bestFit="1" customWidth="1"/>
    <col min="6" max="7" width="13.625" style="3" bestFit="1" customWidth="1"/>
    <col min="8" max="8" width="13.625" style="10" bestFit="1" customWidth="1"/>
    <col min="9" max="9" width="13.625" style="2" bestFit="1" customWidth="1"/>
    <col min="10" max="10" width="14.875" style="3" bestFit="1" customWidth="1"/>
    <col min="11" max="11" width="18.375" style="3" bestFit="1" customWidth="1"/>
    <col min="12" max="12" width="15.375" style="10" bestFit="1" customWidth="1"/>
    <col min="13" max="13" width="14.75" style="10" bestFit="1" customWidth="1"/>
    <col min="14" max="14" width="14.875" style="10" bestFit="1" customWidth="1"/>
    <col min="15" max="16" width="14.75" style="10" bestFit="1" customWidth="1"/>
    <col min="17" max="17" width="14.875" style="10" bestFit="1" customWidth="1"/>
    <col min="18" max="18" width="14.75" style="10" bestFit="1" customWidth="1"/>
    <col min="19" max="31" width="14.75" style="8" bestFit="1" customWidth="1"/>
    <col min="32" max="32" width="16" style="10" bestFit="1" customWidth="1"/>
    <col min="33" max="33" width="17.375" style="10" bestFit="1" customWidth="1"/>
    <col min="34" max="34" width="36.5" style="10" bestFit="1" customWidth="1"/>
    <col min="35" max="35" width="23.375" style="10" bestFit="1" customWidth="1"/>
    <col min="36" max="36" width="23" style="10" bestFit="1" customWidth="1"/>
    <col min="37" max="37" width="23.25" style="2" customWidth="1"/>
    <col min="38" max="38" width="14.75" style="2" bestFit="1" customWidth="1"/>
    <col min="39" max="39" width="14.75" style="10" bestFit="1" customWidth="1"/>
    <col min="40" max="40" width="31.875" style="10" bestFit="1" customWidth="1"/>
    <col min="41" max="16384" width="24.125" style="2"/>
  </cols>
  <sheetData>
    <row r="1" spans="1:40" s="60" customFormat="1" x14ac:dyDescent="0.25">
      <c r="A1" s="40" t="s">
        <v>0</v>
      </c>
      <c r="B1" s="40" t="s">
        <v>1</v>
      </c>
      <c r="C1" s="40" t="s">
        <v>2</v>
      </c>
      <c r="D1" s="41" t="s">
        <v>1449</v>
      </c>
      <c r="E1" s="40" t="s">
        <v>4</v>
      </c>
      <c r="F1" s="40" t="s">
        <v>5</v>
      </c>
      <c r="G1" s="40" t="s">
        <v>6</v>
      </c>
      <c r="H1" s="41" t="s">
        <v>1448</v>
      </c>
      <c r="I1" s="40" t="s">
        <v>8</v>
      </c>
      <c r="J1" s="40" t="s">
        <v>9</v>
      </c>
      <c r="K1" s="40" t="s">
        <v>10</v>
      </c>
      <c r="L1" s="41" t="s">
        <v>1450</v>
      </c>
      <c r="M1" s="41" t="s">
        <v>1451</v>
      </c>
      <c r="N1" s="41" t="s">
        <v>1452</v>
      </c>
      <c r="O1" s="41" t="s">
        <v>1453</v>
      </c>
      <c r="P1" s="41" t="s">
        <v>1454</v>
      </c>
      <c r="Q1" s="41" t="s">
        <v>1455</v>
      </c>
      <c r="R1" s="38" t="s">
        <v>1456</v>
      </c>
      <c r="S1" s="42" t="s">
        <v>1390</v>
      </c>
      <c r="T1" s="42"/>
      <c r="U1" s="42"/>
      <c r="V1" s="42"/>
      <c r="W1" s="42"/>
      <c r="X1" s="42"/>
      <c r="Y1" s="42"/>
      <c r="Z1" s="42"/>
      <c r="AA1" s="42" t="s">
        <v>1391</v>
      </c>
      <c r="AB1" s="42"/>
      <c r="AC1" s="42"/>
      <c r="AD1" s="42"/>
      <c r="AE1" s="42"/>
      <c r="AF1" s="58" t="s">
        <v>1457</v>
      </c>
      <c r="AG1" s="58" t="s">
        <v>1458</v>
      </c>
      <c r="AH1" s="41" t="s">
        <v>1459</v>
      </c>
      <c r="AI1" s="41" t="s">
        <v>1460</v>
      </c>
      <c r="AJ1" s="41" t="s">
        <v>1461</v>
      </c>
      <c r="AK1" s="40" t="s">
        <v>20</v>
      </c>
      <c r="AL1" s="40" t="s">
        <v>21</v>
      </c>
      <c r="AM1" s="41" t="s">
        <v>1462</v>
      </c>
      <c r="AN1" s="41" t="s">
        <v>1463</v>
      </c>
    </row>
    <row r="2" spans="1:40" s="60" customFormat="1" x14ac:dyDescent="0.25">
      <c r="A2" s="40"/>
      <c r="B2" s="40"/>
      <c r="C2" s="40"/>
      <c r="D2" s="41"/>
      <c r="E2" s="40"/>
      <c r="F2" s="40"/>
      <c r="G2" s="40"/>
      <c r="H2" s="41"/>
      <c r="I2" s="40"/>
      <c r="J2" s="40"/>
      <c r="K2" s="40"/>
      <c r="L2" s="41"/>
      <c r="M2" s="41"/>
      <c r="N2" s="41"/>
      <c r="O2" s="41"/>
      <c r="P2" s="41"/>
      <c r="Q2" s="41"/>
      <c r="R2" s="39"/>
      <c r="S2" s="44">
        <v>1</v>
      </c>
      <c r="T2" s="44">
        <v>2</v>
      </c>
      <c r="U2" s="44">
        <v>3</v>
      </c>
      <c r="V2" s="44">
        <v>4</v>
      </c>
      <c r="W2" s="44">
        <v>5</v>
      </c>
      <c r="X2" s="44">
        <v>6</v>
      </c>
      <c r="Y2" s="44">
        <v>7</v>
      </c>
      <c r="Z2" s="44">
        <v>8</v>
      </c>
      <c r="AA2" s="44">
        <v>1</v>
      </c>
      <c r="AB2" s="44">
        <v>2</v>
      </c>
      <c r="AC2" s="44">
        <v>3</v>
      </c>
      <c r="AD2" s="44">
        <v>4</v>
      </c>
      <c r="AE2" s="44">
        <v>5</v>
      </c>
      <c r="AF2" s="58"/>
      <c r="AG2" s="58"/>
      <c r="AH2" s="41"/>
      <c r="AI2" s="41"/>
      <c r="AJ2" s="41"/>
      <c r="AK2" s="40"/>
      <c r="AL2" s="40"/>
      <c r="AM2" s="41"/>
      <c r="AN2" s="41"/>
    </row>
    <row r="3" spans="1:40" s="61" customFormat="1" x14ac:dyDescent="0.25">
      <c r="A3" s="62" t="s">
        <v>1437</v>
      </c>
      <c r="B3" s="63" t="s">
        <v>1438</v>
      </c>
      <c r="C3" s="63" t="s">
        <v>1439</v>
      </c>
      <c r="D3" s="64" t="s">
        <v>1440</v>
      </c>
      <c r="E3" s="63" t="s">
        <v>1441</v>
      </c>
      <c r="F3" s="63" t="s">
        <v>1442</v>
      </c>
      <c r="G3" s="63" t="s">
        <v>1407</v>
      </c>
      <c r="H3" s="65" t="s">
        <v>1408</v>
      </c>
      <c r="I3" s="63" t="s">
        <v>1409</v>
      </c>
      <c r="J3" s="63" t="s">
        <v>1410</v>
      </c>
      <c r="K3" s="63" t="s">
        <v>1411</v>
      </c>
      <c r="L3" s="64" t="s">
        <v>1412</v>
      </c>
      <c r="M3" s="64" t="s">
        <v>1413</v>
      </c>
      <c r="N3" s="64" t="s">
        <v>1414</v>
      </c>
      <c r="O3" s="64" t="s">
        <v>1415</v>
      </c>
      <c r="P3" s="64" t="s">
        <v>1416</v>
      </c>
      <c r="Q3" s="64" t="s">
        <v>1417</v>
      </c>
      <c r="R3" s="64" t="s">
        <v>1418</v>
      </c>
      <c r="S3" s="63" t="s">
        <v>1443</v>
      </c>
      <c r="T3" s="63" t="s">
        <v>1444</v>
      </c>
      <c r="U3" s="63" t="s">
        <v>1445</v>
      </c>
      <c r="V3" s="63" t="s">
        <v>1446</v>
      </c>
      <c r="W3" s="63" t="s">
        <v>1419</v>
      </c>
      <c r="X3" s="63" t="s">
        <v>1420</v>
      </c>
      <c r="Y3" s="63" t="s">
        <v>1421</v>
      </c>
      <c r="Z3" s="63" t="s">
        <v>1422</v>
      </c>
      <c r="AA3" s="63" t="s">
        <v>1423</v>
      </c>
      <c r="AB3" s="63" t="s">
        <v>1424</v>
      </c>
      <c r="AC3" s="63" t="s">
        <v>1425</v>
      </c>
      <c r="AD3" s="63" t="s">
        <v>1426</v>
      </c>
      <c r="AE3" s="63" t="s">
        <v>1427</v>
      </c>
      <c r="AF3" s="66" t="s">
        <v>1428</v>
      </c>
      <c r="AG3" s="66" t="s">
        <v>1429</v>
      </c>
      <c r="AH3" s="64" t="s">
        <v>1430</v>
      </c>
      <c r="AI3" s="64" t="s">
        <v>1431</v>
      </c>
      <c r="AJ3" s="64" t="s">
        <v>1432</v>
      </c>
      <c r="AK3" s="63" t="s">
        <v>1433</v>
      </c>
      <c r="AL3" s="67" t="s">
        <v>1434</v>
      </c>
      <c r="AM3" s="68" t="s">
        <v>1435</v>
      </c>
      <c r="AN3" s="68" t="s">
        <v>1436</v>
      </c>
    </row>
    <row r="4" spans="1:40" x14ac:dyDescent="0.25">
      <c r="A4" s="49" t="s">
        <v>357</v>
      </c>
      <c r="B4" s="5" t="s">
        <v>23</v>
      </c>
      <c r="C4" s="5" t="s">
        <v>93</v>
      </c>
      <c r="D4" s="29">
        <f ca="1">DATEDIF(C4,TODAY(),"Y")</f>
        <v>66</v>
      </c>
      <c r="E4" s="5" t="s">
        <v>26</v>
      </c>
      <c r="F4" s="30">
        <v>160</v>
      </c>
      <c r="G4" s="30">
        <v>55</v>
      </c>
      <c r="H4" s="31">
        <f>G4/((F4/100)*(F4/100))</f>
        <v>21.484374999999996</v>
      </c>
      <c r="I4" s="5">
        <v>68</v>
      </c>
      <c r="J4" s="30">
        <v>120</v>
      </c>
      <c r="K4" s="30">
        <v>70</v>
      </c>
      <c r="L4" s="29">
        <f>IF(B4="Nữ",0,2)</f>
        <v>0</v>
      </c>
      <c r="M4" s="29">
        <f ca="1">IF(D4&lt;45,0,IF(D4&lt;=49,1,2))</f>
        <v>2</v>
      </c>
      <c r="N4" s="29">
        <f>IF(E4="Có",4,0)</f>
        <v>0</v>
      </c>
      <c r="O4" s="29">
        <f>IF(H4&lt;23,0,IF(H4&lt;27.5,3,5))</f>
        <v>0</v>
      </c>
      <c r="P4" s="29">
        <f>IF(OR(AND(B4="Nam",I4&gt;=90),AND(B4="Nữ",I4&gt;=80)),2,0)</f>
        <v>0</v>
      </c>
      <c r="Q4" s="29">
        <f>IF(OR(J4&gt;=140,K4&gt;=90),2,0)</f>
        <v>0</v>
      </c>
      <c r="R4" s="29">
        <f ca="1">SUM(L4:Q4)</f>
        <v>2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 t="s">
        <v>1393</v>
      </c>
      <c r="AE4" s="5"/>
      <c r="AF4" s="59" t="str">
        <f>IF(COUNTIF(S4:Z4,"X")&gt;=2,"Có","Không")</f>
        <v>Không</v>
      </c>
      <c r="AG4" s="59" t="str">
        <f>IF(COUNTIF(AA4:AE4,"X")&gt;=3,"Có","Không")</f>
        <v>Không</v>
      </c>
      <c r="AH4" s="29" t="str">
        <f t="shared" ref="AH4:AH67" ca="1" si="0">IF((R4)&gt;=6,"Có","Không")</f>
        <v>Không</v>
      </c>
      <c r="AI4" s="29" t="str">
        <f ca="1">IF((R4)&gt;=6,"Có","Không")</f>
        <v>Không</v>
      </c>
      <c r="AJ4" s="29" t="str">
        <f>IF(OR(J4&gt;=140,K4&gt;=90),"Có","Không")</f>
        <v>Không</v>
      </c>
      <c r="AK4" s="5" t="s">
        <v>108</v>
      </c>
      <c r="AL4" s="32">
        <v>46053</v>
      </c>
      <c r="AM4" s="29" t="str">
        <f>"Tháng "&amp;MONTH(AL4)</f>
        <v>Tháng 1</v>
      </c>
      <c r="AN4" s="29" t="str">
        <f>LEFT(AK4,FIND(",",AK4)-1)</f>
        <v>Phường Hiệp Thành</v>
      </c>
    </row>
    <row r="5" spans="1:40" x14ac:dyDescent="0.25">
      <c r="A5" s="49" t="s">
        <v>361</v>
      </c>
      <c r="B5" s="5" t="s">
        <v>23</v>
      </c>
      <c r="C5" s="5" t="s">
        <v>130</v>
      </c>
      <c r="D5" s="29">
        <f ca="1">DATEDIF(C5,TODAY(),"Y")</f>
        <v>57</v>
      </c>
      <c r="E5" s="5" t="s">
        <v>26</v>
      </c>
      <c r="F5" s="30">
        <v>155</v>
      </c>
      <c r="G5" s="30">
        <v>66</v>
      </c>
      <c r="H5" s="31">
        <f>G5/((F5/100)*(F5/100))</f>
        <v>27.471383975026011</v>
      </c>
      <c r="I5" s="5">
        <v>86</v>
      </c>
      <c r="J5" s="30">
        <v>120</v>
      </c>
      <c r="K5" s="30">
        <v>70</v>
      </c>
      <c r="L5" s="29">
        <f>IF(B5="Nữ",0,2)</f>
        <v>0</v>
      </c>
      <c r="M5" s="29">
        <f ca="1">IF(D5&lt;45,0,IF(D5&lt;=49,1,2))</f>
        <v>2</v>
      </c>
      <c r="N5" s="29">
        <f>IF(E5="Có",4,0)</f>
        <v>0</v>
      </c>
      <c r="O5" s="29">
        <f>IF(H5&lt;23,0,IF(H5&lt;27.5,3,5))</f>
        <v>3</v>
      </c>
      <c r="P5" s="29">
        <f>IF(OR(AND(B5="Nam",I5&gt;=90),AND(B5="Nữ",I5&gt;=80)),2,0)</f>
        <v>2</v>
      </c>
      <c r="Q5" s="29">
        <f>IF(OR(J5&gt;=140,K5&gt;=90),2,0)</f>
        <v>0</v>
      </c>
      <c r="R5" s="29">
        <f ca="1">SUM(L5:Q5)</f>
        <v>7</v>
      </c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5" t="s">
        <v>1393</v>
      </c>
      <c r="AE5" s="33"/>
      <c r="AF5" s="59" t="str">
        <f t="shared" ref="AF5:AF68" si="1">IF(COUNTIF(S5:Z5,"X")&gt;=2,"Có","Không")</f>
        <v>Không</v>
      </c>
      <c r="AG5" s="59" t="str">
        <f t="shared" ref="AG5:AG68" si="2">IF(COUNTIF(AA5:AE5,"X")&gt;=3,"Có","Không")</f>
        <v>Không</v>
      </c>
      <c r="AH5" s="29" t="str">
        <f t="shared" ca="1" si="0"/>
        <v>Có</v>
      </c>
      <c r="AI5" s="29" t="str">
        <f ca="1">IF((R5)&gt;=6,"Có","Không")</f>
        <v>Có</v>
      </c>
      <c r="AJ5" s="29" t="str">
        <f>IF(OR(J5&gt;=140,K5&gt;=90),"Có","Không")</f>
        <v>Không</v>
      </c>
      <c r="AK5" s="5" t="s">
        <v>108</v>
      </c>
      <c r="AL5" s="32">
        <v>46053</v>
      </c>
      <c r="AM5" s="29" t="str">
        <f>"Tháng "&amp;MONTH(AL5)</f>
        <v>Tháng 1</v>
      </c>
      <c r="AN5" s="29" t="str">
        <f>LEFT(AK5,FIND(",",AK5)-1)</f>
        <v>Phường Hiệp Thành</v>
      </c>
    </row>
    <row r="6" spans="1:40" ht="15" customHeight="1" x14ac:dyDescent="0.25">
      <c r="A6" s="49" t="s">
        <v>376</v>
      </c>
      <c r="B6" s="5" t="s">
        <v>30</v>
      </c>
      <c r="C6" s="5" t="s">
        <v>146</v>
      </c>
      <c r="D6" s="29">
        <f ca="1">DATEDIF(C6,TODAY(),"Y")</f>
        <v>52</v>
      </c>
      <c r="E6" s="5" t="s">
        <v>26</v>
      </c>
      <c r="F6" s="30">
        <v>158</v>
      </c>
      <c r="G6" s="30">
        <v>58</v>
      </c>
      <c r="H6" s="31">
        <f>G6/((F6/100)*(F6/100))</f>
        <v>23.233456176894723</v>
      </c>
      <c r="I6" s="5">
        <v>97</v>
      </c>
      <c r="J6" s="30">
        <v>140</v>
      </c>
      <c r="K6" s="30">
        <v>80</v>
      </c>
      <c r="L6" s="29">
        <f>IF(B6="Nữ",0,2)</f>
        <v>2</v>
      </c>
      <c r="M6" s="29">
        <f ca="1">IF(D6&lt;45,0,IF(D6&lt;=49,1,2))</f>
        <v>2</v>
      </c>
      <c r="N6" s="29">
        <f>IF(E6="Có",4,0)</f>
        <v>0</v>
      </c>
      <c r="O6" s="29">
        <f>IF(H6&lt;23,0,IF(H6&lt;27.5,3,5))</f>
        <v>3</v>
      </c>
      <c r="P6" s="29">
        <f>IF(OR(AND(B6="Nam",I6&gt;=90),AND(B6="Nữ",I6&gt;=80)),2,0)</f>
        <v>2</v>
      </c>
      <c r="Q6" s="29">
        <f>IF(OR(J6&gt;=140,K6&gt;=90),2,0)</f>
        <v>2</v>
      </c>
      <c r="R6" s="29">
        <f ca="1">SUM(L6:Q6)</f>
        <v>11</v>
      </c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5" t="s">
        <v>1393</v>
      </c>
      <c r="AE6" s="43"/>
      <c r="AF6" s="59" t="str">
        <f t="shared" si="1"/>
        <v>Không</v>
      </c>
      <c r="AG6" s="59" t="str">
        <f t="shared" si="2"/>
        <v>Không</v>
      </c>
      <c r="AH6" s="29" t="str">
        <f t="shared" ca="1" si="0"/>
        <v>Có</v>
      </c>
      <c r="AI6" s="29" t="str">
        <f ca="1">IF((R6)&gt;=6,"Có","Không")</f>
        <v>Có</v>
      </c>
      <c r="AJ6" s="29" t="str">
        <f>IF(OR(J6&gt;=140,K6&gt;=90),"Có","Không")</f>
        <v>Có</v>
      </c>
      <c r="AK6" s="5" t="s">
        <v>234</v>
      </c>
      <c r="AL6" s="32">
        <v>46053</v>
      </c>
      <c r="AM6" s="29" t="str">
        <f>"Tháng "&amp;MONTH(AL6)</f>
        <v>Tháng 1</v>
      </c>
      <c r="AN6" s="29" t="str">
        <f>LEFT(AK6,FIND(",",AK6)-1)</f>
        <v>ấp Biển Đông B</v>
      </c>
    </row>
    <row r="7" spans="1:40" x14ac:dyDescent="0.25">
      <c r="A7" s="49" t="s">
        <v>427</v>
      </c>
      <c r="B7" s="5" t="s">
        <v>23</v>
      </c>
      <c r="C7" s="5" t="s">
        <v>93</v>
      </c>
      <c r="D7" s="29">
        <f ca="1">DATEDIF(C7,TODAY(),"Y")</f>
        <v>66</v>
      </c>
      <c r="E7" s="5" t="s">
        <v>26</v>
      </c>
      <c r="F7" s="30">
        <v>158</v>
      </c>
      <c r="G7" s="30">
        <v>58</v>
      </c>
      <c r="H7" s="31">
        <f>G7/((F7/100)*(F7/100))</f>
        <v>23.233456176894723</v>
      </c>
      <c r="I7" s="5">
        <v>65</v>
      </c>
      <c r="J7" s="30">
        <v>130</v>
      </c>
      <c r="K7" s="30">
        <v>80</v>
      </c>
      <c r="L7" s="29">
        <f>IF(B7="Nữ",0,2)</f>
        <v>0</v>
      </c>
      <c r="M7" s="29">
        <f ca="1">IF(D7&lt;45,0,IF(D7&lt;=49,1,2))</f>
        <v>2</v>
      </c>
      <c r="N7" s="29">
        <f>IF(E7="Có",4,0)</f>
        <v>0</v>
      </c>
      <c r="O7" s="29">
        <f>IF(H7&lt;23,0,IF(H7&lt;27.5,3,5))</f>
        <v>3</v>
      </c>
      <c r="P7" s="29">
        <f>IF(OR(AND(B7="Nam",I7&gt;=90),AND(B7="Nữ",I7&gt;=80)),2,0)</f>
        <v>0</v>
      </c>
      <c r="Q7" s="29">
        <f>IF(OR(J7&gt;=140,K7&gt;=90),2,0)</f>
        <v>0</v>
      </c>
      <c r="R7" s="29">
        <f ca="1">SUM(L7:Q7)</f>
        <v>5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5" t="s">
        <v>1393</v>
      </c>
      <c r="AE7" s="33"/>
      <c r="AF7" s="59" t="str">
        <f t="shared" si="1"/>
        <v>Không</v>
      </c>
      <c r="AG7" s="59" t="str">
        <f t="shared" si="2"/>
        <v>Không</v>
      </c>
      <c r="AH7" s="29" t="str">
        <f t="shared" ca="1" si="0"/>
        <v>Không</v>
      </c>
      <c r="AI7" s="29" t="str">
        <f ca="1">IF((R7)&gt;=6,"Có","Không")</f>
        <v>Không</v>
      </c>
      <c r="AJ7" s="29" t="str">
        <f>IF(OR(J7&gt;=140,K7&gt;=90),"Có","Không")</f>
        <v>Không</v>
      </c>
      <c r="AK7" s="5" t="s">
        <v>266</v>
      </c>
      <c r="AL7" s="32">
        <v>46053</v>
      </c>
      <c r="AM7" s="29" t="str">
        <f>"Tháng "&amp;MONTH(AL7)</f>
        <v>Tháng 1</v>
      </c>
      <c r="AN7" s="29" t="str">
        <f>LEFT(AK7,FIND(",",AK7)-1)</f>
        <v>ấp Biển Tây A</v>
      </c>
    </row>
    <row r="8" spans="1:40" x14ac:dyDescent="0.25">
      <c r="A8" s="49" t="s">
        <v>429</v>
      </c>
      <c r="B8" s="5" t="s">
        <v>30</v>
      </c>
      <c r="C8" s="5" t="s">
        <v>42</v>
      </c>
      <c r="D8" s="29">
        <f ca="1">DATEDIF(C8,TODAY(),"Y")</f>
        <v>59</v>
      </c>
      <c r="E8" s="5" t="s">
        <v>26</v>
      </c>
      <c r="F8" s="30">
        <v>169</v>
      </c>
      <c r="G8" s="30">
        <v>69</v>
      </c>
      <c r="H8" s="31">
        <f>G8/((F8/100)*(F8/100))</f>
        <v>24.158817968558527</v>
      </c>
      <c r="I8" s="5">
        <v>84</v>
      </c>
      <c r="J8" s="30">
        <v>130</v>
      </c>
      <c r="K8" s="30">
        <v>80</v>
      </c>
      <c r="L8" s="29">
        <f>IF(B8="Nữ",0,2)</f>
        <v>2</v>
      </c>
      <c r="M8" s="29">
        <f ca="1">IF(D8&lt;45,0,IF(D8&lt;=49,1,2))</f>
        <v>2</v>
      </c>
      <c r="N8" s="29">
        <f>IF(E8="Có",4,0)</f>
        <v>0</v>
      </c>
      <c r="O8" s="29">
        <f>IF(H8&lt;23,0,IF(H8&lt;27.5,3,5))</f>
        <v>3</v>
      </c>
      <c r="P8" s="29">
        <f>IF(OR(AND(B8="Nam",I8&gt;=90),AND(B8="Nữ",I8&gt;=80)),2,0)</f>
        <v>0</v>
      </c>
      <c r="Q8" s="29">
        <f>IF(OR(J8&gt;=140,K8&gt;=90),2,0)</f>
        <v>0</v>
      </c>
      <c r="R8" s="29">
        <f ca="1">SUM(L8:Q8)</f>
        <v>7</v>
      </c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5" t="s">
        <v>1393</v>
      </c>
      <c r="AE8" s="33"/>
      <c r="AF8" s="59" t="str">
        <f t="shared" si="1"/>
        <v>Không</v>
      </c>
      <c r="AG8" s="59" t="str">
        <f t="shared" si="2"/>
        <v>Không</v>
      </c>
      <c r="AH8" s="29" t="str">
        <f t="shared" ca="1" si="0"/>
        <v>Có</v>
      </c>
      <c r="AI8" s="29" t="str">
        <f ca="1">IF((R8)&gt;=6,"Có","Không")</f>
        <v>Có</v>
      </c>
      <c r="AJ8" s="29" t="str">
        <f>IF(OR(J8&gt;=140,K8&gt;=90),"Có","Không")</f>
        <v>Không</v>
      </c>
      <c r="AK8" s="5" t="s">
        <v>164</v>
      </c>
      <c r="AL8" s="32">
        <v>46053</v>
      </c>
      <c r="AM8" s="29" t="str">
        <f>"Tháng "&amp;MONTH(AL8)</f>
        <v>Tháng 1</v>
      </c>
      <c r="AN8" s="29" t="str">
        <f>LEFT(AK8,FIND(",",AK8)-1)</f>
        <v>ấp Biển Đông B</v>
      </c>
    </row>
    <row r="9" spans="1:40" x14ac:dyDescent="0.25">
      <c r="A9" s="49" t="s">
        <v>441</v>
      </c>
      <c r="B9" s="5" t="s">
        <v>30</v>
      </c>
      <c r="C9" s="5" t="s">
        <v>53</v>
      </c>
      <c r="D9" s="29">
        <f ca="1">DATEDIF(C9,TODAY(),"Y")</f>
        <v>72</v>
      </c>
      <c r="E9" s="5" t="s">
        <v>26</v>
      </c>
      <c r="F9" s="30">
        <v>169</v>
      </c>
      <c r="G9" s="30">
        <v>69</v>
      </c>
      <c r="H9" s="31">
        <f>G9/((F9/100)*(F9/100))</f>
        <v>24.158817968558527</v>
      </c>
      <c r="I9" s="5">
        <v>90</v>
      </c>
      <c r="J9" s="30">
        <v>130</v>
      </c>
      <c r="K9" s="30">
        <v>80</v>
      </c>
      <c r="L9" s="29">
        <f>IF(B9="Nữ",0,2)</f>
        <v>2</v>
      </c>
      <c r="M9" s="29">
        <f ca="1">IF(D9&lt;45,0,IF(D9&lt;=49,1,2))</f>
        <v>2</v>
      </c>
      <c r="N9" s="29">
        <f>IF(E9="Có",4,0)</f>
        <v>0</v>
      </c>
      <c r="O9" s="29">
        <f>IF(H9&lt;23,0,IF(H9&lt;27.5,3,5))</f>
        <v>3</v>
      </c>
      <c r="P9" s="29">
        <f>IF(OR(AND(B9="Nam",I9&gt;=90),AND(B9="Nữ",I9&gt;=80)),2,0)</f>
        <v>2</v>
      </c>
      <c r="Q9" s="29">
        <f>IF(OR(J9&gt;=140,K9&gt;=90),2,0)</f>
        <v>0</v>
      </c>
      <c r="R9" s="29">
        <f ca="1">SUM(L9:Q9)</f>
        <v>9</v>
      </c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5" t="s">
        <v>1393</v>
      </c>
      <c r="AE9" s="33"/>
      <c r="AF9" s="59" t="str">
        <f t="shared" si="1"/>
        <v>Không</v>
      </c>
      <c r="AG9" s="59" t="str">
        <f t="shared" si="2"/>
        <v>Không</v>
      </c>
      <c r="AH9" s="29" t="str">
        <f t="shared" ca="1" si="0"/>
        <v>Có</v>
      </c>
      <c r="AI9" s="29" t="str">
        <f ca="1">IF((R9)&gt;=6,"Có","Không")</f>
        <v>Có</v>
      </c>
      <c r="AJ9" s="29" t="str">
        <f>IF(OR(J9&gt;=140,K9&gt;=90),"Có","Không")</f>
        <v>Không</v>
      </c>
      <c r="AK9" s="5" t="s">
        <v>189</v>
      </c>
      <c r="AL9" s="32">
        <v>46053</v>
      </c>
      <c r="AM9" s="29" t="str">
        <f>"Tháng "&amp;MONTH(AL9)</f>
        <v>Tháng 1</v>
      </c>
      <c r="AN9" s="29" t="str">
        <f>LEFT(AK9,FIND(",",AK9)-1)</f>
        <v>Ấp Giồng Nhãn</v>
      </c>
    </row>
    <row r="10" spans="1:40" x14ac:dyDescent="0.25">
      <c r="A10" s="49" t="s">
        <v>442</v>
      </c>
      <c r="B10" s="5" t="s">
        <v>23</v>
      </c>
      <c r="C10" s="5" t="s">
        <v>329</v>
      </c>
      <c r="D10" s="29">
        <f ca="1">DATEDIF(C10,TODAY(),"Y")</f>
        <v>81</v>
      </c>
      <c r="E10" s="5" t="s">
        <v>26</v>
      </c>
      <c r="F10" s="30">
        <v>160</v>
      </c>
      <c r="G10" s="30">
        <v>78</v>
      </c>
      <c r="H10" s="31">
        <f>G10/((F10/100)*(F10/100))</f>
        <v>30.468749999999993</v>
      </c>
      <c r="I10" s="5">
        <v>74</v>
      </c>
      <c r="J10" s="30">
        <v>180</v>
      </c>
      <c r="K10" s="30">
        <v>90</v>
      </c>
      <c r="L10" s="29">
        <f>IF(B10="Nữ",0,2)</f>
        <v>0</v>
      </c>
      <c r="M10" s="29">
        <f ca="1">IF(D10&lt;45,0,IF(D10&lt;=49,1,2))</f>
        <v>2</v>
      </c>
      <c r="N10" s="29">
        <f>IF(E10="Có",4,0)</f>
        <v>0</v>
      </c>
      <c r="O10" s="29">
        <f>IF(H10&lt;23,0,IF(H10&lt;27.5,3,5))</f>
        <v>5</v>
      </c>
      <c r="P10" s="29">
        <f>IF(OR(AND(B10="Nam",I10&gt;=90),AND(B10="Nữ",I10&gt;=80)),2,0)</f>
        <v>0</v>
      </c>
      <c r="Q10" s="29">
        <f>IF(OR(J10&gt;=140,K10&gt;=90),2,0)</f>
        <v>2</v>
      </c>
      <c r="R10" s="29">
        <f ca="1">SUM(L10:Q10)</f>
        <v>9</v>
      </c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5" t="s">
        <v>1393</v>
      </c>
      <c r="AE10" s="33"/>
      <c r="AF10" s="59" t="str">
        <f t="shared" si="1"/>
        <v>Không</v>
      </c>
      <c r="AG10" s="59" t="str">
        <f t="shared" si="2"/>
        <v>Không</v>
      </c>
      <c r="AH10" s="29" t="str">
        <f t="shared" ca="1" si="0"/>
        <v>Có</v>
      </c>
      <c r="AI10" s="29" t="str">
        <f ca="1">IF((R10)&gt;=6,"Có","Không")</f>
        <v>Có</v>
      </c>
      <c r="AJ10" s="29" t="str">
        <f>IF(OR(J10&gt;=140,K10&gt;=90),"Có","Không")</f>
        <v>Có</v>
      </c>
      <c r="AK10" s="5" t="s">
        <v>51</v>
      </c>
      <c r="AL10" s="32">
        <v>46053</v>
      </c>
      <c r="AM10" s="29" t="str">
        <f>"Tháng "&amp;MONTH(AL10)</f>
        <v>Tháng 1</v>
      </c>
      <c r="AN10" s="29" t="str">
        <f>LEFT(AK10,FIND(",",AK10)-1)</f>
        <v>Phường Hiệp Thành</v>
      </c>
    </row>
    <row r="11" spans="1:40" x14ac:dyDescent="0.25">
      <c r="A11" s="49" t="s">
        <v>448</v>
      </c>
      <c r="B11" s="5" t="s">
        <v>30</v>
      </c>
      <c r="C11" s="5" t="s">
        <v>34</v>
      </c>
      <c r="D11" s="29">
        <f ca="1">DATEDIF(C11,TODAY(),"Y")</f>
        <v>78</v>
      </c>
      <c r="E11" s="5" t="s">
        <v>26</v>
      </c>
      <c r="F11" s="30">
        <v>169</v>
      </c>
      <c r="G11" s="30">
        <v>69</v>
      </c>
      <c r="H11" s="31">
        <f>G11/((F11/100)*(F11/100))</f>
        <v>24.158817968558527</v>
      </c>
      <c r="I11" s="5">
        <v>96</v>
      </c>
      <c r="J11" s="30">
        <v>140</v>
      </c>
      <c r="K11" s="30">
        <v>80</v>
      </c>
      <c r="L11" s="29">
        <f>IF(B11="Nữ",0,2)</f>
        <v>2</v>
      </c>
      <c r="M11" s="29">
        <f ca="1">IF(D11&lt;45,0,IF(D11&lt;=49,1,2))</f>
        <v>2</v>
      </c>
      <c r="N11" s="29">
        <f>IF(E11="Có",4,0)</f>
        <v>0</v>
      </c>
      <c r="O11" s="29">
        <f>IF(H11&lt;23,0,IF(H11&lt;27.5,3,5))</f>
        <v>3</v>
      </c>
      <c r="P11" s="29">
        <f>IF(OR(AND(B11="Nam",I11&gt;=90),AND(B11="Nữ",I11&gt;=80)),2,0)</f>
        <v>2</v>
      </c>
      <c r="Q11" s="29">
        <f>IF(OR(J11&gt;=140,K11&gt;=90),2,0)</f>
        <v>2</v>
      </c>
      <c r="R11" s="29">
        <f ca="1">SUM(L11:Q11)</f>
        <v>11</v>
      </c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5" t="s">
        <v>1393</v>
      </c>
      <c r="AE11" s="33"/>
      <c r="AF11" s="59" t="str">
        <f t="shared" si="1"/>
        <v>Không</v>
      </c>
      <c r="AG11" s="59" t="str">
        <f t="shared" si="2"/>
        <v>Không</v>
      </c>
      <c r="AH11" s="29" t="str">
        <f t="shared" ca="1" si="0"/>
        <v>Có</v>
      </c>
      <c r="AI11" s="29" t="str">
        <f ca="1">IF((R11)&gt;=6,"Có","Không")</f>
        <v>Có</v>
      </c>
      <c r="AJ11" s="29" t="str">
        <f>IF(OR(J11&gt;=140,K11&gt;=90),"Có","Không")</f>
        <v>Có</v>
      </c>
      <c r="AK11" s="5" t="s">
        <v>51</v>
      </c>
      <c r="AL11" s="32">
        <v>46053</v>
      </c>
      <c r="AM11" s="29" t="str">
        <f>"Tháng "&amp;MONTH(AL11)</f>
        <v>Tháng 1</v>
      </c>
      <c r="AN11" s="29" t="str">
        <f>LEFT(AK11,FIND(",",AK11)-1)</f>
        <v>Phường Hiệp Thành</v>
      </c>
    </row>
    <row r="12" spans="1:40" x14ac:dyDescent="0.25">
      <c r="A12" s="49" t="s">
        <v>449</v>
      </c>
      <c r="B12" s="5" t="s">
        <v>30</v>
      </c>
      <c r="C12" s="5" t="s">
        <v>59</v>
      </c>
      <c r="D12" s="29">
        <f ca="1">DATEDIF(C12,TODAY(),"Y")</f>
        <v>74</v>
      </c>
      <c r="E12" s="5" t="s">
        <v>26</v>
      </c>
      <c r="F12" s="30">
        <v>168</v>
      </c>
      <c r="G12" s="30">
        <v>68</v>
      </c>
      <c r="H12" s="31">
        <f>G12/((F12/100)*(F12/100))</f>
        <v>24.092970521541954</v>
      </c>
      <c r="I12" s="5">
        <v>96</v>
      </c>
      <c r="J12" s="30">
        <v>140</v>
      </c>
      <c r="K12" s="30">
        <v>80</v>
      </c>
      <c r="L12" s="29">
        <f>IF(B12="Nữ",0,2)</f>
        <v>2</v>
      </c>
      <c r="M12" s="29">
        <f ca="1">IF(D12&lt;45,0,IF(D12&lt;=49,1,2))</f>
        <v>2</v>
      </c>
      <c r="N12" s="29">
        <f>IF(E12="Có",4,0)</f>
        <v>0</v>
      </c>
      <c r="O12" s="29">
        <f>IF(H12&lt;23,0,IF(H12&lt;27.5,3,5))</f>
        <v>3</v>
      </c>
      <c r="P12" s="29">
        <f>IF(OR(AND(B12="Nam",I12&gt;=90),AND(B12="Nữ",I12&gt;=80)),2,0)</f>
        <v>2</v>
      </c>
      <c r="Q12" s="29">
        <f>IF(OR(J12&gt;=140,K12&gt;=90),2,0)</f>
        <v>2</v>
      </c>
      <c r="R12" s="29">
        <f ca="1">SUM(L12:Q12)</f>
        <v>11</v>
      </c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5" t="s">
        <v>1393</v>
      </c>
      <c r="AE12" s="33"/>
      <c r="AF12" s="59" t="str">
        <f t="shared" si="1"/>
        <v>Không</v>
      </c>
      <c r="AG12" s="59" t="str">
        <f t="shared" si="2"/>
        <v>Không</v>
      </c>
      <c r="AH12" s="29" t="str">
        <f t="shared" ca="1" si="0"/>
        <v>Có</v>
      </c>
      <c r="AI12" s="29" t="str">
        <f ca="1">IF((R12)&gt;=6,"Có","Không")</f>
        <v>Có</v>
      </c>
      <c r="AJ12" s="29" t="str">
        <f>IF(OR(J12&gt;=140,K12&gt;=90),"Có","Không")</f>
        <v>Có</v>
      </c>
      <c r="AK12" s="5" t="s">
        <v>38</v>
      </c>
      <c r="AL12" s="32">
        <v>46053</v>
      </c>
      <c r="AM12" s="29" t="str">
        <f>"Tháng "&amp;MONTH(AL12)</f>
        <v>Tháng 1</v>
      </c>
      <c r="AN12" s="29" t="str">
        <f>LEFT(AK12,FIND(",",AK12)-1)</f>
        <v>Ấp Biển Đông B</v>
      </c>
    </row>
    <row r="13" spans="1:40" x14ac:dyDescent="0.25">
      <c r="A13" s="49" t="s">
        <v>450</v>
      </c>
      <c r="B13" s="5" t="s">
        <v>23</v>
      </c>
      <c r="C13" s="5" t="s">
        <v>64</v>
      </c>
      <c r="D13" s="29">
        <f ca="1">DATEDIF(C13,TODAY(),"Y")</f>
        <v>42</v>
      </c>
      <c r="E13" s="5" t="s">
        <v>25</v>
      </c>
      <c r="F13" s="30">
        <v>158</v>
      </c>
      <c r="G13" s="30">
        <v>58</v>
      </c>
      <c r="H13" s="31">
        <f>G13/((F13/100)*(F13/100))</f>
        <v>23.233456176894723</v>
      </c>
      <c r="I13" s="5">
        <v>69</v>
      </c>
      <c r="J13" s="30">
        <v>120</v>
      </c>
      <c r="K13" s="30">
        <v>80</v>
      </c>
      <c r="L13" s="29">
        <f>IF(B13="Nữ",0,2)</f>
        <v>0</v>
      </c>
      <c r="M13" s="29">
        <f ca="1">IF(D13&lt;45,0,IF(D13&lt;=49,1,2))</f>
        <v>0</v>
      </c>
      <c r="N13" s="29">
        <f>IF(E13="Có",4,0)</f>
        <v>4</v>
      </c>
      <c r="O13" s="29">
        <f>IF(H13&lt;23,0,IF(H13&lt;27.5,3,5))</f>
        <v>3</v>
      </c>
      <c r="P13" s="29">
        <f>IF(OR(AND(B13="Nam",I13&gt;=90),AND(B13="Nữ",I13&gt;=80)),2,0)</f>
        <v>0</v>
      </c>
      <c r="Q13" s="29">
        <f>IF(OR(J13&gt;=140,K13&gt;=90),2,0)</f>
        <v>0</v>
      </c>
      <c r="R13" s="29">
        <f ca="1">SUM(L13:Q13)</f>
        <v>7</v>
      </c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5" t="s">
        <v>1393</v>
      </c>
      <c r="AE13" s="33"/>
      <c r="AF13" s="59" t="str">
        <f t="shared" si="1"/>
        <v>Không</v>
      </c>
      <c r="AG13" s="59" t="str">
        <f t="shared" si="2"/>
        <v>Không</v>
      </c>
      <c r="AH13" s="29" t="str">
        <f t="shared" ca="1" si="0"/>
        <v>Có</v>
      </c>
      <c r="AI13" s="29" t="str">
        <f ca="1">IF((R13)&gt;=6,"Có","Không")</f>
        <v>Có</v>
      </c>
      <c r="AJ13" s="29" t="str">
        <f>IF(OR(J13&gt;=140,K13&gt;=90),"Có","Không")</f>
        <v>Không</v>
      </c>
      <c r="AK13" s="5" t="s">
        <v>218</v>
      </c>
      <c r="AL13" s="32">
        <v>46053</v>
      </c>
      <c r="AM13" s="29" t="str">
        <f>"Tháng "&amp;MONTH(AL13)</f>
        <v>Tháng 1</v>
      </c>
      <c r="AN13" s="29" t="str">
        <f>LEFT(AK13,FIND(",",AK13)-1)</f>
        <v>Biển Đông B</v>
      </c>
    </row>
    <row r="14" spans="1:40" x14ac:dyDescent="0.25">
      <c r="A14" s="49" t="s">
        <v>522</v>
      </c>
      <c r="B14" s="5" t="s">
        <v>23</v>
      </c>
      <c r="C14" s="5" t="s">
        <v>56</v>
      </c>
      <c r="D14" s="29">
        <f ca="1">DATEDIF(C14,TODAY(),"Y")</f>
        <v>65</v>
      </c>
      <c r="E14" s="5" t="s">
        <v>26</v>
      </c>
      <c r="F14" s="30">
        <v>158</v>
      </c>
      <c r="G14" s="30">
        <v>55</v>
      </c>
      <c r="H14" s="31">
        <f>G14/((F14/100)*(F14/100))</f>
        <v>22.031725684986377</v>
      </c>
      <c r="I14" s="5">
        <v>88</v>
      </c>
      <c r="J14" s="30">
        <v>120</v>
      </c>
      <c r="K14" s="30">
        <v>70</v>
      </c>
      <c r="L14" s="29">
        <f>IF(B14="Nữ",0,2)</f>
        <v>0</v>
      </c>
      <c r="M14" s="29">
        <f ca="1">IF(D14&lt;45,0,IF(D14&lt;=49,1,2))</f>
        <v>2</v>
      </c>
      <c r="N14" s="29">
        <f>IF(E14="Có",4,0)</f>
        <v>0</v>
      </c>
      <c r="O14" s="29">
        <f>IF(H14&lt;23,0,IF(H14&lt;27.5,3,5))</f>
        <v>0</v>
      </c>
      <c r="P14" s="29">
        <f>IF(OR(AND(B14="Nam",I14&gt;=90),AND(B14="Nữ",I14&gt;=80)),2,0)</f>
        <v>2</v>
      </c>
      <c r="Q14" s="29">
        <f>IF(OR(J14&gt;=140,K14&gt;=90),2,0)</f>
        <v>0</v>
      </c>
      <c r="R14" s="29">
        <f ca="1">SUM(L14:Q14)</f>
        <v>4</v>
      </c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5" t="s">
        <v>1393</v>
      </c>
      <c r="AE14" s="33"/>
      <c r="AF14" s="59" t="str">
        <f t="shared" si="1"/>
        <v>Không</v>
      </c>
      <c r="AG14" s="59" t="str">
        <f t="shared" si="2"/>
        <v>Không</v>
      </c>
      <c r="AH14" s="29" t="str">
        <f t="shared" ca="1" si="0"/>
        <v>Không</v>
      </c>
      <c r="AI14" s="29" t="str">
        <f ca="1">IF((R14)&gt;=6,"Có","Không")</f>
        <v>Không</v>
      </c>
      <c r="AJ14" s="29" t="str">
        <f>IF(OR(J14&gt;=140,K14&gt;=90),"Có","Không")</f>
        <v>Không</v>
      </c>
      <c r="AK14" s="5" t="s">
        <v>108</v>
      </c>
      <c r="AL14" s="32">
        <v>46053</v>
      </c>
      <c r="AM14" s="29" t="str">
        <f>"Tháng "&amp;MONTH(AL14)</f>
        <v>Tháng 1</v>
      </c>
      <c r="AN14" s="29" t="str">
        <f>LEFT(AK14,FIND(",",AK14)-1)</f>
        <v>Phường Hiệp Thành</v>
      </c>
    </row>
    <row r="15" spans="1:40" x14ac:dyDescent="0.25">
      <c r="A15" s="49" t="s">
        <v>526</v>
      </c>
      <c r="B15" s="5" t="s">
        <v>23</v>
      </c>
      <c r="C15" s="5" t="s">
        <v>53</v>
      </c>
      <c r="D15" s="29">
        <f ca="1">DATEDIF(C15,TODAY(),"Y")</f>
        <v>72</v>
      </c>
      <c r="E15" s="5" t="s">
        <v>26</v>
      </c>
      <c r="F15" s="30">
        <v>158</v>
      </c>
      <c r="G15" s="30">
        <v>58</v>
      </c>
      <c r="H15" s="31">
        <f>G15/((F15/100)*(F15/100))</f>
        <v>23.233456176894723</v>
      </c>
      <c r="I15" s="5">
        <v>82</v>
      </c>
      <c r="J15" s="30">
        <v>140</v>
      </c>
      <c r="K15" s="30">
        <v>80</v>
      </c>
      <c r="L15" s="29">
        <f>IF(B15="Nữ",0,2)</f>
        <v>0</v>
      </c>
      <c r="M15" s="29">
        <f ca="1">IF(D15&lt;45,0,IF(D15&lt;=49,1,2))</f>
        <v>2</v>
      </c>
      <c r="N15" s="29">
        <f>IF(E15="Có",4,0)</f>
        <v>0</v>
      </c>
      <c r="O15" s="29">
        <f>IF(H15&lt;23,0,IF(H15&lt;27.5,3,5))</f>
        <v>3</v>
      </c>
      <c r="P15" s="29">
        <f>IF(OR(AND(B15="Nam",I15&gt;=90),AND(B15="Nữ",I15&gt;=80)),2,0)</f>
        <v>2</v>
      </c>
      <c r="Q15" s="29">
        <f>IF(OR(J15&gt;=140,K15&gt;=90),2,0)</f>
        <v>2</v>
      </c>
      <c r="R15" s="29">
        <f ca="1">SUM(L15:Q15)</f>
        <v>9</v>
      </c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5" t="s">
        <v>1393</v>
      </c>
      <c r="AE15" s="33"/>
      <c r="AF15" s="59" t="str">
        <f t="shared" si="1"/>
        <v>Không</v>
      </c>
      <c r="AG15" s="59" t="str">
        <f t="shared" si="2"/>
        <v>Không</v>
      </c>
      <c r="AH15" s="29" t="str">
        <f t="shared" ca="1" si="0"/>
        <v>Có</v>
      </c>
      <c r="AI15" s="29" t="str">
        <f ca="1">IF((R15)&gt;=6,"Có","Không")</f>
        <v>Có</v>
      </c>
      <c r="AJ15" s="29" t="str">
        <f>IF(OR(J15&gt;=140,K15&gt;=90),"Có","Không")</f>
        <v>Có</v>
      </c>
      <c r="AK15" s="5" t="s">
        <v>527</v>
      </c>
      <c r="AL15" s="32">
        <v>46053</v>
      </c>
      <c r="AM15" s="29" t="str">
        <f>"Tháng "&amp;MONTH(AL15)</f>
        <v>Tháng 1</v>
      </c>
      <c r="AN15" s="29" t="str">
        <f>LEFT(AK15,FIND(",",AK15)-1)</f>
        <v>Ấp Biển Tây A</v>
      </c>
    </row>
    <row r="16" spans="1:40" x14ac:dyDescent="0.25">
      <c r="A16" s="49" t="s">
        <v>528</v>
      </c>
      <c r="B16" s="5" t="s">
        <v>30</v>
      </c>
      <c r="C16" s="5" t="s">
        <v>47</v>
      </c>
      <c r="D16" s="29">
        <f ca="1">DATEDIF(C16,TODAY(),"Y")</f>
        <v>55</v>
      </c>
      <c r="E16" s="5" t="s">
        <v>25</v>
      </c>
      <c r="F16" s="30">
        <v>170</v>
      </c>
      <c r="G16" s="30">
        <v>45</v>
      </c>
      <c r="H16" s="31">
        <f>G16/((F16/100)*(F16/100))</f>
        <v>15.570934256055365</v>
      </c>
      <c r="I16" s="5">
        <v>67</v>
      </c>
      <c r="J16" s="30">
        <v>120</v>
      </c>
      <c r="K16" s="30">
        <v>70</v>
      </c>
      <c r="L16" s="29">
        <f>IF(B16="Nữ",0,2)</f>
        <v>2</v>
      </c>
      <c r="M16" s="29">
        <f ca="1">IF(D16&lt;45,0,IF(D16&lt;=49,1,2))</f>
        <v>2</v>
      </c>
      <c r="N16" s="29">
        <f>IF(E16="Có",4,0)</f>
        <v>4</v>
      </c>
      <c r="O16" s="29">
        <f>IF(H16&lt;23,0,IF(H16&lt;27.5,3,5))</f>
        <v>0</v>
      </c>
      <c r="P16" s="29">
        <f>IF(OR(AND(B16="Nam",I16&gt;=90),AND(B16="Nữ",I16&gt;=80)),2,0)</f>
        <v>0</v>
      </c>
      <c r="Q16" s="29">
        <f>IF(OR(J16&gt;=140,K16&gt;=90),2,0)</f>
        <v>0</v>
      </c>
      <c r="R16" s="29">
        <f ca="1">SUM(L16:Q16)</f>
        <v>8</v>
      </c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5" t="s">
        <v>1393</v>
      </c>
      <c r="AE16" s="33"/>
      <c r="AF16" s="59" t="str">
        <f t="shared" si="1"/>
        <v>Không</v>
      </c>
      <c r="AG16" s="59" t="str">
        <f t="shared" si="2"/>
        <v>Không</v>
      </c>
      <c r="AH16" s="29" t="str">
        <f t="shared" ca="1" si="0"/>
        <v>Có</v>
      </c>
      <c r="AI16" s="29" t="str">
        <f ca="1">IF((R16)&gt;=6,"Có","Không")</f>
        <v>Có</v>
      </c>
      <c r="AJ16" s="29" t="str">
        <f>IF(OR(J16&gt;=140,K16&gt;=90),"Có","Không")</f>
        <v>Không</v>
      </c>
      <c r="AK16" s="5" t="s">
        <v>529</v>
      </c>
      <c r="AL16" s="32">
        <v>46053</v>
      </c>
      <c r="AM16" s="29" t="str">
        <f>"Tháng "&amp;MONTH(AL16)</f>
        <v>Tháng 1</v>
      </c>
      <c r="AN16" s="29" t="str">
        <f>LEFT(AK16,FIND(",",AK16)-1)</f>
        <v>Phường Nhà Mát</v>
      </c>
    </row>
    <row r="17" spans="1:40" x14ac:dyDescent="0.25">
      <c r="A17" s="49" t="s">
        <v>530</v>
      </c>
      <c r="B17" s="5" t="s">
        <v>30</v>
      </c>
      <c r="C17" s="5" t="s">
        <v>188</v>
      </c>
      <c r="D17" s="29">
        <f ca="1">DATEDIF(C17,TODAY(),"Y")</f>
        <v>63</v>
      </c>
      <c r="E17" s="5" t="s">
        <v>26</v>
      </c>
      <c r="F17" s="30">
        <v>165</v>
      </c>
      <c r="G17" s="30">
        <v>53</v>
      </c>
      <c r="H17" s="31">
        <f>G17/((F17/100)*(F17/100))</f>
        <v>19.467401285583104</v>
      </c>
      <c r="I17" s="5">
        <v>65</v>
      </c>
      <c r="J17" s="30">
        <v>120</v>
      </c>
      <c r="K17" s="30">
        <v>70</v>
      </c>
      <c r="L17" s="29">
        <f>IF(B17="Nữ",0,2)</f>
        <v>2</v>
      </c>
      <c r="M17" s="29">
        <f ca="1">IF(D17&lt;45,0,IF(D17&lt;=49,1,2))</f>
        <v>2</v>
      </c>
      <c r="N17" s="29">
        <f>IF(E17="Có",4,0)</f>
        <v>0</v>
      </c>
      <c r="O17" s="29">
        <f>IF(H17&lt;23,0,IF(H17&lt;27.5,3,5))</f>
        <v>0</v>
      </c>
      <c r="P17" s="29">
        <f>IF(OR(AND(B17="Nam",I17&gt;=90),AND(B17="Nữ",I17&gt;=80)),2,0)</f>
        <v>0</v>
      </c>
      <c r="Q17" s="29">
        <f>IF(OR(J17&gt;=140,K17&gt;=90),2,0)</f>
        <v>0</v>
      </c>
      <c r="R17" s="29">
        <f ca="1">SUM(L17:Q17)</f>
        <v>4</v>
      </c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5" t="s">
        <v>1393</v>
      </c>
      <c r="AE17" s="33"/>
      <c r="AF17" s="59" t="str">
        <f t="shared" si="1"/>
        <v>Không</v>
      </c>
      <c r="AG17" s="59" t="str">
        <f t="shared" si="2"/>
        <v>Không</v>
      </c>
      <c r="AH17" s="29" t="str">
        <f t="shared" ca="1" si="0"/>
        <v>Không</v>
      </c>
      <c r="AI17" s="29" t="str">
        <f ca="1">IF((R17)&gt;=6,"Có","Không")</f>
        <v>Không</v>
      </c>
      <c r="AJ17" s="29" t="str">
        <f>IF(OR(J17&gt;=140,K17&gt;=90),"Có","Không")</f>
        <v>Không</v>
      </c>
      <c r="AK17" s="5" t="s">
        <v>108</v>
      </c>
      <c r="AL17" s="32">
        <v>46053</v>
      </c>
      <c r="AM17" s="29" t="str">
        <f>"Tháng "&amp;MONTH(AL17)</f>
        <v>Tháng 1</v>
      </c>
      <c r="AN17" s="29" t="str">
        <f>LEFT(AK17,FIND(",",AK17)-1)</f>
        <v>Phường Hiệp Thành</v>
      </c>
    </row>
    <row r="18" spans="1:40" x14ac:dyDescent="0.25">
      <c r="A18" s="49" t="s">
        <v>531</v>
      </c>
      <c r="B18" s="5" t="s">
        <v>23</v>
      </c>
      <c r="C18" s="5" t="s">
        <v>87</v>
      </c>
      <c r="D18" s="29">
        <f ca="1">DATEDIF(C18,TODAY(),"Y")</f>
        <v>49</v>
      </c>
      <c r="E18" s="5" t="s">
        <v>26</v>
      </c>
      <c r="F18" s="30">
        <v>159</v>
      </c>
      <c r="G18" s="30">
        <v>50</v>
      </c>
      <c r="H18" s="31">
        <f>G18/((F18/100)*(F18/100))</f>
        <v>19.77769866698311</v>
      </c>
      <c r="I18" s="5">
        <v>83</v>
      </c>
      <c r="J18" s="30">
        <v>120</v>
      </c>
      <c r="K18" s="30">
        <v>70</v>
      </c>
      <c r="L18" s="29">
        <f>IF(B18="Nữ",0,2)</f>
        <v>0</v>
      </c>
      <c r="M18" s="29">
        <f ca="1">IF(D18&lt;45,0,IF(D18&lt;=49,1,2))</f>
        <v>1</v>
      </c>
      <c r="N18" s="29">
        <f>IF(E18="Có",4,0)</f>
        <v>0</v>
      </c>
      <c r="O18" s="29">
        <f>IF(H18&lt;23,0,IF(H18&lt;27.5,3,5))</f>
        <v>0</v>
      </c>
      <c r="P18" s="29">
        <f>IF(OR(AND(B18="Nam",I18&gt;=90),AND(B18="Nữ",I18&gt;=80)),2,0)</f>
        <v>2</v>
      </c>
      <c r="Q18" s="29">
        <f>IF(OR(J18&gt;=140,K18&gt;=90),2,0)</f>
        <v>0</v>
      </c>
      <c r="R18" s="29">
        <f ca="1">SUM(L18:Q18)</f>
        <v>3</v>
      </c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5" t="s">
        <v>1393</v>
      </c>
      <c r="AE18" s="33"/>
      <c r="AF18" s="59" t="str">
        <f t="shared" si="1"/>
        <v>Không</v>
      </c>
      <c r="AG18" s="59" t="str">
        <f t="shared" si="2"/>
        <v>Không</v>
      </c>
      <c r="AH18" s="29" t="str">
        <f t="shared" ca="1" si="0"/>
        <v>Không</v>
      </c>
      <c r="AI18" s="29" t="str">
        <f ca="1">IF((R18)&gt;=6,"Có","Không")</f>
        <v>Không</v>
      </c>
      <c r="AJ18" s="29" t="str">
        <f>IF(OR(J18&gt;=140,K18&gt;=90),"Có","Không")</f>
        <v>Không</v>
      </c>
      <c r="AK18" s="5" t="s">
        <v>108</v>
      </c>
      <c r="AL18" s="32">
        <v>46053</v>
      </c>
      <c r="AM18" s="29" t="str">
        <f>"Tháng "&amp;MONTH(AL18)</f>
        <v>Tháng 1</v>
      </c>
      <c r="AN18" s="29" t="str">
        <f>LEFT(AK18,FIND(",",AK18)-1)</f>
        <v>Phường Hiệp Thành</v>
      </c>
    </row>
    <row r="19" spans="1:40" x14ac:dyDescent="0.25">
      <c r="A19" s="49" t="s">
        <v>532</v>
      </c>
      <c r="B19" s="5" t="s">
        <v>30</v>
      </c>
      <c r="C19" s="5" t="s">
        <v>62</v>
      </c>
      <c r="D19" s="29">
        <f ca="1">DATEDIF(C19,TODAY(),"Y")</f>
        <v>64</v>
      </c>
      <c r="E19" s="5" t="s">
        <v>26</v>
      </c>
      <c r="F19" s="30">
        <v>169</v>
      </c>
      <c r="G19" s="30">
        <v>69</v>
      </c>
      <c r="H19" s="31">
        <f>G19/((F19/100)*(F19/100))</f>
        <v>24.158817968558527</v>
      </c>
      <c r="I19" s="5">
        <v>72</v>
      </c>
      <c r="J19" s="30">
        <v>140</v>
      </c>
      <c r="K19" s="30">
        <v>80</v>
      </c>
      <c r="L19" s="29">
        <f>IF(B19="Nữ",0,2)</f>
        <v>2</v>
      </c>
      <c r="M19" s="29">
        <f ca="1">IF(D19&lt;45,0,IF(D19&lt;=49,1,2))</f>
        <v>2</v>
      </c>
      <c r="N19" s="29">
        <f>IF(E19="Có",4,0)</f>
        <v>0</v>
      </c>
      <c r="O19" s="29">
        <f>IF(H19&lt;23,0,IF(H19&lt;27.5,3,5))</f>
        <v>3</v>
      </c>
      <c r="P19" s="29">
        <f>IF(OR(AND(B19="Nam",I19&gt;=90),AND(B19="Nữ",I19&gt;=80)),2,0)</f>
        <v>0</v>
      </c>
      <c r="Q19" s="29">
        <f>IF(OR(J19&gt;=140,K19&gt;=90),2,0)</f>
        <v>2</v>
      </c>
      <c r="R19" s="29">
        <f ca="1">SUM(L19:Q19)</f>
        <v>9</v>
      </c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5" t="s">
        <v>1393</v>
      </c>
      <c r="AE19" s="33"/>
      <c r="AF19" s="59" t="str">
        <f t="shared" si="1"/>
        <v>Không</v>
      </c>
      <c r="AG19" s="59" t="str">
        <f t="shared" si="2"/>
        <v>Không</v>
      </c>
      <c r="AH19" s="29" t="str">
        <f t="shared" ca="1" si="0"/>
        <v>Có</v>
      </c>
      <c r="AI19" s="29" t="str">
        <f ca="1">IF((R19)&gt;=6,"Có","Không")</f>
        <v>Có</v>
      </c>
      <c r="AJ19" s="29" t="str">
        <f>IF(OR(J19&gt;=140,K19&gt;=90),"Có","Không")</f>
        <v>Có</v>
      </c>
      <c r="AK19" s="5" t="s">
        <v>533</v>
      </c>
      <c r="AL19" s="32">
        <v>46053</v>
      </c>
      <c r="AM19" s="29" t="str">
        <f>"Tháng "&amp;MONTH(AL19)</f>
        <v>Tháng 1</v>
      </c>
      <c r="AN19" s="29" t="str">
        <f>LEFT(AK19,FIND(",",AK19)-1)</f>
        <v>Ấp Biển Tây A</v>
      </c>
    </row>
    <row r="20" spans="1:40" x14ac:dyDescent="0.25">
      <c r="A20" s="49" t="s">
        <v>534</v>
      </c>
      <c r="B20" s="5" t="s">
        <v>23</v>
      </c>
      <c r="C20" s="5" t="s">
        <v>56</v>
      </c>
      <c r="D20" s="29">
        <f ca="1">DATEDIF(C20,TODAY(),"Y")</f>
        <v>65</v>
      </c>
      <c r="E20" s="5" t="s">
        <v>26</v>
      </c>
      <c r="F20" s="30">
        <v>158</v>
      </c>
      <c r="G20" s="30">
        <v>58</v>
      </c>
      <c r="H20" s="31">
        <f>G20/((F20/100)*(F20/100))</f>
        <v>23.233456176894723</v>
      </c>
      <c r="I20" s="5">
        <v>96</v>
      </c>
      <c r="J20" s="30">
        <v>130</v>
      </c>
      <c r="K20" s="30">
        <v>80</v>
      </c>
      <c r="L20" s="29">
        <f>IF(B20="Nữ",0,2)</f>
        <v>0</v>
      </c>
      <c r="M20" s="29">
        <f ca="1">IF(D20&lt;45,0,IF(D20&lt;=49,1,2))</f>
        <v>2</v>
      </c>
      <c r="N20" s="29">
        <f>IF(E20="Có",4,0)</f>
        <v>0</v>
      </c>
      <c r="O20" s="29">
        <f>IF(H20&lt;23,0,IF(H20&lt;27.5,3,5))</f>
        <v>3</v>
      </c>
      <c r="P20" s="29">
        <f>IF(OR(AND(B20="Nam",I20&gt;=90),AND(B20="Nữ",I20&gt;=80)),2,0)</f>
        <v>2</v>
      </c>
      <c r="Q20" s="29">
        <f>IF(OR(J20&gt;=140,K20&gt;=90),2,0)</f>
        <v>0</v>
      </c>
      <c r="R20" s="29">
        <f ca="1">SUM(L20:Q20)</f>
        <v>7</v>
      </c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5" t="s">
        <v>1393</v>
      </c>
      <c r="AE20" s="33"/>
      <c r="AF20" s="59" t="str">
        <f t="shared" si="1"/>
        <v>Không</v>
      </c>
      <c r="AG20" s="59" t="str">
        <f t="shared" si="2"/>
        <v>Không</v>
      </c>
      <c r="AH20" s="29" t="str">
        <f t="shared" ca="1" si="0"/>
        <v>Có</v>
      </c>
      <c r="AI20" s="29" t="str">
        <f ca="1">IF((R20)&gt;=6,"Có","Không")</f>
        <v>Có</v>
      </c>
      <c r="AJ20" s="29" t="str">
        <f>IF(OR(J20&gt;=140,K20&gt;=90),"Có","Không")</f>
        <v>Không</v>
      </c>
      <c r="AK20" s="5" t="s">
        <v>266</v>
      </c>
      <c r="AL20" s="32">
        <v>46053</v>
      </c>
      <c r="AM20" s="29" t="str">
        <f>"Tháng "&amp;MONTH(AL20)</f>
        <v>Tháng 1</v>
      </c>
      <c r="AN20" s="29" t="str">
        <f>LEFT(AK20,FIND(",",AK20)-1)</f>
        <v>ấp Biển Tây A</v>
      </c>
    </row>
    <row r="21" spans="1:40" x14ac:dyDescent="0.25">
      <c r="A21" s="49" t="s">
        <v>535</v>
      </c>
      <c r="B21" s="5" t="s">
        <v>23</v>
      </c>
      <c r="C21" s="5" t="s">
        <v>130</v>
      </c>
      <c r="D21" s="29">
        <f ca="1">DATEDIF(C21,TODAY(),"Y")</f>
        <v>57</v>
      </c>
      <c r="E21" s="5" t="s">
        <v>26</v>
      </c>
      <c r="F21" s="30">
        <v>160</v>
      </c>
      <c r="G21" s="30">
        <v>50</v>
      </c>
      <c r="H21" s="31">
        <f>G21/((F21/100)*(F21/100))</f>
        <v>19.531249999999996</v>
      </c>
      <c r="I21" s="5">
        <v>68</v>
      </c>
      <c r="J21" s="30">
        <v>120</v>
      </c>
      <c r="K21" s="30">
        <v>70</v>
      </c>
      <c r="L21" s="29">
        <f>IF(B21="Nữ",0,2)</f>
        <v>0</v>
      </c>
      <c r="M21" s="29">
        <f ca="1">IF(D21&lt;45,0,IF(D21&lt;=49,1,2))</f>
        <v>2</v>
      </c>
      <c r="N21" s="29">
        <f>IF(E21="Có",4,0)</f>
        <v>0</v>
      </c>
      <c r="O21" s="29">
        <f>IF(H21&lt;23,0,IF(H21&lt;27.5,3,5))</f>
        <v>0</v>
      </c>
      <c r="P21" s="29">
        <f>IF(OR(AND(B21="Nam",I21&gt;=90),AND(B21="Nữ",I21&gt;=80)),2,0)</f>
        <v>0</v>
      </c>
      <c r="Q21" s="29">
        <f>IF(OR(J21&gt;=140,K21&gt;=90),2,0)</f>
        <v>0</v>
      </c>
      <c r="R21" s="29">
        <f ca="1">SUM(L21:Q21)</f>
        <v>2</v>
      </c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5" t="s">
        <v>1393</v>
      </c>
      <c r="AE21" s="33"/>
      <c r="AF21" s="59" t="str">
        <f t="shared" si="1"/>
        <v>Không</v>
      </c>
      <c r="AG21" s="59" t="str">
        <f t="shared" si="2"/>
        <v>Không</v>
      </c>
      <c r="AH21" s="29" t="str">
        <f t="shared" ca="1" si="0"/>
        <v>Không</v>
      </c>
      <c r="AI21" s="29" t="str">
        <f ca="1">IF((R21)&gt;=6,"Có","Không")</f>
        <v>Không</v>
      </c>
      <c r="AJ21" s="29" t="str">
        <f>IF(OR(J21&gt;=140,K21&gt;=90),"Có","Không")</f>
        <v>Không</v>
      </c>
      <c r="AK21" s="5" t="s">
        <v>108</v>
      </c>
      <c r="AL21" s="32">
        <v>46053</v>
      </c>
      <c r="AM21" s="29" t="str">
        <f>"Tháng "&amp;MONTH(AL21)</f>
        <v>Tháng 1</v>
      </c>
      <c r="AN21" s="29" t="str">
        <f>LEFT(AK21,FIND(",",AK21)-1)</f>
        <v>Phường Hiệp Thành</v>
      </c>
    </row>
    <row r="22" spans="1:40" x14ac:dyDescent="0.25">
      <c r="A22" s="49" t="s">
        <v>537</v>
      </c>
      <c r="B22" s="5" t="s">
        <v>30</v>
      </c>
      <c r="C22" s="5" t="s">
        <v>110</v>
      </c>
      <c r="D22" s="29">
        <f ca="1">DATEDIF(C22,TODAY(),"Y")</f>
        <v>62</v>
      </c>
      <c r="E22" s="5" t="s">
        <v>25</v>
      </c>
      <c r="F22" s="30">
        <v>170</v>
      </c>
      <c r="G22" s="30">
        <v>75</v>
      </c>
      <c r="H22" s="31">
        <f>G22/((F22/100)*(F22/100))</f>
        <v>25.95155709342561</v>
      </c>
      <c r="I22" s="5">
        <v>78</v>
      </c>
      <c r="J22" s="30">
        <v>120</v>
      </c>
      <c r="K22" s="30">
        <v>80</v>
      </c>
      <c r="L22" s="29">
        <f>IF(B22="Nữ",0,2)</f>
        <v>2</v>
      </c>
      <c r="M22" s="29">
        <f ca="1">IF(D22&lt;45,0,IF(D22&lt;=49,1,2))</f>
        <v>2</v>
      </c>
      <c r="N22" s="29">
        <f>IF(E22="Có",4,0)</f>
        <v>4</v>
      </c>
      <c r="O22" s="29">
        <f>IF(H22&lt;23,0,IF(H22&lt;27.5,3,5))</f>
        <v>3</v>
      </c>
      <c r="P22" s="29">
        <f>IF(OR(AND(B22="Nam",I22&gt;=90),AND(B22="Nữ",I22&gt;=80)),2,0)</f>
        <v>0</v>
      </c>
      <c r="Q22" s="29">
        <f>IF(OR(J22&gt;=140,K22&gt;=90),2,0)</f>
        <v>0</v>
      </c>
      <c r="R22" s="29">
        <f ca="1">SUM(L22:Q22)</f>
        <v>11</v>
      </c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5" t="s">
        <v>1393</v>
      </c>
      <c r="AE22" s="33"/>
      <c r="AF22" s="59" t="str">
        <f t="shared" si="1"/>
        <v>Không</v>
      </c>
      <c r="AG22" s="59" t="str">
        <f t="shared" si="2"/>
        <v>Không</v>
      </c>
      <c r="AH22" s="29" t="str">
        <f t="shared" ca="1" si="0"/>
        <v>Có</v>
      </c>
      <c r="AI22" s="29" t="str">
        <f ca="1">IF((R22)&gt;=6,"Có","Không")</f>
        <v>Có</v>
      </c>
      <c r="AJ22" s="29" t="str">
        <f>IF(OR(J22&gt;=140,K22&gt;=90),"Có","Không")</f>
        <v>Không</v>
      </c>
      <c r="AK22" s="5" t="s">
        <v>538</v>
      </c>
      <c r="AL22" s="32">
        <v>46053</v>
      </c>
      <c r="AM22" s="29" t="str">
        <f>"Tháng "&amp;MONTH(AL22)</f>
        <v>Tháng 1</v>
      </c>
      <c r="AN22" s="29" t="str">
        <f>LEFT(AK22,FIND(",",AK22)-1)</f>
        <v>Ấp 17</v>
      </c>
    </row>
    <row r="23" spans="1:40" x14ac:dyDescent="0.25">
      <c r="A23" s="49" t="s">
        <v>539</v>
      </c>
      <c r="B23" s="5" t="s">
        <v>23</v>
      </c>
      <c r="C23" s="5" t="s">
        <v>110</v>
      </c>
      <c r="D23" s="29">
        <f ca="1">DATEDIF(C23,TODAY(),"Y")</f>
        <v>62</v>
      </c>
      <c r="E23" s="5" t="s">
        <v>26</v>
      </c>
      <c r="F23" s="30">
        <v>165</v>
      </c>
      <c r="G23" s="30">
        <v>60</v>
      </c>
      <c r="H23" s="31">
        <f>G23/((F23/100)*(F23/100))</f>
        <v>22.03856749311295</v>
      </c>
      <c r="I23" s="5">
        <v>96</v>
      </c>
      <c r="J23" s="30">
        <v>120</v>
      </c>
      <c r="K23" s="30">
        <v>70</v>
      </c>
      <c r="L23" s="29">
        <f>IF(B23="Nữ",0,2)</f>
        <v>0</v>
      </c>
      <c r="M23" s="29">
        <f ca="1">IF(D23&lt;45,0,IF(D23&lt;=49,1,2))</f>
        <v>2</v>
      </c>
      <c r="N23" s="29">
        <f>IF(E23="Có",4,0)</f>
        <v>0</v>
      </c>
      <c r="O23" s="29">
        <f>IF(H23&lt;23,0,IF(H23&lt;27.5,3,5))</f>
        <v>0</v>
      </c>
      <c r="P23" s="29">
        <f>IF(OR(AND(B23="Nam",I23&gt;=90),AND(B23="Nữ",I23&gt;=80)),2,0)</f>
        <v>2</v>
      </c>
      <c r="Q23" s="29">
        <f>IF(OR(J23&gt;=140,K23&gt;=90),2,0)</f>
        <v>0</v>
      </c>
      <c r="R23" s="29">
        <f ca="1">SUM(L23:Q23)</f>
        <v>4</v>
      </c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5" t="s">
        <v>1393</v>
      </c>
      <c r="AE23" s="33"/>
      <c r="AF23" s="59" t="str">
        <f t="shared" si="1"/>
        <v>Không</v>
      </c>
      <c r="AG23" s="59" t="str">
        <f t="shared" si="2"/>
        <v>Không</v>
      </c>
      <c r="AH23" s="29" t="str">
        <f t="shared" ca="1" si="0"/>
        <v>Không</v>
      </c>
      <c r="AI23" s="29" t="str">
        <f ca="1">IF((R23)&gt;=6,"Có","Không")</f>
        <v>Không</v>
      </c>
      <c r="AJ23" s="29" t="str">
        <f>IF(OR(J23&gt;=140,K23&gt;=90),"Có","Không")</f>
        <v>Không</v>
      </c>
      <c r="AK23" s="5" t="s">
        <v>538</v>
      </c>
      <c r="AL23" s="32">
        <v>46053</v>
      </c>
      <c r="AM23" s="29" t="str">
        <f>"Tháng "&amp;MONTH(AL23)</f>
        <v>Tháng 1</v>
      </c>
      <c r="AN23" s="29" t="str">
        <f>LEFT(AK23,FIND(",",AK23)-1)</f>
        <v>Ấp 17</v>
      </c>
    </row>
    <row r="24" spans="1:40" x14ac:dyDescent="0.25">
      <c r="A24" s="49" t="s">
        <v>558</v>
      </c>
      <c r="B24" s="5" t="s">
        <v>30</v>
      </c>
      <c r="C24" s="5" t="s">
        <v>50</v>
      </c>
      <c r="D24" s="29">
        <f ca="1">DATEDIF(C24,TODAY(),"Y")</f>
        <v>58</v>
      </c>
      <c r="E24" s="5" t="s">
        <v>26</v>
      </c>
      <c r="F24" s="30">
        <v>172</v>
      </c>
      <c r="G24" s="30">
        <v>60</v>
      </c>
      <c r="H24" s="31">
        <f>G24/((F24/100)*(F24/100))</f>
        <v>20.281233098972418</v>
      </c>
      <c r="I24" s="5">
        <v>87</v>
      </c>
      <c r="J24" s="30">
        <v>120</v>
      </c>
      <c r="K24" s="30">
        <v>70</v>
      </c>
      <c r="L24" s="29">
        <f>IF(B24="Nữ",0,2)</f>
        <v>2</v>
      </c>
      <c r="M24" s="29">
        <f ca="1">IF(D24&lt;45,0,IF(D24&lt;=49,1,2))</f>
        <v>2</v>
      </c>
      <c r="N24" s="29">
        <f>IF(E24="Có",4,0)</f>
        <v>0</v>
      </c>
      <c r="O24" s="29">
        <f>IF(H24&lt;23,0,IF(H24&lt;27.5,3,5))</f>
        <v>0</v>
      </c>
      <c r="P24" s="29">
        <f>IF(OR(AND(B24="Nam",I24&gt;=90),AND(B24="Nữ",I24&gt;=80)),2,0)</f>
        <v>0</v>
      </c>
      <c r="Q24" s="29">
        <f>IF(OR(J24&gt;=140,K24&gt;=90),2,0)</f>
        <v>0</v>
      </c>
      <c r="R24" s="29">
        <f ca="1">SUM(L24:Q24)</f>
        <v>4</v>
      </c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5" t="s">
        <v>1393</v>
      </c>
      <c r="AE24" s="33"/>
      <c r="AF24" s="59" t="str">
        <f t="shared" si="1"/>
        <v>Không</v>
      </c>
      <c r="AG24" s="59" t="str">
        <f t="shared" si="2"/>
        <v>Không</v>
      </c>
      <c r="AH24" s="29" t="str">
        <f t="shared" ca="1" si="0"/>
        <v>Không</v>
      </c>
      <c r="AI24" s="29" t="str">
        <f ca="1">IF((R24)&gt;=6,"Có","Không")</f>
        <v>Không</v>
      </c>
      <c r="AJ24" s="29" t="str">
        <f>IF(OR(J24&gt;=140,K24&gt;=90),"Có","Không")</f>
        <v>Không</v>
      </c>
      <c r="AK24" s="5" t="s">
        <v>108</v>
      </c>
      <c r="AL24" s="32">
        <v>46053</v>
      </c>
      <c r="AM24" s="29" t="str">
        <f>"Tháng "&amp;MONTH(AL24)</f>
        <v>Tháng 1</v>
      </c>
      <c r="AN24" s="29" t="str">
        <f>LEFT(AK24,FIND(",",AK24)-1)</f>
        <v>Phường Hiệp Thành</v>
      </c>
    </row>
    <row r="25" spans="1:40" x14ac:dyDescent="0.25">
      <c r="A25" s="49" t="s">
        <v>560</v>
      </c>
      <c r="B25" s="5" t="s">
        <v>30</v>
      </c>
      <c r="C25" s="5" t="s">
        <v>40</v>
      </c>
      <c r="D25" s="29">
        <f ca="1">DATEDIF(C25,TODAY(),"Y")</f>
        <v>70</v>
      </c>
      <c r="E25" s="5" t="s">
        <v>26</v>
      </c>
      <c r="F25" s="30">
        <v>158</v>
      </c>
      <c r="G25" s="30">
        <v>58</v>
      </c>
      <c r="H25" s="31">
        <f>G25/((F25/100)*(F25/100))</f>
        <v>23.233456176894723</v>
      </c>
      <c r="I25" s="5">
        <v>79</v>
      </c>
      <c r="J25" s="30">
        <v>120</v>
      </c>
      <c r="K25" s="30">
        <v>80</v>
      </c>
      <c r="L25" s="29">
        <f>IF(B25="Nữ",0,2)</f>
        <v>2</v>
      </c>
      <c r="M25" s="29">
        <f ca="1">IF(D25&lt;45,0,IF(D25&lt;=49,1,2))</f>
        <v>2</v>
      </c>
      <c r="N25" s="29">
        <f>IF(E25="Có",4,0)</f>
        <v>0</v>
      </c>
      <c r="O25" s="29">
        <f>IF(H25&lt;23,0,IF(H25&lt;27.5,3,5))</f>
        <v>3</v>
      </c>
      <c r="P25" s="29">
        <f>IF(OR(AND(B25="Nam",I25&gt;=90),AND(B25="Nữ",I25&gt;=80)),2,0)</f>
        <v>0</v>
      </c>
      <c r="Q25" s="29">
        <f>IF(OR(J25&gt;=140,K25&gt;=90),2,0)</f>
        <v>0</v>
      </c>
      <c r="R25" s="29">
        <f ca="1">SUM(L25:Q25)</f>
        <v>7</v>
      </c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5" t="s">
        <v>1393</v>
      </c>
      <c r="AE25" s="33"/>
      <c r="AF25" s="59" t="str">
        <f t="shared" si="1"/>
        <v>Không</v>
      </c>
      <c r="AG25" s="59" t="str">
        <f t="shared" si="2"/>
        <v>Không</v>
      </c>
      <c r="AH25" s="29" t="str">
        <f t="shared" ca="1" si="0"/>
        <v>Có</v>
      </c>
      <c r="AI25" s="29" t="str">
        <f ca="1">IF((R25)&gt;=6,"Có","Không")</f>
        <v>Có</v>
      </c>
      <c r="AJ25" s="29" t="str">
        <f>IF(OR(J25&gt;=140,K25&gt;=90),"Có","Không")</f>
        <v>Không</v>
      </c>
      <c r="AK25" s="5" t="s">
        <v>561</v>
      </c>
      <c r="AL25" s="32">
        <v>46053</v>
      </c>
      <c r="AM25" s="29" t="str">
        <f>"Tháng "&amp;MONTH(AL25)</f>
        <v>Tháng 1</v>
      </c>
      <c r="AN25" s="29" t="str">
        <f>LEFT(AK25,FIND(",",AK25)-1)</f>
        <v>Ấp Biển Tây A</v>
      </c>
    </row>
    <row r="26" spans="1:40" x14ac:dyDescent="0.25">
      <c r="A26" s="49" t="s">
        <v>585</v>
      </c>
      <c r="B26" s="5" t="s">
        <v>23</v>
      </c>
      <c r="C26" s="5" t="s">
        <v>64</v>
      </c>
      <c r="D26" s="29">
        <f ca="1">DATEDIF(C26,TODAY(),"Y")</f>
        <v>42</v>
      </c>
      <c r="E26" s="5" t="s">
        <v>25</v>
      </c>
      <c r="F26" s="30">
        <v>168</v>
      </c>
      <c r="G26" s="30">
        <v>68</v>
      </c>
      <c r="H26" s="31">
        <f>G26/((F26/100)*(F26/100))</f>
        <v>24.092970521541954</v>
      </c>
      <c r="I26" s="5">
        <v>88</v>
      </c>
      <c r="J26" s="30">
        <v>120</v>
      </c>
      <c r="K26" s="30">
        <v>80</v>
      </c>
      <c r="L26" s="29">
        <f>IF(B26="Nữ",0,2)</f>
        <v>0</v>
      </c>
      <c r="M26" s="29">
        <f ca="1">IF(D26&lt;45,0,IF(D26&lt;=49,1,2))</f>
        <v>0</v>
      </c>
      <c r="N26" s="29">
        <f>IF(E26="Có",4,0)</f>
        <v>4</v>
      </c>
      <c r="O26" s="29">
        <f>IF(H26&lt;23,0,IF(H26&lt;27.5,3,5))</f>
        <v>3</v>
      </c>
      <c r="P26" s="29">
        <f>IF(OR(AND(B26="Nam",I26&gt;=90),AND(B26="Nữ",I26&gt;=80)),2,0)</f>
        <v>2</v>
      </c>
      <c r="Q26" s="29">
        <f>IF(OR(J26&gt;=140,K26&gt;=90),2,0)</f>
        <v>0</v>
      </c>
      <c r="R26" s="29">
        <f ca="1">SUM(L26:Q26)</f>
        <v>9</v>
      </c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5" t="s">
        <v>1393</v>
      </c>
      <c r="AE26" s="33"/>
      <c r="AF26" s="59" t="str">
        <f t="shared" si="1"/>
        <v>Không</v>
      </c>
      <c r="AG26" s="59" t="str">
        <f t="shared" si="2"/>
        <v>Không</v>
      </c>
      <c r="AH26" s="29" t="str">
        <f t="shared" ca="1" si="0"/>
        <v>Có</v>
      </c>
      <c r="AI26" s="29" t="str">
        <f ca="1">IF((R26)&gt;=6,"Có","Không")</f>
        <v>Có</v>
      </c>
      <c r="AJ26" s="29" t="str">
        <f>IF(OR(J26&gt;=140,K26&gt;=90),"Có","Không")</f>
        <v>Không</v>
      </c>
      <c r="AK26" s="5" t="s">
        <v>298</v>
      </c>
      <c r="AL26" s="32">
        <v>46053</v>
      </c>
      <c r="AM26" s="29" t="str">
        <f>"Tháng "&amp;MONTH(AL26)</f>
        <v>Tháng 1</v>
      </c>
      <c r="AN26" s="29" t="str">
        <f>LEFT(AK26,FIND(",",AK26)-1)</f>
        <v>ấp Biển Tây A</v>
      </c>
    </row>
    <row r="27" spans="1:40" x14ac:dyDescent="0.25">
      <c r="A27" s="49" t="s">
        <v>590</v>
      </c>
      <c r="B27" s="5" t="s">
        <v>23</v>
      </c>
      <c r="C27" s="5" t="s">
        <v>76</v>
      </c>
      <c r="D27" s="29">
        <f ca="1">DATEDIF(C27,TODAY(),"Y")</f>
        <v>68</v>
      </c>
      <c r="E27" s="5" t="s">
        <v>26</v>
      </c>
      <c r="F27" s="30">
        <v>158</v>
      </c>
      <c r="G27" s="30">
        <v>64</v>
      </c>
      <c r="H27" s="31">
        <f>G27/((F27/100)*(F27/100))</f>
        <v>25.63691716071142</v>
      </c>
      <c r="I27" s="5">
        <v>90</v>
      </c>
      <c r="J27" s="30">
        <v>120</v>
      </c>
      <c r="K27" s="30">
        <v>70</v>
      </c>
      <c r="L27" s="29">
        <f>IF(B27="Nữ",0,2)</f>
        <v>0</v>
      </c>
      <c r="M27" s="29">
        <f ca="1">IF(D27&lt;45,0,IF(D27&lt;=49,1,2))</f>
        <v>2</v>
      </c>
      <c r="N27" s="29">
        <f>IF(E27="Có",4,0)</f>
        <v>0</v>
      </c>
      <c r="O27" s="29">
        <f>IF(H27&lt;23,0,IF(H27&lt;27.5,3,5))</f>
        <v>3</v>
      </c>
      <c r="P27" s="29">
        <f>IF(OR(AND(B27="Nam",I27&gt;=90),AND(B27="Nữ",I27&gt;=80)),2,0)</f>
        <v>2</v>
      </c>
      <c r="Q27" s="29">
        <f>IF(OR(J27&gt;=140,K27&gt;=90),2,0)</f>
        <v>0</v>
      </c>
      <c r="R27" s="29">
        <f ca="1">SUM(L27:Q27)</f>
        <v>7</v>
      </c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5" t="s">
        <v>1393</v>
      </c>
      <c r="AE27" s="33"/>
      <c r="AF27" s="59" t="str">
        <f t="shared" si="1"/>
        <v>Không</v>
      </c>
      <c r="AG27" s="59" t="str">
        <f t="shared" si="2"/>
        <v>Không</v>
      </c>
      <c r="AH27" s="29" t="str">
        <f t="shared" ca="1" si="0"/>
        <v>Có</v>
      </c>
      <c r="AI27" s="29" t="str">
        <f ca="1">IF((R27)&gt;=6,"Có","Không")</f>
        <v>Có</v>
      </c>
      <c r="AJ27" s="29" t="str">
        <f>IF(OR(J27&gt;=140,K27&gt;=90),"Có","Không")</f>
        <v>Không</v>
      </c>
      <c r="AK27" s="5" t="s">
        <v>108</v>
      </c>
      <c r="AL27" s="32">
        <v>46053</v>
      </c>
      <c r="AM27" s="29" t="str">
        <f>"Tháng "&amp;MONTH(AL27)</f>
        <v>Tháng 1</v>
      </c>
      <c r="AN27" s="29" t="str">
        <f>LEFT(AK27,FIND(",",AK27)-1)</f>
        <v>Phường Hiệp Thành</v>
      </c>
    </row>
    <row r="28" spans="1:40" x14ac:dyDescent="0.25">
      <c r="A28" s="49" t="s">
        <v>592</v>
      </c>
      <c r="B28" s="5" t="s">
        <v>30</v>
      </c>
      <c r="C28" s="5" t="s">
        <v>42</v>
      </c>
      <c r="D28" s="29">
        <f ca="1">DATEDIF(C28,TODAY(),"Y")</f>
        <v>59</v>
      </c>
      <c r="E28" s="5" t="s">
        <v>26</v>
      </c>
      <c r="F28" s="30">
        <v>160</v>
      </c>
      <c r="G28" s="30">
        <v>50</v>
      </c>
      <c r="H28" s="31">
        <f>G28/((F28/100)*(F28/100))</f>
        <v>19.531249999999996</v>
      </c>
      <c r="I28" s="5">
        <v>78</v>
      </c>
      <c r="J28" s="30">
        <v>120</v>
      </c>
      <c r="K28" s="30">
        <v>70</v>
      </c>
      <c r="L28" s="29">
        <f>IF(B28="Nữ",0,2)</f>
        <v>2</v>
      </c>
      <c r="M28" s="29">
        <f ca="1">IF(D28&lt;45,0,IF(D28&lt;=49,1,2))</f>
        <v>2</v>
      </c>
      <c r="N28" s="29">
        <f>IF(E28="Có",4,0)</f>
        <v>0</v>
      </c>
      <c r="O28" s="29">
        <f>IF(H28&lt;23,0,IF(H28&lt;27.5,3,5))</f>
        <v>0</v>
      </c>
      <c r="P28" s="29">
        <f>IF(OR(AND(B28="Nam",I28&gt;=90),AND(B28="Nữ",I28&gt;=80)),2,0)</f>
        <v>0</v>
      </c>
      <c r="Q28" s="29">
        <f>IF(OR(J28&gt;=140,K28&gt;=90),2,0)</f>
        <v>0</v>
      </c>
      <c r="R28" s="29">
        <f ca="1">SUM(L28:Q28)</f>
        <v>4</v>
      </c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5" t="s">
        <v>1393</v>
      </c>
      <c r="AE28" s="33"/>
      <c r="AF28" s="59" t="str">
        <f t="shared" si="1"/>
        <v>Không</v>
      </c>
      <c r="AG28" s="59" t="str">
        <f t="shared" si="2"/>
        <v>Không</v>
      </c>
      <c r="AH28" s="29" t="str">
        <f t="shared" ca="1" si="0"/>
        <v>Không</v>
      </c>
      <c r="AI28" s="29" t="str">
        <f ca="1">IF((R28)&gt;=6,"Có","Không")</f>
        <v>Không</v>
      </c>
      <c r="AJ28" s="29" t="str">
        <f>IF(OR(J28&gt;=140,K28&gt;=90),"Có","Không")</f>
        <v>Không</v>
      </c>
      <c r="AK28" s="5" t="s">
        <v>108</v>
      </c>
      <c r="AL28" s="32">
        <v>46053</v>
      </c>
      <c r="AM28" s="29" t="str">
        <f>"Tháng "&amp;MONTH(AL28)</f>
        <v>Tháng 1</v>
      </c>
      <c r="AN28" s="29" t="str">
        <f>LEFT(AK28,FIND(",",AK28)-1)</f>
        <v>Phường Hiệp Thành</v>
      </c>
    </row>
    <row r="29" spans="1:40" x14ac:dyDescent="0.25">
      <c r="A29" s="49" t="s">
        <v>705</v>
      </c>
      <c r="B29" s="5" t="s">
        <v>30</v>
      </c>
      <c r="C29" s="5" t="s">
        <v>127</v>
      </c>
      <c r="D29" s="29">
        <f ca="1">DATEDIF(C29,TODAY(),"Y")</f>
        <v>76</v>
      </c>
      <c r="E29" s="5" t="s">
        <v>25</v>
      </c>
      <c r="F29" s="30">
        <v>169</v>
      </c>
      <c r="G29" s="30">
        <v>69</v>
      </c>
      <c r="H29" s="31">
        <f>G29/((F29/100)*(F29/100))</f>
        <v>24.158817968558527</v>
      </c>
      <c r="I29" s="5">
        <v>76</v>
      </c>
      <c r="J29" s="30">
        <v>140</v>
      </c>
      <c r="K29" s="30">
        <v>80</v>
      </c>
      <c r="L29" s="29">
        <f>IF(B29="Nữ",0,2)</f>
        <v>2</v>
      </c>
      <c r="M29" s="29">
        <f ca="1">IF(D29&lt;45,0,IF(D29&lt;=49,1,2))</f>
        <v>2</v>
      </c>
      <c r="N29" s="29">
        <f>IF(E29="Có",4,0)</f>
        <v>4</v>
      </c>
      <c r="O29" s="29">
        <f>IF(H29&lt;23,0,IF(H29&lt;27.5,3,5))</f>
        <v>3</v>
      </c>
      <c r="P29" s="29">
        <f>IF(OR(AND(B29="Nam",I29&gt;=90),AND(B29="Nữ",I29&gt;=80)),2,0)</f>
        <v>0</v>
      </c>
      <c r="Q29" s="29">
        <f>IF(OR(J29&gt;=140,K29&gt;=90),2,0)</f>
        <v>2</v>
      </c>
      <c r="R29" s="29">
        <f ca="1">SUM(L29:Q29)</f>
        <v>13</v>
      </c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5" t="s">
        <v>1393</v>
      </c>
      <c r="AE29" s="33"/>
      <c r="AF29" s="59" t="str">
        <f t="shared" si="1"/>
        <v>Không</v>
      </c>
      <c r="AG29" s="59" t="str">
        <f t="shared" si="2"/>
        <v>Không</v>
      </c>
      <c r="AH29" s="29" t="str">
        <f t="shared" ca="1" si="0"/>
        <v>Có</v>
      </c>
      <c r="AI29" s="29" t="str">
        <f ca="1">IF((R29)&gt;=6,"Có","Không")</f>
        <v>Có</v>
      </c>
      <c r="AJ29" s="29" t="str">
        <f>IF(OR(J29&gt;=140,K29&gt;=90),"Có","Không")</f>
        <v>Có</v>
      </c>
      <c r="AK29" s="5" t="s">
        <v>243</v>
      </c>
      <c r="AL29" s="32">
        <v>46053</v>
      </c>
      <c r="AM29" s="29" t="str">
        <f>"Tháng "&amp;MONTH(AL29)</f>
        <v>Tháng 1</v>
      </c>
      <c r="AN29" s="29" t="str">
        <f>LEFT(AK29,FIND(",",AK29)-1)</f>
        <v>ấp Giồng Giữa B</v>
      </c>
    </row>
    <row r="30" spans="1:40" x14ac:dyDescent="0.25">
      <c r="A30" s="49" t="s">
        <v>706</v>
      </c>
      <c r="B30" s="5" t="s">
        <v>23</v>
      </c>
      <c r="C30" s="5" t="s">
        <v>82</v>
      </c>
      <c r="D30" s="29">
        <f ca="1">DATEDIF(C30,TODAY(),"Y")</f>
        <v>73</v>
      </c>
      <c r="E30" s="5" t="s">
        <v>26</v>
      </c>
      <c r="F30" s="30">
        <v>158</v>
      </c>
      <c r="G30" s="30">
        <v>58</v>
      </c>
      <c r="H30" s="31">
        <f>G30/((F30/100)*(F30/100))</f>
        <v>23.233456176894723</v>
      </c>
      <c r="I30" s="5">
        <v>82</v>
      </c>
      <c r="J30" s="30">
        <v>140</v>
      </c>
      <c r="K30" s="30">
        <v>80</v>
      </c>
      <c r="L30" s="29">
        <f>IF(B30="Nữ",0,2)</f>
        <v>0</v>
      </c>
      <c r="M30" s="29">
        <f ca="1">IF(D30&lt;45,0,IF(D30&lt;=49,1,2))</f>
        <v>2</v>
      </c>
      <c r="N30" s="29">
        <f>IF(E30="Có",4,0)</f>
        <v>0</v>
      </c>
      <c r="O30" s="29">
        <f>IF(H30&lt;23,0,IF(H30&lt;27.5,3,5))</f>
        <v>3</v>
      </c>
      <c r="P30" s="29">
        <f>IF(OR(AND(B30="Nam",I30&gt;=90),AND(B30="Nữ",I30&gt;=80)),2,0)</f>
        <v>2</v>
      </c>
      <c r="Q30" s="29">
        <f>IF(OR(J30&gt;=140,K30&gt;=90),2,0)</f>
        <v>2</v>
      </c>
      <c r="R30" s="29">
        <f ca="1">SUM(L30:Q30)</f>
        <v>9</v>
      </c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5" t="s">
        <v>1393</v>
      </c>
      <c r="AE30" s="33"/>
      <c r="AF30" s="59" t="str">
        <f t="shared" si="1"/>
        <v>Không</v>
      </c>
      <c r="AG30" s="59" t="str">
        <f t="shared" si="2"/>
        <v>Không</v>
      </c>
      <c r="AH30" s="29" t="str">
        <f t="shared" ca="1" si="0"/>
        <v>Có</v>
      </c>
      <c r="AI30" s="29" t="str">
        <f ca="1">IF((R30)&gt;=6,"Có","Không")</f>
        <v>Có</v>
      </c>
      <c r="AJ30" s="29" t="str">
        <f>IF(OR(J30&gt;=140,K30&gt;=90),"Có","Không")</f>
        <v>Có</v>
      </c>
      <c r="AK30" s="5" t="s">
        <v>707</v>
      </c>
      <c r="AL30" s="32">
        <v>46053</v>
      </c>
      <c r="AM30" s="29" t="str">
        <f>"Tháng "&amp;MONTH(AL30)</f>
        <v>Tháng 1</v>
      </c>
      <c r="AN30" s="29" t="str">
        <f>LEFT(AK30,FIND(",",AK30)-1)</f>
        <v>Biển đông b</v>
      </c>
    </row>
    <row r="31" spans="1:40" x14ac:dyDescent="0.25">
      <c r="A31" s="49" t="s">
        <v>708</v>
      </c>
      <c r="B31" s="5" t="s">
        <v>30</v>
      </c>
      <c r="C31" s="5" t="s">
        <v>53</v>
      </c>
      <c r="D31" s="29">
        <f ca="1">DATEDIF(C31,TODAY(),"Y")</f>
        <v>72</v>
      </c>
      <c r="E31" s="5" t="s">
        <v>26</v>
      </c>
      <c r="F31" s="30">
        <v>170</v>
      </c>
      <c r="G31" s="30">
        <v>65</v>
      </c>
      <c r="H31" s="31">
        <f>G31/((F31/100)*(F31/100))</f>
        <v>22.491349480968861</v>
      </c>
      <c r="I31" s="5">
        <v>67</v>
      </c>
      <c r="J31" s="30">
        <v>170</v>
      </c>
      <c r="K31" s="30">
        <v>80</v>
      </c>
      <c r="L31" s="29">
        <f>IF(B31="Nữ",0,2)</f>
        <v>2</v>
      </c>
      <c r="M31" s="29">
        <f ca="1">IF(D31&lt;45,0,IF(D31&lt;=49,1,2))</f>
        <v>2</v>
      </c>
      <c r="N31" s="29">
        <f>IF(E31="Có",4,0)</f>
        <v>0</v>
      </c>
      <c r="O31" s="29">
        <f>IF(H31&lt;23,0,IF(H31&lt;27.5,3,5))</f>
        <v>0</v>
      </c>
      <c r="P31" s="29">
        <f>IF(OR(AND(B31="Nam",I31&gt;=90),AND(B31="Nữ",I31&gt;=80)),2,0)</f>
        <v>0</v>
      </c>
      <c r="Q31" s="29">
        <f>IF(OR(J31&gt;=140,K31&gt;=90),2,0)</f>
        <v>2</v>
      </c>
      <c r="R31" s="29">
        <f ca="1">SUM(L31:Q31)</f>
        <v>6</v>
      </c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5" t="s">
        <v>1393</v>
      </c>
      <c r="AE31" s="33"/>
      <c r="AF31" s="59" t="str">
        <f t="shared" si="1"/>
        <v>Không</v>
      </c>
      <c r="AG31" s="59" t="str">
        <f t="shared" si="2"/>
        <v>Không</v>
      </c>
      <c r="AH31" s="29" t="str">
        <f t="shared" ca="1" si="0"/>
        <v>Có</v>
      </c>
      <c r="AI31" s="29" t="str">
        <f ca="1">IF((R31)&gt;=6,"Có","Không")</f>
        <v>Có</v>
      </c>
      <c r="AJ31" s="29" t="str">
        <f>IF(OR(J31&gt;=140,K31&gt;=90),"Có","Không")</f>
        <v>Có</v>
      </c>
      <c r="AK31" s="5" t="s">
        <v>108</v>
      </c>
      <c r="AL31" s="32">
        <v>46053</v>
      </c>
      <c r="AM31" s="29" t="str">
        <f>"Tháng "&amp;MONTH(AL31)</f>
        <v>Tháng 1</v>
      </c>
      <c r="AN31" s="29" t="str">
        <f>LEFT(AK31,FIND(",",AK31)-1)</f>
        <v>Phường Hiệp Thành</v>
      </c>
    </row>
    <row r="32" spans="1:40" x14ac:dyDescent="0.25">
      <c r="A32" s="49" t="s">
        <v>713</v>
      </c>
      <c r="B32" s="5" t="s">
        <v>30</v>
      </c>
      <c r="C32" s="5" t="s">
        <v>146</v>
      </c>
      <c r="D32" s="29">
        <f ca="1">DATEDIF(C32,TODAY(),"Y")</f>
        <v>52</v>
      </c>
      <c r="E32" s="5" t="s">
        <v>26</v>
      </c>
      <c r="F32" s="30">
        <v>169</v>
      </c>
      <c r="G32" s="30">
        <v>69</v>
      </c>
      <c r="H32" s="31">
        <f>G32/((F32/100)*(F32/100))</f>
        <v>24.158817968558527</v>
      </c>
      <c r="I32" s="5">
        <v>96</v>
      </c>
      <c r="J32" s="30">
        <v>140</v>
      </c>
      <c r="K32" s="30">
        <v>80</v>
      </c>
      <c r="L32" s="29">
        <f>IF(B32="Nữ",0,2)</f>
        <v>2</v>
      </c>
      <c r="M32" s="29">
        <f ca="1">IF(D32&lt;45,0,IF(D32&lt;=49,1,2))</f>
        <v>2</v>
      </c>
      <c r="N32" s="29">
        <f>IF(E32="Có",4,0)</f>
        <v>0</v>
      </c>
      <c r="O32" s="29">
        <f>IF(H32&lt;23,0,IF(H32&lt;27.5,3,5))</f>
        <v>3</v>
      </c>
      <c r="P32" s="29">
        <f>IF(OR(AND(B32="Nam",I32&gt;=90),AND(B32="Nữ",I32&gt;=80)),2,0)</f>
        <v>2</v>
      </c>
      <c r="Q32" s="29">
        <f>IF(OR(J32&gt;=140,K32&gt;=90),2,0)</f>
        <v>2</v>
      </c>
      <c r="R32" s="29">
        <f ca="1">SUM(L32:Q32)</f>
        <v>11</v>
      </c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5" t="s">
        <v>1393</v>
      </c>
      <c r="AE32" s="33"/>
      <c r="AF32" s="59" t="str">
        <f t="shared" si="1"/>
        <v>Không</v>
      </c>
      <c r="AG32" s="59" t="str">
        <f t="shared" si="2"/>
        <v>Không</v>
      </c>
      <c r="AH32" s="29" t="str">
        <f t="shared" ca="1" si="0"/>
        <v>Có</v>
      </c>
      <c r="AI32" s="29" t="str">
        <f ca="1">IF((R32)&gt;=6,"Có","Không")</f>
        <v>Có</v>
      </c>
      <c r="AJ32" s="29" t="str">
        <f>IF(OR(J32&gt;=140,K32&gt;=90),"Có","Không")</f>
        <v>Có</v>
      </c>
      <c r="AK32" s="5" t="s">
        <v>70</v>
      </c>
      <c r="AL32" s="32">
        <v>46053</v>
      </c>
      <c r="AM32" s="29" t="str">
        <f>"Tháng "&amp;MONTH(AL32)</f>
        <v>Tháng 1</v>
      </c>
      <c r="AN32" s="29" t="str">
        <f>LEFT(AK32,FIND(",",AK32)-1)</f>
        <v>Ấp Biển Tây A</v>
      </c>
    </row>
    <row r="33" spans="1:40" x14ac:dyDescent="0.25">
      <c r="A33" s="49" t="s">
        <v>745</v>
      </c>
      <c r="B33" s="5" t="s">
        <v>23</v>
      </c>
      <c r="C33" s="5" t="s">
        <v>110</v>
      </c>
      <c r="D33" s="29">
        <f ca="1">DATEDIF(C33,TODAY(),"Y")</f>
        <v>62</v>
      </c>
      <c r="E33" s="5" t="s">
        <v>26</v>
      </c>
      <c r="F33" s="30">
        <v>160</v>
      </c>
      <c r="G33" s="30">
        <v>62</v>
      </c>
      <c r="H33" s="31">
        <f>G33/((F33/100)*(F33/100))</f>
        <v>24.218749999999996</v>
      </c>
      <c r="I33" s="5">
        <v>65</v>
      </c>
      <c r="J33" s="30">
        <v>120</v>
      </c>
      <c r="K33" s="30">
        <v>70</v>
      </c>
      <c r="L33" s="29">
        <f>IF(B33="Nữ",0,2)</f>
        <v>0</v>
      </c>
      <c r="M33" s="29">
        <f ca="1">IF(D33&lt;45,0,IF(D33&lt;=49,1,2))</f>
        <v>2</v>
      </c>
      <c r="N33" s="29">
        <f>IF(E33="Có",4,0)</f>
        <v>0</v>
      </c>
      <c r="O33" s="29">
        <f>IF(H33&lt;23,0,IF(H33&lt;27.5,3,5))</f>
        <v>3</v>
      </c>
      <c r="P33" s="29">
        <f>IF(OR(AND(B33="Nam",I33&gt;=90),AND(B33="Nữ",I33&gt;=80)),2,0)</f>
        <v>0</v>
      </c>
      <c r="Q33" s="29">
        <f>IF(OR(J33&gt;=140,K33&gt;=90),2,0)</f>
        <v>0</v>
      </c>
      <c r="R33" s="29">
        <f ca="1">SUM(L33:Q33)</f>
        <v>5</v>
      </c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5" t="s">
        <v>1393</v>
      </c>
      <c r="AE33" s="33"/>
      <c r="AF33" s="59" t="str">
        <f t="shared" si="1"/>
        <v>Không</v>
      </c>
      <c r="AG33" s="59" t="str">
        <f t="shared" si="2"/>
        <v>Không</v>
      </c>
      <c r="AH33" s="29" t="str">
        <f t="shared" ca="1" si="0"/>
        <v>Không</v>
      </c>
      <c r="AI33" s="29" t="str">
        <f ca="1">IF((R33)&gt;=6,"Có","Không")</f>
        <v>Không</v>
      </c>
      <c r="AJ33" s="29" t="str">
        <f>IF(OR(J33&gt;=140,K33&gt;=90),"Có","Không")</f>
        <v>Không</v>
      </c>
      <c r="AK33" s="5" t="s">
        <v>51</v>
      </c>
      <c r="AL33" s="32">
        <v>46053</v>
      </c>
      <c r="AM33" s="29" t="str">
        <f>"Tháng "&amp;MONTH(AL33)</f>
        <v>Tháng 1</v>
      </c>
      <c r="AN33" s="29" t="str">
        <f>LEFT(AK33,FIND(",",AK33)-1)</f>
        <v>Phường Hiệp Thành</v>
      </c>
    </row>
    <row r="34" spans="1:40" x14ac:dyDescent="0.25">
      <c r="A34" s="49" t="s">
        <v>749</v>
      </c>
      <c r="B34" s="5" t="s">
        <v>30</v>
      </c>
      <c r="C34" s="5" t="s">
        <v>50</v>
      </c>
      <c r="D34" s="29">
        <f ca="1">DATEDIF(C34,TODAY(),"Y")</f>
        <v>58</v>
      </c>
      <c r="E34" s="5" t="s">
        <v>26</v>
      </c>
      <c r="F34" s="30">
        <v>169</v>
      </c>
      <c r="G34" s="30">
        <v>69</v>
      </c>
      <c r="H34" s="31">
        <f>G34/((F34/100)*(F34/100))</f>
        <v>24.158817968558527</v>
      </c>
      <c r="I34" s="5">
        <v>72</v>
      </c>
      <c r="J34" s="30">
        <v>140</v>
      </c>
      <c r="K34" s="30">
        <v>80</v>
      </c>
      <c r="L34" s="29">
        <f>IF(B34="Nữ",0,2)</f>
        <v>2</v>
      </c>
      <c r="M34" s="29">
        <f ca="1">IF(D34&lt;45,0,IF(D34&lt;=49,1,2))</f>
        <v>2</v>
      </c>
      <c r="N34" s="29">
        <f>IF(E34="Có",4,0)</f>
        <v>0</v>
      </c>
      <c r="O34" s="29">
        <f>IF(H34&lt;23,0,IF(H34&lt;27.5,3,5))</f>
        <v>3</v>
      </c>
      <c r="P34" s="29">
        <f>IF(OR(AND(B34="Nam",I34&gt;=90),AND(B34="Nữ",I34&gt;=80)),2,0)</f>
        <v>0</v>
      </c>
      <c r="Q34" s="29">
        <f>IF(OR(J34&gt;=140,K34&gt;=90),2,0)</f>
        <v>2</v>
      </c>
      <c r="R34" s="29">
        <f ca="1">SUM(L34:Q34)</f>
        <v>9</v>
      </c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5" t="s">
        <v>1393</v>
      </c>
      <c r="AE34" s="33"/>
      <c r="AF34" s="59" t="str">
        <f t="shared" si="1"/>
        <v>Không</v>
      </c>
      <c r="AG34" s="59" t="str">
        <f t="shared" si="2"/>
        <v>Không</v>
      </c>
      <c r="AH34" s="29" t="str">
        <f t="shared" ca="1" si="0"/>
        <v>Có</v>
      </c>
      <c r="AI34" s="29" t="str">
        <f ca="1">IF((R34)&gt;=6,"Có","Không")</f>
        <v>Có</v>
      </c>
      <c r="AJ34" s="29" t="str">
        <f>IF(OR(J34&gt;=140,K34&gt;=90),"Có","Không")</f>
        <v>Có</v>
      </c>
      <c r="AK34" s="5" t="s">
        <v>750</v>
      </c>
      <c r="AL34" s="32">
        <v>46053</v>
      </c>
      <c r="AM34" s="29" t="str">
        <f>"Tháng "&amp;MONTH(AL34)</f>
        <v>Tháng 1</v>
      </c>
      <c r="AN34" s="29" t="str">
        <f>LEFT(AK34,FIND(",",AK34)-1)</f>
        <v>Tân Qui</v>
      </c>
    </row>
    <row r="35" spans="1:40" x14ac:dyDescent="0.25">
      <c r="A35" s="49" t="s">
        <v>753</v>
      </c>
      <c r="B35" s="5" t="s">
        <v>30</v>
      </c>
      <c r="C35" s="5" t="s">
        <v>373</v>
      </c>
      <c r="D35" s="29">
        <f ca="1">DATEDIF(C35,TODAY(),"Y")</f>
        <v>61</v>
      </c>
      <c r="E35" s="5" t="s">
        <v>26</v>
      </c>
      <c r="F35" s="30">
        <v>169</v>
      </c>
      <c r="G35" s="30">
        <v>69</v>
      </c>
      <c r="H35" s="31">
        <f>G35/((F35/100)*(F35/100))</f>
        <v>24.158817968558527</v>
      </c>
      <c r="I35" s="5">
        <v>76</v>
      </c>
      <c r="J35" s="30">
        <v>120</v>
      </c>
      <c r="K35" s="30">
        <v>80</v>
      </c>
      <c r="L35" s="29">
        <f>IF(B35="Nữ",0,2)</f>
        <v>2</v>
      </c>
      <c r="M35" s="29">
        <f ca="1">IF(D35&lt;45,0,IF(D35&lt;=49,1,2))</f>
        <v>2</v>
      </c>
      <c r="N35" s="29">
        <f>IF(E35="Có",4,0)</f>
        <v>0</v>
      </c>
      <c r="O35" s="29">
        <f>IF(H35&lt;23,0,IF(H35&lt;27.5,3,5))</f>
        <v>3</v>
      </c>
      <c r="P35" s="29">
        <f>IF(OR(AND(B35="Nam",I35&gt;=90),AND(B35="Nữ",I35&gt;=80)),2,0)</f>
        <v>0</v>
      </c>
      <c r="Q35" s="29">
        <f>IF(OR(J35&gt;=140,K35&gt;=90),2,0)</f>
        <v>0</v>
      </c>
      <c r="R35" s="29">
        <f ca="1">SUM(L35:Q35)</f>
        <v>7</v>
      </c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5" t="s">
        <v>1393</v>
      </c>
      <c r="AE35" s="33"/>
      <c r="AF35" s="59" t="str">
        <f t="shared" si="1"/>
        <v>Không</v>
      </c>
      <c r="AG35" s="59" t="str">
        <f t="shared" si="2"/>
        <v>Không</v>
      </c>
      <c r="AH35" s="29" t="str">
        <f t="shared" ca="1" si="0"/>
        <v>Có</v>
      </c>
      <c r="AI35" s="29" t="str">
        <f ca="1">IF((R35)&gt;=6,"Có","Không")</f>
        <v>Có</v>
      </c>
      <c r="AJ35" s="29" t="str">
        <f>IF(OR(J35&gt;=140,K35&gt;=90),"Có","Không")</f>
        <v>Không</v>
      </c>
      <c r="AK35" s="5" t="s">
        <v>70</v>
      </c>
      <c r="AL35" s="32">
        <v>46053</v>
      </c>
      <c r="AM35" s="29" t="str">
        <f>"Tháng "&amp;MONTH(AL35)</f>
        <v>Tháng 1</v>
      </c>
      <c r="AN35" s="29" t="str">
        <f>LEFT(AK35,FIND(",",AK35)-1)</f>
        <v>Ấp Biển Tây A</v>
      </c>
    </row>
    <row r="36" spans="1:40" x14ac:dyDescent="0.25">
      <c r="A36" s="49" t="s">
        <v>754</v>
      </c>
      <c r="B36" s="5" t="s">
        <v>23</v>
      </c>
      <c r="C36" s="5" t="s">
        <v>50</v>
      </c>
      <c r="D36" s="29">
        <f ca="1">DATEDIF(C36,TODAY(),"Y")</f>
        <v>58</v>
      </c>
      <c r="E36" s="5" t="s">
        <v>26</v>
      </c>
      <c r="F36" s="30">
        <v>158</v>
      </c>
      <c r="G36" s="30">
        <v>58</v>
      </c>
      <c r="H36" s="31">
        <f>G36/((F36/100)*(F36/100))</f>
        <v>23.233456176894723</v>
      </c>
      <c r="I36" s="5">
        <v>96</v>
      </c>
      <c r="J36" s="30">
        <v>140</v>
      </c>
      <c r="K36" s="30">
        <v>80</v>
      </c>
      <c r="L36" s="29">
        <f>IF(B36="Nữ",0,2)</f>
        <v>0</v>
      </c>
      <c r="M36" s="29">
        <f ca="1">IF(D36&lt;45,0,IF(D36&lt;=49,1,2))</f>
        <v>2</v>
      </c>
      <c r="N36" s="29">
        <f>IF(E36="Có",4,0)</f>
        <v>0</v>
      </c>
      <c r="O36" s="29">
        <f>IF(H36&lt;23,0,IF(H36&lt;27.5,3,5))</f>
        <v>3</v>
      </c>
      <c r="P36" s="29">
        <f>IF(OR(AND(B36="Nam",I36&gt;=90),AND(B36="Nữ",I36&gt;=80)),2,0)</f>
        <v>2</v>
      </c>
      <c r="Q36" s="29">
        <f>IF(OR(J36&gt;=140,K36&gt;=90),2,0)</f>
        <v>2</v>
      </c>
      <c r="R36" s="29">
        <f ca="1">SUM(L36:Q36)</f>
        <v>9</v>
      </c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5" t="s">
        <v>1393</v>
      </c>
      <c r="AE36" s="33"/>
      <c r="AF36" s="59" t="str">
        <f t="shared" si="1"/>
        <v>Không</v>
      </c>
      <c r="AG36" s="59" t="str">
        <f t="shared" si="2"/>
        <v>Không</v>
      </c>
      <c r="AH36" s="29" t="str">
        <f t="shared" ca="1" si="0"/>
        <v>Có</v>
      </c>
      <c r="AI36" s="29" t="str">
        <f ca="1">IF((R36)&gt;=6,"Có","Không")</f>
        <v>Có</v>
      </c>
      <c r="AJ36" s="29" t="str">
        <f>IF(OR(J36&gt;=140,K36&gt;=90),"Có","Không")</f>
        <v>Có</v>
      </c>
      <c r="AK36" s="5" t="s">
        <v>381</v>
      </c>
      <c r="AL36" s="32">
        <v>46053</v>
      </c>
      <c r="AM36" s="29" t="str">
        <f>"Tháng "&amp;MONTH(AL36)</f>
        <v>Tháng 1</v>
      </c>
      <c r="AN36" s="29" t="str">
        <f>LEFT(AK36,FIND(",",AK36)-1)</f>
        <v>Ấp Biển Đông B</v>
      </c>
    </row>
    <row r="37" spans="1:40" x14ac:dyDescent="0.25">
      <c r="A37" s="49" t="s">
        <v>755</v>
      </c>
      <c r="B37" s="5" t="s">
        <v>30</v>
      </c>
      <c r="C37" s="5" t="s">
        <v>56</v>
      </c>
      <c r="D37" s="29">
        <f ca="1">DATEDIF(C37,TODAY(),"Y")</f>
        <v>65</v>
      </c>
      <c r="E37" s="5" t="s">
        <v>26</v>
      </c>
      <c r="F37" s="30">
        <v>169</v>
      </c>
      <c r="G37" s="30">
        <v>69</v>
      </c>
      <c r="H37" s="31">
        <f>G37/((F37/100)*(F37/100))</f>
        <v>24.158817968558527</v>
      </c>
      <c r="I37" s="5">
        <v>69</v>
      </c>
      <c r="J37" s="30">
        <v>120</v>
      </c>
      <c r="K37" s="30">
        <v>80</v>
      </c>
      <c r="L37" s="29">
        <f>IF(B37="Nữ",0,2)</f>
        <v>2</v>
      </c>
      <c r="M37" s="29">
        <f ca="1">IF(D37&lt;45,0,IF(D37&lt;=49,1,2))</f>
        <v>2</v>
      </c>
      <c r="N37" s="29">
        <f>IF(E37="Có",4,0)</f>
        <v>0</v>
      </c>
      <c r="O37" s="29">
        <f>IF(H37&lt;23,0,IF(H37&lt;27.5,3,5))</f>
        <v>3</v>
      </c>
      <c r="P37" s="29">
        <f>IF(OR(AND(B37="Nam",I37&gt;=90),AND(B37="Nữ",I37&gt;=80)),2,0)</f>
        <v>0</v>
      </c>
      <c r="Q37" s="29">
        <f>IF(OR(J37&gt;=140,K37&gt;=90),2,0)</f>
        <v>0</v>
      </c>
      <c r="R37" s="29">
        <f ca="1">SUM(L37:Q37)</f>
        <v>7</v>
      </c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5" t="s">
        <v>1393</v>
      </c>
      <c r="AE37" s="33"/>
      <c r="AF37" s="59" t="str">
        <f t="shared" si="1"/>
        <v>Không</v>
      </c>
      <c r="AG37" s="59" t="str">
        <f t="shared" si="2"/>
        <v>Không</v>
      </c>
      <c r="AH37" s="29" t="str">
        <f t="shared" ca="1" si="0"/>
        <v>Có</v>
      </c>
      <c r="AI37" s="29" t="str">
        <f ca="1">IF((R37)&gt;=6,"Có","Không")</f>
        <v>Có</v>
      </c>
      <c r="AJ37" s="29" t="str">
        <f>IF(OR(J37&gt;=140,K37&gt;=90),"Có","Không")</f>
        <v>Không</v>
      </c>
      <c r="AK37" s="5" t="s">
        <v>38</v>
      </c>
      <c r="AL37" s="32">
        <v>46053</v>
      </c>
      <c r="AM37" s="29" t="str">
        <f>"Tháng "&amp;MONTH(AL37)</f>
        <v>Tháng 1</v>
      </c>
      <c r="AN37" s="29" t="str">
        <f>LEFT(AK37,FIND(",",AK37)-1)</f>
        <v>Ấp Biển Đông B</v>
      </c>
    </row>
    <row r="38" spans="1:40" x14ac:dyDescent="0.25">
      <c r="A38" s="49" t="s">
        <v>756</v>
      </c>
      <c r="B38" s="5" t="s">
        <v>30</v>
      </c>
      <c r="C38" s="5" t="s">
        <v>64</v>
      </c>
      <c r="D38" s="29">
        <f ca="1">DATEDIF(C38,TODAY(),"Y")</f>
        <v>42</v>
      </c>
      <c r="E38" s="5" t="s">
        <v>26</v>
      </c>
      <c r="F38" s="30">
        <v>169</v>
      </c>
      <c r="G38" s="30">
        <v>69</v>
      </c>
      <c r="H38" s="31">
        <f>G38/((F38/100)*(F38/100))</f>
        <v>24.158817968558527</v>
      </c>
      <c r="I38" s="5">
        <v>88</v>
      </c>
      <c r="J38" s="30">
        <v>120</v>
      </c>
      <c r="K38" s="30">
        <v>80</v>
      </c>
      <c r="L38" s="29">
        <f>IF(B38="Nữ",0,2)</f>
        <v>2</v>
      </c>
      <c r="M38" s="29">
        <f ca="1">IF(D38&lt;45,0,IF(D38&lt;=49,1,2))</f>
        <v>0</v>
      </c>
      <c r="N38" s="29">
        <f>IF(E38="Có",4,0)</f>
        <v>0</v>
      </c>
      <c r="O38" s="29">
        <f>IF(H38&lt;23,0,IF(H38&lt;27.5,3,5))</f>
        <v>3</v>
      </c>
      <c r="P38" s="29">
        <f>IF(OR(AND(B38="Nam",I38&gt;=90),AND(B38="Nữ",I38&gt;=80)),2,0)</f>
        <v>0</v>
      </c>
      <c r="Q38" s="29">
        <f>IF(OR(J38&gt;=140,K38&gt;=90),2,0)</f>
        <v>0</v>
      </c>
      <c r="R38" s="29">
        <f ca="1">SUM(L38:Q38)</f>
        <v>5</v>
      </c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5" t="s">
        <v>1393</v>
      </c>
      <c r="AE38" s="33"/>
      <c r="AF38" s="59" t="str">
        <f t="shared" si="1"/>
        <v>Không</v>
      </c>
      <c r="AG38" s="59" t="str">
        <f t="shared" si="2"/>
        <v>Không</v>
      </c>
      <c r="AH38" s="29" t="str">
        <f t="shared" ca="1" si="0"/>
        <v>Không</v>
      </c>
      <c r="AI38" s="29" t="str">
        <f ca="1">IF((R38)&gt;=6,"Có","Không")</f>
        <v>Không</v>
      </c>
      <c r="AJ38" s="29" t="str">
        <f>IF(OR(J38&gt;=140,K38&gt;=90),"Có","Không")</f>
        <v>Không</v>
      </c>
      <c r="AK38" s="5" t="s">
        <v>757</v>
      </c>
      <c r="AL38" s="32">
        <v>46053</v>
      </c>
      <c r="AM38" s="29" t="str">
        <f>"Tháng "&amp;MONTH(AL38)</f>
        <v>Tháng 1</v>
      </c>
      <c r="AN38" s="29" t="str">
        <f>LEFT(AK38,FIND(",",AK38)-1)</f>
        <v>Ấp Giồng Giữa B</v>
      </c>
    </row>
    <row r="39" spans="1:40" x14ac:dyDescent="0.25">
      <c r="A39" s="49" t="s">
        <v>805</v>
      </c>
      <c r="B39" s="5" t="s">
        <v>30</v>
      </c>
      <c r="C39" s="5" t="s">
        <v>273</v>
      </c>
      <c r="D39" s="29">
        <f ca="1">DATEDIF(C39,TODAY(),"Y")</f>
        <v>47</v>
      </c>
      <c r="E39" s="5" t="s">
        <v>26</v>
      </c>
      <c r="F39" s="30">
        <v>168</v>
      </c>
      <c r="G39" s="30">
        <v>67</v>
      </c>
      <c r="H39" s="31">
        <f>G39/((F39/100)*(F39/100))</f>
        <v>23.738662131519277</v>
      </c>
      <c r="I39" s="5">
        <v>84</v>
      </c>
      <c r="J39" s="30">
        <v>120</v>
      </c>
      <c r="K39" s="30">
        <v>80</v>
      </c>
      <c r="L39" s="29">
        <f>IF(B39="Nữ",0,2)</f>
        <v>2</v>
      </c>
      <c r="M39" s="29">
        <f ca="1">IF(D39&lt;45,0,IF(D39&lt;=49,1,2))</f>
        <v>1</v>
      </c>
      <c r="N39" s="29">
        <f>IF(E39="Có",4,0)</f>
        <v>0</v>
      </c>
      <c r="O39" s="29">
        <f>IF(H39&lt;23,0,IF(H39&lt;27.5,3,5))</f>
        <v>3</v>
      </c>
      <c r="P39" s="29">
        <f>IF(OR(AND(B39="Nam",I39&gt;=90),AND(B39="Nữ",I39&gt;=80)),2,0)</f>
        <v>0</v>
      </c>
      <c r="Q39" s="29">
        <f>IF(OR(J39&gt;=140,K39&gt;=90),2,0)</f>
        <v>0</v>
      </c>
      <c r="R39" s="29">
        <f ca="1">SUM(L39:Q39)</f>
        <v>6</v>
      </c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5" t="s">
        <v>1393</v>
      </c>
      <c r="AE39" s="33"/>
      <c r="AF39" s="59" t="str">
        <f t="shared" si="1"/>
        <v>Không</v>
      </c>
      <c r="AG39" s="59" t="str">
        <f t="shared" si="2"/>
        <v>Không</v>
      </c>
      <c r="AH39" s="29" t="str">
        <f t="shared" ca="1" si="0"/>
        <v>Có</v>
      </c>
      <c r="AI39" s="29" t="str">
        <f ca="1">IF((R39)&gt;=6,"Có","Không")</f>
        <v>Có</v>
      </c>
      <c r="AJ39" s="29" t="str">
        <f>IF(OR(J39&gt;=140,K39&gt;=90),"Có","Không")</f>
        <v>Không</v>
      </c>
      <c r="AK39" s="5" t="s">
        <v>91</v>
      </c>
      <c r="AL39" s="32">
        <v>46053</v>
      </c>
      <c r="AM39" s="29" t="str">
        <f>"Tháng "&amp;MONTH(AL39)</f>
        <v>Tháng 1</v>
      </c>
      <c r="AN39" s="29" t="str">
        <f>LEFT(AK39,FIND(",",AK39)-1)</f>
        <v>Ấp Giồng Giữa</v>
      </c>
    </row>
    <row r="40" spans="1:40" x14ac:dyDescent="0.25">
      <c r="A40" s="49" t="s">
        <v>807</v>
      </c>
      <c r="B40" s="5" t="s">
        <v>23</v>
      </c>
      <c r="C40" s="5" t="s">
        <v>64</v>
      </c>
      <c r="D40" s="29">
        <f ca="1">DATEDIF(C40,TODAY(),"Y")</f>
        <v>42</v>
      </c>
      <c r="E40" s="5" t="s">
        <v>26</v>
      </c>
      <c r="F40" s="30">
        <v>160</v>
      </c>
      <c r="G40" s="30">
        <v>70</v>
      </c>
      <c r="H40" s="31">
        <f>G40/((F40/100)*(F40/100))</f>
        <v>27.343749999999996</v>
      </c>
      <c r="I40" s="5">
        <v>93</v>
      </c>
      <c r="J40" s="30">
        <v>120</v>
      </c>
      <c r="K40" s="30">
        <v>80</v>
      </c>
      <c r="L40" s="29">
        <f>IF(B40="Nữ",0,2)</f>
        <v>0</v>
      </c>
      <c r="M40" s="29">
        <f ca="1">IF(D40&lt;45,0,IF(D40&lt;=49,1,2))</f>
        <v>0</v>
      </c>
      <c r="N40" s="29">
        <f>IF(E40="Có",4,0)</f>
        <v>0</v>
      </c>
      <c r="O40" s="29">
        <f>IF(H40&lt;23,0,IF(H40&lt;27.5,3,5))</f>
        <v>3</v>
      </c>
      <c r="P40" s="29">
        <f>IF(OR(AND(B40="Nam",I40&gt;=90),AND(B40="Nữ",I40&gt;=80)),2,0)</f>
        <v>2</v>
      </c>
      <c r="Q40" s="29">
        <f>IF(OR(J40&gt;=140,K40&gt;=90),2,0)</f>
        <v>0</v>
      </c>
      <c r="R40" s="29">
        <f ca="1">SUM(L40:Q40)</f>
        <v>5</v>
      </c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5" t="s">
        <v>1393</v>
      </c>
      <c r="AE40" s="33"/>
      <c r="AF40" s="59" t="str">
        <f t="shared" si="1"/>
        <v>Không</v>
      </c>
      <c r="AG40" s="59" t="str">
        <f t="shared" si="2"/>
        <v>Không</v>
      </c>
      <c r="AH40" s="29" t="str">
        <f t="shared" ca="1" si="0"/>
        <v>Không</v>
      </c>
      <c r="AI40" s="29" t="str">
        <f ca="1">IF((R40)&gt;=6,"Có","Không")</f>
        <v>Không</v>
      </c>
      <c r="AJ40" s="29" t="str">
        <f>IF(OR(J40&gt;=140,K40&gt;=90),"Có","Không")</f>
        <v>Không</v>
      </c>
      <c r="AK40" s="5" t="s">
        <v>51</v>
      </c>
      <c r="AL40" s="32">
        <v>46053</v>
      </c>
      <c r="AM40" s="29" t="str">
        <f>"Tháng "&amp;MONTH(AL40)</f>
        <v>Tháng 1</v>
      </c>
      <c r="AN40" s="29" t="str">
        <f>LEFT(AK40,FIND(",",AK40)-1)</f>
        <v>Phường Hiệp Thành</v>
      </c>
    </row>
    <row r="41" spans="1:40" x14ac:dyDescent="0.25">
      <c r="A41" s="49" t="s">
        <v>809</v>
      </c>
      <c r="B41" s="5" t="s">
        <v>23</v>
      </c>
      <c r="C41" s="5" t="s">
        <v>67</v>
      </c>
      <c r="D41" s="29">
        <f ca="1">DATEDIF(C41,TODAY(),"Y")</f>
        <v>48</v>
      </c>
      <c r="E41" s="5" t="s">
        <v>26</v>
      </c>
      <c r="F41" s="30">
        <v>158</v>
      </c>
      <c r="G41" s="30">
        <v>58</v>
      </c>
      <c r="H41" s="31">
        <f>G41/((F41/100)*(F41/100))</f>
        <v>23.233456176894723</v>
      </c>
      <c r="I41" s="5">
        <v>74</v>
      </c>
      <c r="J41" s="30">
        <v>120</v>
      </c>
      <c r="K41" s="30">
        <v>80</v>
      </c>
      <c r="L41" s="29">
        <f>IF(B41="Nữ",0,2)</f>
        <v>0</v>
      </c>
      <c r="M41" s="29">
        <f ca="1">IF(D41&lt;45,0,IF(D41&lt;=49,1,2))</f>
        <v>1</v>
      </c>
      <c r="N41" s="29">
        <f>IF(E41="Có",4,0)</f>
        <v>0</v>
      </c>
      <c r="O41" s="29">
        <f>IF(H41&lt;23,0,IF(H41&lt;27.5,3,5))</f>
        <v>3</v>
      </c>
      <c r="P41" s="29">
        <f>IF(OR(AND(B41="Nam",I41&gt;=90),AND(B41="Nữ",I41&gt;=80)),2,0)</f>
        <v>0</v>
      </c>
      <c r="Q41" s="29">
        <f>IF(OR(J41&gt;=140,K41&gt;=90),2,0)</f>
        <v>0</v>
      </c>
      <c r="R41" s="29">
        <f ca="1">SUM(L41:Q41)</f>
        <v>4</v>
      </c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5" t="s">
        <v>1393</v>
      </c>
      <c r="AE41" s="33"/>
      <c r="AF41" s="59" t="str">
        <f t="shared" si="1"/>
        <v>Không</v>
      </c>
      <c r="AG41" s="59" t="str">
        <f t="shared" si="2"/>
        <v>Không</v>
      </c>
      <c r="AH41" s="29" t="str">
        <f t="shared" ca="1" si="0"/>
        <v>Không</v>
      </c>
      <c r="AI41" s="29" t="str">
        <f ca="1">IF((R41)&gt;=6,"Có","Không")</f>
        <v>Không</v>
      </c>
      <c r="AJ41" s="29" t="str">
        <f>IF(OR(J41&gt;=140,K41&gt;=90),"Có","Không")</f>
        <v>Không</v>
      </c>
      <c r="AK41" s="5" t="s">
        <v>51</v>
      </c>
      <c r="AL41" s="32">
        <v>46053</v>
      </c>
      <c r="AM41" s="29" t="str">
        <f>"Tháng "&amp;MONTH(AL41)</f>
        <v>Tháng 1</v>
      </c>
      <c r="AN41" s="29" t="str">
        <f>LEFT(AK41,FIND(",",AK41)-1)</f>
        <v>Phường Hiệp Thành</v>
      </c>
    </row>
    <row r="42" spans="1:40" x14ac:dyDescent="0.25">
      <c r="A42" s="49" t="s">
        <v>814</v>
      </c>
      <c r="B42" s="5" t="s">
        <v>30</v>
      </c>
      <c r="C42" s="5" t="s">
        <v>373</v>
      </c>
      <c r="D42" s="29">
        <f ca="1">DATEDIF(C42,TODAY(),"Y")</f>
        <v>61</v>
      </c>
      <c r="E42" s="5" t="s">
        <v>25</v>
      </c>
      <c r="F42" s="30">
        <v>169</v>
      </c>
      <c r="G42" s="30">
        <v>69</v>
      </c>
      <c r="H42" s="31">
        <f>G42/((F42/100)*(F42/100))</f>
        <v>24.158817968558527</v>
      </c>
      <c r="I42" s="5">
        <v>76</v>
      </c>
      <c r="J42" s="30">
        <v>120</v>
      </c>
      <c r="K42" s="30">
        <v>80</v>
      </c>
      <c r="L42" s="29">
        <f>IF(B42="Nữ",0,2)</f>
        <v>2</v>
      </c>
      <c r="M42" s="29">
        <f ca="1">IF(D42&lt;45,0,IF(D42&lt;=49,1,2))</f>
        <v>2</v>
      </c>
      <c r="N42" s="29">
        <f>IF(E42="Có",4,0)</f>
        <v>4</v>
      </c>
      <c r="O42" s="29">
        <f>IF(H42&lt;23,0,IF(H42&lt;27.5,3,5))</f>
        <v>3</v>
      </c>
      <c r="P42" s="29">
        <f>IF(OR(AND(B42="Nam",I42&gt;=90),AND(B42="Nữ",I42&gt;=80)),2,0)</f>
        <v>0</v>
      </c>
      <c r="Q42" s="29">
        <f>IF(OR(J42&gt;=140,K42&gt;=90),2,0)</f>
        <v>0</v>
      </c>
      <c r="R42" s="29">
        <f ca="1">SUM(L42:Q42)</f>
        <v>11</v>
      </c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5" t="s">
        <v>1393</v>
      </c>
      <c r="AE42" s="33"/>
      <c r="AF42" s="59" t="str">
        <f t="shared" si="1"/>
        <v>Không</v>
      </c>
      <c r="AG42" s="59" t="str">
        <f t="shared" si="2"/>
        <v>Không</v>
      </c>
      <c r="AH42" s="29" t="str">
        <f t="shared" ca="1" si="0"/>
        <v>Có</v>
      </c>
      <c r="AI42" s="29" t="str">
        <f ca="1">IF((R42)&gt;=6,"Có","Không")</f>
        <v>Có</v>
      </c>
      <c r="AJ42" s="29" t="str">
        <f>IF(OR(J42&gt;=140,K42&gt;=90),"Có","Không")</f>
        <v>Không</v>
      </c>
      <c r="AK42" s="5" t="s">
        <v>815</v>
      </c>
      <c r="AL42" s="32">
        <v>46053</v>
      </c>
      <c r="AM42" s="29" t="str">
        <f>"Tháng "&amp;MONTH(AL42)</f>
        <v>Tháng 1</v>
      </c>
      <c r="AN42" s="29" t="str">
        <f>LEFT(AK42,FIND(",",AK42)-1)</f>
        <v>Biển Đông B</v>
      </c>
    </row>
    <row r="43" spans="1:40" x14ac:dyDescent="0.25">
      <c r="A43" s="49" t="s">
        <v>816</v>
      </c>
      <c r="B43" s="5" t="s">
        <v>23</v>
      </c>
      <c r="C43" s="5" t="s">
        <v>146</v>
      </c>
      <c r="D43" s="29">
        <f ca="1">DATEDIF(C43,TODAY(),"Y")</f>
        <v>52</v>
      </c>
      <c r="E43" s="5" t="s">
        <v>26</v>
      </c>
      <c r="F43" s="30">
        <v>158</v>
      </c>
      <c r="G43" s="30">
        <v>58</v>
      </c>
      <c r="H43" s="31">
        <f>G43/((F43/100)*(F43/100))</f>
        <v>23.233456176894723</v>
      </c>
      <c r="I43" s="5">
        <v>94</v>
      </c>
      <c r="J43" s="30">
        <v>120</v>
      </c>
      <c r="K43" s="30">
        <v>80</v>
      </c>
      <c r="L43" s="29">
        <f>IF(B43="Nữ",0,2)</f>
        <v>0</v>
      </c>
      <c r="M43" s="29">
        <f ca="1">IF(D43&lt;45,0,IF(D43&lt;=49,1,2))</f>
        <v>2</v>
      </c>
      <c r="N43" s="29">
        <f>IF(E43="Có",4,0)</f>
        <v>0</v>
      </c>
      <c r="O43" s="29">
        <f>IF(H43&lt;23,0,IF(H43&lt;27.5,3,5))</f>
        <v>3</v>
      </c>
      <c r="P43" s="29">
        <f>IF(OR(AND(B43="Nam",I43&gt;=90),AND(B43="Nữ",I43&gt;=80)),2,0)</f>
        <v>2</v>
      </c>
      <c r="Q43" s="29">
        <f>IF(OR(J43&gt;=140,K43&gt;=90),2,0)</f>
        <v>0</v>
      </c>
      <c r="R43" s="29">
        <f ca="1">SUM(L43:Q43)</f>
        <v>7</v>
      </c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5" t="s">
        <v>1393</v>
      </c>
      <c r="AE43" s="33"/>
      <c r="AF43" s="59" t="str">
        <f t="shared" si="1"/>
        <v>Không</v>
      </c>
      <c r="AG43" s="59" t="str">
        <f t="shared" si="2"/>
        <v>Không</v>
      </c>
      <c r="AH43" s="29" t="str">
        <f t="shared" ca="1" si="0"/>
        <v>Có</v>
      </c>
      <c r="AI43" s="29" t="str">
        <f ca="1">IF((R43)&gt;=6,"Có","Không")</f>
        <v>Có</v>
      </c>
      <c r="AJ43" s="29" t="str">
        <f>IF(OR(J43&gt;=140,K43&gt;=90),"Có","Không")</f>
        <v>Không</v>
      </c>
      <c r="AK43" s="5" t="s">
        <v>381</v>
      </c>
      <c r="AL43" s="32">
        <v>46053</v>
      </c>
      <c r="AM43" s="29" t="str">
        <f>"Tháng "&amp;MONTH(AL43)</f>
        <v>Tháng 1</v>
      </c>
      <c r="AN43" s="29" t="str">
        <f>LEFT(AK43,FIND(",",AK43)-1)</f>
        <v>Ấp Biển Đông B</v>
      </c>
    </row>
    <row r="44" spans="1:40" x14ac:dyDescent="0.25">
      <c r="A44" s="49" t="s">
        <v>817</v>
      </c>
      <c r="B44" s="5" t="s">
        <v>30</v>
      </c>
      <c r="C44" s="5" t="s">
        <v>268</v>
      </c>
      <c r="D44" s="29">
        <f ca="1">DATEDIF(C44,TODAY(),"Y")</f>
        <v>44</v>
      </c>
      <c r="E44" s="5" t="s">
        <v>26</v>
      </c>
      <c r="F44" s="30">
        <v>169</v>
      </c>
      <c r="G44" s="30">
        <v>69</v>
      </c>
      <c r="H44" s="31">
        <f>G44/((F44/100)*(F44/100))</f>
        <v>24.158817968558527</v>
      </c>
      <c r="I44" s="5">
        <v>66</v>
      </c>
      <c r="J44" s="30">
        <v>140</v>
      </c>
      <c r="K44" s="30">
        <v>80</v>
      </c>
      <c r="L44" s="29">
        <f>IF(B44="Nữ",0,2)</f>
        <v>2</v>
      </c>
      <c r="M44" s="29">
        <f ca="1">IF(D44&lt;45,0,IF(D44&lt;=49,1,2))</f>
        <v>0</v>
      </c>
      <c r="N44" s="29">
        <f>IF(E44="Có",4,0)</f>
        <v>0</v>
      </c>
      <c r="O44" s="29">
        <f>IF(H44&lt;23,0,IF(H44&lt;27.5,3,5))</f>
        <v>3</v>
      </c>
      <c r="P44" s="29">
        <f>IF(OR(AND(B44="Nam",I44&gt;=90),AND(B44="Nữ",I44&gt;=80)),2,0)</f>
        <v>0</v>
      </c>
      <c r="Q44" s="29">
        <f>IF(OR(J44&gt;=140,K44&gt;=90),2,0)</f>
        <v>2</v>
      </c>
      <c r="R44" s="29">
        <f ca="1">SUM(L44:Q44)</f>
        <v>7</v>
      </c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5" t="s">
        <v>1393</v>
      </c>
      <c r="AE44" s="33"/>
      <c r="AF44" s="59" t="str">
        <f t="shared" si="1"/>
        <v>Không</v>
      </c>
      <c r="AG44" s="59" t="str">
        <f t="shared" si="2"/>
        <v>Không</v>
      </c>
      <c r="AH44" s="29" t="str">
        <f t="shared" ca="1" si="0"/>
        <v>Có</v>
      </c>
      <c r="AI44" s="29" t="str">
        <f ca="1">IF((R44)&gt;=6,"Có","Không")</f>
        <v>Có</v>
      </c>
      <c r="AJ44" s="29" t="str">
        <f>IF(OR(J44&gt;=140,K44&gt;=90),"Có","Không")</f>
        <v>Có</v>
      </c>
      <c r="AK44" s="5" t="s">
        <v>818</v>
      </c>
      <c r="AL44" s="32">
        <v>46053</v>
      </c>
      <c r="AM44" s="29" t="str">
        <f>"Tháng "&amp;MONTH(AL44)</f>
        <v>Tháng 1</v>
      </c>
      <c r="AN44" s="29" t="str">
        <f>LEFT(AK44,FIND(",",AK44)-1)</f>
        <v>ấp Biển đông A</v>
      </c>
    </row>
    <row r="45" spans="1:40" x14ac:dyDescent="0.25">
      <c r="A45" s="49" t="s">
        <v>819</v>
      </c>
      <c r="B45" s="5" t="s">
        <v>30</v>
      </c>
      <c r="C45" s="5" t="s">
        <v>90</v>
      </c>
      <c r="D45" s="29">
        <f ca="1">DATEDIF(C45,TODAY(),"Y")</f>
        <v>54</v>
      </c>
      <c r="E45" s="5" t="s">
        <v>26</v>
      </c>
      <c r="F45" s="30">
        <v>169</v>
      </c>
      <c r="G45" s="30">
        <v>69</v>
      </c>
      <c r="H45" s="31">
        <f>G45/((F45/100)*(F45/100))</f>
        <v>24.158817968558527</v>
      </c>
      <c r="I45" s="5">
        <v>94</v>
      </c>
      <c r="J45" s="30">
        <v>140</v>
      </c>
      <c r="K45" s="30">
        <v>80</v>
      </c>
      <c r="L45" s="29">
        <f>IF(B45="Nữ",0,2)</f>
        <v>2</v>
      </c>
      <c r="M45" s="29">
        <f ca="1">IF(D45&lt;45,0,IF(D45&lt;=49,1,2))</f>
        <v>2</v>
      </c>
      <c r="N45" s="29">
        <f>IF(E45="Có",4,0)</f>
        <v>0</v>
      </c>
      <c r="O45" s="29">
        <f>IF(H45&lt;23,0,IF(H45&lt;27.5,3,5))</f>
        <v>3</v>
      </c>
      <c r="P45" s="29">
        <f>IF(OR(AND(B45="Nam",I45&gt;=90),AND(B45="Nữ",I45&gt;=80)),2,0)</f>
        <v>2</v>
      </c>
      <c r="Q45" s="29">
        <f>IF(OR(J45&gt;=140,K45&gt;=90),2,0)</f>
        <v>2</v>
      </c>
      <c r="R45" s="29">
        <f ca="1">SUM(L45:Q45)</f>
        <v>11</v>
      </c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5" t="s">
        <v>1393</v>
      </c>
      <c r="AE45" s="33"/>
      <c r="AF45" s="59" t="str">
        <f t="shared" si="1"/>
        <v>Không</v>
      </c>
      <c r="AG45" s="59" t="str">
        <f t="shared" si="2"/>
        <v>Không</v>
      </c>
      <c r="AH45" s="29" t="str">
        <f t="shared" ca="1" si="0"/>
        <v>Có</v>
      </c>
      <c r="AI45" s="29" t="str">
        <f ca="1">IF((R45)&gt;=6,"Có","Không")</f>
        <v>Có</v>
      </c>
      <c r="AJ45" s="29" t="str">
        <f>IF(OR(J45&gt;=140,K45&gt;=90),"Có","Không")</f>
        <v>Có</v>
      </c>
      <c r="AK45" s="5" t="s">
        <v>308</v>
      </c>
      <c r="AL45" s="32">
        <v>46053</v>
      </c>
      <c r="AM45" s="29" t="str">
        <f>"Tháng "&amp;MONTH(AL45)</f>
        <v>Tháng 1</v>
      </c>
      <c r="AN45" s="29" t="str">
        <f>LEFT(AK45,FIND(",",AK45)-1)</f>
        <v>ấp Giồng Giữa A</v>
      </c>
    </row>
    <row r="46" spans="1:40" x14ac:dyDescent="0.25">
      <c r="A46" s="49" t="s">
        <v>829</v>
      </c>
      <c r="B46" s="5" t="s">
        <v>30</v>
      </c>
      <c r="C46" s="5" t="s">
        <v>133</v>
      </c>
      <c r="D46" s="29">
        <f ca="1">DATEDIF(C46,TODAY(),"Y")</f>
        <v>56</v>
      </c>
      <c r="E46" s="5" t="s">
        <v>26</v>
      </c>
      <c r="F46" s="30">
        <v>168</v>
      </c>
      <c r="G46" s="30">
        <v>68</v>
      </c>
      <c r="H46" s="31">
        <f>G46/((F46/100)*(F46/100))</f>
        <v>24.092970521541954</v>
      </c>
      <c r="I46" s="5">
        <v>85</v>
      </c>
      <c r="J46" s="30">
        <v>160</v>
      </c>
      <c r="K46" s="30">
        <v>90</v>
      </c>
      <c r="L46" s="29">
        <f>IF(B46="Nữ",0,2)</f>
        <v>2</v>
      </c>
      <c r="M46" s="29">
        <f ca="1">IF(D46&lt;45,0,IF(D46&lt;=49,1,2))</f>
        <v>2</v>
      </c>
      <c r="N46" s="29">
        <f>IF(E46="Có",4,0)</f>
        <v>0</v>
      </c>
      <c r="O46" s="29">
        <f>IF(H46&lt;23,0,IF(H46&lt;27.5,3,5))</f>
        <v>3</v>
      </c>
      <c r="P46" s="29">
        <f>IF(OR(AND(B46="Nam",I46&gt;=90),AND(B46="Nữ",I46&gt;=80)),2,0)</f>
        <v>0</v>
      </c>
      <c r="Q46" s="29">
        <f>IF(OR(J46&gt;=140,K46&gt;=90),2,0)</f>
        <v>2</v>
      </c>
      <c r="R46" s="29">
        <f ca="1">SUM(L46:Q46)</f>
        <v>9</v>
      </c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5" t="s">
        <v>1393</v>
      </c>
      <c r="AE46" s="33"/>
      <c r="AF46" s="59" t="str">
        <f t="shared" si="1"/>
        <v>Không</v>
      </c>
      <c r="AG46" s="59" t="str">
        <f t="shared" si="2"/>
        <v>Không</v>
      </c>
      <c r="AH46" s="29" t="str">
        <f t="shared" ca="1" si="0"/>
        <v>Có</v>
      </c>
      <c r="AI46" s="29" t="str">
        <f ca="1">IF((R46)&gt;=6,"Có","Không")</f>
        <v>Có</v>
      </c>
      <c r="AJ46" s="29" t="str">
        <f>IF(OR(J46&gt;=140,K46&gt;=90),"Có","Không")</f>
        <v>Có</v>
      </c>
      <c r="AK46" s="5" t="s">
        <v>51</v>
      </c>
      <c r="AL46" s="32">
        <v>46053</v>
      </c>
      <c r="AM46" s="29" t="str">
        <f>"Tháng "&amp;MONTH(AL46)</f>
        <v>Tháng 1</v>
      </c>
      <c r="AN46" s="29" t="str">
        <f>LEFT(AK46,FIND(",",AK46)-1)</f>
        <v>Phường Hiệp Thành</v>
      </c>
    </row>
    <row r="47" spans="1:40" x14ac:dyDescent="0.25">
      <c r="A47" s="49" t="s">
        <v>831</v>
      </c>
      <c r="B47" s="5" t="s">
        <v>23</v>
      </c>
      <c r="C47" s="5" t="s">
        <v>138</v>
      </c>
      <c r="D47" s="29">
        <f ca="1">DATEDIF(C47,TODAY(),"Y")</f>
        <v>67</v>
      </c>
      <c r="E47" s="5" t="s">
        <v>26</v>
      </c>
      <c r="F47" s="30">
        <v>168</v>
      </c>
      <c r="G47" s="30">
        <v>68</v>
      </c>
      <c r="H47" s="31">
        <f>G47/((F47/100)*(F47/100))</f>
        <v>24.092970521541954</v>
      </c>
      <c r="I47" s="5">
        <v>80</v>
      </c>
      <c r="J47" s="30">
        <v>130</v>
      </c>
      <c r="K47" s="30">
        <v>80</v>
      </c>
      <c r="L47" s="29">
        <f>IF(B47="Nữ",0,2)</f>
        <v>0</v>
      </c>
      <c r="M47" s="29">
        <f ca="1">IF(D47&lt;45,0,IF(D47&lt;=49,1,2))</f>
        <v>2</v>
      </c>
      <c r="N47" s="29">
        <f>IF(E47="Có",4,0)</f>
        <v>0</v>
      </c>
      <c r="O47" s="29">
        <f>IF(H47&lt;23,0,IF(H47&lt;27.5,3,5))</f>
        <v>3</v>
      </c>
      <c r="P47" s="29">
        <f>IF(OR(AND(B47="Nam",I47&gt;=90),AND(B47="Nữ",I47&gt;=80)),2,0)</f>
        <v>2</v>
      </c>
      <c r="Q47" s="29">
        <f>IF(OR(J47&gt;=140,K47&gt;=90),2,0)</f>
        <v>0</v>
      </c>
      <c r="R47" s="29">
        <f ca="1">SUM(L47:Q47)</f>
        <v>7</v>
      </c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5" t="s">
        <v>1393</v>
      </c>
      <c r="AE47" s="33"/>
      <c r="AF47" s="59" t="str">
        <f t="shared" si="1"/>
        <v>Không</v>
      </c>
      <c r="AG47" s="59" t="str">
        <f t="shared" si="2"/>
        <v>Không</v>
      </c>
      <c r="AH47" s="29" t="str">
        <f t="shared" ca="1" si="0"/>
        <v>Có</v>
      </c>
      <c r="AI47" s="29" t="str">
        <f ca="1">IF((R47)&gt;=6,"Có","Không")</f>
        <v>Có</v>
      </c>
      <c r="AJ47" s="29" t="str">
        <f>IF(OR(J47&gt;=140,K47&gt;=90),"Có","Không")</f>
        <v>Không</v>
      </c>
      <c r="AK47" s="5" t="s">
        <v>38</v>
      </c>
      <c r="AL47" s="32">
        <v>46053</v>
      </c>
      <c r="AM47" s="29" t="str">
        <f>"Tháng "&amp;MONTH(AL47)</f>
        <v>Tháng 1</v>
      </c>
      <c r="AN47" s="29" t="str">
        <f>LEFT(AK47,FIND(",",AK47)-1)</f>
        <v>Ấp Biển Đông B</v>
      </c>
    </row>
    <row r="48" spans="1:40" x14ac:dyDescent="0.25">
      <c r="A48" s="49" t="s">
        <v>833</v>
      </c>
      <c r="B48" s="5" t="s">
        <v>23</v>
      </c>
      <c r="C48" s="5" t="s">
        <v>84</v>
      </c>
      <c r="D48" s="29">
        <f ca="1">DATEDIF(C48,TODAY(),"Y")</f>
        <v>69</v>
      </c>
      <c r="E48" s="5" t="s">
        <v>25</v>
      </c>
      <c r="F48" s="30">
        <v>160</v>
      </c>
      <c r="G48" s="30">
        <v>65</v>
      </c>
      <c r="H48" s="31">
        <f>G48/((F48/100)*(F48/100))</f>
        <v>25.390624999999996</v>
      </c>
      <c r="I48" s="5">
        <v>76</v>
      </c>
      <c r="J48" s="30">
        <v>120</v>
      </c>
      <c r="K48" s="30">
        <v>70</v>
      </c>
      <c r="L48" s="29">
        <f>IF(B48="Nữ",0,2)</f>
        <v>0</v>
      </c>
      <c r="M48" s="29">
        <f ca="1">IF(D48&lt;45,0,IF(D48&lt;=49,1,2))</f>
        <v>2</v>
      </c>
      <c r="N48" s="29">
        <f>IF(E48="Có",4,0)</f>
        <v>4</v>
      </c>
      <c r="O48" s="29">
        <f>IF(H48&lt;23,0,IF(H48&lt;27.5,3,5))</f>
        <v>3</v>
      </c>
      <c r="P48" s="29">
        <f>IF(OR(AND(B48="Nam",I48&gt;=90),AND(B48="Nữ",I48&gt;=80)),2,0)</f>
        <v>0</v>
      </c>
      <c r="Q48" s="29">
        <f>IF(OR(J48&gt;=140,K48&gt;=90),2,0)</f>
        <v>0</v>
      </c>
      <c r="R48" s="29">
        <f ca="1">SUM(L48:Q48)</f>
        <v>9</v>
      </c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5" t="s">
        <v>1393</v>
      </c>
      <c r="AE48" s="33"/>
      <c r="AF48" s="59" t="str">
        <f t="shared" si="1"/>
        <v>Không</v>
      </c>
      <c r="AG48" s="59" t="str">
        <f t="shared" si="2"/>
        <v>Không</v>
      </c>
      <c r="AH48" s="29" t="str">
        <f t="shared" ca="1" si="0"/>
        <v>Có</v>
      </c>
      <c r="AI48" s="29" t="str">
        <f ca="1">IF((R48)&gt;=6,"Có","Không")</f>
        <v>Có</v>
      </c>
      <c r="AJ48" s="29" t="str">
        <f>IF(OR(J48&gt;=140,K48&gt;=90),"Có","Không")</f>
        <v>Không</v>
      </c>
      <c r="AK48" s="5" t="s">
        <v>834</v>
      </c>
      <c r="AL48" s="32">
        <v>46053</v>
      </c>
      <c r="AM48" s="29" t="str">
        <f>"Tháng "&amp;MONTH(AL48)</f>
        <v>Tháng 1</v>
      </c>
      <c r="AN48" s="29" t="str">
        <f>LEFT(AK48,FIND(",",AK48)-1)</f>
        <v>ấp Giòng Nhãn A</v>
      </c>
    </row>
    <row r="49" spans="1:40" x14ac:dyDescent="0.25">
      <c r="A49" s="49" t="s">
        <v>835</v>
      </c>
      <c r="B49" s="5" t="s">
        <v>30</v>
      </c>
      <c r="C49" s="5" t="s">
        <v>50</v>
      </c>
      <c r="D49" s="29">
        <f ca="1">DATEDIF(C49,TODAY(),"Y")</f>
        <v>58</v>
      </c>
      <c r="E49" s="5" t="s">
        <v>26</v>
      </c>
      <c r="F49" s="30">
        <v>170</v>
      </c>
      <c r="G49" s="30">
        <v>68</v>
      </c>
      <c r="H49" s="31">
        <f>G49/((F49/100)*(F49/100))</f>
        <v>23.529411764705884</v>
      </c>
      <c r="I49" s="5">
        <v>68</v>
      </c>
      <c r="J49" s="30">
        <v>150</v>
      </c>
      <c r="K49" s="30">
        <v>80</v>
      </c>
      <c r="L49" s="29">
        <f>IF(B49="Nữ",0,2)</f>
        <v>2</v>
      </c>
      <c r="M49" s="29">
        <f ca="1">IF(D49&lt;45,0,IF(D49&lt;=49,1,2))</f>
        <v>2</v>
      </c>
      <c r="N49" s="29">
        <f>IF(E49="Có",4,0)</f>
        <v>0</v>
      </c>
      <c r="O49" s="29">
        <f>IF(H49&lt;23,0,IF(H49&lt;27.5,3,5))</f>
        <v>3</v>
      </c>
      <c r="P49" s="29">
        <f>IF(OR(AND(B49="Nam",I49&gt;=90),AND(B49="Nữ",I49&gt;=80)),2,0)</f>
        <v>0</v>
      </c>
      <c r="Q49" s="29">
        <f>IF(OR(J49&gt;=140,K49&gt;=90),2,0)</f>
        <v>2</v>
      </c>
      <c r="R49" s="29">
        <f ca="1">SUM(L49:Q49)</f>
        <v>9</v>
      </c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5" t="s">
        <v>1393</v>
      </c>
      <c r="AE49" s="33"/>
      <c r="AF49" s="59" t="str">
        <f t="shared" si="1"/>
        <v>Không</v>
      </c>
      <c r="AG49" s="59" t="str">
        <f t="shared" si="2"/>
        <v>Không</v>
      </c>
      <c r="AH49" s="29" t="str">
        <f t="shared" ca="1" si="0"/>
        <v>Có</v>
      </c>
      <c r="AI49" s="29" t="str">
        <f ca="1">IF((R49)&gt;=6,"Có","Không")</f>
        <v>Có</v>
      </c>
      <c r="AJ49" s="29" t="str">
        <f>IF(OR(J49&gt;=140,K49&gt;=90),"Có","Không")</f>
        <v>Có</v>
      </c>
      <c r="AK49" s="5" t="s">
        <v>51</v>
      </c>
      <c r="AL49" s="32">
        <v>46053</v>
      </c>
      <c r="AM49" s="29" t="str">
        <f>"Tháng "&amp;MONTH(AL49)</f>
        <v>Tháng 1</v>
      </c>
      <c r="AN49" s="29" t="str">
        <f>LEFT(AK49,FIND(",",AK49)-1)</f>
        <v>Phường Hiệp Thành</v>
      </c>
    </row>
    <row r="50" spans="1:40" x14ac:dyDescent="0.25">
      <c r="A50" s="49" t="s">
        <v>837</v>
      </c>
      <c r="B50" s="5" t="s">
        <v>23</v>
      </c>
      <c r="C50" s="5" t="s">
        <v>105</v>
      </c>
      <c r="D50" s="29">
        <f ca="1">DATEDIF(C50,TODAY(),"Y")</f>
        <v>60</v>
      </c>
      <c r="E50" s="5" t="s">
        <v>26</v>
      </c>
      <c r="F50" s="30">
        <v>158</v>
      </c>
      <c r="G50" s="30">
        <v>58</v>
      </c>
      <c r="H50" s="31">
        <f>G50/((F50/100)*(F50/100))</f>
        <v>23.233456176894723</v>
      </c>
      <c r="I50" s="5">
        <v>79</v>
      </c>
      <c r="J50" s="30">
        <v>140</v>
      </c>
      <c r="K50" s="30">
        <v>80</v>
      </c>
      <c r="L50" s="29">
        <f>IF(B50="Nữ",0,2)</f>
        <v>0</v>
      </c>
      <c r="M50" s="29">
        <f ca="1">IF(D50&lt;45,0,IF(D50&lt;=49,1,2))</f>
        <v>2</v>
      </c>
      <c r="N50" s="29">
        <f>IF(E50="Có",4,0)</f>
        <v>0</v>
      </c>
      <c r="O50" s="29">
        <f>IF(H50&lt;23,0,IF(H50&lt;27.5,3,5))</f>
        <v>3</v>
      </c>
      <c r="P50" s="29">
        <f>IF(OR(AND(B50="Nam",I50&gt;=90),AND(B50="Nữ",I50&gt;=80)),2,0)</f>
        <v>0</v>
      </c>
      <c r="Q50" s="29">
        <f>IF(OR(J50&gt;=140,K50&gt;=90),2,0)</f>
        <v>2</v>
      </c>
      <c r="R50" s="29">
        <f ca="1">SUM(L50:Q50)</f>
        <v>7</v>
      </c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5" t="s">
        <v>1393</v>
      </c>
      <c r="AE50" s="33"/>
      <c r="AF50" s="59" t="str">
        <f t="shared" si="1"/>
        <v>Không</v>
      </c>
      <c r="AG50" s="59" t="str">
        <f t="shared" si="2"/>
        <v>Không</v>
      </c>
      <c r="AH50" s="29" t="str">
        <f t="shared" ca="1" si="0"/>
        <v>Có</v>
      </c>
      <c r="AI50" s="29" t="str">
        <f ca="1">IF((R50)&gt;=6,"Có","Không")</f>
        <v>Có</v>
      </c>
      <c r="AJ50" s="29" t="str">
        <f>IF(OR(J50&gt;=140,K50&gt;=90),"Có","Không")</f>
        <v>Có</v>
      </c>
      <c r="AK50" s="5" t="s">
        <v>838</v>
      </c>
      <c r="AL50" s="32">
        <v>46053</v>
      </c>
      <c r="AM50" s="29" t="str">
        <f>"Tháng "&amp;MONTH(AL50)</f>
        <v>Tháng 1</v>
      </c>
      <c r="AN50" s="29" t="str">
        <f>LEFT(AK50,FIND(",",AK50)-1)</f>
        <v>Phường 7</v>
      </c>
    </row>
    <row r="51" spans="1:40" x14ac:dyDescent="0.25">
      <c r="A51" s="49" t="s">
        <v>884</v>
      </c>
      <c r="B51" s="5" t="s">
        <v>23</v>
      </c>
      <c r="C51" s="5" t="s">
        <v>45</v>
      </c>
      <c r="D51" s="29">
        <f ca="1">DATEDIF(C51,TODAY(),"Y")</f>
        <v>50</v>
      </c>
      <c r="E51" s="5" t="s">
        <v>26</v>
      </c>
      <c r="F51" s="30">
        <v>150</v>
      </c>
      <c r="G51" s="30">
        <v>53</v>
      </c>
      <c r="H51" s="31">
        <f>G51/((F51/100)*(F51/100))</f>
        <v>23.555555555555557</v>
      </c>
      <c r="I51" s="5">
        <v>94</v>
      </c>
      <c r="J51" s="30">
        <v>120</v>
      </c>
      <c r="K51" s="30">
        <v>80</v>
      </c>
      <c r="L51" s="29">
        <f>IF(B51="Nữ",0,2)</f>
        <v>0</v>
      </c>
      <c r="M51" s="29">
        <f ca="1">IF(D51&lt;45,0,IF(D51&lt;=49,1,2))</f>
        <v>2</v>
      </c>
      <c r="N51" s="29">
        <f>IF(E51="Có",4,0)</f>
        <v>0</v>
      </c>
      <c r="O51" s="29">
        <f>IF(H51&lt;23,0,IF(H51&lt;27.5,3,5))</f>
        <v>3</v>
      </c>
      <c r="P51" s="29">
        <f>IF(OR(AND(B51="Nam",I51&gt;=90),AND(B51="Nữ",I51&gt;=80)),2,0)</f>
        <v>2</v>
      </c>
      <c r="Q51" s="29">
        <f>IF(OR(J51&gt;=140,K51&gt;=90),2,0)</f>
        <v>0</v>
      </c>
      <c r="R51" s="29">
        <f ca="1">SUM(L51:Q51)</f>
        <v>7</v>
      </c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5" t="s">
        <v>1393</v>
      </c>
      <c r="AE51" s="33"/>
      <c r="AF51" s="59" t="str">
        <f t="shared" si="1"/>
        <v>Không</v>
      </c>
      <c r="AG51" s="59" t="str">
        <f t="shared" si="2"/>
        <v>Không</v>
      </c>
      <c r="AH51" s="29" t="str">
        <f t="shared" ca="1" si="0"/>
        <v>Có</v>
      </c>
      <c r="AI51" s="29" t="str">
        <f ca="1">IF((R51)&gt;=6,"Có","Không")</f>
        <v>Có</v>
      </c>
      <c r="AJ51" s="29" t="str">
        <f>IF(OR(J51&gt;=140,K51&gt;=90),"Có","Không")</f>
        <v>Không</v>
      </c>
      <c r="AK51" s="5" t="s">
        <v>88</v>
      </c>
      <c r="AL51" s="32">
        <v>46053</v>
      </c>
      <c r="AM51" s="29" t="str">
        <f>"Tháng "&amp;MONTH(AL51)</f>
        <v>Tháng 1</v>
      </c>
      <c r="AN51" s="29" t="str">
        <f>LEFT(AK51,FIND(",",AK51)-1)</f>
        <v>Giồng Giữa</v>
      </c>
    </row>
    <row r="52" spans="1:40" x14ac:dyDescent="0.25">
      <c r="A52" s="49" t="s">
        <v>896</v>
      </c>
      <c r="B52" s="5" t="s">
        <v>23</v>
      </c>
      <c r="C52" s="5" t="s">
        <v>45</v>
      </c>
      <c r="D52" s="29">
        <f ca="1">DATEDIF(C52,TODAY(),"Y")</f>
        <v>50</v>
      </c>
      <c r="E52" s="5" t="s">
        <v>26</v>
      </c>
      <c r="F52" s="30">
        <v>156</v>
      </c>
      <c r="G52" s="30">
        <v>56</v>
      </c>
      <c r="H52" s="31">
        <f>G52/((F52/100)*(F52/100))</f>
        <v>23.011176857330703</v>
      </c>
      <c r="I52" s="5">
        <v>86</v>
      </c>
      <c r="J52" s="30">
        <v>120</v>
      </c>
      <c r="K52" s="30">
        <v>70</v>
      </c>
      <c r="L52" s="29">
        <f>IF(B52="Nữ",0,2)</f>
        <v>0</v>
      </c>
      <c r="M52" s="29">
        <f ca="1">IF(D52&lt;45,0,IF(D52&lt;=49,1,2))</f>
        <v>2</v>
      </c>
      <c r="N52" s="29">
        <f>IF(E52="Có",4,0)</f>
        <v>0</v>
      </c>
      <c r="O52" s="29">
        <f>IF(H52&lt;23,0,IF(H52&lt;27.5,3,5))</f>
        <v>3</v>
      </c>
      <c r="P52" s="29">
        <f>IF(OR(AND(B52="Nam",I52&gt;=90),AND(B52="Nữ",I52&gt;=80)),2,0)</f>
        <v>2</v>
      </c>
      <c r="Q52" s="29">
        <f>IF(OR(J52&gt;=140,K52&gt;=90),2,0)</f>
        <v>0</v>
      </c>
      <c r="R52" s="29">
        <f ca="1">SUM(L52:Q52)</f>
        <v>7</v>
      </c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5" t="s">
        <v>1393</v>
      </c>
      <c r="AE52" s="33"/>
      <c r="AF52" s="59" t="str">
        <f t="shared" si="1"/>
        <v>Không</v>
      </c>
      <c r="AG52" s="59" t="str">
        <f t="shared" si="2"/>
        <v>Không</v>
      </c>
      <c r="AH52" s="29" t="str">
        <f t="shared" ca="1" si="0"/>
        <v>Có</v>
      </c>
      <c r="AI52" s="29" t="str">
        <f ca="1">IF((R52)&gt;=6,"Có","Không")</f>
        <v>Có</v>
      </c>
      <c r="AJ52" s="29" t="str">
        <f>IF(OR(J52&gt;=140,K52&gt;=90),"Có","Không")</f>
        <v>Không</v>
      </c>
      <c r="AK52" s="5" t="s">
        <v>897</v>
      </c>
      <c r="AL52" s="32">
        <v>46053</v>
      </c>
      <c r="AM52" s="29" t="str">
        <f>"Tháng "&amp;MONTH(AL52)</f>
        <v>Tháng 1</v>
      </c>
      <c r="AN52" s="29" t="str">
        <f>LEFT(AK52,FIND(",",AK52)-1)</f>
        <v>Giồng Giữa</v>
      </c>
    </row>
    <row r="53" spans="1:40" x14ac:dyDescent="0.25">
      <c r="A53" s="49" t="s">
        <v>899</v>
      </c>
      <c r="B53" s="5" t="s">
        <v>23</v>
      </c>
      <c r="C53" s="5" t="s">
        <v>133</v>
      </c>
      <c r="D53" s="29">
        <f ca="1">DATEDIF(C53,TODAY(),"Y")</f>
        <v>56</v>
      </c>
      <c r="E53" s="5" t="s">
        <v>26</v>
      </c>
      <c r="F53" s="30">
        <v>158</v>
      </c>
      <c r="G53" s="30">
        <v>58</v>
      </c>
      <c r="H53" s="31">
        <f>G53/((F53/100)*(F53/100))</f>
        <v>23.233456176894723</v>
      </c>
      <c r="I53" s="5">
        <v>84</v>
      </c>
      <c r="J53" s="30">
        <v>120</v>
      </c>
      <c r="K53" s="30">
        <v>80</v>
      </c>
      <c r="L53" s="29">
        <f>IF(B53="Nữ",0,2)</f>
        <v>0</v>
      </c>
      <c r="M53" s="29">
        <f ca="1">IF(D53&lt;45,0,IF(D53&lt;=49,1,2))</f>
        <v>2</v>
      </c>
      <c r="N53" s="29">
        <f>IF(E53="Có",4,0)</f>
        <v>0</v>
      </c>
      <c r="O53" s="29">
        <f>IF(H53&lt;23,0,IF(H53&lt;27.5,3,5))</f>
        <v>3</v>
      </c>
      <c r="P53" s="29">
        <f>IF(OR(AND(B53="Nam",I53&gt;=90),AND(B53="Nữ",I53&gt;=80)),2,0)</f>
        <v>2</v>
      </c>
      <c r="Q53" s="29">
        <f>IF(OR(J53&gt;=140,K53&gt;=90),2,0)</f>
        <v>0</v>
      </c>
      <c r="R53" s="29">
        <f ca="1">SUM(L53:Q53)</f>
        <v>7</v>
      </c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5" t="s">
        <v>1393</v>
      </c>
      <c r="AE53" s="33"/>
      <c r="AF53" s="59" t="str">
        <f t="shared" si="1"/>
        <v>Không</v>
      </c>
      <c r="AG53" s="59" t="str">
        <f t="shared" si="2"/>
        <v>Không</v>
      </c>
      <c r="AH53" s="29" t="str">
        <f t="shared" ca="1" si="0"/>
        <v>Có</v>
      </c>
      <c r="AI53" s="29" t="str">
        <f ca="1">IF((R53)&gt;=6,"Có","Không")</f>
        <v>Có</v>
      </c>
      <c r="AJ53" s="29" t="str">
        <f>IF(OR(J53&gt;=140,K53&gt;=90),"Có","Không")</f>
        <v>Không</v>
      </c>
      <c r="AK53" s="5" t="s">
        <v>51</v>
      </c>
      <c r="AL53" s="32">
        <v>46053</v>
      </c>
      <c r="AM53" s="29" t="str">
        <f>"Tháng "&amp;MONTH(AL53)</f>
        <v>Tháng 1</v>
      </c>
      <c r="AN53" s="29" t="str">
        <f>LEFT(AK53,FIND(",",AK53)-1)</f>
        <v>Phường Hiệp Thành</v>
      </c>
    </row>
    <row r="54" spans="1:40" x14ac:dyDescent="0.25">
      <c r="A54" s="49" t="s">
        <v>909</v>
      </c>
      <c r="B54" s="5" t="s">
        <v>23</v>
      </c>
      <c r="C54" s="5" t="s">
        <v>341</v>
      </c>
      <c r="D54" s="29">
        <f ca="1">DATEDIF(C54,TODAY(),"Y")</f>
        <v>51</v>
      </c>
      <c r="E54" s="5" t="s">
        <v>26</v>
      </c>
      <c r="F54" s="30">
        <v>158</v>
      </c>
      <c r="G54" s="30">
        <v>58</v>
      </c>
      <c r="H54" s="31">
        <f>G54/((F54/100)*(F54/100))</f>
        <v>23.233456176894723</v>
      </c>
      <c r="I54" s="5">
        <v>78</v>
      </c>
      <c r="J54" s="30">
        <v>120</v>
      </c>
      <c r="K54" s="30">
        <v>80</v>
      </c>
      <c r="L54" s="29">
        <f>IF(B54="Nữ",0,2)</f>
        <v>0</v>
      </c>
      <c r="M54" s="29">
        <f ca="1">IF(D54&lt;45,0,IF(D54&lt;=49,1,2))</f>
        <v>2</v>
      </c>
      <c r="N54" s="29">
        <f>IF(E54="Có",4,0)</f>
        <v>0</v>
      </c>
      <c r="O54" s="29">
        <f>IF(H54&lt;23,0,IF(H54&lt;27.5,3,5))</f>
        <v>3</v>
      </c>
      <c r="P54" s="29">
        <f>IF(OR(AND(B54="Nam",I54&gt;=90),AND(B54="Nữ",I54&gt;=80)),2,0)</f>
        <v>0</v>
      </c>
      <c r="Q54" s="29">
        <f>IF(OR(J54&gt;=140,K54&gt;=90),2,0)</f>
        <v>0</v>
      </c>
      <c r="R54" s="29">
        <f ca="1">SUM(L54:Q54)</f>
        <v>5</v>
      </c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5" t="s">
        <v>1393</v>
      </c>
      <c r="AE54" s="33"/>
      <c r="AF54" s="59" t="str">
        <f t="shared" si="1"/>
        <v>Không</v>
      </c>
      <c r="AG54" s="59" t="str">
        <f t="shared" si="2"/>
        <v>Không</v>
      </c>
      <c r="AH54" s="29" t="str">
        <f t="shared" ca="1" si="0"/>
        <v>Không</v>
      </c>
      <c r="AI54" s="29" t="str">
        <f ca="1">IF((R54)&gt;=6,"Có","Không")</f>
        <v>Không</v>
      </c>
      <c r="AJ54" s="29" t="str">
        <f>IF(OR(J54&gt;=140,K54&gt;=90),"Có","Không")</f>
        <v>Không</v>
      </c>
      <c r="AK54" s="5" t="s">
        <v>308</v>
      </c>
      <c r="AL54" s="32">
        <v>46053</v>
      </c>
      <c r="AM54" s="29" t="str">
        <f>"Tháng "&amp;MONTH(AL54)</f>
        <v>Tháng 1</v>
      </c>
      <c r="AN54" s="29" t="str">
        <f>LEFT(AK54,FIND(",",AK54)-1)</f>
        <v>ấp Giồng Giữa A</v>
      </c>
    </row>
    <row r="55" spans="1:40" x14ac:dyDescent="0.25">
      <c r="A55" s="49" t="s">
        <v>915</v>
      </c>
      <c r="B55" s="5" t="s">
        <v>30</v>
      </c>
      <c r="C55" s="5" t="s">
        <v>341</v>
      </c>
      <c r="D55" s="29">
        <f ca="1">DATEDIF(C55,TODAY(),"Y")</f>
        <v>51</v>
      </c>
      <c r="E55" s="5" t="s">
        <v>26</v>
      </c>
      <c r="F55" s="30">
        <v>169</v>
      </c>
      <c r="G55" s="30">
        <v>69</v>
      </c>
      <c r="H55" s="31">
        <f>G55/((F55/100)*(F55/100))</f>
        <v>24.158817968558527</v>
      </c>
      <c r="I55" s="5">
        <v>79</v>
      </c>
      <c r="J55" s="30">
        <v>140</v>
      </c>
      <c r="K55" s="30">
        <v>80</v>
      </c>
      <c r="L55" s="29">
        <f>IF(B55="Nữ",0,2)</f>
        <v>2</v>
      </c>
      <c r="M55" s="29">
        <f ca="1">IF(D55&lt;45,0,IF(D55&lt;=49,1,2))</f>
        <v>2</v>
      </c>
      <c r="N55" s="29">
        <f>IF(E55="Có",4,0)</f>
        <v>0</v>
      </c>
      <c r="O55" s="29">
        <f>IF(H55&lt;23,0,IF(H55&lt;27.5,3,5))</f>
        <v>3</v>
      </c>
      <c r="P55" s="29">
        <f>IF(OR(AND(B55="Nam",I55&gt;=90),AND(B55="Nữ",I55&gt;=80)),2,0)</f>
        <v>0</v>
      </c>
      <c r="Q55" s="29">
        <f>IF(OR(J55&gt;=140,K55&gt;=90),2,0)</f>
        <v>2</v>
      </c>
      <c r="R55" s="29">
        <f ca="1">SUM(L55:Q55)</f>
        <v>9</v>
      </c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5" t="s">
        <v>1393</v>
      </c>
      <c r="AE55" s="33"/>
      <c r="AF55" s="59" t="str">
        <f t="shared" si="1"/>
        <v>Không</v>
      </c>
      <c r="AG55" s="59" t="str">
        <f t="shared" si="2"/>
        <v>Không</v>
      </c>
      <c r="AH55" s="29" t="str">
        <f t="shared" ca="1" si="0"/>
        <v>Có</v>
      </c>
      <c r="AI55" s="29" t="str">
        <f ca="1">IF((R55)&gt;=6,"Có","Không")</f>
        <v>Có</v>
      </c>
      <c r="AJ55" s="29" t="str">
        <f>IF(OR(J55&gt;=140,K55&gt;=90),"Có","Không")</f>
        <v>Có</v>
      </c>
      <c r="AK55" s="5" t="s">
        <v>70</v>
      </c>
      <c r="AL55" s="32">
        <v>46053</v>
      </c>
      <c r="AM55" s="29" t="str">
        <f>"Tháng "&amp;MONTH(AL55)</f>
        <v>Tháng 1</v>
      </c>
      <c r="AN55" s="29" t="str">
        <f>LEFT(AK55,FIND(",",AK55)-1)</f>
        <v>Ấp Biển Tây A</v>
      </c>
    </row>
    <row r="56" spans="1:40" x14ac:dyDescent="0.25">
      <c r="A56" s="49" t="s">
        <v>918</v>
      </c>
      <c r="B56" s="5" t="s">
        <v>23</v>
      </c>
      <c r="C56" s="5" t="s">
        <v>67</v>
      </c>
      <c r="D56" s="29">
        <f ca="1">DATEDIF(C56,TODAY(),"Y")</f>
        <v>48</v>
      </c>
      <c r="E56" s="5" t="s">
        <v>26</v>
      </c>
      <c r="F56" s="30">
        <v>158</v>
      </c>
      <c r="G56" s="30">
        <v>58</v>
      </c>
      <c r="H56" s="31">
        <f>G56/((F56/100)*(F56/100))</f>
        <v>23.233456176894723</v>
      </c>
      <c r="I56" s="5">
        <v>85</v>
      </c>
      <c r="J56" s="30">
        <v>120</v>
      </c>
      <c r="K56" s="30">
        <v>80</v>
      </c>
      <c r="L56" s="29">
        <f>IF(B56="Nữ",0,2)</f>
        <v>0</v>
      </c>
      <c r="M56" s="29">
        <f ca="1">IF(D56&lt;45,0,IF(D56&lt;=49,1,2))</f>
        <v>1</v>
      </c>
      <c r="N56" s="29">
        <f>IF(E56="Có",4,0)</f>
        <v>0</v>
      </c>
      <c r="O56" s="29">
        <f>IF(H56&lt;23,0,IF(H56&lt;27.5,3,5))</f>
        <v>3</v>
      </c>
      <c r="P56" s="29">
        <f>IF(OR(AND(B56="Nam",I56&gt;=90),AND(B56="Nữ",I56&gt;=80)),2,0)</f>
        <v>2</v>
      </c>
      <c r="Q56" s="29">
        <f>IF(OR(J56&gt;=140,K56&gt;=90),2,0)</f>
        <v>0</v>
      </c>
      <c r="R56" s="29">
        <f ca="1">SUM(L56:Q56)</f>
        <v>6</v>
      </c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5" t="s">
        <v>1393</v>
      </c>
      <c r="AE56" s="33"/>
      <c r="AF56" s="59" t="str">
        <f t="shared" si="1"/>
        <v>Không</v>
      </c>
      <c r="AG56" s="59" t="str">
        <f t="shared" si="2"/>
        <v>Không</v>
      </c>
      <c r="AH56" s="29" t="str">
        <f t="shared" ca="1" si="0"/>
        <v>Có</v>
      </c>
      <c r="AI56" s="29" t="str">
        <f ca="1">IF((R56)&gt;=6,"Có","Không")</f>
        <v>Có</v>
      </c>
      <c r="AJ56" s="29" t="str">
        <f>IF(OR(J56&gt;=140,K56&gt;=90),"Có","Không")</f>
        <v>Không</v>
      </c>
      <c r="AK56" s="5" t="s">
        <v>919</v>
      </c>
      <c r="AL56" s="32">
        <v>46053</v>
      </c>
      <c r="AM56" s="29" t="str">
        <f>"Tháng "&amp;MONTH(AL56)</f>
        <v>Tháng 1</v>
      </c>
      <c r="AN56" s="29" t="str">
        <f>LEFT(AK56,FIND(",",AK56)-1)</f>
        <v>Ấp Biển tây B</v>
      </c>
    </row>
    <row r="57" spans="1:40" x14ac:dyDescent="0.25">
      <c r="A57" s="49" t="s">
        <v>937</v>
      </c>
      <c r="B57" s="5" t="s">
        <v>23</v>
      </c>
      <c r="C57" s="5" t="s">
        <v>373</v>
      </c>
      <c r="D57" s="29">
        <f ca="1">DATEDIF(C57,TODAY(),"Y")</f>
        <v>61</v>
      </c>
      <c r="E57" s="5" t="s">
        <v>26</v>
      </c>
      <c r="F57" s="30">
        <v>158</v>
      </c>
      <c r="G57" s="30">
        <v>58</v>
      </c>
      <c r="H57" s="31">
        <f>G57/((F57/100)*(F57/100))</f>
        <v>23.233456176894723</v>
      </c>
      <c r="I57" s="5">
        <v>86</v>
      </c>
      <c r="J57" s="30">
        <v>120</v>
      </c>
      <c r="K57" s="30">
        <v>80</v>
      </c>
      <c r="L57" s="29">
        <f>IF(B57="Nữ",0,2)</f>
        <v>0</v>
      </c>
      <c r="M57" s="29">
        <f ca="1">IF(D57&lt;45,0,IF(D57&lt;=49,1,2))</f>
        <v>2</v>
      </c>
      <c r="N57" s="29">
        <f>IF(E57="Có",4,0)</f>
        <v>0</v>
      </c>
      <c r="O57" s="29">
        <f>IF(H57&lt;23,0,IF(H57&lt;27.5,3,5))</f>
        <v>3</v>
      </c>
      <c r="P57" s="29">
        <f>IF(OR(AND(B57="Nam",I57&gt;=90),AND(B57="Nữ",I57&gt;=80)),2,0)</f>
        <v>2</v>
      </c>
      <c r="Q57" s="29">
        <f>IF(OR(J57&gt;=140,K57&gt;=90),2,0)</f>
        <v>0</v>
      </c>
      <c r="R57" s="29">
        <f ca="1">SUM(L57:Q57)</f>
        <v>7</v>
      </c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5" t="s">
        <v>1393</v>
      </c>
      <c r="AE57" s="33"/>
      <c r="AF57" s="59" t="str">
        <f t="shared" si="1"/>
        <v>Không</v>
      </c>
      <c r="AG57" s="59" t="str">
        <f t="shared" si="2"/>
        <v>Không</v>
      </c>
      <c r="AH57" s="29" t="str">
        <f t="shared" ca="1" si="0"/>
        <v>Có</v>
      </c>
      <c r="AI57" s="29" t="str">
        <f ca="1">IF((R57)&gt;=6,"Có","Không")</f>
        <v>Có</v>
      </c>
      <c r="AJ57" s="29" t="str">
        <f>IF(OR(J57&gt;=140,K57&gt;=90),"Có","Không")</f>
        <v>Không</v>
      </c>
      <c r="AK57" s="5" t="s">
        <v>308</v>
      </c>
      <c r="AL57" s="32">
        <v>46053</v>
      </c>
      <c r="AM57" s="29" t="str">
        <f>"Tháng "&amp;MONTH(AL57)</f>
        <v>Tháng 1</v>
      </c>
      <c r="AN57" s="29" t="str">
        <f>LEFT(AK57,FIND(",",AK57)-1)</f>
        <v>ấp Giồng Giữa A</v>
      </c>
    </row>
    <row r="58" spans="1:40" x14ac:dyDescent="0.25">
      <c r="A58" s="49" t="s">
        <v>939</v>
      </c>
      <c r="B58" s="5" t="s">
        <v>30</v>
      </c>
      <c r="C58" s="5" t="s">
        <v>40</v>
      </c>
      <c r="D58" s="29">
        <f ca="1">DATEDIF(C58,TODAY(),"Y")</f>
        <v>70</v>
      </c>
      <c r="E58" s="5" t="s">
        <v>26</v>
      </c>
      <c r="F58" s="30">
        <v>159</v>
      </c>
      <c r="G58" s="30">
        <v>55</v>
      </c>
      <c r="H58" s="31">
        <f>G58/((F58/100)*(F58/100))</f>
        <v>21.75546853368142</v>
      </c>
      <c r="I58" s="5">
        <v>72</v>
      </c>
      <c r="J58" s="30">
        <v>120</v>
      </c>
      <c r="K58" s="30">
        <v>70</v>
      </c>
      <c r="L58" s="29">
        <f>IF(B58="Nữ",0,2)</f>
        <v>2</v>
      </c>
      <c r="M58" s="29">
        <f ca="1">IF(D58&lt;45,0,IF(D58&lt;=49,1,2))</f>
        <v>2</v>
      </c>
      <c r="N58" s="29">
        <f>IF(E58="Có",4,0)</f>
        <v>0</v>
      </c>
      <c r="O58" s="29">
        <f>IF(H58&lt;23,0,IF(H58&lt;27.5,3,5))</f>
        <v>0</v>
      </c>
      <c r="P58" s="29">
        <f>IF(OR(AND(B58="Nam",I58&gt;=90),AND(B58="Nữ",I58&gt;=80)),2,0)</f>
        <v>0</v>
      </c>
      <c r="Q58" s="29">
        <f>IF(OR(J58&gt;=140,K58&gt;=90),2,0)</f>
        <v>0</v>
      </c>
      <c r="R58" s="29">
        <f ca="1">SUM(L58:Q58)</f>
        <v>4</v>
      </c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5" t="s">
        <v>1393</v>
      </c>
      <c r="AE58" s="33"/>
      <c r="AF58" s="59" t="str">
        <f t="shared" si="1"/>
        <v>Không</v>
      </c>
      <c r="AG58" s="59" t="str">
        <f t="shared" si="2"/>
        <v>Không</v>
      </c>
      <c r="AH58" s="29" t="str">
        <f t="shared" ca="1" si="0"/>
        <v>Không</v>
      </c>
      <c r="AI58" s="29" t="str">
        <f ca="1">IF((R58)&gt;=6,"Có","Không")</f>
        <v>Không</v>
      </c>
      <c r="AJ58" s="29" t="str">
        <f>IF(OR(J58&gt;=140,K58&gt;=90),"Có","Không")</f>
        <v>Không</v>
      </c>
      <c r="AK58" s="5" t="s">
        <v>108</v>
      </c>
      <c r="AL58" s="32">
        <v>46053</v>
      </c>
      <c r="AM58" s="29" t="str">
        <f>"Tháng "&amp;MONTH(AL58)</f>
        <v>Tháng 1</v>
      </c>
      <c r="AN58" s="29" t="str">
        <f>LEFT(AK58,FIND(",",AK58)-1)</f>
        <v>Phường Hiệp Thành</v>
      </c>
    </row>
    <row r="59" spans="1:40" x14ac:dyDescent="0.25">
      <c r="A59" s="49" t="s">
        <v>945</v>
      </c>
      <c r="B59" s="5" t="s">
        <v>30</v>
      </c>
      <c r="C59" s="5" t="s">
        <v>80</v>
      </c>
      <c r="D59" s="29">
        <f ca="1">DATEDIF(C59,TODAY(),"Y")</f>
        <v>71</v>
      </c>
      <c r="E59" s="5" t="s">
        <v>25</v>
      </c>
      <c r="F59" s="30">
        <v>169</v>
      </c>
      <c r="G59" s="30">
        <v>69</v>
      </c>
      <c r="H59" s="31">
        <f>G59/((F59/100)*(F59/100))</f>
        <v>24.158817968558527</v>
      </c>
      <c r="I59" s="5">
        <v>65</v>
      </c>
      <c r="J59" s="30">
        <v>140</v>
      </c>
      <c r="K59" s="30">
        <v>80</v>
      </c>
      <c r="L59" s="29">
        <f>IF(B59="Nữ",0,2)</f>
        <v>2</v>
      </c>
      <c r="M59" s="29">
        <f ca="1">IF(D59&lt;45,0,IF(D59&lt;=49,1,2))</f>
        <v>2</v>
      </c>
      <c r="N59" s="29">
        <f>IF(E59="Có",4,0)</f>
        <v>4</v>
      </c>
      <c r="O59" s="29">
        <f>IF(H59&lt;23,0,IF(H59&lt;27.5,3,5))</f>
        <v>3</v>
      </c>
      <c r="P59" s="29">
        <f>IF(OR(AND(B59="Nam",I59&gt;=90),AND(B59="Nữ",I59&gt;=80)),2,0)</f>
        <v>0</v>
      </c>
      <c r="Q59" s="29">
        <f>IF(OR(J59&gt;=140,K59&gt;=90),2,0)</f>
        <v>2</v>
      </c>
      <c r="R59" s="29">
        <f ca="1">SUM(L59:Q59)</f>
        <v>13</v>
      </c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5" t="s">
        <v>1393</v>
      </c>
      <c r="AE59" s="33"/>
      <c r="AF59" s="59" t="str">
        <f t="shared" si="1"/>
        <v>Không</v>
      </c>
      <c r="AG59" s="59" t="str">
        <f t="shared" si="2"/>
        <v>Không</v>
      </c>
      <c r="AH59" s="29" t="str">
        <f t="shared" ca="1" si="0"/>
        <v>Có</v>
      </c>
      <c r="AI59" s="29" t="str">
        <f ca="1">IF((R59)&gt;=6,"Có","Không")</f>
        <v>Có</v>
      </c>
      <c r="AJ59" s="29" t="str">
        <f>IF(OR(J59&gt;=140,K59&gt;=90),"Có","Không")</f>
        <v>Có</v>
      </c>
      <c r="AK59" s="5" t="s">
        <v>308</v>
      </c>
      <c r="AL59" s="32">
        <v>46053</v>
      </c>
      <c r="AM59" s="29" t="str">
        <f>"Tháng "&amp;MONTH(AL59)</f>
        <v>Tháng 1</v>
      </c>
      <c r="AN59" s="29" t="str">
        <f>LEFT(AK59,FIND(",",AK59)-1)</f>
        <v>ấp Giồng Giữa A</v>
      </c>
    </row>
    <row r="60" spans="1:40" x14ac:dyDescent="0.25">
      <c r="A60" s="49" t="s">
        <v>950</v>
      </c>
      <c r="B60" s="5" t="s">
        <v>30</v>
      </c>
      <c r="C60" s="5" t="s">
        <v>50</v>
      </c>
      <c r="D60" s="29">
        <f ca="1">DATEDIF(C60,TODAY(),"Y")</f>
        <v>58</v>
      </c>
      <c r="E60" s="5" t="s">
        <v>26</v>
      </c>
      <c r="F60" s="30">
        <v>169</v>
      </c>
      <c r="G60" s="30">
        <v>58</v>
      </c>
      <c r="H60" s="31">
        <f>G60/((F60/100)*(F60/100))</f>
        <v>20.307412205454995</v>
      </c>
      <c r="I60" s="5">
        <v>90</v>
      </c>
      <c r="J60" s="30">
        <v>120</v>
      </c>
      <c r="K60" s="30">
        <v>80</v>
      </c>
      <c r="L60" s="29">
        <f>IF(B60="Nữ",0,2)</f>
        <v>2</v>
      </c>
      <c r="M60" s="29">
        <f ca="1">IF(D60&lt;45,0,IF(D60&lt;=49,1,2))</f>
        <v>2</v>
      </c>
      <c r="N60" s="29">
        <f>IF(E60="Có",4,0)</f>
        <v>0</v>
      </c>
      <c r="O60" s="29">
        <f>IF(H60&lt;23,0,IF(H60&lt;27.5,3,5))</f>
        <v>0</v>
      </c>
      <c r="P60" s="29">
        <f>IF(OR(AND(B60="Nam",I60&gt;=90),AND(B60="Nữ",I60&gt;=80)),2,0)</f>
        <v>2</v>
      </c>
      <c r="Q60" s="29">
        <f>IF(OR(J60&gt;=140,K60&gt;=90),2,0)</f>
        <v>0</v>
      </c>
      <c r="R60" s="29">
        <f ca="1">SUM(L60:Q60)</f>
        <v>6</v>
      </c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5" t="s">
        <v>1393</v>
      </c>
      <c r="AE60" s="33"/>
      <c r="AF60" s="59" t="str">
        <f t="shared" si="1"/>
        <v>Không</v>
      </c>
      <c r="AG60" s="59" t="str">
        <f t="shared" si="2"/>
        <v>Không</v>
      </c>
      <c r="AH60" s="29" t="str">
        <f t="shared" ca="1" si="0"/>
        <v>Có</v>
      </c>
      <c r="AI60" s="29" t="str">
        <f ca="1">IF((R60)&gt;=6,"Có","Không")</f>
        <v>Có</v>
      </c>
      <c r="AJ60" s="29" t="str">
        <f>IF(OR(J60&gt;=140,K60&gt;=90),"Có","Không")</f>
        <v>Không</v>
      </c>
      <c r="AK60" s="5" t="s">
        <v>218</v>
      </c>
      <c r="AL60" s="32">
        <v>46053</v>
      </c>
      <c r="AM60" s="29" t="str">
        <f>"Tháng "&amp;MONTH(AL60)</f>
        <v>Tháng 1</v>
      </c>
      <c r="AN60" s="29" t="str">
        <f>LEFT(AK60,FIND(",",AK60)-1)</f>
        <v>Biển Đông B</v>
      </c>
    </row>
    <row r="61" spans="1:40" x14ac:dyDescent="0.25">
      <c r="A61" s="49" t="s">
        <v>994</v>
      </c>
      <c r="B61" s="5" t="s">
        <v>23</v>
      </c>
      <c r="C61" s="5" t="s">
        <v>62</v>
      </c>
      <c r="D61" s="29">
        <f ca="1">DATEDIF(C61,TODAY(),"Y")</f>
        <v>64</v>
      </c>
      <c r="E61" s="5" t="s">
        <v>26</v>
      </c>
      <c r="F61" s="30">
        <v>150</v>
      </c>
      <c r="G61" s="30">
        <v>47</v>
      </c>
      <c r="H61" s="31">
        <f>G61/((F61/100)*(F61/100))</f>
        <v>20.888888888888889</v>
      </c>
      <c r="I61" s="5">
        <v>68</v>
      </c>
      <c r="J61" s="30">
        <v>120</v>
      </c>
      <c r="K61" s="30">
        <v>80</v>
      </c>
      <c r="L61" s="29">
        <f>IF(B61="Nữ",0,2)</f>
        <v>0</v>
      </c>
      <c r="M61" s="29">
        <f ca="1">IF(D61&lt;45,0,IF(D61&lt;=49,1,2))</f>
        <v>2</v>
      </c>
      <c r="N61" s="29">
        <f>IF(E61="Có",4,0)</f>
        <v>0</v>
      </c>
      <c r="O61" s="29">
        <f>IF(H61&lt;23,0,IF(H61&lt;27.5,3,5))</f>
        <v>0</v>
      </c>
      <c r="P61" s="29">
        <f>IF(OR(AND(B61="Nam",I61&gt;=90),AND(B61="Nữ",I61&gt;=80)),2,0)</f>
        <v>0</v>
      </c>
      <c r="Q61" s="29">
        <f>IF(OR(J61&gt;=140,K61&gt;=90),2,0)</f>
        <v>0</v>
      </c>
      <c r="R61" s="29">
        <f ca="1">SUM(L61:Q61)</f>
        <v>2</v>
      </c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5" t="s">
        <v>1393</v>
      </c>
      <c r="AE61" s="33"/>
      <c r="AF61" s="59" t="str">
        <f t="shared" si="1"/>
        <v>Không</v>
      </c>
      <c r="AG61" s="59" t="str">
        <f t="shared" si="2"/>
        <v>Không</v>
      </c>
      <c r="AH61" s="29" t="str">
        <f t="shared" ca="1" si="0"/>
        <v>Không</v>
      </c>
      <c r="AI61" s="29" t="str">
        <f ca="1">IF((R61)&gt;=6,"Có","Không")</f>
        <v>Không</v>
      </c>
      <c r="AJ61" s="29" t="str">
        <f>IF(OR(J61&gt;=140,K61&gt;=90),"Có","Không")</f>
        <v>Không</v>
      </c>
      <c r="AK61" s="5" t="s">
        <v>995</v>
      </c>
      <c r="AL61" s="32">
        <v>46053</v>
      </c>
      <c r="AM61" s="29" t="str">
        <f>"Tháng "&amp;MONTH(AL61)</f>
        <v>Tháng 1</v>
      </c>
      <c r="AN61" s="29" t="str">
        <f>LEFT(AK61,FIND(",",AK61)-1)</f>
        <v>ấp giồng nhãn a</v>
      </c>
    </row>
    <row r="62" spans="1:40" x14ac:dyDescent="0.25">
      <c r="A62" s="49" t="s">
        <v>996</v>
      </c>
      <c r="B62" s="5" t="s">
        <v>23</v>
      </c>
      <c r="C62" s="5" t="s">
        <v>80</v>
      </c>
      <c r="D62" s="29">
        <f ca="1">DATEDIF(C62,TODAY(),"Y")</f>
        <v>71</v>
      </c>
      <c r="E62" s="5" t="s">
        <v>26</v>
      </c>
      <c r="F62" s="30">
        <v>157</v>
      </c>
      <c r="G62" s="30">
        <v>56</v>
      </c>
      <c r="H62" s="31">
        <f>G62/((F62/100)*(F62/100))</f>
        <v>22.718974400584202</v>
      </c>
      <c r="I62" s="5">
        <v>66</v>
      </c>
      <c r="J62" s="30">
        <v>120</v>
      </c>
      <c r="K62" s="30">
        <v>70</v>
      </c>
      <c r="L62" s="29">
        <f>IF(B62="Nữ",0,2)</f>
        <v>0</v>
      </c>
      <c r="M62" s="29">
        <f ca="1">IF(D62&lt;45,0,IF(D62&lt;=49,1,2))</f>
        <v>2</v>
      </c>
      <c r="N62" s="29">
        <f>IF(E62="Có",4,0)</f>
        <v>0</v>
      </c>
      <c r="O62" s="29">
        <f>IF(H62&lt;23,0,IF(H62&lt;27.5,3,5))</f>
        <v>0</v>
      </c>
      <c r="P62" s="29">
        <f>IF(OR(AND(B62="Nam",I62&gt;=90),AND(B62="Nữ",I62&gt;=80)),2,0)</f>
        <v>0</v>
      </c>
      <c r="Q62" s="29">
        <f>IF(OR(J62&gt;=140,K62&gt;=90),2,0)</f>
        <v>0</v>
      </c>
      <c r="R62" s="29">
        <f ca="1">SUM(L62:Q62)</f>
        <v>2</v>
      </c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5" t="s">
        <v>1393</v>
      </c>
      <c r="AE62" s="33"/>
      <c r="AF62" s="59" t="str">
        <f t="shared" si="1"/>
        <v>Không</v>
      </c>
      <c r="AG62" s="59" t="str">
        <f t="shared" si="2"/>
        <v>Không</v>
      </c>
      <c r="AH62" s="29" t="str">
        <f t="shared" ca="1" si="0"/>
        <v>Không</v>
      </c>
      <c r="AI62" s="29" t="str">
        <f ca="1">IF((R62)&gt;=6,"Có","Không")</f>
        <v>Không</v>
      </c>
      <c r="AJ62" s="29" t="str">
        <f>IF(OR(J62&gt;=140,K62&gt;=90),"Có","Không")</f>
        <v>Không</v>
      </c>
      <c r="AK62" s="5" t="s">
        <v>91</v>
      </c>
      <c r="AL62" s="32">
        <v>46053</v>
      </c>
      <c r="AM62" s="29" t="str">
        <f>"Tháng "&amp;MONTH(AL62)</f>
        <v>Tháng 1</v>
      </c>
      <c r="AN62" s="29" t="str">
        <f>LEFT(AK62,FIND(",",AK62)-1)</f>
        <v>Ấp Giồng Giữa</v>
      </c>
    </row>
    <row r="63" spans="1:40" x14ac:dyDescent="0.25">
      <c r="A63" s="49" t="s">
        <v>997</v>
      </c>
      <c r="B63" s="5" t="s">
        <v>23</v>
      </c>
      <c r="C63" s="5" t="s">
        <v>138</v>
      </c>
      <c r="D63" s="29">
        <f ca="1">DATEDIF(C63,TODAY(),"Y")</f>
        <v>67</v>
      </c>
      <c r="E63" s="5" t="s">
        <v>25</v>
      </c>
      <c r="F63" s="30">
        <v>155</v>
      </c>
      <c r="G63" s="30">
        <v>55</v>
      </c>
      <c r="H63" s="31">
        <f>G63/((F63/100)*(F63/100))</f>
        <v>22.892819979188342</v>
      </c>
      <c r="I63" s="5">
        <v>70</v>
      </c>
      <c r="J63" s="30">
        <v>120</v>
      </c>
      <c r="K63" s="30">
        <v>80</v>
      </c>
      <c r="L63" s="29">
        <f>IF(B63="Nữ",0,2)</f>
        <v>0</v>
      </c>
      <c r="M63" s="29">
        <f ca="1">IF(D63&lt;45,0,IF(D63&lt;=49,1,2))</f>
        <v>2</v>
      </c>
      <c r="N63" s="29">
        <f>IF(E63="Có",4,0)</f>
        <v>4</v>
      </c>
      <c r="O63" s="29">
        <f>IF(H63&lt;23,0,IF(H63&lt;27.5,3,5))</f>
        <v>0</v>
      </c>
      <c r="P63" s="29">
        <f>IF(OR(AND(B63="Nam",I63&gt;=90),AND(B63="Nữ",I63&gt;=80)),2,0)</f>
        <v>0</v>
      </c>
      <c r="Q63" s="29">
        <f>IF(OR(J63&gt;=140,K63&gt;=90),2,0)</f>
        <v>0</v>
      </c>
      <c r="R63" s="29">
        <f ca="1">SUM(L63:Q63)</f>
        <v>6</v>
      </c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5" t="s">
        <v>1393</v>
      </c>
      <c r="AE63" s="33"/>
      <c r="AF63" s="59" t="str">
        <f t="shared" si="1"/>
        <v>Không</v>
      </c>
      <c r="AG63" s="59" t="str">
        <f t="shared" si="2"/>
        <v>Không</v>
      </c>
      <c r="AH63" s="29" t="str">
        <f t="shared" ca="1" si="0"/>
        <v>Có</v>
      </c>
      <c r="AI63" s="29" t="str">
        <f ca="1">IF((R63)&gt;=6,"Có","Không")</f>
        <v>Có</v>
      </c>
      <c r="AJ63" s="29" t="str">
        <f>IF(OR(J63&gt;=140,K63&gt;=90),"Có","Không")</f>
        <v>Không</v>
      </c>
      <c r="AK63" s="5" t="s">
        <v>897</v>
      </c>
      <c r="AL63" s="32">
        <v>46053</v>
      </c>
      <c r="AM63" s="29" t="str">
        <f>"Tháng "&amp;MONTH(AL63)</f>
        <v>Tháng 1</v>
      </c>
      <c r="AN63" s="29" t="str">
        <f>LEFT(AK63,FIND(",",AK63)-1)</f>
        <v>Giồng Giữa</v>
      </c>
    </row>
    <row r="64" spans="1:40" x14ac:dyDescent="0.25">
      <c r="A64" s="49" t="s">
        <v>998</v>
      </c>
      <c r="B64" s="5" t="s">
        <v>23</v>
      </c>
      <c r="C64" s="5" t="s">
        <v>40</v>
      </c>
      <c r="D64" s="29">
        <f ca="1">DATEDIF(C64,TODAY(),"Y")</f>
        <v>70</v>
      </c>
      <c r="E64" s="5" t="s">
        <v>26</v>
      </c>
      <c r="F64" s="30">
        <v>155</v>
      </c>
      <c r="G64" s="30">
        <v>62</v>
      </c>
      <c r="H64" s="31">
        <f>G64/((F64/100)*(F64/100))</f>
        <v>25.806451612903224</v>
      </c>
      <c r="I64" s="5">
        <v>88</v>
      </c>
      <c r="J64" s="30">
        <v>120</v>
      </c>
      <c r="K64" s="30">
        <v>80</v>
      </c>
      <c r="L64" s="29">
        <f>IF(B64="Nữ",0,2)</f>
        <v>0</v>
      </c>
      <c r="M64" s="29">
        <f ca="1">IF(D64&lt;45,0,IF(D64&lt;=49,1,2))</f>
        <v>2</v>
      </c>
      <c r="N64" s="29">
        <f>IF(E64="Có",4,0)</f>
        <v>0</v>
      </c>
      <c r="O64" s="29">
        <f>IF(H64&lt;23,0,IF(H64&lt;27.5,3,5))</f>
        <v>3</v>
      </c>
      <c r="P64" s="29">
        <f>IF(OR(AND(B64="Nam",I64&gt;=90),AND(B64="Nữ",I64&gt;=80)),2,0)</f>
        <v>2</v>
      </c>
      <c r="Q64" s="29">
        <f>IF(OR(J64&gt;=140,K64&gt;=90),2,0)</f>
        <v>0</v>
      </c>
      <c r="R64" s="29">
        <f ca="1">SUM(L64:Q64)</f>
        <v>7</v>
      </c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5" t="s">
        <v>1393</v>
      </c>
      <c r="AE64" s="33"/>
      <c r="AF64" s="59" t="str">
        <f t="shared" si="1"/>
        <v>Không</v>
      </c>
      <c r="AG64" s="59" t="str">
        <f t="shared" si="2"/>
        <v>Không</v>
      </c>
      <c r="AH64" s="29" t="str">
        <f t="shared" ca="1" si="0"/>
        <v>Có</v>
      </c>
      <c r="AI64" s="29" t="str">
        <f ca="1">IF((R64)&gt;=6,"Có","Không")</f>
        <v>Có</v>
      </c>
      <c r="AJ64" s="29" t="str">
        <f>IF(OR(J64&gt;=140,K64&gt;=90),"Có","Không")</f>
        <v>Không</v>
      </c>
      <c r="AK64" s="5" t="s">
        <v>999</v>
      </c>
      <c r="AL64" s="32">
        <v>46053</v>
      </c>
      <c r="AM64" s="29" t="str">
        <f>"Tháng "&amp;MONTH(AL64)</f>
        <v>Tháng 1</v>
      </c>
      <c r="AN64" s="29" t="str">
        <f>LEFT(AK64,FIND(",",AK64)-1)</f>
        <v>Khóm Giồng Nhãn A</v>
      </c>
    </row>
    <row r="65" spans="1:40" x14ac:dyDescent="0.25">
      <c r="A65" s="49" t="s">
        <v>1000</v>
      </c>
      <c r="B65" s="5" t="s">
        <v>23</v>
      </c>
      <c r="C65" s="5" t="s">
        <v>67</v>
      </c>
      <c r="D65" s="29">
        <f ca="1">DATEDIF(C65,TODAY(),"Y")</f>
        <v>48</v>
      </c>
      <c r="E65" s="5" t="s">
        <v>25</v>
      </c>
      <c r="F65" s="30">
        <v>170</v>
      </c>
      <c r="G65" s="30">
        <v>65</v>
      </c>
      <c r="H65" s="31">
        <f>G65/((F65/100)*(F65/100))</f>
        <v>22.491349480968861</v>
      </c>
      <c r="I65" s="5">
        <v>75</v>
      </c>
      <c r="J65" s="30">
        <v>120</v>
      </c>
      <c r="K65" s="30">
        <v>80</v>
      </c>
      <c r="L65" s="29">
        <f>IF(B65="Nữ",0,2)</f>
        <v>0</v>
      </c>
      <c r="M65" s="29">
        <f ca="1">IF(D65&lt;45,0,IF(D65&lt;=49,1,2))</f>
        <v>1</v>
      </c>
      <c r="N65" s="29">
        <f>IF(E65="Có",4,0)</f>
        <v>4</v>
      </c>
      <c r="O65" s="29">
        <f>IF(H65&lt;23,0,IF(H65&lt;27.5,3,5))</f>
        <v>0</v>
      </c>
      <c r="P65" s="29">
        <f>IF(OR(AND(B65="Nam",I65&gt;=90),AND(B65="Nữ",I65&gt;=80)),2,0)</f>
        <v>0</v>
      </c>
      <c r="Q65" s="29">
        <f>IF(OR(J65&gt;=140,K65&gt;=90),2,0)</f>
        <v>0</v>
      </c>
      <c r="R65" s="29">
        <f ca="1">SUM(L65:Q65)</f>
        <v>5</v>
      </c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5" t="s">
        <v>1393</v>
      </c>
      <c r="AE65" s="33"/>
      <c r="AF65" s="59" t="str">
        <f t="shared" si="1"/>
        <v>Không</v>
      </c>
      <c r="AG65" s="59" t="str">
        <f t="shared" si="2"/>
        <v>Không</v>
      </c>
      <c r="AH65" s="29" t="str">
        <f t="shared" ca="1" si="0"/>
        <v>Không</v>
      </c>
      <c r="AI65" s="29" t="str">
        <f ca="1">IF((R65)&gt;=6,"Có","Không")</f>
        <v>Không</v>
      </c>
      <c r="AJ65" s="29" t="str">
        <f>IF(OR(J65&gt;=140,K65&gt;=90),"Có","Không")</f>
        <v>Không</v>
      </c>
      <c r="AK65" s="5" t="s">
        <v>1001</v>
      </c>
      <c r="AL65" s="32">
        <v>46053</v>
      </c>
      <c r="AM65" s="29" t="str">
        <f>"Tháng "&amp;MONTH(AL65)</f>
        <v>Tháng 1</v>
      </c>
      <c r="AN65" s="29" t="str">
        <f>LEFT(AK65,FIND(",",AK65)-1)</f>
        <v>Giồng nhãn A</v>
      </c>
    </row>
    <row r="66" spans="1:40" x14ac:dyDescent="0.25">
      <c r="A66" s="49" t="s">
        <v>1002</v>
      </c>
      <c r="B66" s="5" t="s">
        <v>30</v>
      </c>
      <c r="C66" s="5" t="s">
        <v>67</v>
      </c>
      <c r="D66" s="29">
        <f ca="1">DATEDIF(C66,TODAY(),"Y")</f>
        <v>48</v>
      </c>
      <c r="E66" s="5" t="s">
        <v>25</v>
      </c>
      <c r="F66" s="30">
        <v>169</v>
      </c>
      <c r="G66" s="30">
        <v>69</v>
      </c>
      <c r="H66" s="31">
        <f>G66/((F66/100)*(F66/100))</f>
        <v>24.158817968558527</v>
      </c>
      <c r="I66" s="5">
        <v>77</v>
      </c>
      <c r="J66" s="30">
        <v>120</v>
      </c>
      <c r="K66" s="30">
        <v>80</v>
      </c>
      <c r="L66" s="29">
        <f>IF(B66="Nữ",0,2)</f>
        <v>2</v>
      </c>
      <c r="M66" s="29">
        <f ca="1">IF(D66&lt;45,0,IF(D66&lt;=49,1,2))</f>
        <v>1</v>
      </c>
      <c r="N66" s="29">
        <f>IF(E66="Có",4,0)</f>
        <v>4</v>
      </c>
      <c r="O66" s="29">
        <f>IF(H66&lt;23,0,IF(H66&lt;27.5,3,5))</f>
        <v>3</v>
      </c>
      <c r="P66" s="29">
        <f>IF(OR(AND(B66="Nam",I66&gt;=90),AND(B66="Nữ",I66&gt;=80)),2,0)</f>
        <v>0</v>
      </c>
      <c r="Q66" s="29">
        <f>IF(OR(J66&gt;=140,K66&gt;=90),2,0)</f>
        <v>0</v>
      </c>
      <c r="R66" s="29">
        <f ca="1">SUM(L66:Q66)</f>
        <v>10</v>
      </c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5" t="s">
        <v>1393</v>
      </c>
      <c r="AE66" s="33"/>
      <c r="AF66" s="59" t="str">
        <f t="shared" si="1"/>
        <v>Không</v>
      </c>
      <c r="AG66" s="59" t="str">
        <f t="shared" si="2"/>
        <v>Không</v>
      </c>
      <c r="AH66" s="29" t="str">
        <f t="shared" ca="1" si="0"/>
        <v>Có</v>
      </c>
      <c r="AI66" s="29" t="str">
        <f ca="1">IF((R66)&gt;=6,"Có","Không")</f>
        <v>Có</v>
      </c>
      <c r="AJ66" s="29" t="str">
        <f>IF(OR(J66&gt;=140,K66&gt;=90),"Có","Không")</f>
        <v>Không</v>
      </c>
      <c r="AK66" s="5" t="s">
        <v>1003</v>
      </c>
      <c r="AL66" s="32">
        <v>46053</v>
      </c>
      <c r="AM66" s="29" t="str">
        <f>"Tháng "&amp;MONTH(AL66)</f>
        <v>Tháng 1</v>
      </c>
      <c r="AN66" s="29" t="str">
        <f>LEFT(AK66,FIND(",",AK66)-1)</f>
        <v>Biển Tây A</v>
      </c>
    </row>
    <row r="67" spans="1:40" x14ac:dyDescent="0.25">
      <c r="A67" s="49" t="s">
        <v>1004</v>
      </c>
      <c r="B67" s="5" t="s">
        <v>23</v>
      </c>
      <c r="C67" s="5" t="s">
        <v>67</v>
      </c>
      <c r="D67" s="29">
        <f ca="1">DATEDIF(C67,TODAY(),"Y")</f>
        <v>48</v>
      </c>
      <c r="E67" s="5" t="s">
        <v>26</v>
      </c>
      <c r="F67" s="30">
        <v>158</v>
      </c>
      <c r="G67" s="30">
        <v>58</v>
      </c>
      <c r="H67" s="31">
        <f>G67/((F67/100)*(F67/100))</f>
        <v>23.233456176894723</v>
      </c>
      <c r="I67" s="5">
        <v>77</v>
      </c>
      <c r="J67" s="30">
        <v>110</v>
      </c>
      <c r="K67" s="30">
        <v>80</v>
      </c>
      <c r="L67" s="29">
        <f>IF(B67="Nữ",0,2)</f>
        <v>0</v>
      </c>
      <c r="M67" s="29">
        <f ca="1">IF(D67&lt;45,0,IF(D67&lt;=49,1,2))</f>
        <v>1</v>
      </c>
      <c r="N67" s="29">
        <f>IF(E67="Có",4,0)</f>
        <v>0</v>
      </c>
      <c r="O67" s="29">
        <f>IF(H67&lt;23,0,IF(H67&lt;27.5,3,5))</f>
        <v>3</v>
      </c>
      <c r="P67" s="29">
        <f>IF(OR(AND(B67="Nam",I67&gt;=90),AND(B67="Nữ",I67&gt;=80)),2,0)</f>
        <v>0</v>
      </c>
      <c r="Q67" s="29">
        <f>IF(OR(J67&gt;=140,K67&gt;=90),2,0)</f>
        <v>0</v>
      </c>
      <c r="R67" s="29">
        <f ca="1">SUM(L67:Q67)</f>
        <v>4</v>
      </c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5" t="s">
        <v>1393</v>
      </c>
      <c r="AE67" s="33"/>
      <c r="AF67" s="59" t="str">
        <f t="shared" si="1"/>
        <v>Không</v>
      </c>
      <c r="AG67" s="59" t="str">
        <f t="shared" si="2"/>
        <v>Không</v>
      </c>
      <c r="AH67" s="29" t="str">
        <f t="shared" ca="1" si="0"/>
        <v>Không</v>
      </c>
      <c r="AI67" s="29" t="str">
        <f ca="1">IF((R67)&gt;=6,"Có","Không")</f>
        <v>Không</v>
      </c>
      <c r="AJ67" s="29" t="str">
        <f>IF(OR(J67&gt;=140,K67&gt;=90),"Có","Không")</f>
        <v>Không</v>
      </c>
      <c r="AK67" s="5" t="s">
        <v>1003</v>
      </c>
      <c r="AL67" s="32">
        <v>46053</v>
      </c>
      <c r="AM67" s="29" t="str">
        <f>"Tháng "&amp;MONTH(AL67)</f>
        <v>Tháng 1</v>
      </c>
      <c r="AN67" s="29" t="str">
        <f>LEFT(AK67,FIND(",",AK67)-1)</f>
        <v>Biển Tây A</v>
      </c>
    </row>
    <row r="68" spans="1:40" x14ac:dyDescent="0.25">
      <c r="A68" s="49" t="s">
        <v>1005</v>
      </c>
      <c r="B68" s="5" t="s">
        <v>23</v>
      </c>
      <c r="C68" s="5" t="s">
        <v>34</v>
      </c>
      <c r="D68" s="29">
        <f ca="1">DATEDIF(C68,TODAY(),"Y")</f>
        <v>78</v>
      </c>
      <c r="E68" s="5" t="s">
        <v>26</v>
      </c>
      <c r="F68" s="30">
        <v>158</v>
      </c>
      <c r="G68" s="30">
        <v>58</v>
      </c>
      <c r="H68" s="31">
        <f>G68/((F68/100)*(F68/100))</f>
        <v>23.233456176894723</v>
      </c>
      <c r="I68" s="5">
        <v>89</v>
      </c>
      <c r="J68" s="30">
        <v>140</v>
      </c>
      <c r="K68" s="30">
        <v>80</v>
      </c>
      <c r="L68" s="29">
        <f>IF(B68="Nữ",0,2)</f>
        <v>0</v>
      </c>
      <c r="M68" s="29">
        <f ca="1">IF(D68&lt;45,0,IF(D68&lt;=49,1,2))</f>
        <v>2</v>
      </c>
      <c r="N68" s="29">
        <f>IF(E68="Có",4,0)</f>
        <v>0</v>
      </c>
      <c r="O68" s="29">
        <f>IF(H68&lt;23,0,IF(H68&lt;27.5,3,5))</f>
        <v>3</v>
      </c>
      <c r="P68" s="29">
        <f>IF(OR(AND(B68="Nam",I68&gt;=90),AND(B68="Nữ",I68&gt;=80)),2,0)</f>
        <v>2</v>
      </c>
      <c r="Q68" s="29">
        <f>IF(OR(J68&gt;=140,K68&gt;=90),2,0)</f>
        <v>2</v>
      </c>
      <c r="R68" s="29">
        <f ca="1">SUM(L68:Q68)</f>
        <v>9</v>
      </c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5" t="s">
        <v>1393</v>
      </c>
      <c r="AE68" s="33"/>
      <c r="AF68" s="59" t="str">
        <f t="shared" si="1"/>
        <v>Không</v>
      </c>
      <c r="AG68" s="59" t="str">
        <f t="shared" si="2"/>
        <v>Không</v>
      </c>
      <c r="AH68" s="29" t="str">
        <f t="shared" ref="AH68:AH131" ca="1" si="3">IF((R68)&gt;=6,"Có","Không")</f>
        <v>Có</v>
      </c>
      <c r="AI68" s="29" t="str">
        <f ca="1">IF((R68)&gt;=6,"Có","Không")</f>
        <v>Có</v>
      </c>
      <c r="AJ68" s="29" t="str">
        <f>IF(OR(J68&gt;=140,K68&gt;=90),"Có","Không")</f>
        <v>Có</v>
      </c>
      <c r="AK68" s="5" t="s">
        <v>68</v>
      </c>
      <c r="AL68" s="32">
        <v>46053</v>
      </c>
      <c r="AM68" s="29" t="str">
        <f>"Tháng "&amp;MONTH(AL68)</f>
        <v>Tháng 1</v>
      </c>
      <c r="AN68" s="29" t="str">
        <f>LEFT(AK68,FIND(",",AK68)-1)</f>
        <v>Ấp Biển Tây B</v>
      </c>
    </row>
    <row r="69" spans="1:40" x14ac:dyDescent="0.25">
      <c r="A69" s="49" t="s">
        <v>1007</v>
      </c>
      <c r="B69" s="5" t="s">
        <v>23</v>
      </c>
      <c r="C69" s="5" t="s">
        <v>90</v>
      </c>
      <c r="D69" s="29">
        <f ca="1">DATEDIF(C69,TODAY(),"Y")</f>
        <v>54</v>
      </c>
      <c r="E69" s="5" t="s">
        <v>25</v>
      </c>
      <c r="F69" s="30">
        <v>160</v>
      </c>
      <c r="G69" s="30">
        <v>75</v>
      </c>
      <c r="H69" s="31">
        <f>G69/((F69/100)*(F69/100))</f>
        <v>29.296874999999993</v>
      </c>
      <c r="I69" s="5">
        <v>79</v>
      </c>
      <c r="J69" s="30">
        <v>120</v>
      </c>
      <c r="K69" s="30">
        <v>80</v>
      </c>
      <c r="L69" s="29">
        <f>IF(B69="Nữ",0,2)</f>
        <v>0</v>
      </c>
      <c r="M69" s="29">
        <f ca="1">IF(D69&lt;45,0,IF(D69&lt;=49,1,2))</f>
        <v>2</v>
      </c>
      <c r="N69" s="29">
        <f>IF(E69="Có",4,0)</f>
        <v>4</v>
      </c>
      <c r="O69" s="29">
        <f>IF(H69&lt;23,0,IF(H69&lt;27.5,3,5))</f>
        <v>5</v>
      </c>
      <c r="P69" s="29">
        <f>IF(OR(AND(B69="Nam",I69&gt;=90),AND(B69="Nữ",I69&gt;=80)),2,0)</f>
        <v>0</v>
      </c>
      <c r="Q69" s="29">
        <f>IF(OR(J69&gt;=140,K69&gt;=90),2,0)</f>
        <v>0</v>
      </c>
      <c r="R69" s="29">
        <f ca="1">SUM(L69:Q69)</f>
        <v>11</v>
      </c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5" t="s">
        <v>1393</v>
      </c>
      <c r="AE69" s="33"/>
      <c r="AF69" s="59" t="str">
        <f t="shared" ref="AF69:AF132" si="4">IF(COUNTIF(S69:Z69,"X")&gt;=2,"Có","Không")</f>
        <v>Không</v>
      </c>
      <c r="AG69" s="59" t="str">
        <f t="shared" ref="AG69:AG132" si="5">IF(COUNTIF(AA69:AE69,"X")&gt;=3,"Có","Không")</f>
        <v>Không</v>
      </c>
      <c r="AH69" s="29" t="str">
        <f t="shared" ca="1" si="3"/>
        <v>Có</v>
      </c>
      <c r="AI69" s="29" t="str">
        <f ca="1">IF((R69)&gt;=6,"Có","Không")</f>
        <v>Có</v>
      </c>
      <c r="AJ69" s="29" t="str">
        <f>IF(OR(J69&gt;=140,K69&gt;=90),"Có","Không")</f>
        <v>Không</v>
      </c>
      <c r="AK69" s="5" t="s">
        <v>51</v>
      </c>
      <c r="AL69" s="32">
        <v>46053</v>
      </c>
      <c r="AM69" s="29" t="str">
        <f>"Tháng "&amp;MONTH(AL69)</f>
        <v>Tháng 1</v>
      </c>
      <c r="AN69" s="29" t="str">
        <f>LEFT(AK69,FIND(",",AK69)-1)</f>
        <v>Phường Hiệp Thành</v>
      </c>
    </row>
    <row r="70" spans="1:40" x14ac:dyDescent="0.25">
      <c r="A70" s="49" t="s">
        <v>1019</v>
      </c>
      <c r="B70" s="5" t="s">
        <v>30</v>
      </c>
      <c r="C70" s="5" t="s">
        <v>105</v>
      </c>
      <c r="D70" s="29">
        <f ca="1">DATEDIF(C70,TODAY(),"Y")</f>
        <v>60</v>
      </c>
      <c r="E70" s="5" t="s">
        <v>26</v>
      </c>
      <c r="F70" s="30">
        <v>158</v>
      </c>
      <c r="G70" s="30">
        <v>58</v>
      </c>
      <c r="H70" s="31">
        <f>G70/((F70/100)*(F70/100))</f>
        <v>23.233456176894723</v>
      </c>
      <c r="I70" s="5">
        <v>80</v>
      </c>
      <c r="J70" s="30">
        <v>120</v>
      </c>
      <c r="K70" s="30">
        <v>80</v>
      </c>
      <c r="L70" s="29">
        <f>IF(B70="Nữ",0,2)</f>
        <v>2</v>
      </c>
      <c r="M70" s="29">
        <f ca="1">IF(D70&lt;45,0,IF(D70&lt;=49,1,2))</f>
        <v>2</v>
      </c>
      <c r="N70" s="29">
        <f>IF(E70="Có",4,0)</f>
        <v>0</v>
      </c>
      <c r="O70" s="29">
        <f>IF(H70&lt;23,0,IF(H70&lt;27.5,3,5))</f>
        <v>3</v>
      </c>
      <c r="P70" s="29">
        <f>IF(OR(AND(B70="Nam",I70&gt;=90),AND(B70="Nữ",I70&gt;=80)),2,0)</f>
        <v>0</v>
      </c>
      <c r="Q70" s="29">
        <f>IF(OR(J70&gt;=140,K70&gt;=90),2,0)</f>
        <v>0</v>
      </c>
      <c r="R70" s="29">
        <f ca="1">SUM(L70:Q70)</f>
        <v>7</v>
      </c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5" t="s">
        <v>1393</v>
      </c>
      <c r="AE70" s="33"/>
      <c r="AF70" s="59" t="str">
        <f t="shared" si="4"/>
        <v>Không</v>
      </c>
      <c r="AG70" s="59" t="str">
        <f t="shared" si="5"/>
        <v>Không</v>
      </c>
      <c r="AH70" s="29" t="str">
        <f t="shared" ca="1" si="3"/>
        <v>Có</v>
      </c>
      <c r="AI70" s="29" t="str">
        <f ca="1">IF((R70)&gt;=6,"Có","Không")</f>
        <v>Có</v>
      </c>
      <c r="AJ70" s="29" t="str">
        <f>IF(OR(J70&gt;=140,K70&gt;=90),"Có","Không")</f>
        <v>Không</v>
      </c>
      <c r="AK70" s="5" t="s">
        <v>51</v>
      </c>
      <c r="AL70" s="32">
        <v>46053</v>
      </c>
      <c r="AM70" s="29" t="str">
        <f>"Tháng "&amp;MONTH(AL70)</f>
        <v>Tháng 1</v>
      </c>
      <c r="AN70" s="29" t="str">
        <f>LEFT(AK70,FIND(",",AK70)-1)</f>
        <v>Phường Hiệp Thành</v>
      </c>
    </row>
    <row r="71" spans="1:40" x14ac:dyDescent="0.25">
      <c r="A71" s="49" t="s">
        <v>1020</v>
      </c>
      <c r="B71" s="5" t="s">
        <v>30</v>
      </c>
      <c r="C71" s="5" t="s">
        <v>130</v>
      </c>
      <c r="D71" s="29">
        <f ca="1">DATEDIF(C71,TODAY(),"Y")</f>
        <v>57</v>
      </c>
      <c r="E71" s="5" t="s">
        <v>26</v>
      </c>
      <c r="F71" s="30">
        <v>169</v>
      </c>
      <c r="G71" s="30">
        <v>69</v>
      </c>
      <c r="H71" s="31">
        <f>G71/((F71/100)*(F71/100))</f>
        <v>24.158817968558527</v>
      </c>
      <c r="I71" s="5">
        <v>76</v>
      </c>
      <c r="J71" s="30">
        <v>120</v>
      </c>
      <c r="K71" s="30">
        <v>80</v>
      </c>
      <c r="L71" s="29">
        <f>IF(B71="Nữ",0,2)</f>
        <v>2</v>
      </c>
      <c r="M71" s="29">
        <f ca="1">IF(D71&lt;45,0,IF(D71&lt;=49,1,2))</f>
        <v>2</v>
      </c>
      <c r="N71" s="29">
        <f>IF(E71="Có",4,0)</f>
        <v>0</v>
      </c>
      <c r="O71" s="29">
        <f>IF(H71&lt;23,0,IF(H71&lt;27.5,3,5))</f>
        <v>3</v>
      </c>
      <c r="P71" s="29">
        <f>IF(OR(AND(B71="Nam",I71&gt;=90),AND(B71="Nữ",I71&gt;=80)),2,0)</f>
        <v>0</v>
      </c>
      <c r="Q71" s="29">
        <f>IF(OR(J71&gt;=140,K71&gt;=90),2,0)</f>
        <v>0</v>
      </c>
      <c r="R71" s="29">
        <f ca="1">SUM(L71:Q71)</f>
        <v>7</v>
      </c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5" t="s">
        <v>1393</v>
      </c>
      <c r="AE71" s="33"/>
      <c r="AF71" s="59" t="str">
        <f t="shared" si="4"/>
        <v>Không</v>
      </c>
      <c r="AG71" s="59" t="str">
        <f t="shared" si="5"/>
        <v>Không</v>
      </c>
      <c r="AH71" s="29" t="str">
        <f t="shared" ca="1" si="3"/>
        <v>Có</v>
      </c>
      <c r="AI71" s="29" t="str">
        <f ca="1">IF((R71)&gt;=6,"Có","Không")</f>
        <v>Có</v>
      </c>
      <c r="AJ71" s="29" t="str">
        <f>IF(OR(J71&gt;=140,K71&gt;=90),"Có","Không")</f>
        <v>Không</v>
      </c>
      <c r="AK71" s="5" t="s">
        <v>298</v>
      </c>
      <c r="AL71" s="32">
        <v>46053</v>
      </c>
      <c r="AM71" s="29" t="str">
        <f>"Tháng "&amp;MONTH(AL71)</f>
        <v>Tháng 1</v>
      </c>
      <c r="AN71" s="29" t="str">
        <f>LEFT(AK71,FIND(",",AK71)-1)</f>
        <v>ấp Biển Tây A</v>
      </c>
    </row>
    <row r="72" spans="1:40" x14ac:dyDescent="0.25">
      <c r="A72" s="49" t="s">
        <v>1027</v>
      </c>
      <c r="B72" s="5" t="s">
        <v>23</v>
      </c>
      <c r="C72" s="5" t="s">
        <v>110</v>
      </c>
      <c r="D72" s="29">
        <f ca="1">DATEDIF(C72,TODAY(),"Y")</f>
        <v>62</v>
      </c>
      <c r="E72" s="5" t="s">
        <v>26</v>
      </c>
      <c r="F72" s="30">
        <v>155</v>
      </c>
      <c r="G72" s="30">
        <v>62</v>
      </c>
      <c r="H72" s="31">
        <f>G72/((F72/100)*(F72/100))</f>
        <v>25.806451612903224</v>
      </c>
      <c r="I72" s="5">
        <v>73</v>
      </c>
      <c r="J72" s="30">
        <v>120</v>
      </c>
      <c r="K72" s="30">
        <v>80</v>
      </c>
      <c r="L72" s="29">
        <f>IF(B72="Nữ",0,2)</f>
        <v>0</v>
      </c>
      <c r="M72" s="29">
        <f ca="1">IF(D72&lt;45,0,IF(D72&lt;=49,1,2))</f>
        <v>2</v>
      </c>
      <c r="N72" s="29">
        <f>IF(E72="Có",4,0)</f>
        <v>0</v>
      </c>
      <c r="O72" s="29">
        <f>IF(H72&lt;23,0,IF(H72&lt;27.5,3,5))</f>
        <v>3</v>
      </c>
      <c r="P72" s="29">
        <f>IF(OR(AND(B72="Nam",I72&gt;=90),AND(B72="Nữ",I72&gt;=80)),2,0)</f>
        <v>0</v>
      </c>
      <c r="Q72" s="29">
        <f>IF(OR(J72&gt;=140,K72&gt;=90),2,0)</f>
        <v>0</v>
      </c>
      <c r="R72" s="29">
        <f ca="1">SUM(L72:Q72)</f>
        <v>5</v>
      </c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5" t="s">
        <v>1393</v>
      </c>
      <c r="AE72" s="33"/>
      <c r="AF72" s="59" t="str">
        <f t="shared" si="4"/>
        <v>Không</v>
      </c>
      <c r="AG72" s="59" t="str">
        <f t="shared" si="5"/>
        <v>Không</v>
      </c>
      <c r="AH72" s="29" t="str">
        <f t="shared" ca="1" si="3"/>
        <v>Không</v>
      </c>
      <c r="AI72" s="29" t="str">
        <f ca="1">IF((R72)&gt;=6,"Có","Không")</f>
        <v>Không</v>
      </c>
      <c r="AJ72" s="29" t="str">
        <f>IF(OR(J72&gt;=140,K72&gt;=90),"Có","Không")</f>
        <v>Không</v>
      </c>
      <c r="AK72" s="5" t="s">
        <v>1028</v>
      </c>
      <c r="AL72" s="32">
        <v>46053</v>
      </c>
      <c r="AM72" s="29" t="str">
        <f>"Tháng "&amp;MONTH(AL72)</f>
        <v>Tháng 1</v>
      </c>
      <c r="AN72" s="29" t="str">
        <f>LEFT(AK72,FIND(",",AK72)-1)</f>
        <v>Khóm Nhà Mát</v>
      </c>
    </row>
    <row r="73" spans="1:40" x14ac:dyDescent="0.25">
      <c r="A73" s="49" t="s">
        <v>1029</v>
      </c>
      <c r="B73" s="5" t="s">
        <v>30</v>
      </c>
      <c r="C73" s="5" t="s">
        <v>62</v>
      </c>
      <c r="D73" s="29">
        <f ca="1">DATEDIF(C73,TODAY(),"Y")</f>
        <v>64</v>
      </c>
      <c r="E73" s="5" t="s">
        <v>26</v>
      </c>
      <c r="F73" s="30">
        <v>169</v>
      </c>
      <c r="G73" s="30">
        <v>69</v>
      </c>
      <c r="H73" s="31">
        <f>G73/((F73/100)*(F73/100))</f>
        <v>24.158817968558527</v>
      </c>
      <c r="I73" s="5">
        <v>91</v>
      </c>
      <c r="J73" s="30">
        <v>160</v>
      </c>
      <c r="K73" s="30">
        <v>80</v>
      </c>
      <c r="L73" s="29">
        <f>IF(B73="Nữ",0,2)</f>
        <v>2</v>
      </c>
      <c r="M73" s="29">
        <f ca="1">IF(D73&lt;45,0,IF(D73&lt;=49,1,2))</f>
        <v>2</v>
      </c>
      <c r="N73" s="29">
        <f>IF(E73="Có",4,0)</f>
        <v>0</v>
      </c>
      <c r="O73" s="29">
        <f>IF(H73&lt;23,0,IF(H73&lt;27.5,3,5))</f>
        <v>3</v>
      </c>
      <c r="P73" s="29">
        <f>IF(OR(AND(B73="Nam",I73&gt;=90),AND(B73="Nữ",I73&gt;=80)),2,0)</f>
        <v>2</v>
      </c>
      <c r="Q73" s="29">
        <f>IF(OR(J73&gt;=140,K73&gt;=90),2,0)</f>
        <v>2</v>
      </c>
      <c r="R73" s="29">
        <f ca="1">SUM(L73:Q73)</f>
        <v>11</v>
      </c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5" t="s">
        <v>1393</v>
      </c>
      <c r="AE73" s="33"/>
      <c r="AF73" s="59" t="str">
        <f t="shared" si="4"/>
        <v>Không</v>
      </c>
      <c r="AG73" s="59" t="str">
        <f t="shared" si="5"/>
        <v>Không</v>
      </c>
      <c r="AH73" s="29" t="str">
        <f t="shared" ca="1" si="3"/>
        <v>Có</v>
      </c>
      <c r="AI73" s="29" t="str">
        <f ca="1">IF((R73)&gt;=6,"Có","Không")</f>
        <v>Có</v>
      </c>
      <c r="AJ73" s="29" t="str">
        <f>IF(OR(J73&gt;=140,K73&gt;=90),"Có","Không")</f>
        <v>Có</v>
      </c>
      <c r="AK73" s="5" t="s">
        <v>70</v>
      </c>
      <c r="AL73" s="32">
        <v>46053</v>
      </c>
      <c r="AM73" s="29" t="str">
        <f>"Tháng "&amp;MONTH(AL73)</f>
        <v>Tháng 1</v>
      </c>
      <c r="AN73" s="29" t="str">
        <f>LEFT(AK73,FIND(",",AK73)-1)</f>
        <v>Ấp Biển Tây A</v>
      </c>
    </row>
    <row r="74" spans="1:40" x14ac:dyDescent="0.25">
      <c r="A74" s="49" t="s">
        <v>1032</v>
      </c>
      <c r="B74" s="5" t="s">
        <v>23</v>
      </c>
      <c r="C74" s="5" t="s">
        <v>133</v>
      </c>
      <c r="D74" s="29">
        <f ca="1">DATEDIF(C74,TODAY(),"Y")</f>
        <v>56</v>
      </c>
      <c r="E74" s="5" t="s">
        <v>26</v>
      </c>
      <c r="F74" s="30">
        <v>168</v>
      </c>
      <c r="G74" s="30">
        <v>68</v>
      </c>
      <c r="H74" s="31">
        <f>G74/((F74/100)*(F74/100))</f>
        <v>24.092970521541954</v>
      </c>
      <c r="I74" s="5">
        <v>83</v>
      </c>
      <c r="J74" s="30">
        <v>120</v>
      </c>
      <c r="K74" s="30">
        <v>80</v>
      </c>
      <c r="L74" s="29">
        <f>IF(B74="Nữ",0,2)</f>
        <v>0</v>
      </c>
      <c r="M74" s="29">
        <f ca="1">IF(D74&lt;45,0,IF(D74&lt;=49,1,2))</f>
        <v>2</v>
      </c>
      <c r="N74" s="29">
        <f>IF(E74="Có",4,0)</f>
        <v>0</v>
      </c>
      <c r="O74" s="29">
        <f>IF(H74&lt;23,0,IF(H74&lt;27.5,3,5))</f>
        <v>3</v>
      </c>
      <c r="P74" s="29">
        <f>IF(OR(AND(B74="Nam",I74&gt;=90),AND(B74="Nữ",I74&gt;=80)),2,0)</f>
        <v>2</v>
      </c>
      <c r="Q74" s="29">
        <f>IF(OR(J74&gt;=140,K74&gt;=90),2,0)</f>
        <v>0</v>
      </c>
      <c r="R74" s="29">
        <f ca="1">SUM(L74:Q74)</f>
        <v>7</v>
      </c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5" t="s">
        <v>1393</v>
      </c>
      <c r="AE74" s="33"/>
      <c r="AF74" s="59" t="str">
        <f t="shared" si="4"/>
        <v>Không</v>
      </c>
      <c r="AG74" s="59" t="str">
        <f t="shared" si="5"/>
        <v>Không</v>
      </c>
      <c r="AH74" s="29" t="str">
        <f t="shared" ca="1" si="3"/>
        <v>Có</v>
      </c>
      <c r="AI74" s="29" t="str">
        <f ca="1">IF((R74)&gt;=6,"Có","Không")</f>
        <v>Có</v>
      </c>
      <c r="AJ74" s="29" t="str">
        <f>IF(OR(J74&gt;=140,K74&gt;=90),"Có","Không")</f>
        <v>Không</v>
      </c>
      <c r="AK74" s="5" t="s">
        <v>32</v>
      </c>
      <c r="AL74" s="32">
        <v>46053</v>
      </c>
      <c r="AM74" s="29" t="str">
        <f>"Tháng "&amp;MONTH(AL74)</f>
        <v>Tháng 1</v>
      </c>
      <c r="AN74" s="29" t="str">
        <f>LEFT(AK74,FIND(",",AK74)-1)</f>
        <v>Ấp Giồng Giữa B</v>
      </c>
    </row>
    <row r="75" spans="1:40" x14ac:dyDescent="0.25">
      <c r="A75" s="49" t="s">
        <v>1033</v>
      </c>
      <c r="B75" s="5" t="s">
        <v>30</v>
      </c>
      <c r="C75" s="5" t="s">
        <v>90</v>
      </c>
      <c r="D75" s="29">
        <f ca="1">DATEDIF(C75,TODAY(),"Y")</f>
        <v>54</v>
      </c>
      <c r="E75" s="5" t="s">
        <v>25</v>
      </c>
      <c r="F75" s="30">
        <v>168</v>
      </c>
      <c r="G75" s="30">
        <v>68</v>
      </c>
      <c r="H75" s="31">
        <f>G75/((F75/100)*(F75/100))</f>
        <v>24.092970521541954</v>
      </c>
      <c r="I75" s="5">
        <v>73</v>
      </c>
      <c r="J75" s="30">
        <v>130</v>
      </c>
      <c r="K75" s="30">
        <v>80</v>
      </c>
      <c r="L75" s="29">
        <f>IF(B75="Nữ",0,2)</f>
        <v>2</v>
      </c>
      <c r="M75" s="29">
        <f ca="1">IF(D75&lt;45,0,IF(D75&lt;=49,1,2))</f>
        <v>2</v>
      </c>
      <c r="N75" s="29">
        <f>IF(E75="Có",4,0)</f>
        <v>4</v>
      </c>
      <c r="O75" s="29">
        <f>IF(H75&lt;23,0,IF(H75&lt;27.5,3,5))</f>
        <v>3</v>
      </c>
      <c r="P75" s="29">
        <f>IF(OR(AND(B75="Nam",I75&gt;=90),AND(B75="Nữ",I75&gt;=80)),2,0)</f>
        <v>0</v>
      </c>
      <c r="Q75" s="29">
        <f>IF(OR(J75&gt;=140,K75&gt;=90),2,0)</f>
        <v>0</v>
      </c>
      <c r="R75" s="29">
        <f ca="1">SUM(L75:Q75)</f>
        <v>11</v>
      </c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5" t="s">
        <v>1393</v>
      </c>
      <c r="AE75" s="33"/>
      <c r="AF75" s="59" t="str">
        <f t="shared" si="4"/>
        <v>Không</v>
      </c>
      <c r="AG75" s="59" t="str">
        <f t="shared" si="5"/>
        <v>Không</v>
      </c>
      <c r="AH75" s="29" t="str">
        <f t="shared" ca="1" si="3"/>
        <v>Có</v>
      </c>
      <c r="AI75" s="29" t="str">
        <f ca="1">IF((R75)&gt;=6,"Có","Không")</f>
        <v>Có</v>
      </c>
      <c r="AJ75" s="29" t="str">
        <f>IF(OR(J75&gt;=140,K75&gt;=90),"Có","Không")</f>
        <v>Không</v>
      </c>
      <c r="AK75" s="5" t="s">
        <v>32</v>
      </c>
      <c r="AL75" s="32">
        <v>46053</v>
      </c>
      <c r="AM75" s="29" t="str">
        <f>"Tháng "&amp;MONTH(AL75)</f>
        <v>Tháng 1</v>
      </c>
      <c r="AN75" s="29" t="str">
        <f>LEFT(AK75,FIND(",",AK75)-1)</f>
        <v>Ấp Giồng Giữa B</v>
      </c>
    </row>
    <row r="76" spans="1:40" x14ac:dyDescent="0.25">
      <c r="A76" s="49" t="s">
        <v>1034</v>
      </c>
      <c r="B76" s="5" t="s">
        <v>23</v>
      </c>
      <c r="C76" s="5" t="s">
        <v>84</v>
      </c>
      <c r="D76" s="29">
        <f ca="1">DATEDIF(C76,TODAY(),"Y")</f>
        <v>69</v>
      </c>
      <c r="E76" s="5" t="s">
        <v>26</v>
      </c>
      <c r="F76" s="30">
        <v>168</v>
      </c>
      <c r="G76" s="30">
        <v>68</v>
      </c>
      <c r="H76" s="31">
        <f>G76/((F76/100)*(F76/100))</f>
        <v>24.092970521541954</v>
      </c>
      <c r="I76" s="5">
        <v>68</v>
      </c>
      <c r="J76" s="30">
        <v>140</v>
      </c>
      <c r="K76" s="30">
        <v>80</v>
      </c>
      <c r="L76" s="29">
        <f>IF(B76="Nữ",0,2)</f>
        <v>0</v>
      </c>
      <c r="M76" s="29">
        <f ca="1">IF(D76&lt;45,0,IF(D76&lt;=49,1,2))</f>
        <v>2</v>
      </c>
      <c r="N76" s="29">
        <f>IF(E76="Có",4,0)</f>
        <v>0</v>
      </c>
      <c r="O76" s="29">
        <f>IF(H76&lt;23,0,IF(H76&lt;27.5,3,5))</f>
        <v>3</v>
      </c>
      <c r="P76" s="29">
        <f>IF(OR(AND(B76="Nam",I76&gt;=90),AND(B76="Nữ",I76&gt;=80)),2,0)</f>
        <v>0</v>
      </c>
      <c r="Q76" s="29">
        <f>IF(OR(J76&gt;=140,K76&gt;=90),2,0)</f>
        <v>2</v>
      </c>
      <c r="R76" s="29">
        <f ca="1">SUM(L76:Q76)</f>
        <v>7</v>
      </c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5" t="s">
        <v>1393</v>
      </c>
      <c r="AE76" s="33"/>
      <c r="AF76" s="59" t="str">
        <f t="shared" si="4"/>
        <v>Không</v>
      </c>
      <c r="AG76" s="59" t="str">
        <f t="shared" si="5"/>
        <v>Không</v>
      </c>
      <c r="AH76" s="29" t="str">
        <f t="shared" ca="1" si="3"/>
        <v>Có</v>
      </c>
      <c r="AI76" s="29" t="str">
        <f ca="1">IF((R76)&gt;=6,"Có","Không")</f>
        <v>Có</v>
      </c>
      <c r="AJ76" s="29" t="str">
        <f>IF(OR(J76&gt;=140,K76&gt;=90),"Có","Không")</f>
        <v>Có</v>
      </c>
      <c r="AK76" s="5" t="s">
        <v>38</v>
      </c>
      <c r="AL76" s="32">
        <v>46053</v>
      </c>
      <c r="AM76" s="29" t="str">
        <f>"Tháng "&amp;MONTH(AL76)</f>
        <v>Tháng 1</v>
      </c>
      <c r="AN76" s="29" t="str">
        <f>LEFT(AK76,FIND(",",AK76)-1)</f>
        <v>Ấp Biển Đông B</v>
      </c>
    </row>
    <row r="77" spans="1:40" x14ac:dyDescent="0.25">
      <c r="A77" s="49" t="s">
        <v>1035</v>
      </c>
      <c r="B77" s="5" t="s">
        <v>23</v>
      </c>
      <c r="C77" s="5" t="s">
        <v>76</v>
      </c>
      <c r="D77" s="29">
        <f ca="1">DATEDIF(C77,TODAY(),"Y")</f>
        <v>68</v>
      </c>
      <c r="E77" s="5" t="s">
        <v>26</v>
      </c>
      <c r="F77" s="30">
        <v>168</v>
      </c>
      <c r="G77" s="30">
        <v>68</v>
      </c>
      <c r="H77" s="31">
        <f>G77/((F77/100)*(F77/100))</f>
        <v>24.092970521541954</v>
      </c>
      <c r="I77" s="5">
        <v>83</v>
      </c>
      <c r="J77" s="30">
        <v>140</v>
      </c>
      <c r="K77" s="30">
        <v>80</v>
      </c>
      <c r="L77" s="29">
        <f>IF(B77="Nữ",0,2)</f>
        <v>0</v>
      </c>
      <c r="M77" s="29">
        <f ca="1">IF(D77&lt;45,0,IF(D77&lt;=49,1,2))</f>
        <v>2</v>
      </c>
      <c r="N77" s="29">
        <f>IF(E77="Có",4,0)</f>
        <v>0</v>
      </c>
      <c r="O77" s="29">
        <f>IF(H77&lt;23,0,IF(H77&lt;27.5,3,5))</f>
        <v>3</v>
      </c>
      <c r="P77" s="29">
        <f>IF(OR(AND(B77="Nam",I77&gt;=90),AND(B77="Nữ",I77&gt;=80)),2,0)</f>
        <v>2</v>
      </c>
      <c r="Q77" s="29">
        <f>IF(OR(J77&gt;=140,K77&gt;=90),2,0)</f>
        <v>2</v>
      </c>
      <c r="R77" s="29">
        <f ca="1">SUM(L77:Q77)</f>
        <v>9</v>
      </c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5" t="s">
        <v>1393</v>
      </c>
      <c r="AE77" s="33"/>
      <c r="AF77" s="59" t="str">
        <f t="shared" si="4"/>
        <v>Không</v>
      </c>
      <c r="AG77" s="59" t="str">
        <f t="shared" si="5"/>
        <v>Không</v>
      </c>
      <c r="AH77" s="29" t="str">
        <f t="shared" ca="1" si="3"/>
        <v>Có</v>
      </c>
      <c r="AI77" s="29" t="str">
        <f ca="1">IF((R77)&gt;=6,"Có","Không")</f>
        <v>Có</v>
      </c>
      <c r="AJ77" s="29" t="str">
        <f>IF(OR(J77&gt;=140,K77&gt;=90),"Có","Không")</f>
        <v>Có</v>
      </c>
      <c r="AK77" s="5" t="s">
        <v>32</v>
      </c>
      <c r="AL77" s="32">
        <v>46053</v>
      </c>
      <c r="AM77" s="29" t="str">
        <f>"Tháng "&amp;MONTH(AL77)</f>
        <v>Tháng 1</v>
      </c>
      <c r="AN77" s="29" t="str">
        <f>LEFT(AK77,FIND(",",AK77)-1)</f>
        <v>Ấp Giồng Giữa B</v>
      </c>
    </row>
    <row r="78" spans="1:40" x14ac:dyDescent="0.25">
      <c r="A78" s="49" t="s">
        <v>1036</v>
      </c>
      <c r="B78" s="5" t="s">
        <v>30</v>
      </c>
      <c r="C78" s="5" t="s">
        <v>67</v>
      </c>
      <c r="D78" s="29">
        <f ca="1">DATEDIF(C78,TODAY(),"Y")</f>
        <v>48</v>
      </c>
      <c r="E78" s="5" t="s">
        <v>26</v>
      </c>
      <c r="F78" s="30">
        <v>180</v>
      </c>
      <c r="G78" s="30">
        <v>90</v>
      </c>
      <c r="H78" s="31">
        <f>G78/((F78/100)*(F78/100))</f>
        <v>27.777777777777775</v>
      </c>
      <c r="I78" s="5">
        <v>99</v>
      </c>
      <c r="J78" s="30">
        <v>120</v>
      </c>
      <c r="K78" s="30">
        <v>70</v>
      </c>
      <c r="L78" s="29">
        <f>IF(B78="Nữ",0,2)</f>
        <v>2</v>
      </c>
      <c r="M78" s="29">
        <f ca="1">IF(D78&lt;45,0,IF(D78&lt;=49,1,2))</f>
        <v>1</v>
      </c>
      <c r="N78" s="29">
        <f>IF(E78="Có",4,0)</f>
        <v>0</v>
      </c>
      <c r="O78" s="29">
        <f>IF(H78&lt;23,0,IF(H78&lt;27.5,3,5))</f>
        <v>5</v>
      </c>
      <c r="P78" s="29">
        <f>IF(OR(AND(B78="Nam",I78&gt;=90),AND(B78="Nữ",I78&gt;=80)),2,0)</f>
        <v>2</v>
      </c>
      <c r="Q78" s="29">
        <f>IF(OR(J78&gt;=140,K78&gt;=90),2,0)</f>
        <v>0</v>
      </c>
      <c r="R78" s="29">
        <f ca="1">SUM(L78:Q78)</f>
        <v>10</v>
      </c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5" t="s">
        <v>1393</v>
      </c>
      <c r="AE78" s="33"/>
      <c r="AF78" s="59" t="str">
        <f t="shared" si="4"/>
        <v>Không</v>
      </c>
      <c r="AG78" s="59" t="str">
        <f t="shared" si="5"/>
        <v>Không</v>
      </c>
      <c r="AH78" s="29" t="str">
        <f t="shared" ca="1" si="3"/>
        <v>Có</v>
      </c>
      <c r="AI78" s="29" t="str">
        <f ca="1">IF((R78)&gt;=6,"Có","Không")</f>
        <v>Có</v>
      </c>
      <c r="AJ78" s="29" t="str">
        <f>IF(OR(J78&gt;=140,K78&gt;=90),"Có","Không")</f>
        <v>Không</v>
      </c>
      <c r="AK78" s="5" t="s">
        <v>1037</v>
      </c>
      <c r="AL78" s="32">
        <v>46053</v>
      </c>
      <c r="AM78" s="29" t="str">
        <f>"Tháng "&amp;MONTH(AL78)</f>
        <v>Tháng 1</v>
      </c>
      <c r="AN78" s="29" t="str">
        <f>LEFT(AK78,FIND(",",AK78)-1)</f>
        <v>Khóm giồng nhãn A</v>
      </c>
    </row>
    <row r="79" spans="1:40" x14ac:dyDescent="0.25">
      <c r="A79" s="49" t="s">
        <v>1038</v>
      </c>
      <c r="B79" s="5" t="s">
        <v>23</v>
      </c>
      <c r="C79" s="5" t="s">
        <v>59</v>
      </c>
      <c r="D79" s="29">
        <f ca="1">DATEDIF(C79,TODAY(),"Y")</f>
        <v>74</v>
      </c>
      <c r="E79" s="5" t="s">
        <v>26</v>
      </c>
      <c r="F79" s="30">
        <v>158</v>
      </c>
      <c r="G79" s="30">
        <v>58</v>
      </c>
      <c r="H79" s="31">
        <f>G79/((F79/100)*(F79/100))</f>
        <v>23.233456176894723</v>
      </c>
      <c r="I79" s="5">
        <v>81</v>
      </c>
      <c r="J79" s="30">
        <v>150</v>
      </c>
      <c r="K79" s="30">
        <v>80</v>
      </c>
      <c r="L79" s="29">
        <f>IF(B79="Nữ",0,2)</f>
        <v>0</v>
      </c>
      <c r="M79" s="29">
        <f ca="1">IF(D79&lt;45,0,IF(D79&lt;=49,1,2))</f>
        <v>2</v>
      </c>
      <c r="N79" s="29">
        <f>IF(E79="Có",4,0)</f>
        <v>0</v>
      </c>
      <c r="O79" s="29">
        <f>IF(H79&lt;23,0,IF(H79&lt;27.5,3,5))</f>
        <v>3</v>
      </c>
      <c r="P79" s="29">
        <f>IF(OR(AND(B79="Nam",I79&gt;=90),AND(B79="Nữ",I79&gt;=80)),2,0)</f>
        <v>2</v>
      </c>
      <c r="Q79" s="29">
        <f>IF(OR(J79&gt;=140,K79&gt;=90),2,0)</f>
        <v>2</v>
      </c>
      <c r="R79" s="29">
        <f ca="1">SUM(L79:Q79)</f>
        <v>9</v>
      </c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5" t="s">
        <v>1393</v>
      </c>
      <c r="AE79" s="33"/>
      <c r="AF79" s="59" t="str">
        <f t="shared" si="4"/>
        <v>Không</v>
      </c>
      <c r="AG79" s="59" t="str">
        <f t="shared" si="5"/>
        <v>Không</v>
      </c>
      <c r="AH79" s="29" t="str">
        <f t="shared" ca="1" si="3"/>
        <v>Có</v>
      </c>
      <c r="AI79" s="29" t="str">
        <f ca="1">IF((R79)&gt;=6,"Có","Không")</f>
        <v>Có</v>
      </c>
      <c r="AJ79" s="29" t="str">
        <f>IF(OR(J79&gt;=140,K79&gt;=90),"Có","Không")</f>
        <v>Có</v>
      </c>
      <c r="AK79" s="5" t="s">
        <v>38</v>
      </c>
      <c r="AL79" s="32">
        <v>46053</v>
      </c>
      <c r="AM79" s="29" t="str">
        <f>"Tháng "&amp;MONTH(AL79)</f>
        <v>Tháng 1</v>
      </c>
      <c r="AN79" s="29" t="str">
        <f>LEFT(AK79,FIND(",",AK79)-1)</f>
        <v>Ấp Biển Đông B</v>
      </c>
    </row>
    <row r="80" spans="1:40" x14ac:dyDescent="0.25">
      <c r="A80" s="49" t="s">
        <v>1039</v>
      </c>
      <c r="B80" s="5" t="s">
        <v>23</v>
      </c>
      <c r="C80" s="5" t="s">
        <v>34</v>
      </c>
      <c r="D80" s="29">
        <f ca="1">DATEDIF(C80,TODAY(),"Y")</f>
        <v>78</v>
      </c>
      <c r="E80" s="5" t="s">
        <v>26</v>
      </c>
      <c r="F80" s="30">
        <v>158</v>
      </c>
      <c r="G80" s="30">
        <v>58</v>
      </c>
      <c r="H80" s="31">
        <f>G80/((F80/100)*(F80/100))</f>
        <v>23.233456176894723</v>
      </c>
      <c r="I80" s="5">
        <v>66</v>
      </c>
      <c r="J80" s="30">
        <v>130</v>
      </c>
      <c r="K80" s="30">
        <v>80</v>
      </c>
      <c r="L80" s="29">
        <f>IF(B80="Nữ",0,2)</f>
        <v>0</v>
      </c>
      <c r="M80" s="29">
        <f ca="1">IF(D80&lt;45,0,IF(D80&lt;=49,1,2))</f>
        <v>2</v>
      </c>
      <c r="N80" s="29">
        <f>IF(E80="Có",4,0)</f>
        <v>0</v>
      </c>
      <c r="O80" s="29">
        <f>IF(H80&lt;23,0,IF(H80&lt;27.5,3,5))</f>
        <v>3</v>
      </c>
      <c r="P80" s="29">
        <f>IF(OR(AND(B80="Nam",I80&gt;=90),AND(B80="Nữ",I80&gt;=80)),2,0)</f>
        <v>0</v>
      </c>
      <c r="Q80" s="29">
        <f>IF(OR(J80&gt;=140,K80&gt;=90),2,0)</f>
        <v>0</v>
      </c>
      <c r="R80" s="29">
        <f ca="1">SUM(L80:Q80)</f>
        <v>5</v>
      </c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5" t="s">
        <v>1393</v>
      </c>
      <c r="AE80" s="33"/>
      <c r="AF80" s="59" t="str">
        <f t="shared" si="4"/>
        <v>Không</v>
      </c>
      <c r="AG80" s="59" t="str">
        <f t="shared" si="5"/>
        <v>Không</v>
      </c>
      <c r="AH80" s="29" t="str">
        <f t="shared" ca="1" si="3"/>
        <v>Không</v>
      </c>
      <c r="AI80" s="29" t="str">
        <f ca="1">IF((R80)&gt;=6,"Có","Không")</f>
        <v>Không</v>
      </c>
      <c r="AJ80" s="29" t="str">
        <f>IF(OR(J80&gt;=140,K80&gt;=90),"Có","Không")</f>
        <v>Không</v>
      </c>
      <c r="AK80" s="5" t="s">
        <v>70</v>
      </c>
      <c r="AL80" s="32">
        <v>46053</v>
      </c>
      <c r="AM80" s="29" t="str">
        <f>"Tháng "&amp;MONTH(AL80)</f>
        <v>Tháng 1</v>
      </c>
      <c r="AN80" s="29" t="str">
        <f>LEFT(AK80,FIND(",",AK80)-1)</f>
        <v>Ấp Biển Tây A</v>
      </c>
    </row>
    <row r="81" spans="1:40" x14ac:dyDescent="0.25">
      <c r="A81" s="49" t="s">
        <v>1040</v>
      </c>
      <c r="B81" s="5" t="s">
        <v>30</v>
      </c>
      <c r="C81" s="5" t="s">
        <v>188</v>
      </c>
      <c r="D81" s="29">
        <f ca="1">DATEDIF(C81,TODAY(),"Y")</f>
        <v>63</v>
      </c>
      <c r="E81" s="5" t="s">
        <v>26</v>
      </c>
      <c r="F81" s="30">
        <v>169</v>
      </c>
      <c r="G81" s="30">
        <v>69</v>
      </c>
      <c r="H81" s="31">
        <f>G81/((F81/100)*(F81/100))</f>
        <v>24.158817968558527</v>
      </c>
      <c r="I81" s="5">
        <v>89</v>
      </c>
      <c r="J81" s="30">
        <v>140</v>
      </c>
      <c r="K81" s="30">
        <v>80</v>
      </c>
      <c r="L81" s="29">
        <f>IF(B81="Nữ",0,2)</f>
        <v>2</v>
      </c>
      <c r="M81" s="29">
        <f ca="1">IF(D81&lt;45,0,IF(D81&lt;=49,1,2))</f>
        <v>2</v>
      </c>
      <c r="N81" s="29">
        <f>IF(E81="Có",4,0)</f>
        <v>0</v>
      </c>
      <c r="O81" s="29">
        <f>IF(H81&lt;23,0,IF(H81&lt;27.5,3,5))</f>
        <v>3</v>
      </c>
      <c r="P81" s="29">
        <f>IF(OR(AND(B81="Nam",I81&gt;=90),AND(B81="Nữ",I81&gt;=80)),2,0)</f>
        <v>0</v>
      </c>
      <c r="Q81" s="29">
        <f>IF(OR(J81&gt;=140,K81&gt;=90),2,0)</f>
        <v>2</v>
      </c>
      <c r="R81" s="29">
        <f ca="1">SUM(L81:Q81)</f>
        <v>9</v>
      </c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5" t="s">
        <v>1393</v>
      </c>
      <c r="AE81" s="33"/>
      <c r="AF81" s="59" t="str">
        <f t="shared" si="4"/>
        <v>Không</v>
      </c>
      <c r="AG81" s="59" t="str">
        <f t="shared" si="5"/>
        <v>Không</v>
      </c>
      <c r="AH81" s="29" t="str">
        <f t="shared" ca="1" si="3"/>
        <v>Có</v>
      </c>
      <c r="AI81" s="29" t="str">
        <f ca="1">IF((R81)&gt;=6,"Có","Không")</f>
        <v>Có</v>
      </c>
      <c r="AJ81" s="29" t="str">
        <f>IF(OR(J81&gt;=140,K81&gt;=90),"Có","Không")</f>
        <v>Có</v>
      </c>
      <c r="AK81" s="5" t="s">
        <v>70</v>
      </c>
      <c r="AL81" s="32">
        <v>46053</v>
      </c>
      <c r="AM81" s="29" t="str">
        <f>"Tháng "&amp;MONTH(AL81)</f>
        <v>Tháng 1</v>
      </c>
      <c r="AN81" s="29" t="str">
        <f>LEFT(AK81,FIND(",",AK81)-1)</f>
        <v>Ấp Biển Tây A</v>
      </c>
    </row>
    <row r="82" spans="1:40" x14ac:dyDescent="0.25">
      <c r="A82" s="50" t="s">
        <v>1063</v>
      </c>
      <c r="B82" s="20" t="s">
        <v>30</v>
      </c>
      <c r="C82" s="35">
        <v>24838</v>
      </c>
      <c r="D82" s="29">
        <f ca="1">DATEDIF(C82,TODAY(),"Y")</f>
        <v>58</v>
      </c>
      <c r="E82" s="5" t="s">
        <v>25</v>
      </c>
      <c r="F82" s="30">
        <v>163</v>
      </c>
      <c r="G82" s="30">
        <v>54</v>
      </c>
      <c r="H82" s="31">
        <f>G82/((F82/100)*(F82/100))</f>
        <v>20.324438255109339</v>
      </c>
      <c r="I82" s="5">
        <v>100</v>
      </c>
      <c r="J82" s="30">
        <v>150</v>
      </c>
      <c r="K82" s="30">
        <v>80</v>
      </c>
      <c r="L82" s="29">
        <f>IF(B82="Nữ",0,2)</f>
        <v>2</v>
      </c>
      <c r="M82" s="29">
        <f ca="1">IF(D82&lt;45,0,IF(D82&lt;=49,1,2))</f>
        <v>2</v>
      </c>
      <c r="N82" s="29">
        <f>IF(E82="Có",4,0)</f>
        <v>4</v>
      </c>
      <c r="O82" s="29">
        <f>IF(H82&lt;23,0,IF(H82&lt;27.5,3,5))</f>
        <v>0</v>
      </c>
      <c r="P82" s="29">
        <f>IF(OR(AND(B82="Nam",I82&gt;=90),AND(B82="Nữ",I82&gt;=80)),2,0)</f>
        <v>2</v>
      </c>
      <c r="Q82" s="29">
        <f>IF(OR(J82&gt;=140,K82&gt;=90),2,0)</f>
        <v>2</v>
      </c>
      <c r="R82" s="29">
        <f ca="1">SUM(L82:Q82)</f>
        <v>12</v>
      </c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5" t="s">
        <v>1393</v>
      </c>
      <c r="AE82" s="33"/>
      <c r="AF82" s="59" t="str">
        <f t="shared" si="4"/>
        <v>Không</v>
      </c>
      <c r="AG82" s="59" t="str">
        <f t="shared" si="5"/>
        <v>Không</v>
      </c>
      <c r="AH82" s="29" t="str">
        <f t="shared" ca="1" si="3"/>
        <v>Có</v>
      </c>
      <c r="AI82" s="29" t="str">
        <f ca="1">IF((R82)&gt;=6,"Có","Không")</f>
        <v>Có</v>
      </c>
      <c r="AJ82" s="29" t="str">
        <f>IF(OR(J82&gt;=140,K82&gt;=90),"Có","Không")</f>
        <v>Có</v>
      </c>
      <c r="AK82" s="5" t="s">
        <v>51</v>
      </c>
      <c r="AL82" s="32">
        <v>46053</v>
      </c>
      <c r="AM82" s="29" t="str">
        <f>"Tháng "&amp;MONTH(AL82)</f>
        <v>Tháng 1</v>
      </c>
      <c r="AN82" s="69" t="s">
        <v>1376</v>
      </c>
    </row>
    <row r="83" spans="1:40" x14ac:dyDescent="0.25">
      <c r="A83" s="50" t="s">
        <v>1072</v>
      </c>
      <c r="B83" s="20" t="s">
        <v>23</v>
      </c>
      <c r="C83" s="35">
        <v>21551</v>
      </c>
      <c r="D83" s="29">
        <f ca="1">DATEDIF(C83,TODAY(),"Y")</f>
        <v>67</v>
      </c>
      <c r="E83" s="5" t="s">
        <v>26</v>
      </c>
      <c r="F83" s="30">
        <v>150</v>
      </c>
      <c r="G83" s="30">
        <v>60</v>
      </c>
      <c r="H83" s="31">
        <f>G83/((F83/100)*(F83/100))</f>
        <v>26.666666666666668</v>
      </c>
      <c r="I83" s="5">
        <v>97</v>
      </c>
      <c r="J83" s="30">
        <v>120</v>
      </c>
      <c r="K83" s="30">
        <v>80</v>
      </c>
      <c r="L83" s="29">
        <f>IF(B83="Nữ",0,2)</f>
        <v>0</v>
      </c>
      <c r="M83" s="29">
        <f ca="1">IF(D83&lt;45,0,IF(D83&lt;=49,1,2))</f>
        <v>2</v>
      </c>
      <c r="N83" s="29">
        <f>IF(E83="Có",4,0)</f>
        <v>0</v>
      </c>
      <c r="O83" s="29">
        <f>IF(H83&lt;23,0,IF(H83&lt;27.5,3,5))</f>
        <v>3</v>
      </c>
      <c r="P83" s="29">
        <f>IF(OR(AND(B83="Nam",I83&gt;=90),AND(B83="Nữ",I83&gt;=80)),2,0)</f>
        <v>2</v>
      </c>
      <c r="Q83" s="29">
        <f>IF(OR(J83&gt;=140,K83&gt;=90),2,0)</f>
        <v>0</v>
      </c>
      <c r="R83" s="29">
        <f ca="1">SUM(L83:Q83)</f>
        <v>7</v>
      </c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5" t="s">
        <v>1393</v>
      </c>
      <c r="AE83" s="33"/>
      <c r="AF83" s="59" t="str">
        <f t="shared" si="4"/>
        <v>Không</v>
      </c>
      <c r="AG83" s="59" t="str">
        <f t="shared" si="5"/>
        <v>Không</v>
      </c>
      <c r="AH83" s="29" t="str">
        <f t="shared" ca="1" si="3"/>
        <v>Có</v>
      </c>
      <c r="AI83" s="29" t="str">
        <f ca="1">IF((R83)&gt;=6,"Có","Không")</f>
        <v>Có</v>
      </c>
      <c r="AJ83" s="29" t="str">
        <f>IF(OR(J83&gt;=140,K83&gt;=90),"Có","Không")</f>
        <v>Không</v>
      </c>
      <c r="AK83" s="5" t="s">
        <v>51</v>
      </c>
      <c r="AL83" s="32">
        <v>46053</v>
      </c>
      <c r="AM83" s="29" t="str">
        <f>"Tháng "&amp;MONTH(AL83)</f>
        <v>Tháng 1</v>
      </c>
      <c r="AN83" s="69" t="s">
        <v>1376</v>
      </c>
    </row>
    <row r="84" spans="1:40" x14ac:dyDescent="0.25">
      <c r="A84" s="50" t="s">
        <v>1075</v>
      </c>
      <c r="B84" s="20" t="s">
        <v>30</v>
      </c>
      <c r="C84" s="35">
        <v>24473</v>
      </c>
      <c r="D84" s="29">
        <f ca="1">DATEDIF(C84,TODAY(),"Y")</f>
        <v>59</v>
      </c>
      <c r="E84" s="5" t="s">
        <v>26</v>
      </c>
      <c r="F84" s="30">
        <v>163</v>
      </c>
      <c r="G84" s="30">
        <v>54</v>
      </c>
      <c r="H84" s="31">
        <f>G84/((F84/100)*(F84/100))</f>
        <v>20.324438255109339</v>
      </c>
      <c r="I84" s="5">
        <v>82</v>
      </c>
      <c r="J84" s="30">
        <v>130</v>
      </c>
      <c r="K84" s="30">
        <v>80</v>
      </c>
      <c r="L84" s="29">
        <f>IF(B84="Nữ",0,2)</f>
        <v>2</v>
      </c>
      <c r="M84" s="29">
        <f ca="1">IF(D84&lt;45,0,IF(D84&lt;=49,1,2))</f>
        <v>2</v>
      </c>
      <c r="N84" s="29">
        <f>IF(E84="Có",4,0)</f>
        <v>0</v>
      </c>
      <c r="O84" s="29">
        <f>IF(H84&lt;23,0,IF(H84&lt;27.5,3,5))</f>
        <v>0</v>
      </c>
      <c r="P84" s="29">
        <f>IF(OR(AND(B84="Nam",I84&gt;=90),AND(B84="Nữ",I84&gt;=80)),2,0)</f>
        <v>0</v>
      </c>
      <c r="Q84" s="29">
        <f>IF(OR(J84&gt;=140,K84&gt;=90),2,0)</f>
        <v>0</v>
      </c>
      <c r="R84" s="29">
        <f ca="1">SUM(L84:Q84)</f>
        <v>4</v>
      </c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5" t="s">
        <v>1393</v>
      </c>
      <c r="AE84" s="33"/>
      <c r="AF84" s="59" t="str">
        <f t="shared" si="4"/>
        <v>Không</v>
      </c>
      <c r="AG84" s="59" t="str">
        <f t="shared" si="5"/>
        <v>Không</v>
      </c>
      <c r="AH84" s="29" t="str">
        <f t="shared" ca="1" si="3"/>
        <v>Không</v>
      </c>
      <c r="AI84" s="29" t="str">
        <f ca="1">IF((R84)&gt;=6,"Có","Không")</f>
        <v>Không</v>
      </c>
      <c r="AJ84" s="29" t="str">
        <f>IF(OR(J84&gt;=140,K84&gt;=90),"Có","Không")</f>
        <v>Không</v>
      </c>
      <c r="AK84" s="5" t="s">
        <v>51</v>
      </c>
      <c r="AL84" s="32">
        <v>46053</v>
      </c>
      <c r="AM84" s="29" t="str">
        <f>"Tháng "&amp;MONTH(AL84)</f>
        <v>Tháng 1</v>
      </c>
      <c r="AN84" s="69" t="s">
        <v>1376</v>
      </c>
    </row>
    <row r="85" spans="1:40" x14ac:dyDescent="0.25">
      <c r="A85" s="50" t="s">
        <v>1076</v>
      </c>
      <c r="B85" s="20" t="s">
        <v>23</v>
      </c>
      <c r="C85" s="35">
        <v>24473</v>
      </c>
      <c r="D85" s="29">
        <f ca="1">DATEDIF(C85,TODAY(),"Y")</f>
        <v>59</v>
      </c>
      <c r="E85" s="5" t="s">
        <v>26</v>
      </c>
      <c r="F85" s="30">
        <v>169</v>
      </c>
      <c r="G85" s="30">
        <v>68</v>
      </c>
      <c r="H85" s="31">
        <f>G85/((F85/100)*(F85/100))</f>
        <v>23.808690171912751</v>
      </c>
      <c r="I85" s="5">
        <v>76</v>
      </c>
      <c r="J85" s="30">
        <v>120</v>
      </c>
      <c r="K85" s="30">
        <v>80</v>
      </c>
      <c r="L85" s="29">
        <f>IF(B85="Nữ",0,2)</f>
        <v>0</v>
      </c>
      <c r="M85" s="29">
        <f ca="1">IF(D85&lt;45,0,IF(D85&lt;=49,1,2))</f>
        <v>2</v>
      </c>
      <c r="N85" s="29">
        <f>IF(E85="Có",4,0)</f>
        <v>0</v>
      </c>
      <c r="O85" s="29">
        <f>IF(H85&lt;23,0,IF(H85&lt;27.5,3,5))</f>
        <v>3</v>
      </c>
      <c r="P85" s="29">
        <f>IF(OR(AND(B85="Nam",I85&gt;=90),AND(B85="Nữ",I85&gt;=80)),2,0)</f>
        <v>0</v>
      </c>
      <c r="Q85" s="29">
        <f>IF(OR(J85&gt;=140,K85&gt;=90),2,0)</f>
        <v>0</v>
      </c>
      <c r="R85" s="29">
        <f ca="1">SUM(L85:Q85)</f>
        <v>5</v>
      </c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5" t="s">
        <v>1393</v>
      </c>
      <c r="AE85" s="33"/>
      <c r="AF85" s="59" t="str">
        <f t="shared" si="4"/>
        <v>Không</v>
      </c>
      <c r="AG85" s="59" t="str">
        <f t="shared" si="5"/>
        <v>Không</v>
      </c>
      <c r="AH85" s="29" t="str">
        <f t="shared" ca="1" si="3"/>
        <v>Không</v>
      </c>
      <c r="AI85" s="29" t="str">
        <f ca="1">IF((R85)&gt;=6,"Có","Không")</f>
        <v>Không</v>
      </c>
      <c r="AJ85" s="29" t="str">
        <f>IF(OR(J85&gt;=140,K85&gt;=90),"Có","Không")</f>
        <v>Không</v>
      </c>
      <c r="AK85" s="5" t="s">
        <v>51</v>
      </c>
      <c r="AL85" s="32">
        <v>46053</v>
      </c>
      <c r="AM85" s="29" t="str">
        <f>"Tháng "&amp;MONTH(AL85)</f>
        <v>Tháng 1</v>
      </c>
      <c r="AN85" s="69" t="s">
        <v>1376</v>
      </c>
    </row>
    <row r="86" spans="1:40" x14ac:dyDescent="0.25">
      <c r="A86" s="50" t="s">
        <v>1078</v>
      </c>
      <c r="B86" s="20" t="s">
        <v>23</v>
      </c>
      <c r="C86" s="35">
        <v>27760</v>
      </c>
      <c r="D86" s="29">
        <f ca="1">DATEDIF(C86,TODAY(),"Y")</f>
        <v>50</v>
      </c>
      <c r="E86" s="5" t="s">
        <v>26</v>
      </c>
      <c r="F86" s="30">
        <v>158</v>
      </c>
      <c r="G86" s="30">
        <v>58</v>
      </c>
      <c r="H86" s="31">
        <f>G86/((F86/100)*(F86/100))</f>
        <v>23.233456176894723</v>
      </c>
      <c r="I86" s="5">
        <v>89</v>
      </c>
      <c r="J86" s="30">
        <v>130</v>
      </c>
      <c r="K86" s="30">
        <v>80</v>
      </c>
      <c r="L86" s="29">
        <f>IF(B86="Nữ",0,2)</f>
        <v>0</v>
      </c>
      <c r="M86" s="29">
        <f ca="1">IF(D86&lt;45,0,IF(D86&lt;=49,1,2))</f>
        <v>2</v>
      </c>
      <c r="N86" s="29">
        <f>IF(E86="Có",4,0)</f>
        <v>0</v>
      </c>
      <c r="O86" s="29">
        <f>IF(H86&lt;23,0,IF(H86&lt;27.5,3,5))</f>
        <v>3</v>
      </c>
      <c r="P86" s="29">
        <f>IF(OR(AND(B86="Nam",I86&gt;=90),AND(B86="Nữ",I86&gt;=80)),2,0)</f>
        <v>2</v>
      </c>
      <c r="Q86" s="29">
        <f>IF(OR(J86&gt;=140,K86&gt;=90),2,0)</f>
        <v>0</v>
      </c>
      <c r="R86" s="29">
        <f ca="1">SUM(L86:Q86)</f>
        <v>7</v>
      </c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5" t="s">
        <v>1393</v>
      </c>
      <c r="AE86" s="33"/>
      <c r="AF86" s="59" t="str">
        <f t="shared" si="4"/>
        <v>Không</v>
      </c>
      <c r="AG86" s="59" t="str">
        <f t="shared" si="5"/>
        <v>Không</v>
      </c>
      <c r="AH86" s="29" t="str">
        <f t="shared" ca="1" si="3"/>
        <v>Có</v>
      </c>
      <c r="AI86" s="29" t="str">
        <f ca="1">IF((R86)&gt;=6,"Có","Không")</f>
        <v>Có</v>
      </c>
      <c r="AJ86" s="29" t="str">
        <f>IF(OR(J86&gt;=140,K86&gt;=90),"Có","Không")</f>
        <v>Không</v>
      </c>
      <c r="AK86" s="5" t="s">
        <v>51</v>
      </c>
      <c r="AL86" s="32">
        <v>46053</v>
      </c>
      <c r="AM86" s="29" t="str">
        <f>"Tháng "&amp;MONTH(AL86)</f>
        <v>Tháng 1</v>
      </c>
      <c r="AN86" s="69" t="s">
        <v>1376</v>
      </c>
    </row>
    <row r="87" spans="1:40" x14ac:dyDescent="0.25">
      <c r="A87" s="50" t="s">
        <v>1079</v>
      </c>
      <c r="B87" s="20" t="s">
        <v>30</v>
      </c>
      <c r="C87" s="35">
        <v>23743</v>
      </c>
      <c r="D87" s="29">
        <f ca="1">DATEDIF(C87,TODAY(),"Y")</f>
        <v>61</v>
      </c>
      <c r="E87" s="5" t="s">
        <v>26</v>
      </c>
      <c r="F87" s="30">
        <v>160</v>
      </c>
      <c r="G87" s="30">
        <v>70</v>
      </c>
      <c r="H87" s="31">
        <f>G87/((F87/100)*(F87/100))</f>
        <v>27.343749999999996</v>
      </c>
      <c r="I87" s="5">
        <v>81</v>
      </c>
      <c r="J87" s="30">
        <v>140</v>
      </c>
      <c r="K87" s="30">
        <v>80</v>
      </c>
      <c r="L87" s="29">
        <f>IF(B87="Nữ",0,2)</f>
        <v>2</v>
      </c>
      <c r="M87" s="29">
        <f ca="1">IF(D87&lt;45,0,IF(D87&lt;=49,1,2))</f>
        <v>2</v>
      </c>
      <c r="N87" s="29">
        <f>IF(E87="Có",4,0)</f>
        <v>0</v>
      </c>
      <c r="O87" s="29">
        <f>IF(H87&lt;23,0,IF(H87&lt;27.5,3,5))</f>
        <v>3</v>
      </c>
      <c r="P87" s="29">
        <f>IF(OR(AND(B87="Nam",I87&gt;=90),AND(B87="Nữ",I87&gt;=80)),2,0)</f>
        <v>0</v>
      </c>
      <c r="Q87" s="29">
        <f>IF(OR(J87&gt;=140,K87&gt;=90),2,0)</f>
        <v>2</v>
      </c>
      <c r="R87" s="29">
        <f ca="1">SUM(L87:Q87)</f>
        <v>9</v>
      </c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5" t="s">
        <v>1393</v>
      </c>
      <c r="AE87" s="33"/>
      <c r="AF87" s="59" t="str">
        <f t="shared" si="4"/>
        <v>Không</v>
      </c>
      <c r="AG87" s="59" t="str">
        <f t="shared" si="5"/>
        <v>Không</v>
      </c>
      <c r="AH87" s="29" t="str">
        <f t="shared" ca="1" si="3"/>
        <v>Có</v>
      </c>
      <c r="AI87" s="29" t="str">
        <f ca="1">IF((R87)&gt;=6,"Có","Không")</f>
        <v>Có</v>
      </c>
      <c r="AJ87" s="29" t="str">
        <f>IF(OR(J87&gt;=140,K87&gt;=90),"Có","Không")</f>
        <v>Có</v>
      </c>
      <c r="AK87" s="5" t="s">
        <v>51</v>
      </c>
      <c r="AL87" s="32">
        <v>46053</v>
      </c>
      <c r="AM87" s="29" t="str">
        <f>"Tháng "&amp;MONTH(AL87)</f>
        <v>Tháng 1</v>
      </c>
      <c r="AN87" s="69" t="s">
        <v>1376</v>
      </c>
    </row>
    <row r="88" spans="1:40" x14ac:dyDescent="0.25">
      <c r="A88" s="50" t="s">
        <v>1082</v>
      </c>
      <c r="B88" s="20" t="s">
        <v>30</v>
      </c>
      <c r="C88" s="35">
        <v>20090</v>
      </c>
      <c r="D88" s="29">
        <f ca="1">DATEDIF(C88,TODAY(),"Y")</f>
        <v>71</v>
      </c>
      <c r="E88" s="5" t="s">
        <v>26</v>
      </c>
      <c r="F88" s="30">
        <v>158</v>
      </c>
      <c r="G88" s="30">
        <v>58</v>
      </c>
      <c r="H88" s="31">
        <f>G88/((F88/100)*(F88/100))</f>
        <v>23.233456176894723</v>
      </c>
      <c r="I88" s="5">
        <v>71</v>
      </c>
      <c r="J88" s="30">
        <v>120</v>
      </c>
      <c r="K88" s="30">
        <v>80</v>
      </c>
      <c r="L88" s="29">
        <f>IF(B88="Nữ",0,2)</f>
        <v>2</v>
      </c>
      <c r="M88" s="29">
        <f ca="1">IF(D88&lt;45,0,IF(D88&lt;=49,1,2))</f>
        <v>2</v>
      </c>
      <c r="N88" s="29">
        <f>IF(E88="Có",4,0)</f>
        <v>0</v>
      </c>
      <c r="O88" s="29">
        <f>IF(H88&lt;23,0,IF(H88&lt;27.5,3,5))</f>
        <v>3</v>
      </c>
      <c r="P88" s="29">
        <f>IF(OR(AND(B88="Nam",I88&gt;=90),AND(B88="Nữ",I88&gt;=80)),2,0)</f>
        <v>0</v>
      </c>
      <c r="Q88" s="29">
        <f>IF(OR(J88&gt;=140,K88&gt;=90),2,0)</f>
        <v>0</v>
      </c>
      <c r="R88" s="29">
        <f ca="1">SUM(L88:Q88)</f>
        <v>7</v>
      </c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5" t="s">
        <v>1393</v>
      </c>
      <c r="AE88" s="33"/>
      <c r="AF88" s="59" t="str">
        <f t="shared" si="4"/>
        <v>Không</v>
      </c>
      <c r="AG88" s="59" t="str">
        <f t="shared" si="5"/>
        <v>Không</v>
      </c>
      <c r="AH88" s="29" t="str">
        <f t="shared" ca="1" si="3"/>
        <v>Có</v>
      </c>
      <c r="AI88" s="29" t="str">
        <f ca="1">IF((R88)&gt;=6,"Có","Không")</f>
        <v>Có</v>
      </c>
      <c r="AJ88" s="29" t="str">
        <f>IF(OR(J88&gt;=140,K88&gt;=90),"Có","Không")</f>
        <v>Không</v>
      </c>
      <c r="AK88" s="5" t="s">
        <v>51</v>
      </c>
      <c r="AL88" s="32">
        <v>46053</v>
      </c>
      <c r="AM88" s="29" t="str">
        <f>"Tháng "&amp;MONTH(AL88)</f>
        <v>Tháng 1</v>
      </c>
      <c r="AN88" s="69" t="s">
        <v>1376</v>
      </c>
    </row>
    <row r="89" spans="1:40" x14ac:dyDescent="0.25">
      <c r="A89" s="50" t="s">
        <v>1083</v>
      </c>
      <c r="B89" s="20" t="s">
        <v>23</v>
      </c>
      <c r="C89" s="35">
        <v>26299</v>
      </c>
      <c r="D89" s="29">
        <f ca="1">DATEDIF(C89,TODAY(),"Y")</f>
        <v>54</v>
      </c>
      <c r="E89" s="5" t="s">
        <v>26</v>
      </c>
      <c r="F89" s="30">
        <v>169</v>
      </c>
      <c r="G89" s="30">
        <v>68</v>
      </c>
      <c r="H89" s="31">
        <f>G89/((F89/100)*(F89/100))</f>
        <v>23.808690171912751</v>
      </c>
      <c r="I89" s="5">
        <v>76</v>
      </c>
      <c r="J89" s="30">
        <v>140</v>
      </c>
      <c r="K89" s="30">
        <v>80</v>
      </c>
      <c r="L89" s="29">
        <f>IF(B89="Nữ",0,2)</f>
        <v>0</v>
      </c>
      <c r="M89" s="29">
        <f ca="1">IF(D89&lt;45,0,IF(D89&lt;=49,1,2))</f>
        <v>2</v>
      </c>
      <c r="N89" s="29">
        <f>IF(E89="Có",4,0)</f>
        <v>0</v>
      </c>
      <c r="O89" s="29">
        <f>IF(H89&lt;23,0,IF(H89&lt;27.5,3,5))</f>
        <v>3</v>
      </c>
      <c r="P89" s="29">
        <f>IF(OR(AND(B89="Nam",I89&gt;=90),AND(B89="Nữ",I89&gt;=80)),2,0)</f>
        <v>0</v>
      </c>
      <c r="Q89" s="29">
        <f>IF(OR(J89&gt;=140,K89&gt;=90),2,0)</f>
        <v>2</v>
      </c>
      <c r="R89" s="29">
        <f ca="1">SUM(L89:Q89)</f>
        <v>7</v>
      </c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5" t="s">
        <v>1393</v>
      </c>
      <c r="AE89" s="33"/>
      <c r="AF89" s="59" t="str">
        <f t="shared" si="4"/>
        <v>Không</v>
      </c>
      <c r="AG89" s="59" t="str">
        <f t="shared" si="5"/>
        <v>Không</v>
      </c>
      <c r="AH89" s="29" t="str">
        <f t="shared" ca="1" si="3"/>
        <v>Có</v>
      </c>
      <c r="AI89" s="29" t="str">
        <f ca="1">IF((R89)&gt;=6,"Có","Không")</f>
        <v>Có</v>
      </c>
      <c r="AJ89" s="29" t="str">
        <f>IF(OR(J89&gt;=140,K89&gt;=90),"Có","Không")</f>
        <v>Có</v>
      </c>
      <c r="AK89" s="5" t="s">
        <v>51</v>
      </c>
      <c r="AL89" s="32">
        <v>46053</v>
      </c>
      <c r="AM89" s="29" t="str">
        <f>"Tháng "&amp;MONTH(AL89)</f>
        <v>Tháng 1</v>
      </c>
      <c r="AN89" s="69" t="s">
        <v>1376</v>
      </c>
    </row>
    <row r="90" spans="1:40" x14ac:dyDescent="0.25">
      <c r="A90" s="50" t="s">
        <v>804</v>
      </c>
      <c r="B90" s="20" t="s">
        <v>23</v>
      </c>
      <c r="C90" s="35">
        <v>21186</v>
      </c>
      <c r="D90" s="29">
        <f ca="1">DATEDIF(C90,TODAY(),"Y")</f>
        <v>68</v>
      </c>
      <c r="E90" s="5" t="s">
        <v>25</v>
      </c>
      <c r="F90" s="30">
        <v>169</v>
      </c>
      <c r="G90" s="30">
        <v>68</v>
      </c>
      <c r="H90" s="31">
        <f>G90/((F90/100)*(F90/100))</f>
        <v>23.808690171912751</v>
      </c>
      <c r="I90" s="5">
        <v>73</v>
      </c>
      <c r="J90" s="30">
        <v>160</v>
      </c>
      <c r="K90" s="30">
        <v>80</v>
      </c>
      <c r="L90" s="29">
        <f>IF(B90="Nữ",0,2)</f>
        <v>0</v>
      </c>
      <c r="M90" s="29">
        <f ca="1">IF(D90&lt;45,0,IF(D90&lt;=49,1,2))</f>
        <v>2</v>
      </c>
      <c r="N90" s="29">
        <f>IF(E90="Có",4,0)</f>
        <v>4</v>
      </c>
      <c r="O90" s="29">
        <f>IF(H90&lt;23,0,IF(H90&lt;27.5,3,5))</f>
        <v>3</v>
      </c>
      <c r="P90" s="29">
        <f>IF(OR(AND(B90="Nam",I90&gt;=90),AND(B90="Nữ",I90&gt;=80)),2,0)</f>
        <v>0</v>
      </c>
      <c r="Q90" s="29">
        <f>IF(OR(J90&gt;=140,K90&gt;=90),2,0)</f>
        <v>2</v>
      </c>
      <c r="R90" s="29">
        <f ca="1">SUM(L90:Q90)</f>
        <v>11</v>
      </c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5" t="s">
        <v>1393</v>
      </c>
      <c r="AE90" s="33"/>
      <c r="AF90" s="59" t="str">
        <f t="shared" si="4"/>
        <v>Không</v>
      </c>
      <c r="AG90" s="59" t="str">
        <f t="shared" si="5"/>
        <v>Không</v>
      </c>
      <c r="AH90" s="29" t="str">
        <f t="shared" ca="1" si="3"/>
        <v>Có</v>
      </c>
      <c r="AI90" s="29" t="str">
        <f ca="1">IF((R90)&gt;=6,"Có","Không")</f>
        <v>Có</v>
      </c>
      <c r="AJ90" s="29" t="str">
        <f>IF(OR(J90&gt;=140,K90&gt;=90),"Có","Không")</f>
        <v>Có</v>
      </c>
      <c r="AK90" s="5" t="s">
        <v>51</v>
      </c>
      <c r="AL90" s="32">
        <v>46053</v>
      </c>
      <c r="AM90" s="29" t="str">
        <f>"Tháng "&amp;MONTH(AL90)</f>
        <v>Tháng 1</v>
      </c>
      <c r="AN90" s="69" t="s">
        <v>1376</v>
      </c>
    </row>
    <row r="91" spans="1:40" x14ac:dyDescent="0.25">
      <c r="A91" s="50" t="s">
        <v>1030</v>
      </c>
      <c r="B91" s="20" t="s">
        <v>30</v>
      </c>
      <c r="C91" s="35">
        <v>24108</v>
      </c>
      <c r="D91" s="29">
        <f ca="1">DATEDIF(C91,TODAY(),"Y")</f>
        <v>60</v>
      </c>
      <c r="E91" s="5" t="s">
        <v>25</v>
      </c>
      <c r="F91" s="30">
        <v>162</v>
      </c>
      <c r="G91" s="30">
        <v>76</v>
      </c>
      <c r="H91" s="31">
        <f>G91/((F91/100)*(F91/100))</f>
        <v>28.959000152415786</v>
      </c>
      <c r="I91" s="5">
        <v>93</v>
      </c>
      <c r="J91" s="30">
        <v>120</v>
      </c>
      <c r="K91" s="30">
        <v>70</v>
      </c>
      <c r="L91" s="29">
        <f>IF(B91="Nữ",0,2)</f>
        <v>2</v>
      </c>
      <c r="M91" s="29">
        <f ca="1">IF(D91&lt;45,0,IF(D91&lt;=49,1,2))</f>
        <v>2</v>
      </c>
      <c r="N91" s="29">
        <f>IF(E91="Có",4,0)</f>
        <v>4</v>
      </c>
      <c r="O91" s="29">
        <f>IF(H91&lt;23,0,IF(H91&lt;27.5,3,5))</f>
        <v>5</v>
      </c>
      <c r="P91" s="29">
        <f>IF(OR(AND(B91="Nam",I91&gt;=90),AND(B91="Nữ",I91&gt;=80)),2,0)</f>
        <v>2</v>
      </c>
      <c r="Q91" s="29">
        <f>IF(OR(J91&gt;=140,K91&gt;=90),2,0)</f>
        <v>0</v>
      </c>
      <c r="R91" s="29">
        <f ca="1">SUM(L91:Q91)</f>
        <v>15</v>
      </c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5" t="s">
        <v>1393</v>
      </c>
      <c r="AE91" s="33"/>
      <c r="AF91" s="59" t="str">
        <f t="shared" si="4"/>
        <v>Không</v>
      </c>
      <c r="AG91" s="59" t="str">
        <f t="shared" si="5"/>
        <v>Không</v>
      </c>
      <c r="AH91" s="29" t="str">
        <f t="shared" ca="1" si="3"/>
        <v>Có</v>
      </c>
      <c r="AI91" s="29" t="str">
        <f ca="1">IF((R91)&gt;=6,"Có","Không")</f>
        <v>Có</v>
      </c>
      <c r="AJ91" s="29" t="str">
        <f>IF(OR(J91&gt;=140,K91&gt;=90),"Có","Không")</f>
        <v>Không</v>
      </c>
      <c r="AK91" s="5" t="s">
        <v>51</v>
      </c>
      <c r="AL91" s="32">
        <v>46053</v>
      </c>
      <c r="AM91" s="29" t="str">
        <f>"Tháng "&amp;MONTH(AL91)</f>
        <v>Tháng 1</v>
      </c>
      <c r="AN91" s="69" t="s">
        <v>1376</v>
      </c>
    </row>
    <row r="92" spans="1:40" x14ac:dyDescent="0.25">
      <c r="A92" s="50" t="s">
        <v>1091</v>
      </c>
      <c r="B92" s="20" t="s">
        <v>30</v>
      </c>
      <c r="C92" s="35">
        <v>21916</v>
      </c>
      <c r="D92" s="29">
        <f ca="1">DATEDIF(C92,TODAY(),"Y")</f>
        <v>66</v>
      </c>
      <c r="E92" s="5" t="s">
        <v>26</v>
      </c>
      <c r="F92" s="30">
        <v>160</v>
      </c>
      <c r="G92" s="30">
        <v>55</v>
      </c>
      <c r="H92" s="31">
        <f>G92/((F92/100)*(F92/100))</f>
        <v>21.484374999999996</v>
      </c>
      <c r="I92" s="5">
        <v>83</v>
      </c>
      <c r="J92" s="30">
        <v>120</v>
      </c>
      <c r="K92" s="30">
        <v>80</v>
      </c>
      <c r="L92" s="29">
        <f>IF(B92="Nữ",0,2)</f>
        <v>2</v>
      </c>
      <c r="M92" s="29">
        <f ca="1">IF(D92&lt;45,0,IF(D92&lt;=49,1,2))</f>
        <v>2</v>
      </c>
      <c r="N92" s="29">
        <f>IF(E92="Có",4,0)</f>
        <v>0</v>
      </c>
      <c r="O92" s="29">
        <f>IF(H92&lt;23,0,IF(H92&lt;27.5,3,5))</f>
        <v>0</v>
      </c>
      <c r="P92" s="29">
        <f>IF(OR(AND(B92="Nam",I92&gt;=90),AND(B92="Nữ",I92&gt;=80)),2,0)</f>
        <v>0</v>
      </c>
      <c r="Q92" s="29">
        <f>IF(OR(J92&gt;=140,K92&gt;=90),2,0)</f>
        <v>0</v>
      </c>
      <c r="R92" s="29">
        <f ca="1">SUM(L92:Q92)</f>
        <v>4</v>
      </c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5" t="s">
        <v>1393</v>
      </c>
      <c r="AE92" s="33"/>
      <c r="AF92" s="59" t="str">
        <f t="shared" si="4"/>
        <v>Không</v>
      </c>
      <c r="AG92" s="59" t="str">
        <f t="shared" si="5"/>
        <v>Không</v>
      </c>
      <c r="AH92" s="29" t="str">
        <f t="shared" ca="1" si="3"/>
        <v>Không</v>
      </c>
      <c r="AI92" s="29" t="str">
        <f ca="1">IF((R92)&gt;=6,"Có","Không")</f>
        <v>Không</v>
      </c>
      <c r="AJ92" s="29" t="str">
        <f>IF(OR(J92&gt;=140,K92&gt;=90),"Có","Không")</f>
        <v>Không</v>
      </c>
      <c r="AK92" s="5" t="s">
        <v>51</v>
      </c>
      <c r="AL92" s="32">
        <v>46053</v>
      </c>
      <c r="AM92" s="29" t="str">
        <f>"Tháng "&amp;MONTH(AL92)</f>
        <v>Tháng 1</v>
      </c>
      <c r="AN92" s="69" t="s">
        <v>1376</v>
      </c>
    </row>
    <row r="93" spans="1:40" x14ac:dyDescent="0.25">
      <c r="A93" s="50" t="s">
        <v>1092</v>
      </c>
      <c r="B93" s="20" t="s">
        <v>23</v>
      </c>
      <c r="C93" s="35">
        <v>23012</v>
      </c>
      <c r="D93" s="29">
        <f ca="1">DATEDIF(C93,TODAY(),"Y")</f>
        <v>63</v>
      </c>
      <c r="E93" s="5" t="s">
        <v>26</v>
      </c>
      <c r="F93" s="30">
        <v>158</v>
      </c>
      <c r="G93" s="30">
        <v>58</v>
      </c>
      <c r="H93" s="31">
        <f>G93/((F93/100)*(F93/100))</f>
        <v>23.233456176894723</v>
      </c>
      <c r="I93" s="5">
        <v>86</v>
      </c>
      <c r="J93" s="30">
        <v>120</v>
      </c>
      <c r="K93" s="30">
        <v>80</v>
      </c>
      <c r="L93" s="29">
        <f>IF(B93="Nữ",0,2)</f>
        <v>0</v>
      </c>
      <c r="M93" s="29">
        <f ca="1">IF(D93&lt;45,0,IF(D93&lt;=49,1,2))</f>
        <v>2</v>
      </c>
      <c r="N93" s="29">
        <f>IF(E93="Có",4,0)</f>
        <v>0</v>
      </c>
      <c r="O93" s="29">
        <f>IF(H93&lt;23,0,IF(H93&lt;27.5,3,5))</f>
        <v>3</v>
      </c>
      <c r="P93" s="29">
        <f>IF(OR(AND(B93="Nam",I93&gt;=90),AND(B93="Nữ",I93&gt;=80)),2,0)</f>
        <v>2</v>
      </c>
      <c r="Q93" s="29">
        <f>IF(OR(J93&gt;=140,K93&gt;=90),2,0)</f>
        <v>0</v>
      </c>
      <c r="R93" s="29">
        <f ca="1">SUM(L93:Q93)</f>
        <v>7</v>
      </c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5" t="s">
        <v>1393</v>
      </c>
      <c r="AE93" s="33"/>
      <c r="AF93" s="59" t="str">
        <f t="shared" si="4"/>
        <v>Không</v>
      </c>
      <c r="AG93" s="59" t="str">
        <f t="shared" si="5"/>
        <v>Không</v>
      </c>
      <c r="AH93" s="29" t="str">
        <f t="shared" ca="1" si="3"/>
        <v>Có</v>
      </c>
      <c r="AI93" s="29" t="str">
        <f ca="1">IF((R93)&gt;=6,"Có","Không")</f>
        <v>Có</v>
      </c>
      <c r="AJ93" s="29" t="str">
        <f>IF(OR(J93&gt;=140,K93&gt;=90),"Có","Không")</f>
        <v>Không</v>
      </c>
      <c r="AK93" s="5" t="s">
        <v>51</v>
      </c>
      <c r="AL93" s="32">
        <v>46053</v>
      </c>
      <c r="AM93" s="29" t="str">
        <f>"Tháng "&amp;MONTH(AL93)</f>
        <v>Tháng 1</v>
      </c>
      <c r="AN93" s="69" t="s">
        <v>1376</v>
      </c>
    </row>
    <row r="94" spans="1:40" x14ac:dyDescent="0.25">
      <c r="A94" s="50" t="s">
        <v>917</v>
      </c>
      <c r="B94" s="20" t="s">
        <v>30</v>
      </c>
      <c r="C94" s="35">
        <v>27760</v>
      </c>
      <c r="D94" s="29">
        <f ca="1">DATEDIF(C94,TODAY(),"Y")</f>
        <v>50</v>
      </c>
      <c r="E94" s="5" t="s">
        <v>26</v>
      </c>
      <c r="F94" s="30">
        <v>169</v>
      </c>
      <c r="G94" s="30">
        <v>68</v>
      </c>
      <c r="H94" s="31">
        <f>G94/((F94/100)*(F94/100))</f>
        <v>23.808690171912751</v>
      </c>
      <c r="I94" s="5">
        <v>96</v>
      </c>
      <c r="J94" s="30">
        <v>120</v>
      </c>
      <c r="K94" s="30">
        <v>80</v>
      </c>
      <c r="L94" s="29">
        <f>IF(B94="Nữ",0,2)</f>
        <v>2</v>
      </c>
      <c r="M94" s="29">
        <f ca="1">IF(D94&lt;45,0,IF(D94&lt;=49,1,2))</f>
        <v>2</v>
      </c>
      <c r="N94" s="29">
        <f>IF(E94="Có",4,0)</f>
        <v>0</v>
      </c>
      <c r="O94" s="29">
        <f>IF(H94&lt;23,0,IF(H94&lt;27.5,3,5))</f>
        <v>3</v>
      </c>
      <c r="P94" s="29">
        <f>IF(OR(AND(B94="Nam",I94&gt;=90),AND(B94="Nữ",I94&gt;=80)),2,0)</f>
        <v>2</v>
      </c>
      <c r="Q94" s="29">
        <f>IF(OR(J94&gt;=140,K94&gt;=90),2,0)</f>
        <v>0</v>
      </c>
      <c r="R94" s="29">
        <f ca="1">SUM(L94:Q94)</f>
        <v>9</v>
      </c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5" t="s">
        <v>1393</v>
      </c>
      <c r="AE94" s="33"/>
      <c r="AF94" s="59" t="str">
        <f t="shared" si="4"/>
        <v>Không</v>
      </c>
      <c r="AG94" s="59" t="str">
        <f t="shared" si="5"/>
        <v>Không</v>
      </c>
      <c r="AH94" s="29" t="str">
        <f t="shared" ca="1" si="3"/>
        <v>Có</v>
      </c>
      <c r="AI94" s="29" t="str">
        <f ca="1">IF((R94)&gt;=6,"Có","Không")</f>
        <v>Có</v>
      </c>
      <c r="AJ94" s="29" t="str">
        <f>IF(OR(J94&gt;=140,K94&gt;=90),"Có","Không")</f>
        <v>Không</v>
      </c>
      <c r="AK94" s="5" t="s">
        <v>51</v>
      </c>
      <c r="AL94" s="32">
        <v>46053</v>
      </c>
      <c r="AM94" s="29" t="str">
        <f>"Tháng "&amp;MONTH(AL94)</f>
        <v>Tháng 1</v>
      </c>
      <c r="AN94" s="69" t="s">
        <v>1376</v>
      </c>
    </row>
    <row r="95" spans="1:40" x14ac:dyDescent="0.25">
      <c r="A95" s="50" t="s">
        <v>274</v>
      </c>
      <c r="B95" s="20" t="s">
        <v>23</v>
      </c>
      <c r="C95" s="35">
        <v>22282</v>
      </c>
      <c r="D95" s="29">
        <f ca="1">DATEDIF(C95,TODAY(),"Y")</f>
        <v>65</v>
      </c>
      <c r="E95" s="5" t="s">
        <v>25</v>
      </c>
      <c r="F95" s="30">
        <v>160</v>
      </c>
      <c r="G95" s="30">
        <v>70</v>
      </c>
      <c r="H95" s="31">
        <f>G95/((F95/100)*(F95/100))</f>
        <v>27.343749999999996</v>
      </c>
      <c r="I95" s="5">
        <v>97</v>
      </c>
      <c r="J95" s="30">
        <v>120</v>
      </c>
      <c r="K95" s="30">
        <v>70</v>
      </c>
      <c r="L95" s="29">
        <f>IF(B95="Nữ",0,2)</f>
        <v>0</v>
      </c>
      <c r="M95" s="29">
        <f ca="1">IF(D95&lt;45,0,IF(D95&lt;=49,1,2))</f>
        <v>2</v>
      </c>
      <c r="N95" s="29">
        <f>IF(E95="Có",4,0)</f>
        <v>4</v>
      </c>
      <c r="O95" s="29">
        <f>IF(H95&lt;23,0,IF(H95&lt;27.5,3,5))</f>
        <v>3</v>
      </c>
      <c r="P95" s="29">
        <f>IF(OR(AND(B95="Nam",I95&gt;=90),AND(B95="Nữ",I95&gt;=80)),2,0)</f>
        <v>2</v>
      </c>
      <c r="Q95" s="29">
        <f>IF(OR(J95&gt;=140,K95&gt;=90),2,0)</f>
        <v>0</v>
      </c>
      <c r="R95" s="29">
        <f ca="1">SUM(L95:Q95)</f>
        <v>11</v>
      </c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5" t="s">
        <v>1393</v>
      </c>
      <c r="AE95" s="33"/>
      <c r="AF95" s="59" t="str">
        <f t="shared" si="4"/>
        <v>Không</v>
      </c>
      <c r="AG95" s="59" t="str">
        <f t="shared" si="5"/>
        <v>Không</v>
      </c>
      <c r="AH95" s="29" t="str">
        <f t="shared" ca="1" si="3"/>
        <v>Có</v>
      </c>
      <c r="AI95" s="29" t="str">
        <f ca="1">IF((R95)&gt;=6,"Có","Không")</f>
        <v>Có</v>
      </c>
      <c r="AJ95" s="29" t="str">
        <f>IF(OR(J95&gt;=140,K95&gt;=90),"Có","Không")</f>
        <v>Không</v>
      </c>
      <c r="AK95" s="5" t="s">
        <v>51</v>
      </c>
      <c r="AL95" s="32">
        <v>46053</v>
      </c>
      <c r="AM95" s="29" t="str">
        <f>"Tháng "&amp;MONTH(AL95)</f>
        <v>Tháng 1</v>
      </c>
      <c r="AN95" s="69" t="s">
        <v>1376</v>
      </c>
    </row>
    <row r="96" spans="1:40" x14ac:dyDescent="0.25">
      <c r="A96" s="50" t="s">
        <v>574</v>
      </c>
      <c r="B96" s="20" t="s">
        <v>23</v>
      </c>
      <c r="C96" s="35">
        <v>21186</v>
      </c>
      <c r="D96" s="29">
        <f ca="1">DATEDIF(C96,TODAY(),"Y")</f>
        <v>68</v>
      </c>
      <c r="E96" s="5" t="s">
        <v>26</v>
      </c>
      <c r="F96" s="30">
        <v>169</v>
      </c>
      <c r="G96" s="30">
        <v>68</v>
      </c>
      <c r="H96" s="31">
        <f>G96/((F96/100)*(F96/100))</f>
        <v>23.808690171912751</v>
      </c>
      <c r="I96" s="5">
        <v>88</v>
      </c>
      <c r="J96" s="30">
        <v>130</v>
      </c>
      <c r="K96" s="30">
        <v>80</v>
      </c>
      <c r="L96" s="29">
        <f>IF(B96="Nữ",0,2)</f>
        <v>0</v>
      </c>
      <c r="M96" s="29">
        <f ca="1">IF(D96&lt;45,0,IF(D96&lt;=49,1,2))</f>
        <v>2</v>
      </c>
      <c r="N96" s="29">
        <f>IF(E96="Có",4,0)</f>
        <v>0</v>
      </c>
      <c r="O96" s="29">
        <f>IF(H96&lt;23,0,IF(H96&lt;27.5,3,5))</f>
        <v>3</v>
      </c>
      <c r="P96" s="29">
        <f>IF(OR(AND(B96="Nam",I96&gt;=90),AND(B96="Nữ",I96&gt;=80)),2,0)</f>
        <v>2</v>
      </c>
      <c r="Q96" s="29">
        <f>IF(OR(J96&gt;=140,K96&gt;=90),2,0)</f>
        <v>0</v>
      </c>
      <c r="R96" s="29">
        <f ca="1">SUM(L96:Q96)</f>
        <v>7</v>
      </c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5" t="s">
        <v>1393</v>
      </c>
      <c r="AE96" s="33"/>
      <c r="AF96" s="59" t="str">
        <f t="shared" si="4"/>
        <v>Không</v>
      </c>
      <c r="AG96" s="59" t="str">
        <f t="shared" si="5"/>
        <v>Không</v>
      </c>
      <c r="AH96" s="29" t="str">
        <f t="shared" ca="1" si="3"/>
        <v>Có</v>
      </c>
      <c r="AI96" s="29" t="str">
        <f ca="1">IF((R96)&gt;=6,"Có","Không")</f>
        <v>Có</v>
      </c>
      <c r="AJ96" s="29" t="str">
        <f>IF(OR(J96&gt;=140,K96&gt;=90),"Có","Không")</f>
        <v>Không</v>
      </c>
      <c r="AK96" s="5" t="s">
        <v>51</v>
      </c>
      <c r="AL96" s="32">
        <v>46053</v>
      </c>
      <c r="AM96" s="29" t="str">
        <f>"Tháng "&amp;MONTH(AL96)</f>
        <v>Tháng 1</v>
      </c>
      <c r="AN96" s="69" t="s">
        <v>1376</v>
      </c>
    </row>
    <row r="97" spans="1:40" x14ac:dyDescent="0.25">
      <c r="A97" s="50" t="s">
        <v>544</v>
      </c>
      <c r="B97" s="20" t="s">
        <v>23</v>
      </c>
      <c r="C97" s="35">
        <v>30317</v>
      </c>
      <c r="D97" s="29">
        <f ca="1">DATEDIF(C97,TODAY(),"Y")</f>
        <v>43</v>
      </c>
      <c r="E97" s="5" t="s">
        <v>25</v>
      </c>
      <c r="F97" s="30">
        <v>169</v>
      </c>
      <c r="G97" s="30">
        <v>68</v>
      </c>
      <c r="H97" s="31">
        <f>G97/((F97/100)*(F97/100))</f>
        <v>23.808690171912751</v>
      </c>
      <c r="I97" s="5">
        <v>88</v>
      </c>
      <c r="J97" s="30">
        <v>140</v>
      </c>
      <c r="K97" s="30">
        <v>80</v>
      </c>
      <c r="L97" s="29">
        <f>IF(B97="Nữ",0,2)</f>
        <v>0</v>
      </c>
      <c r="M97" s="29">
        <f ca="1">IF(D97&lt;45,0,IF(D97&lt;=49,1,2))</f>
        <v>0</v>
      </c>
      <c r="N97" s="29">
        <f>IF(E97="Có",4,0)</f>
        <v>4</v>
      </c>
      <c r="O97" s="29">
        <f>IF(H97&lt;23,0,IF(H97&lt;27.5,3,5))</f>
        <v>3</v>
      </c>
      <c r="P97" s="29">
        <f>IF(OR(AND(B97="Nam",I97&gt;=90),AND(B97="Nữ",I97&gt;=80)),2,0)</f>
        <v>2</v>
      </c>
      <c r="Q97" s="29">
        <f>IF(OR(J97&gt;=140,K97&gt;=90),2,0)</f>
        <v>2</v>
      </c>
      <c r="R97" s="29">
        <f ca="1">SUM(L97:Q97)</f>
        <v>11</v>
      </c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5" t="s">
        <v>1393</v>
      </c>
      <c r="AE97" s="33"/>
      <c r="AF97" s="59" t="str">
        <f t="shared" si="4"/>
        <v>Không</v>
      </c>
      <c r="AG97" s="59" t="str">
        <f t="shared" si="5"/>
        <v>Không</v>
      </c>
      <c r="AH97" s="29" t="str">
        <f t="shared" ca="1" si="3"/>
        <v>Có</v>
      </c>
      <c r="AI97" s="29" t="str">
        <f ca="1">IF((R97)&gt;=6,"Có","Không")</f>
        <v>Có</v>
      </c>
      <c r="AJ97" s="29" t="str">
        <f>IF(OR(J97&gt;=140,K97&gt;=90),"Có","Không")</f>
        <v>Có</v>
      </c>
      <c r="AK97" s="5" t="s">
        <v>51</v>
      </c>
      <c r="AL97" s="32">
        <v>46053</v>
      </c>
      <c r="AM97" s="29" t="str">
        <f>"Tháng "&amp;MONTH(AL97)</f>
        <v>Tháng 1</v>
      </c>
      <c r="AN97" s="69" t="s">
        <v>1376</v>
      </c>
    </row>
    <row r="98" spans="1:40" x14ac:dyDescent="0.25">
      <c r="A98" s="50" t="s">
        <v>673</v>
      </c>
      <c r="B98" s="20" t="s">
        <v>23</v>
      </c>
      <c r="C98" s="35">
        <v>23377</v>
      </c>
      <c r="D98" s="29">
        <f ca="1">DATEDIF(C98,TODAY(),"Y")</f>
        <v>62</v>
      </c>
      <c r="E98" s="5" t="s">
        <v>26</v>
      </c>
      <c r="F98" s="30">
        <v>163</v>
      </c>
      <c r="G98" s="30">
        <v>54</v>
      </c>
      <c r="H98" s="31">
        <f>G98/((F98/100)*(F98/100))</f>
        <v>20.324438255109339</v>
      </c>
      <c r="I98" s="5">
        <v>98</v>
      </c>
      <c r="J98" s="30">
        <v>120</v>
      </c>
      <c r="K98" s="30">
        <v>80</v>
      </c>
      <c r="L98" s="29">
        <f>IF(B98="Nữ",0,2)</f>
        <v>0</v>
      </c>
      <c r="M98" s="29">
        <f ca="1">IF(D98&lt;45,0,IF(D98&lt;=49,1,2))</f>
        <v>2</v>
      </c>
      <c r="N98" s="29">
        <f>IF(E98="Có",4,0)</f>
        <v>0</v>
      </c>
      <c r="O98" s="29">
        <f>IF(H98&lt;23,0,IF(H98&lt;27.5,3,5))</f>
        <v>0</v>
      </c>
      <c r="P98" s="29">
        <f>IF(OR(AND(B98="Nam",I98&gt;=90),AND(B98="Nữ",I98&gt;=80)),2,0)</f>
        <v>2</v>
      </c>
      <c r="Q98" s="29">
        <f>IF(OR(J98&gt;=140,K98&gt;=90),2,0)</f>
        <v>0</v>
      </c>
      <c r="R98" s="29">
        <f ca="1">SUM(L98:Q98)</f>
        <v>4</v>
      </c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5" t="s">
        <v>1393</v>
      </c>
      <c r="AE98" s="33"/>
      <c r="AF98" s="59" t="str">
        <f t="shared" si="4"/>
        <v>Không</v>
      </c>
      <c r="AG98" s="59" t="str">
        <f t="shared" si="5"/>
        <v>Không</v>
      </c>
      <c r="AH98" s="29" t="str">
        <f t="shared" ca="1" si="3"/>
        <v>Không</v>
      </c>
      <c r="AI98" s="29" t="str">
        <f ca="1">IF((R98)&gt;=6,"Có","Không")</f>
        <v>Không</v>
      </c>
      <c r="AJ98" s="29" t="str">
        <f>IF(OR(J98&gt;=140,K98&gt;=90),"Có","Không")</f>
        <v>Không</v>
      </c>
      <c r="AK98" s="5" t="s">
        <v>51</v>
      </c>
      <c r="AL98" s="32">
        <v>46053</v>
      </c>
      <c r="AM98" s="29" t="str">
        <f>"Tháng "&amp;MONTH(AL98)</f>
        <v>Tháng 1</v>
      </c>
      <c r="AN98" s="69" t="s">
        <v>1376</v>
      </c>
    </row>
    <row r="99" spans="1:40" x14ac:dyDescent="0.25">
      <c r="A99" s="50" t="s">
        <v>918</v>
      </c>
      <c r="B99" s="20" t="s">
        <v>23</v>
      </c>
      <c r="C99" s="35">
        <v>29221</v>
      </c>
      <c r="D99" s="29">
        <f ca="1">DATEDIF(C99,TODAY(),"Y")</f>
        <v>46</v>
      </c>
      <c r="E99" s="5" t="s">
        <v>26</v>
      </c>
      <c r="F99" s="30">
        <v>158</v>
      </c>
      <c r="G99" s="30">
        <v>58</v>
      </c>
      <c r="H99" s="31">
        <f>G99/((F99/100)*(F99/100))</f>
        <v>23.233456176894723</v>
      </c>
      <c r="I99" s="5">
        <v>75</v>
      </c>
      <c r="J99" s="30">
        <v>120</v>
      </c>
      <c r="K99" s="30">
        <v>80</v>
      </c>
      <c r="L99" s="29">
        <f>IF(B99="Nữ",0,2)</f>
        <v>0</v>
      </c>
      <c r="M99" s="29">
        <f ca="1">IF(D99&lt;45,0,IF(D99&lt;=49,1,2))</f>
        <v>1</v>
      </c>
      <c r="N99" s="29">
        <f>IF(E99="Có",4,0)</f>
        <v>0</v>
      </c>
      <c r="O99" s="29">
        <f>IF(H99&lt;23,0,IF(H99&lt;27.5,3,5))</f>
        <v>3</v>
      </c>
      <c r="P99" s="29">
        <f>IF(OR(AND(B99="Nam",I99&gt;=90),AND(B99="Nữ",I99&gt;=80)),2,0)</f>
        <v>0</v>
      </c>
      <c r="Q99" s="29">
        <f>IF(OR(J99&gt;=140,K99&gt;=90),2,0)</f>
        <v>0</v>
      </c>
      <c r="R99" s="29">
        <f ca="1">SUM(L99:Q99)</f>
        <v>4</v>
      </c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5" t="s">
        <v>1393</v>
      </c>
      <c r="AE99" s="33"/>
      <c r="AF99" s="59" t="str">
        <f t="shared" si="4"/>
        <v>Không</v>
      </c>
      <c r="AG99" s="59" t="str">
        <f t="shared" si="5"/>
        <v>Không</v>
      </c>
      <c r="AH99" s="29" t="str">
        <f t="shared" ca="1" si="3"/>
        <v>Không</v>
      </c>
      <c r="AI99" s="29" t="str">
        <f ca="1">IF((R99)&gt;=6,"Có","Không")</f>
        <v>Không</v>
      </c>
      <c r="AJ99" s="29" t="str">
        <f>IF(OR(J99&gt;=140,K99&gt;=90),"Có","Không")</f>
        <v>Không</v>
      </c>
      <c r="AK99" s="5" t="s">
        <v>51</v>
      </c>
      <c r="AL99" s="32">
        <v>46053</v>
      </c>
      <c r="AM99" s="29" t="str">
        <f>"Tháng "&amp;MONTH(AL99)</f>
        <v>Tháng 1</v>
      </c>
      <c r="AN99" s="69" t="s">
        <v>1376</v>
      </c>
    </row>
    <row r="100" spans="1:40" x14ac:dyDescent="0.25">
      <c r="A100" s="50" t="s">
        <v>141</v>
      </c>
      <c r="B100" s="20" t="s">
        <v>23</v>
      </c>
      <c r="C100" s="35">
        <v>22647</v>
      </c>
      <c r="D100" s="29">
        <f ca="1">DATEDIF(C100,TODAY(),"Y")</f>
        <v>64</v>
      </c>
      <c r="E100" s="5" t="s">
        <v>26</v>
      </c>
      <c r="F100" s="30">
        <v>158</v>
      </c>
      <c r="G100" s="30">
        <v>58</v>
      </c>
      <c r="H100" s="31">
        <f>G100/((F100/100)*(F100/100))</f>
        <v>23.233456176894723</v>
      </c>
      <c r="I100" s="5">
        <v>79</v>
      </c>
      <c r="J100" s="30">
        <v>140</v>
      </c>
      <c r="K100" s="30">
        <v>80</v>
      </c>
      <c r="L100" s="29">
        <f>IF(B100="Nữ",0,2)</f>
        <v>0</v>
      </c>
      <c r="M100" s="29">
        <f ca="1">IF(D100&lt;45,0,IF(D100&lt;=49,1,2))</f>
        <v>2</v>
      </c>
      <c r="N100" s="29">
        <f>IF(E100="Có",4,0)</f>
        <v>0</v>
      </c>
      <c r="O100" s="29">
        <f>IF(H100&lt;23,0,IF(H100&lt;27.5,3,5))</f>
        <v>3</v>
      </c>
      <c r="P100" s="29">
        <f>IF(OR(AND(B100="Nam",I100&gt;=90),AND(B100="Nữ",I100&gt;=80)),2,0)</f>
        <v>0</v>
      </c>
      <c r="Q100" s="29">
        <f>IF(OR(J100&gt;=140,K100&gt;=90),2,0)</f>
        <v>2</v>
      </c>
      <c r="R100" s="29">
        <f ca="1">SUM(L100:Q100)</f>
        <v>7</v>
      </c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5" t="s">
        <v>1393</v>
      </c>
      <c r="AE100" s="33"/>
      <c r="AF100" s="59" t="str">
        <f t="shared" si="4"/>
        <v>Không</v>
      </c>
      <c r="AG100" s="59" t="str">
        <f t="shared" si="5"/>
        <v>Không</v>
      </c>
      <c r="AH100" s="29" t="str">
        <f t="shared" ca="1" si="3"/>
        <v>Có</v>
      </c>
      <c r="AI100" s="29" t="str">
        <f ca="1">IF((R100)&gt;=6,"Có","Không")</f>
        <v>Có</v>
      </c>
      <c r="AJ100" s="29" t="str">
        <f>IF(OR(J100&gt;=140,K100&gt;=90),"Có","Không")</f>
        <v>Có</v>
      </c>
      <c r="AK100" s="5" t="s">
        <v>51</v>
      </c>
      <c r="AL100" s="32">
        <v>46053</v>
      </c>
      <c r="AM100" s="29" t="str">
        <f>"Tháng "&amp;MONTH(AL100)</f>
        <v>Tháng 1</v>
      </c>
      <c r="AN100" s="69" t="s">
        <v>1376</v>
      </c>
    </row>
    <row r="101" spans="1:40" x14ac:dyDescent="0.25">
      <c r="A101" s="50" t="s">
        <v>709</v>
      </c>
      <c r="B101" s="20" t="s">
        <v>23</v>
      </c>
      <c r="C101" s="35">
        <v>26299</v>
      </c>
      <c r="D101" s="29">
        <f ca="1">DATEDIF(C101,TODAY(),"Y")</f>
        <v>54</v>
      </c>
      <c r="E101" s="5" t="s">
        <v>26</v>
      </c>
      <c r="F101" s="30">
        <v>169</v>
      </c>
      <c r="G101" s="30">
        <v>68</v>
      </c>
      <c r="H101" s="31">
        <f>G101/((F101/100)*(F101/100))</f>
        <v>23.808690171912751</v>
      </c>
      <c r="I101" s="5">
        <v>76</v>
      </c>
      <c r="J101" s="30">
        <v>120</v>
      </c>
      <c r="K101" s="30">
        <v>70</v>
      </c>
      <c r="L101" s="29">
        <f>IF(B101="Nữ",0,2)</f>
        <v>0</v>
      </c>
      <c r="M101" s="29">
        <f ca="1">IF(D101&lt;45,0,IF(D101&lt;=49,1,2))</f>
        <v>2</v>
      </c>
      <c r="N101" s="29">
        <f>IF(E101="Có",4,0)</f>
        <v>0</v>
      </c>
      <c r="O101" s="29">
        <f>IF(H101&lt;23,0,IF(H101&lt;27.5,3,5))</f>
        <v>3</v>
      </c>
      <c r="P101" s="29">
        <f>IF(OR(AND(B101="Nam",I101&gt;=90),AND(B101="Nữ",I101&gt;=80)),2,0)</f>
        <v>0</v>
      </c>
      <c r="Q101" s="29">
        <f>IF(OR(J101&gt;=140,K101&gt;=90),2,0)</f>
        <v>0</v>
      </c>
      <c r="R101" s="29">
        <f ca="1">SUM(L101:Q101)</f>
        <v>5</v>
      </c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5" t="s">
        <v>1393</v>
      </c>
      <c r="AE101" s="33"/>
      <c r="AF101" s="59" t="str">
        <f t="shared" si="4"/>
        <v>Không</v>
      </c>
      <c r="AG101" s="59" t="str">
        <f t="shared" si="5"/>
        <v>Không</v>
      </c>
      <c r="AH101" s="29" t="str">
        <f t="shared" ca="1" si="3"/>
        <v>Không</v>
      </c>
      <c r="AI101" s="29" t="str">
        <f ca="1">IF((R101)&gt;=6,"Có","Không")</f>
        <v>Không</v>
      </c>
      <c r="AJ101" s="29" t="str">
        <f>IF(OR(J101&gt;=140,K101&gt;=90),"Có","Không")</f>
        <v>Không</v>
      </c>
      <c r="AK101" s="5" t="s">
        <v>51</v>
      </c>
      <c r="AL101" s="32">
        <v>46053</v>
      </c>
      <c r="AM101" s="29" t="str">
        <f>"Tháng "&amp;MONTH(AL101)</f>
        <v>Tháng 1</v>
      </c>
      <c r="AN101" s="69" t="s">
        <v>1376</v>
      </c>
    </row>
    <row r="102" spans="1:40" x14ac:dyDescent="0.25">
      <c r="A102" s="50" t="s">
        <v>1101</v>
      </c>
      <c r="B102" s="20" t="s">
        <v>30</v>
      </c>
      <c r="C102" s="35">
        <v>22647</v>
      </c>
      <c r="D102" s="29">
        <f ca="1">DATEDIF(C102,TODAY(),"Y")</f>
        <v>64</v>
      </c>
      <c r="E102" s="5" t="s">
        <v>26</v>
      </c>
      <c r="F102" s="30">
        <v>162</v>
      </c>
      <c r="G102" s="30">
        <v>64</v>
      </c>
      <c r="H102" s="31">
        <f>G102/((F102/100)*(F102/100))</f>
        <v>24.386526444139609</v>
      </c>
      <c r="I102" s="5">
        <v>73</v>
      </c>
      <c r="J102" s="30">
        <v>150</v>
      </c>
      <c r="K102" s="30">
        <v>80</v>
      </c>
      <c r="L102" s="29">
        <f>IF(B102="Nữ",0,2)</f>
        <v>2</v>
      </c>
      <c r="M102" s="29">
        <f ca="1">IF(D102&lt;45,0,IF(D102&lt;=49,1,2))</f>
        <v>2</v>
      </c>
      <c r="N102" s="29">
        <f>IF(E102="Có",4,0)</f>
        <v>0</v>
      </c>
      <c r="O102" s="29">
        <f>IF(H102&lt;23,0,IF(H102&lt;27.5,3,5))</f>
        <v>3</v>
      </c>
      <c r="P102" s="29">
        <f>IF(OR(AND(B102="Nam",I102&gt;=90),AND(B102="Nữ",I102&gt;=80)),2,0)</f>
        <v>0</v>
      </c>
      <c r="Q102" s="29">
        <f>IF(OR(J102&gt;=140,K102&gt;=90),2,0)</f>
        <v>2</v>
      </c>
      <c r="R102" s="29">
        <f ca="1">SUM(L102:Q102)</f>
        <v>9</v>
      </c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5" t="s">
        <v>1393</v>
      </c>
      <c r="AE102" s="33"/>
      <c r="AF102" s="59" t="str">
        <f t="shared" si="4"/>
        <v>Không</v>
      </c>
      <c r="AG102" s="59" t="str">
        <f t="shared" si="5"/>
        <v>Không</v>
      </c>
      <c r="AH102" s="29" t="str">
        <f t="shared" ca="1" si="3"/>
        <v>Có</v>
      </c>
      <c r="AI102" s="29" t="str">
        <f ca="1">IF((R102)&gt;=6,"Có","Không")</f>
        <v>Có</v>
      </c>
      <c r="AJ102" s="29" t="str">
        <f>IF(OR(J102&gt;=140,K102&gt;=90),"Có","Không")</f>
        <v>Có</v>
      </c>
      <c r="AK102" s="5" t="s">
        <v>51</v>
      </c>
      <c r="AL102" s="32">
        <v>46053</v>
      </c>
      <c r="AM102" s="29" t="str">
        <f>"Tháng "&amp;MONTH(AL102)</f>
        <v>Tháng 1</v>
      </c>
      <c r="AN102" s="69" t="s">
        <v>1376</v>
      </c>
    </row>
    <row r="103" spans="1:40" x14ac:dyDescent="0.25">
      <c r="A103" s="50" t="s">
        <v>1104</v>
      </c>
      <c r="B103" s="20" t="s">
        <v>23</v>
      </c>
      <c r="C103" s="35">
        <v>27760</v>
      </c>
      <c r="D103" s="29">
        <f ca="1">DATEDIF(C103,TODAY(),"Y")</f>
        <v>50</v>
      </c>
      <c r="E103" s="5" t="s">
        <v>26</v>
      </c>
      <c r="F103" s="30">
        <v>169</v>
      </c>
      <c r="G103" s="30">
        <v>68</v>
      </c>
      <c r="H103" s="31">
        <f>G103/((F103/100)*(F103/100))</f>
        <v>23.808690171912751</v>
      </c>
      <c r="I103" s="5">
        <v>72</v>
      </c>
      <c r="J103" s="30">
        <v>140</v>
      </c>
      <c r="K103" s="30">
        <v>80</v>
      </c>
      <c r="L103" s="29">
        <f>IF(B103="Nữ",0,2)</f>
        <v>0</v>
      </c>
      <c r="M103" s="29">
        <f ca="1">IF(D103&lt;45,0,IF(D103&lt;=49,1,2))</f>
        <v>2</v>
      </c>
      <c r="N103" s="29">
        <f>IF(E103="Có",4,0)</f>
        <v>0</v>
      </c>
      <c r="O103" s="29">
        <f>IF(H103&lt;23,0,IF(H103&lt;27.5,3,5))</f>
        <v>3</v>
      </c>
      <c r="P103" s="29">
        <f>IF(OR(AND(B103="Nam",I103&gt;=90),AND(B103="Nữ",I103&gt;=80)),2,0)</f>
        <v>0</v>
      </c>
      <c r="Q103" s="29">
        <f>IF(OR(J103&gt;=140,K103&gt;=90),2,0)</f>
        <v>2</v>
      </c>
      <c r="R103" s="29">
        <f ca="1">SUM(L103:Q103)</f>
        <v>7</v>
      </c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5" t="s">
        <v>1393</v>
      </c>
      <c r="AE103" s="33"/>
      <c r="AF103" s="59" t="str">
        <f t="shared" si="4"/>
        <v>Không</v>
      </c>
      <c r="AG103" s="59" t="str">
        <f t="shared" si="5"/>
        <v>Không</v>
      </c>
      <c r="AH103" s="29" t="str">
        <f t="shared" ca="1" si="3"/>
        <v>Có</v>
      </c>
      <c r="AI103" s="29" t="str">
        <f ca="1">IF((R103)&gt;=6,"Có","Không")</f>
        <v>Có</v>
      </c>
      <c r="AJ103" s="29" t="str">
        <f>IF(OR(J103&gt;=140,K103&gt;=90),"Có","Không")</f>
        <v>Có</v>
      </c>
      <c r="AK103" s="5" t="s">
        <v>51</v>
      </c>
      <c r="AL103" s="32">
        <v>46053</v>
      </c>
      <c r="AM103" s="29" t="str">
        <f>"Tháng "&amp;MONTH(AL103)</f>
        <v>Tháng 1</v>
      </c>
      <c r="AN103" s="69" t="s">
        <v>1376</v>
      </c>
    </row>
    <row r="104" spans="1:40" x14ac:dyDescent="0.25">
      <c r="A104" s="50" t="s">
        <v>1108</v>
      </c>
      <c r="B104" s="20" t="s">
        <v>23</v>
      </c>
      <c r="C104" s="35">
        <v>18264</v>
      </c>
      <c r="D104" s="29">
        <f ca="1">DATEDIF(C104,TODAY(),"Y")</f>
        <v>76</v>
      </c>
      <c r="E104" s="5" t="s">
        <v>26</v>
      </c>
      <c r="F104" s="30">
        <v>158</v>
      </c>
      <c r="G104" s="30">
        <v>58</v>
      </c>
      <c r="H104" s="31">
        <f>G104/((F104/100)*(F104/100))</f>
        <v>23.233456176894723</v>
      </c>
      <c r="I104" s="5">
        <v>71</v>
      </c>
      <c r="J104" s="30">
        <v>140</v>
      </c>
      <c r="K104" s="30">
        <v>80</v>
      </c>
      <c r="L104" s="29">
        <f>IF(B104="Nữ",0,2)</f>
        <v>0</v>
      </c>
      <c r="M104" s="29">
        <f ca="1">IF(D104&lt;45,0,IF(D104&lt;=49,1,2))</f>
        <v>2</v>
      </c>
      <c r="N104" s="29">
        <f>IF(E104="Có",4,0)</f>
        <v>0</v>
      </c>
      <c r="O104" s="29">
        <f>IF(H104&lt;23,0,IF(H104&lt;27.5,3,5))</f>
        <v>3</v>
      </c>
      <c r="P104" s="29">
        <f>IF(OR(AND(B104="Nam",I104&gt;=90),AND(B104="Nữ",I104&gt;=80)),2,0)</f>
        <v>0</v>
      </c>
      <c r="Q104" s="29">
        <f>IF(OR(J104&gt;=140,K104&gt;=90),2,0)</f>
        <v>2</v>
      </c>
      <c r="R104" s="29">
        <f ca="1">SUM(L104:Q104)</f>
        <v>7</v>
      </c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5" t="s">
        <v>1393</v>
      </c>
      <c r="AE104" s="33"/>
      <c r="AF104" s="59" t="str">
        <f t="shared" si="4"/>
        <v>Không</v>
      </c>
      <c r="AG104" s="59" t="str">
        <f t="shared" si="5"/>
        <v>Không</v>
      </c>
      <c r="AH104" s="29" t="str">
        <f t="shared" ca="1" si="3"/>
        <v>Có</v>
      </c>
      <c r="AI104" s="29" t="str">
        <f ca="1">IF((R104)&gt;=6,"Có","Không")</f>
        <v>Có</v>
      </c>
      <c r="AJ104" s="29" t="str">
        <f>IF(OR(J104&gt;=140,K104&gt;=90),"Có","Không")</f>
        <v>Có</v>
      </c>
      <c r="AK104" s="5" t="s">
        <v>51</v>
      </c>
      <c r="AL104" s="32">
        <v>46053</v>
      </c>
      <c r="AM104" s="29" t="str">
        <f>"Tháng "&amp;MONTH(AL104)</f>
        <v>Tháng 1</v>
      </c>
      <c r="AN104" s="69" t="s">
        <v>1376</v>
      </c>
    </row>
    <row r="105" spans="1:40" x14ac:dyDescent="0.25">
      <c r="A105" s="50" t="s">
        <v>1109</v>
      </c>
      <c r="B105" s="20" t="s">
        <v>23</v>
      </c>
      <c r="C105" s="35">
        <v>18264</v>
      </c>
      <c r="D105" s="29">
        <f ca="1">DATEDIF(C105,TODAY(),"Y")</f>
        <v>76</v>
      </c>
      <c r="E105" s="5" t="s">
        <v>26</v>
      </c>
      <c r="F105" s="30">
        <v>169</v>
      </c>
      <c r="G105" s="30">
        <v>68</v>
      </c>
      <c r="H105" s="31">
        <f>G105/((F105/100)*(F105/100))</f>
        <v>23.808690171912751</v>
      </c>
      <c r="I105" s="5">
        <v>76</v>
      </c>
      <c r="J105" s="30">
        <v>140</v>
      </c>
      <c r="K105" s="30">
        <v>80</v>
      </c>
      <c r="L105" s="29">
        <f>IF(B105="Nữ",0,2)</f>
        <v>0</v>
      </c>
      <c r="M105" s="29">
        <f ca="1">IF(D105&lt;45,0,IF(D105&lt;=49,1,2))</f>
        <v>2</v>
      </c>
      <c r="N105" s="29">
        <f>IF(E105="Có",4,0)</f>
        <v>0</v>
      </c>
      <c r="O105" s="29">
        <f>IF(H105&lt;23,0,IF(H105&lt;27.5,3,5))</f>
        <v>3</v>
      </c>
      <c r="P105" s="29">
        <f>IF(OR(AND(B105="Nam",I105&gt;=90),AND(B105="Nữ",I105&gt;=80)),2,0)</f>
        <v>0</v>
      </c>
      <c r="Q105" s="29">
        <f>IF(OR(J105&gt;=140,K105&gt;=90),2,0)</f>
        <v>2</v>
      </c>
      <c r="R105" s="29">
        <f ca="1">SUM(L105:Q105)</f>
        <v>7</v>
      </c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5" t="s">
        <v>1393</v>
      </c>
      <c r="AE105" s="33"/>
      <c r="AF105" s="59" t="str">
        <f t="shared" si="4"/>
        <v>Không</v>
      </c>
      <c r="AG105" s="59" t="str">
        <f t="shared" si="5"/>
        <v>Không</v>
      </c>
      <c r="AH105" s="29" t="str">
        <f t="shared" ca="1" si="3"/>
        <v>Có</v>
      </c>
      <c r="AI105" s="29" t="str">
        <f ca="1">IF((R105)&gt;=6,"Có","Không")</f>
        <v>Có</v>
      </c>
      <c r="AJ105" s="29" t="str">
        <f>IF(OR(J105&gt;=140,K105&gt;=90),"Có","Không")</f>
        <v>Có</v>
      </c>
      <c r="AK105" s="5" t="s">
        <v>51</v>
      </c>
      <c r="AL105" s="32">
        <v>46053</v>
      </c>
      <c r="AM105" s="29" t="str">
        <f>"Tháng "&amp;MONTH(AL105)</f>
        <v>Tháng 1</v>
      </c>
      <c r="AN105" s="69" t="s">
        <v>1376</v>
      </c>
    </row>
    <row r="106" spans="1:40" x14ac:dyDescent="0.25">
      <c r="A106" s="50" t="s">
        <v>935</v>
      </c>
      <c r="B106" s="20" t="s">
        <v>23</v>
      </c>
      <c r="C106" s="35">
        <v>21186</v>
      </c>
      <c r="D106" s="29">
        <f ca="1">DATEDIF(C106,TODAY(),"Y")</f>
        <v>68</v>
      </c>
      <c r="E106" s="5" t="s">
        <v>26</v>
      </c>
      <c r="F106" s="30">
        <v>158</v>
      </c>
      <c r="G106" s="30">
        <v>68</v>
      </c>
      <c r="H106" s="31">
        <f>G106/((F106/100)*(F106/100))</f>
        <v>27.239224483255885</v>
      </c>
      <c r="I106" s="5">
        <v>78</v>
      </c>
      <c r="J106" s="30">
        <v>140</v>
      </c>
      <c r="K106" s="30">
        <v>80</v>
      </c>
      <c r="L106" s="29">
        <f>IF(B106="Nữ",0,2)</f>
        <v>0</v>
      </c>
      <c r="M106" s="29">
        <f ca="1">IF(D106&lt;45,0,IF(D106&lt;=49,1,2))</f>
        <v>2</v>
      </c>
      <c r="N106" s="29">
        <f>IF(E106="Có",4,0)</f>
        <v>0</v>
      </c>
      <c r="O106" s="29">
        <f>IF(H106&lt;23,0,IF(H106&lt;27.5,3,5))</f>
        <v>3</v>
      </c>
      <c r="P106" s="29">
        <f>IF(OR(AND(B106="Nam",I106&gt;=90),AND(B106="Nữ",I106&gt;=80)),2,0)</f>
        <v>0</v>
      </c>
      <c r="Q106" s="29">
        <f>IF(OR(J106&gt;=140,K106&gt;=90),2,0)</f>
        <v>2</v>
      </c>
      <c r="R106" s="29">
        <f ca="1">SUM(L106:Q106)</f>
        <v>7</v>
      </c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5" t="s">
        <v>1393</v>
      </c>
      <c r="AE106" s="33"/>
      <c r="AF106" s="59" t="str">
        <f t="shared" si="4"/>
        <v>Không</v>
      </c>
      <c r="AG106" s="59" t="str">
        <f t="shared" si="5"/>
        <v>Không</v>
      </c>
      <c r="AH106" s="29" t="str">
        <f t="shared" ca="1" si="3"/>
        <v>Có</v>
      </c>
      <c r="AI106" s="29" t="str">
        <f ca="1">IF((R106)&gt;=6,"Có","Không")</f>
        <v>Có</v>
      </c>
      <c r="AJ106" s="29" t="str">
        <f>IF(OR(J106&gt;=140,K106&gt;=90),"Có","Không")</f>
        <v>Có</v>
      </c>
      <c r="AK106" s="5" t="s">
        <v>51</v>
      </c>
      <c r="AL106" s="32">
        <v>46053</v>
      </c>
      <c r="AM106" s="29" t="str">
        <f>"Tháng "&amp;MONTH(AL106)</f>
        <v>Tháng 1</v>
      </c>
      <c r="AN106" s="69" t="s">
        <v>1376</v>
      </c>
    </row>
    <row r="107" spans="1:40" x14ac:dyDescent="0.25">
      <c r="A107" s="50" t="s">
        <v>1113</v>
      </c>
      <c r="B107" s="20" t="s">
        <v>23</v>
      </c>
      <c r="C107" s="35">
        <v>25204</v>
      </c>
      <c r="D107" s="29">
        <f ca="1">DATEDIF(C107,TODAY(),"Y")</f>
        <v>57</v>
      </c>
      <c r="E107" s="5" t="s">
        <v>25</v>
      </c>
      <c r="F107" s="30">
        <v>169</v>
      </c>
      <c r="G107" s="30">
        <v>68</v>
      </c>
      <c r="H107" s="31">
        <f>G107/((F107/100)*(F107/100))</f>
        <v>23.808690171912751</v>
      </c>
      <c r="I107" s="5">
        <v>84</v>
      </c>
      <c r="J107" s="30">
        <v>120</v>
      </c>
      <c r="K107" s="30">
        <v>80</v>
      </c>
      <c r="L107" s="29">
        <f>IF(B107="Nữ",0,2)</f>
        <v>0</v>
      </c>
      <c r="M107" s="29">
        <f ca="1">IF(D107&lt;45,0,IF(D107&lt;=49,1,2))</f>
        <v>2</v>
      </c>
      <c r="N107" s="29">
        <f>IF(E107="Có",4,0)</f>
        <v>4</v>
      </c>
      <c r="O107" s="29">
        <f>IF(H107&lt;23,0,IF(H107&lt;27.5,3,5))</f>
        <v>3</v>
      </c>
      <c r="P107" s="29">
        <f>IF(OR(AND(B107="Nam",I107&gt;=90),AND(B107="Nữ",I107&gt;=80)),2,0)</f>
        <v>2</v>
      </c>
      <c r="Q107" s="29">
        <f>IF(OR(J107&gt;=140,K107&gt;=90),2,0)</f>
        <v>0</v>
      </c>
      <c r="R107" s="29">
        <f ca="1">SUM(L107:Q107)</f>
        <v>11</v>
      </c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5" t="s">
        <v>1393</v>
      </c>
      <c r="AE107" s="33"/>
      <c r="AF107" s="59" t="str">
        <f t="shared" si="4"/>
        <v>Không</v>
      </c>
      <c r="AG107" s="59" t="str">
        <f t="shared" si="5"/>
        <v>Không</v>
      </c>
      <c r="AH107" s="29" t="str">
        <f t="shared" ca="1" si="3"/>
        <v>Có</v>
      </c>
      <c r="AI107" s="29" t="str">
        <f ca="1">IF((R107)&gt;=6,"Có","Không")</f>
        <v>Có</v>
      </c>
      <c r="AJ107" s="29" t="str">
        <f>IF(OR(J107&gt;=140,K107&gt;=90),"Có","Không")</f>
        <v>Không</v>
      </c>
      <c r="AK107" s="5" t="s">
        <v>51</v>
      </c>
      <c r="AL107" s="32">
        <v>46053</v>
      </c>
      <c r="AM107" s="29" t="str">
        <f>"Tháng "&amp;MONTH(AL107)</f>
        <v>Tháng 1</v>
      </c>
      <c r="AN107" s="69" t="s">
        <v>1376</v>
      </c>
    </row>
    <row r="108" spans="1:40" x14ac:dyDescent="0.25">
      <c r="A108" s="50" t="s">
        <v>1116</v>
      </c>
      <c r="B108" s="20" t="s">
        <v>23</v>
      </c>
      <c r="C108" s="35">
        <v>24108</v>
      </c>
      <c r="D108" s="29">
        <f ca="1">DATEDIF(C108,TODAY(),"Y")</f>
        <v>60</v>
      </c>
      <c r="E108" s="5" t="s">
        <v>26</v>
      </c>
      <c r="F108" s="30">
        <v>169</v>
      </c>
      <c r="G108" s="30">
        <v>68</v>
      </c>
      <c r="H108" s="31">
        <f>G108/((F108/100)*(F108/100))</f>
        <v>23.808690171912751</v>
      </c>
      <c r="I108" s="5">
        <v>96</v>
      </c>
      <c r="J108" s="30">
        <v>130</v>
      </c>
      <c r="K108" s="30">
        <v>80</v>
      </c>
      <c r="L108" s="29">
        <f>IF(B108="Nữ",0,2)</f>
        <v>0</v>
      </c>
      <c r="M108" s="29">
        <f ca="1">IF(D108&lt;45,0,IF(D108&lt;=49,1,2))</f>
        <v>2</v>
      </c>
      <c r="N108" s="29">
        <f>IF(E108="Có",4,0)</f>
        <v>0</v>
      </c>
      <c r="O108" s="29">
        <f>IF(H108&lt;23,0,IF(H108&lt;27.5,3,5))</f>
        <v>3</v>
      </c>
      <c r="P108" s="29">
        <f>IF(OR(AND(B108="Nam",I108&gt;=90),AND(B108="Nữ",I108&gt;=80)),2,0)</f>
        <v>2</v>
      </c>
      <c r="Q108" s="29">
        <f>IF(OR(J108&gt;=140,K108&gt;=90),2,0)</f>
        <v>0</v>
      </c>
      <c r="R108" s="29">
        <f ca="1">SUM(L108:Q108)</f>
        <v>7</v>
      </c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5" t="s">
        <v>1393</v>
      </c>
      <c r="AE108" s="33"/>
      <c r="AF108" s="59" t="str">
        <f t="shared" si="4"/>
        <v>Không</v>
      </c>
      <c r="AG108" s="59" t="str">
        <f t="shared" si="5"/>
        <v>Không</v>
      </c>
      <c r="AH108" s="29" t="str">
        <f t="shared" ca="1" si="3"/>
        <v>Có</v>
      </c>
      <c r="AI108" s="29" t="str">
        <f ca="1">IF((R108)&gt;=6,"Có","Không")</f>
        <v>Có</v>
      </c>
      <c r="AJ108" s="29" t="str">
        <f>IF(OR(J108&gt;=140,K108&gt;=90),"Có","Không")</f>
        <v>Không</v>
      </c>
      <c r="AK108" s="5" t="s">
        <v>51</v>
      </c>
      <c r="AL108" s="32">
        <v>46053</v>
      </c>
      <c r="AM108" s="29" t="str">
        <f>"Tháng "&amp;MONTH(AL108)</f>
        <v>Tháng 1</v>
      </c>
      <c r="AN108" s="69" t="s">
        <v>1376</v>
      </c>
    </row>
    <row r="109" spans="1:40" x14ac:dyDescent="0.25">
      <c r="A109" s="50" t="s">
        <v>1117</v>
      </c>
      <c r="B109" s="20" t="s">
        <v>30</v>
      </c>
      <c r="C109" s="35">
        <v>23377</v>
      </c>
      <c r="D109" s="29">
        <f ca="1">DATEDIF(C109,TODAY(),"Y")</f>
        <v>62</v>
      </c>
      <c r="E109" s="5" t="s">
        <v>26</v>
      </c>
      <c r="F109" s="30">
        <v>160</v>
      </c>
      <c r="G109" s="30">
        <v>57</v>
      </c>
      <c r="H109" s="31">
        <f>G109/((F109/100)*(F109/100))</f>
        <v>22.265624999999996</v>
      </c>
      <c r="I109" s="5">
        <v>72</v>
      </c>
      <c r="J109" s="30">
        <v>120</v>
      </c>
      <c r="K109" s="30">
        <v>70</v>
      </c>
      <c r="L109" s="29">
        <f>IF(B109="Nữ",0,2)</f>
        <v>2</v>
      </c>
      <c r="M109" s="29">
        <f ca="1">IF(D109&lt;45,0,IF(D109&lt;=49,1,2))</f>
        <v>2</v>
      </c>
      <c r="N109" s="29">
        <f>IF(E109="Có",4,0)</f>
        <v>0</v>
      </c>
      <c r="O109" s="29">
        <f>IF(H109&lt;23,0,IF(H109&lt;27.5,3,5))</f>
        <v>0</v>
      </c>
      <c r="P109" s="29">
        <f>IF(OR(AND(B109="Nam",I109&gt;=90),AND(B109="Nữ",I109&gt;=80)),2,0)</f>
        <v>0</v>
      </c>
      <c r="Q109" s="29">
        <f>IF(OR(J109&gt;=140,K109&gt;=90),2,0)</f>
        <v>0</v>
      </c>
      <c r="R109" s="29">
        <f ca="1">SUM(L109:Q109)</f>
        <v>4</v>
      </c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5" t="s">
        <v>1393</v>
      </c>
      <c r="AE109" s="33"/>
      <c r="AF109" s="59" t="str">
        <f t="shared" si="4"/>
        <v>Không</v>
      </c>
      <c r="AG109" s="59" t="str">
        <f t="shared" si="5"/>
        <v>Không</v>
      </c>
      <c r="AH109" s="29" t="str">
        <f t="shared" ca="1" si="3"/>
        <v>Không</v>
      </c>
      <c r="AI109" s="29" t="str">
        <f ca="1">IF((R109)&gt;=6,"Có","Không")</f>
        <v>Không</v>
      </c>
      <c r="AJ109" s="29" t="str">
        <f>IF(OR(J109&gt;=140,K109&gt;=90),"Có","Không")</f>
        <v>Không</v>
      </c>
      <c r="AK109" s="5" t="s">
        <v>51</v>
      </c>
      <c r="AL109" s="32">
        <v>46053</v>
      </c>
      <c r="AM109" s="29" t="str">
        <f>"Tháng "&amp;MONTH(AL109)</f>
        <v>Tháng 1</v>
      </c>
      <c r="AN109" s="69" t="s">
        <v>1376</v>
      </c>
    </row>
    <row r="110" spans="1:40" x14ac:dyDescent="0.25">
      <c r="A110" s="50" t="s">
        <v>1120</v>
      </c>
      <c r="B110" s="20" t="s">
        <v>23</v>
      </c>
      <c r="C110" s="35">
        <v>28126</v>
      </c>
      <c r="D110" s="29">
        <f ca="1">DATEDIF(C110,TODAY(),"Y")</f>
        <v>49</v>
      </c>
      <c r="E110" s="5" t="s">
        <v>26</v>
      </c>
      <c r="F110" s="30">
        <v>160</v>
      </c>
      <c r="G110" s="30">
        <v>65</v>
      </c>
      <c r="H110" s="31">
        <f>G110/((F110/100)*(F110/100))</f>
        <v>25.390624999999996</v>
      </c>
      <c r="I110" s="5">
        <v>84</v>
      </c>
      <c r="J110" s="30">
        <v>130</v>
      </c>
      <c r="K110" s="30">
        <v>70</v>
      </c>
      <c r="L110" s="29">
        <f>IF(B110="Nữ",0,2)</f>
        <v>0</v>
      </c>
      <c r="M110" s="29">
        <f ca="1">IF(D110&lt;45,0,IF(D110&lt;=49,1,2))</f>
        <v>1</v>
      </c>
      <c r="N110" s="29">
        <f>IF(E110="Có",4,0)</f>
        <v>0</v>
      </c>
      <c r="O110" s="29">
        <f>IF(H110&lt;23,0,IF(H110&lt;27.5,3,5))</f>
        <v>3</v>
      </c>
      <c r="P110" s="29">
        <f>IF(OR(AND(B110="Nam",I110&gt;=90),AND(B110="Nữ",I110&gt;=80)),2,0)</f>
        <v>2</v>
      </c>
      <c r="Q110" s="29">
        <f>IF(OR(J110&gt;=140,K110&gt;=90),2,0)</f>
        <v>0</v>
      </c>
      <c r="R110" s="29">
        <f ca="1">SUM(L110:Q110)</f>
        <v>6</v>
      </c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5" t="s">
        <v>1393</v>
      </c>
      <c r="AE110" s="33"/>
      <c r="AF110" s="59" t="str">
        <f t="shared" si="4"/>
        <v>Không</v>
      </c>
      <c r="AG110" s="59" t="str">
        <f t="shared" si="5"/>
        <v>Không</v>
      </c>
      <c r="AH110" s="29" t="str">
        <f t="shared" ca="1" si="3"/>
        <v>Có</v>
      </c>
      <c r="AI110" s="29" t="str">
        <f ca="1">IF((R110)&gt;=6,"Có","Không")</f>
        <v>Có</v>
      </c>
      <c r="AJ110" s="29" t="str">
        <f>IF(OR(J110&gt;=140,K110&gt;=90),"Có","Không")</f>
        <v>Không</v>
      </c>
      <c r="AK110" s="5" t="s">
        <v>51</v>
      </c>
      <c r="AL110" s="32">
        <v>46053</v>
      </c>
      <c r="AM110" s="29" t="str">
        <f>"Tháng "&amp;MONTH(AL110)</f>
        <v>Tháng 1</v>
      </c>
      <c r="AN110" s="69" t="s">
        <v>1376</v>
      </c>
    </row>
    <row r="111" spans="1:40" x14ac:dyDescent="0.25">
      <c r="A111" s="50" t="s">
        <v>1122</v>
      </c>
      <c r="B111" s="20" t="s">
        <v>30</v>
      </c>
      <c r="C111" s="35">
        <v>25934</v>
      </c>
      <c r="D111" s="29">
        <f ca="1">DATEDIF(C111,TODAY(),"Y")</f>
        <v>55</v>
      </c>
      <c r="E111" s="5" t="s">
        <v>26</v>
      </c>
      <c r="F111" s="30">
        <v>156</v>
      </c>
      <c r="G111" s="30">
        <v>54</v>
      </c>
      <c r="H111" s="31">
        <f>G111/((F111/100)*(F111/100))</f>
        <v>22.189349112426033</v>
      </c>
      <c r="I111" s="5">
        <v>65</v>
      </c>
      <c r="J111" s="30">
        <v>120</v>
      </c>
      <c r="K111" s="30">
        <v>70</v>
      </c>
      <c r="L111" s="29">
        <f>IF(B111="Nữ",0,2)</f>
        <v>2</v>
      </c>
      <c r="M111" s="29">
        <f ca="1">IF(D111&lt;45,0,IF(D111&lt;=49,1,2))</f>
        <v>2</v>
      </c>
      <c r="N111" s="29">
        <f>IF(E111="Có",4,0)</f>
        <v>0</v>
      </c>
      <c r="O111" s="29">
        <f>IF(H111&lt;23,0,IF(H111&lt;27.5,3,5))</f>
        <v>0</v>
      </c>
      <c r="P111" s="29">
        <f>IF(OR(AND(B111="Nam",I111&gt;=90),AND(B111="Nữ",I111&gt;=80)),2,0)</f>
        <v>0</v>
      </c>
      <c r="Q111" s="29">
        <f>IF(OR(J111&gt;=140,K111&gt;=90),2,0)</f>
        <v>0</v>
      </c>
      <c r="R111" s="29">
        <f ca="1">SUM(L111:Q111)</f>
        <v>4</v>
      </c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5" t="s">
        <v>1393</v>
      </c>
      <c r="AE111" s="33"/>
      <c r="AF111" s="59" t="str">
        <f t="shared" si="4"/>
        <v>Không</v>
      </c>
      <c r="AG111" s="59" t="str">
        <f t="shared" si="5"/>
        <v>Không</v>
      </c>
      <c r="AH111" s="29" t="str">
        <f t="shared" ca="1" si="3"/>
        <v>Không</v>
      </c>
      <c r="AI111" s="29" t="str">
        <f ca="1">IF((R111)&gt;=6,"Có","Không")</f>
        <v>Không</v>
      </c>
      <c r="AJ111" s="29" t="str">
        <f>IF(OR(J111&gt;=140,K111&gt;=90),"Có","Không")</f>
        <v>Không</v>
      </c>
      <c r="AK111" s="5" t="s">
        <v>51</v>
      </c>
      <c r="AL111" s="32">
        <v>46053</v>
      </c>
      <c r="AM111" s="29" t="str">
        <f>"Tháng "&amp;MONTH(AL111)</f>
        <v>Tháng 1</v>
      </c>
      <c r="AN111" s="69" t="s">
        <v>1376</v>
      </c>
    </row>
    <row r="112" spans="1:40" x14ac:dyDescent="0.25">
      <c r="A112" s="51" t="s">
        <v>617</v>
      </c>
      <c r="B112" s="20" t="s">
        <v>23</v>
      </c>
      <c r="C112" s="35">
        <v>20821</v>
      </c>
      <c r="D112" s="29">
        <f ca="1">DATEDIF(C112,TODAY(),"Y")</f>
        <v>69</v>
      </c>
      <c r="E112" s="5" t="s">
        <v>26</v>
      </c>
      <c r="F112" s="30">
        <v>158</v>
      </c>
      <c r="G112" s="30">
        <v>58</v>
      </c>
      <c r="H112" s="31">
        <f>G112/((F112/100)*(F112/100))</f>
        <v>23.233456176894723</v>
      </c>
      <c r="I112" s="5">
        <v>75</v>
      </c>
      <c r="J112" s="30">
        <v>140</v>
      </c>
      <c r="K112" s="30">
        <v>80</v>
      </c>
      <c r="L112" s="29">
        <f>IF(B112="Nữ",0,2)</f>
        <v>0</v>
      </c>
      <c r="M112" s="29">
        <f ca="1">IF(D112&lt;45,0,IF(D112&lt;=49,1,2))</f>
        <v>2</v>
      </c>
      <c r="N112" s="29">
        <f>IF(E112="Có",4,0)</f>
        <v>0</v>
      </c>
      <c r="O112" s="29">
        <f>IF(H112&lt;23,0,IF(H112&lt;27.5,3,5))</f>
        <v>3</v>
      </c>
      <c r="P112" s="29">
        <f>IF(OR(AND(B112="Nam",I112&gt;=90),AND(B112="Nữ",I112&gt;=80)),2,0)</f>
        <v>0</v>
      </c>
      <c r="Q112" s="29">
        <f>IF(OR(J112&gt;=140,K112&gt;=90),2,0)</f>
        <v>2</v>
      </c>
      <c r="R112" s="29">
        <f ca="1">SUM(L112:Q112)</f>
        <v>7</v>
      </c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5" t="s">
        <v>1393</v>
      </c>
      <c r="AE112" s="33"/>
      <c r="AF112" s="59" t="str">
        <f t="shared" si="4"/>
        <v>Không</v>
      </c>
      <c r="AG112" s="59" t="str">
        <f t="shared" si="5"/>
        <v>Không</v>
      </c>
      <c r="AH112" s="29" t="str">
        <f t="shared" ca="1" si="3"/>
        <v>Có</v>
      </c>
      <c r="AI112" s="29" t="str">
        <f ca="1">IF((R112)&gt;=6,"Có","Không")</f>
        <v>Có</v>
      </c>
      <c r="AJ112" s="29" t="str">
        <f>IF(OR(J112&gt;=140,K112&gt;=90),"Có","Không")</f>
        <v>Có</v>
      </c>
      <c r="AK112" s="5" t="s">
        <v>51</v>
      </c>
      <c r="AL112" s="32">
        <v>46053</v>
      </c>
      <c r="AM112" s="29" t="str">
        <f>"Tháng "&amp;MONTH(AL112)</f>
        <v>Tháng 1</v>
      </c>
      <c r="AN112" s="69" t="s">
        <v>1376</v>
      </c>
    </row>
    <row r="113" spans="1:40" x14ac:dyDescent="0.25">
      <c r="A113" s="51" t="s">
        <v>1127</v>
      </c>
      <c r="B113" s="20" t="s">
        <v>23</v>
      </c>
      <c r="C113" s="35">
        <v>24838</v>
      </c>
      <c r="D113" s="29">
        <f ca="1">DATEDIF(C113,TODAY(),"Y")</f>
        <v>58</v>
      </c>
      <c r="E113" s="5" t="s">
        <v>26</v>
      </c>
      <c r="F113" s="30">
        <v>155</v>
      </c>
      <c r="G113" s="30">
        <v>57</v>
      </c>
      <c r="H113" s="31">
        <f>G113/((F113/100)*(F113/100))</f>
        <v>23.725286160249738</v>
      </c>
      <c r="I113" s="5">
        <v>91</v>
      </c>
      <c r="J113" s="30">
        <v>120</v>
      </c>
      <c r="K113" s="30">
        <v>80</v>
      </c>
      <c r="L113" s="29">
        <f>IF(B113="Nữ",0,2)</f>
        <v>0</v>
      </c>
      <c r="M113" s="29">
        <f ca="1">IF(D113&lt;45,0,IF(D113&lt;=49,1,2))</f>
        <v>2</v>
      </c>
      <c r="N113" s="29">
        <f>IF(E113="Có",4,0)</f>
        <v>0</v>
      </c>
      <c r="O113" s="29">
        <f>IF(H113&lt;23,0,IF(H113&lt;27.5,3,5))</f>
        <v>3</v>
      </c>
      <c r="P113" s="29">
        <f>IF(OR(AND(B113="Nam",I113&gt;=90),AND(B113="Nữ",I113&gt;=80)),2,0)</f>
        <v>2</v>
      </c>
      <c r="Q113" s="29">
        <f>IF(OR(J113&gt;=140,K113&gt;=90),2,0)</f>
        <v>0</v>
      </c>
      <c r="R113" s="29">
        <f ca="1">SUM(L113:Q113)</f>
        <v>7</v>
      </c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5" t="s">
        <v>1393</v>
      </c>
      <c r="AE113" s="33"/>
      <c r="AF113" s="59" t="str">
        <f t="shared" si="4"/>
        <v>Không</v>
      </c>
      <c r="AG113" s="59" t="str">
        <f t="shared" si="5"/>
        <v>Không</v>
      </c>
      <c r="AH113" s="29" t="str">
        <f t="shared" ca="1" si="3"/>
        <v>Có</v>
      </c>
      <c r="AI113" s="29" t="str">
        <f ca="1">IF((R113)&gt;=6,"Có","Không")</f>
        <v>Có</v>
      </c>
      <c r="AJ113" s="29" t="str">
        <f>IF(OR(J113&gt;=140,K113&gt;=90),"Có","Không")</f>
        <v>Không</v>
      </c>
      <c r="AK113" s="5" t="s">
        <v>51</v>
      </c>
      <c r="AL113" s="32">
        <v>46053</v>
      </c>
      <c r="AM113" s="29" t="str">
        <f>"Tháng "&amp;MONTH(AL113)</f>
        <v>Tháng 1</v>
      </c>
      <c r="AN113" s="69" t="s">
        <v>1376</v>
      </c>
    </row>
    <row r="114" spans="1:40" x14ac:dyDescent="0.25">
      <c r="A114" s="51" t="s">
        <v>1128</v>
      </c>
      <c r="B114" s="20" t="s">
        <v>30</v>
      </c>
      <c r="C114" s="35">
        <v>22647</v>
      </c>
      <c r="D114" s="29">
        <f ca="1">DATEDIF(C114,TODAY(),"Y")</f>
        <v>64</v>
      </c>
      <c r="E114" s="5" t="s">
        <v>26</v>
      </c>
      <c r="F114" s="30">
        <v>158</v>
      </c>
      <c r="G114" s="30">
        <v>58</v>
      </c>
      <c r="H114" s="31">
        <f>G114/((F114/100)*(F114/100))</f>
        <v>23.233456176894723</v>
      </c>
      <c r="I114" s="5">
        <v>85</v>
      </c>
      <c r="J114" s="30">
        <v>150</v>
      </c>
      <c r="K114" s="30">
        <v>80</v>
      </c>
      <c r="L114" s="29">
        <f>IF(B114="Nữ",0,2)</f>
        <v>2</v>
      </c>
      <c r="M114" s="29">
        <f ca="1">IF(D114&lt;45,0,IF(D114&lt;=49,1,2))</f>
        <v>2</v>
      </c>
      <c r="N114" s="29">
        <f>IF(E114="Có",4,0)</f>
        <v>0</v>
      </c>
      <c r="O114" s="29">
        <f>IF(H114&lt;23,0,IF(H114&lt;27.5,3,5))</f>
        <v>3</v>
      </c>
      <c r="P114" s="29">
        <f>IF(OR(AND(B114="Nam",I114&gt;=90),AND(B114="Nữ",I114&gt;=80)),2,0)</f>
        <v>0</v>
      </c>
      <c r="Q114" s="29">
        <f>IF(OR(J114&gt;=140,K114&gt;=90),2,0)</f>
        <v>2</v>
      </c>
      <c r="R114" s="29">
        <f ca="1">SUM(L114:Q114)</f>
        <v>9</v>
      </c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5" t="s">
        <v>1393</v>
      </c>
      <c r="AE114" s="33"/>
      <c r="AF114" s="59" t="str">
        <f t="shared" si="4"/>
        <v>Không</v>
      </c>
      <c r="AG114" s="59" t="str">
        <f t="shared" si="5"/>
        <v>Không</v>
      </c>
      <c r="AH114" s="29" t="str">
        <f t="shared" ca="1" si="3"/>
        <v>Có</v>
      </c>
      <c r="AI114" s="29" t="str">
        <f ca="1">IF((R114)&gt;=6,"Có","Không")</f>
        <v>Có</v>
      </c>
      <c r="AJ114" s="29" t="str">
        <f>IF(OR(J114&gt;=140,K114&gt;=90),"Có","Không")</f>
        <v>Có</v>
      </c>
      <c r="AK114" s="5" t="s">
        <v>51</v>
      </c>
      <c r="AL114" s="32">
        <v>46053</v>
      </c>
      <c r="AM114" s="29" t="str">
        <f>"Tháng "&amp;MONTH(AL114)</f>
        <v>Tháng 1</v>
      </c>
      <c r="AN114" s="69" t="s">
        <v>1376</v>
      </c>
    </row>
    <row r="115" spans="1:40" x14ac:dyDescent="0.25">
      <c r="A115" s="51" t="s">
        <v>1130</v>
      </c>
      <c r="B115" s="20" t="s">
        <v>23</v>
      </c>
      <c r="C115" s="35">
        <v>18629</v>
      </c>
      <c r="D115" s="29">
        <f ca="1">DATEDIF(C115,TODAY(),"Y")</f>
        <v>75</v>
      </c>
      <c r="E115" s="5" t="s">
        <v>26</v>
      </c>
      <c r="F115" s="30">
        <v>168</v>
      </c>
      <c r="G115" s="30">
        <v>60</v>
      </c>
      <c r="H115" s="31">
        <f>G115/((F115/100)*(F115/100))</f>
        <v>21.258503401360546</v>
      </c>
      <c r="I115" s="5">
        <v>96</v>
      </c>
      <c r="J115" s="30">
        <v>140</v>
      </c>
      <c r="K115" s="30">
        <v>80</v>
      </c>
      <c r="L115" s="29">
        <f>IF(B115="Nữ",0,2)</f>
        <v>0</v>
      </c>
      <c r="M115" s="29">
        <f ca="1">IF(D115&lt;45,0,IF(D115&lt;=49,1,2))</f>
        <v>2</v>
      </c>
      <c r="N115" s="29">
        <f>IF(E115="Có",4,0)</f>
        <v>0</v>
      </c>
      <c r="O115" s="29">
        <f>IF(H115&lt;23,0,IF(H115&lt;27.5,3,5))</f>
        <v>0</v>
      </c>
      <c r="P115" s="29">
        <f>IF(OR(AND(B115="Nam",I115&gt;=90),AND(B115="Nữ",I115&gt;=80)),2,0)</f>
        <v>2</v>
      </c>
      <c r="Q115" s="29">
        <f>IF(OR(J115&gt;=140,K115&gt;=90),2,0)</f>
        <v>2</v>
      </c>
      <c r="R115" s="29">
        <f ca="1">SUM(L115:Q115)</f>
        <v>6</v>
      </c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5" t="s">
        <v>1393</v>
      </c>
      <c r="AE115" s="33"/>
      <c r="AF115" s="59" t="str">
        <f t="shared" si="4"/>
        <v>Không</v>
      </c>
      <c r="AG115" s="59" t="str">
        <f t="shared" si="5"/>
        <v>Không</v>
      </c>
      <c r="AH115" s="29" t="str">
        <f t="shared" ca="1" si="3"/>
        <v>Có</v>
      </c>
      <c r="AI115" s="29" t="str">
        <f ca="1">IF((R115)&gt;=6,"Có","Không")</f>
        <v>Có</v>
      </c>
      <c r="AJ115" s="29" t="str">
        <f>IF(OR(J115&gt;=140,K115&gt;=90),"Có","Không")</f>
        <v>Có</v>
      </c>
      <c r="AK115" s="5" t="s">
        <v>51</v>
      </c>
      <c r="AL115" s="32">
        <v>46053</v>
      </c>
      <c r="AM115" s="29" t="str">
        <f>"Tháng "&amp;MONTH(AL115)</f>
        <v>Tháng 1</v>
      </c>
      <c r="AN115" s="69" t="s">
        <v>1376</v>
      </c>
    </row>
    <row r="116" spans="1:40" x14ac:dyDescent="0.25">
      <c r="A116" s="51" t="s">
        <v>991</v>
      </c>
      <c r="B116" s="20" t="s">
        <v>30</v>
      </c>
      <c r="C116" s="35">
        <v>18629</v>
      </c>
      <c r="D116" s="29">
        <f ca="1">DATEDIF(C116,TODAY(),"Y")</f>
        <v>75</v>
      </c>
      <c r="E116" s="5" t="s">
        <v>25</v>
      </c>
      <c r="F116" s="30">
        <v>158</v>
      </c>
      <c r="G116" s="30">
        <v>58</v>
      </c>
      <c r="H116" s="31">
        <f>G116/((F116/100)*(F116/100))</f>
        <v>23.233456176894723</v>
      </c>
      <c r="I116" s="5">
        <v>79</v>
      </c>
      <c r="J116" s="30">
        <v>120</v>
      </c>
      <c r="K116" s="30">
        <v>70</v>
      </c>
      <c r="L116" s="29">
        <f>IF(B116="Nữ",0,2)</f>
        <v>2</v>
      </c>
      <c r="M116" s="29">
        <f ca="1">IF(D116&lt;45,0,IF(D116&lt;=49,1,2))</f>
        <v>2</v>
      </c>
      <c r="N116" s="29">
        <f>IF(E116="Có",4,0)</f>
        <v>4</v>
      </c>
      <c r="O116" s="29">
        <f>IF(H116&lt;23,0,IF(H116&lt;27.5,3,5))</f>
        <v>3</v>
      </c>
      <c r="P116" s="29">
        <f>IF(OR(AND(B116="Nam",I116&gt;=90),AND(B116="Nữ",I116&gt;=80)),2,0)</f>
        <v>0</v>
      </c>
      <c r="Q116" s="29">
        <f>IF(OR(J116&gt;=140,K116&gt;=90),2,0)</f>
        <v>0</v>
      </c>
      <c r="R116" s="29">
        <f ca="1">SUM(L116:Q116)</f>
        <v>11</v>
      </c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5" t="s">
        <v>1393</v>
      </c>
      <c r="AE116" s="33"/>
      <c r="AF116" s="59" t="str">
        <f t="shared" si="4"/>
        <v>Không</v>
      </c>
      <c r="AG116" s="59" t="str">
        <f t="shared" si="5"/>
        <v>Không</v>
      </c>
      <c r="AH116" s="29" t="str">
        <f t="shared" ca="1" si="3"/>
        <v>Có</v>
      </c>
      <c r="AI116" s="29" t="str">
        <f ca="1">IF((R116)&gt;=6,"Có","Không")</f>
        <v>Có</v>
      </c>
      <c r="AJ116" s="29" t="str">
        <f>IF(OR(J116&gt;=140,K116&gt;=90),"Có","Không")</f>
        <v>Không</v>
      </c>
      <c r="AK116" s="5" t="s">
        <v>51</v>
      </c>
      <c r="AL116" s="32">
        <v>46053</v>
      </c>
      <c r="AM116" s="29" t="str">
        <f>"Tháng "&amp;MONTH(AL116)</f>
        <v>Tháng 1</v>
      </c>
      <c r="AN116" s="69" t="s">
        <v>1376</v>
      </c>
    </row>
    <row r="117" spans="1:40" x14ac:dyDescent="0.25">
      <c r="A117" s="51" t="s">
        <v>409</v>
      </c>
      <c r="B117" s="20" t="s">
        <v>23</v>
      </c>
      <c r="C117" s="35">
        <v>23377</v>
      </c>
      <c r="D117" s="29">
        <f ca="1">DATEDIF(C117,TODAY(),"Y")</f>
        <v>62</v>
      </c>
      <c r="E117" s="5" t="s">
        <v>25</v>
      </c>
      <c r="F117" s="30">
        <v>169</v>
      </c>
      <c r="G117" s="30">
        <v>69</v>
      </c>
      <c r="H117" s="31">
        <f>G117/((F117/100)*(F117/100))</f>
        <v>24.158817968558527</v>
      </c>
      <c r="I117" s="5">
        <v>71</v>
      </c>
      <c r="J117" s="30">
        <v>120</v>
      </c>
      <c r="K117" s="30">
        <v>70</v>
      </c>
      <c r="L117" s="29">
        <f>IF(B117="Nữ",0,2)</f>
        <v>0</v>
      </c>
      <c r="M117" s="29">
        <f ca="1">IF(D117&lt;45,0,IF(D117&lt;=49,1,2))</f>
        <v>2</v>
      </c>
      <c r="N117" s="29">
        <f>IF(E117="Có",4,0)</f>
        <v>4</v>
      </c>
      <c r="O117" s="29">
        <f>IF(H117&lt;23,0,IF(H117&lt;27.5,3,5))</f>
        <v>3</v>
      </c>
      <c r="P117" s="29">
        <f>IF(OR(AND(B117="Nam",I117&gt;=90),AND(B117="Nữ",I117&gt;=80)),2,0)</f>
        <v>0</v>
      </c>
      <c r="Q117" s="29">
        <f>IF(OR(J117&gt;=140,K117&gt;=90),2,0)</f>
        <v>0</v>
      </c>
      <c r="R117" s="29">
        <f ca="1">SUM(L117:Q117)</f>
        <v>9</v>
      </c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5" t="s">
        <v>1393</v>
      </c>
      <c r="AE117" s="33"/>
      <c r="AF117" s="59" t="str">
        <f t="shared" si="4"/>
        <v>Không</v>
      </c>
      <c r="AG117" s="59" t="str">
        <f t="shared" si="5"/>
        <v>Không</v>
      </c>
      <c r="AH117" s="29" t="str">
        <f t="shared" ca="1" si="3"/>
        <v>Có</v>
      </c>
      <c r="AI117" s="29" t="str">
        <f ca="1">IF((R117)&gt;=6,"Có","Không")</f>
        <v>Có</v>
      </c>
      <c r="AJ117" s="29" t="str">
        <f>IF(OR(J117&gt;=140,K117&gt;=90),"Có","Không")</f>
        <v>Không</v>
      </c>
      <c r="AK117" s="5" t="s">
        <v>51</v>
      </c>
      <c r="AL117" s="32">
        <v>46053</v>
      </c>
      <c r="AM117" s="29" t="str">
        <f>"Tháng "&amp;MONTH(AL117)</f>
        <v>Tháng 1</v>
      </c>
      <c r="AN117" s="69" t="s">
        <v>1376</v>
      </c>
    </row>
    <row r="118" spans="1:40" x14ac:dyDescent="0.25">
      <c r="A118" s="51" t="s">
        <v>1133</v>
      </c>
      <c r="B118" s="20" t="s">
        <v>23</v>
      </c>
      <c r="C118" s="35">
        <v>19360</v>
      </c>
      <c r="D118" s="29">
        <f ca="1">DATEDIF(C118,TODAY(),"Y")</f>
        <v>73</v>
      </c>
      <c r="E118" s="5" t="s">
        <v>26</v>
      </c>
      <c r="F118" s="30">
        <v>169</v>
      </c>
      <c r="G118" s="30">
        <v>68</v>
      </c>
      <c r="H118" s="31">
        <f>G118/((F118/100)*(F118/100))</f>
        <v>23.808690171912751</v>
      </c>
      <c r="I118" s="5">
        <v>67</v>
      </c>
      <c r="J118" s="30">
        <v>150</v>
      </c>
      <c r="K118" s="30">
        <v>80</v>
      </c>
      <c r="L118" s="29">
        <f>IF(B118="Nữ",0,2)</f>
        <v>0</v>
      </c>
      <c r="M118" s="29">
        <f ca="1">IF(D118&lt;45,0,IF(D118&lt;=49,1,2))</f>
        <v>2</v>
      </c>
      <c r="N118" s="29">
        <f>IF(E118="Có",4,0)</f>
        <v>0</v>
      </c>
      <c r="O118" s="29">
        <f>IF(H118&lt;23,0,IF(H118&lt;27.5,3,5))</f>
        <v>3</v>
      </c>
      <c r="P118" s="29">
        <f>IF(OR(AND(B118="Nam",I118&gt;=90),AND(B118="Nữ",I118&gt;=80)),2,0)</f>
        <v>0</v>
      </c>
      <c r="Q118" s="29">
        <f>IF(OR(J118&gt;=140,K118&gt;=90),2,0)</f>
        <v>2</v>
      </c>
      <c r="R118" s="29">
        <f ca="1">SUM(L118:Q118)</f>
        <v>7</v>
      </c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5" t="s">
        <v>1393</v>
      </c>
      <c r="AE118" s="33"/>
      <c r="AF118" s="59" t="str">
        <f t="shared" si="4"/>
        <v>Không</v>
      </c>
      <c r="AG118" s="59" t="str">
        <f t="shared" si="5"/>
        <v>Không</v>
      </c>
      <c r="AH118" s="29" t="str">
        <f t="shared" ca="1" si="3"/>
        <v>Có</v>
      </c>
      <c r="AI118" s="29" t="str">
        <f ca="1">IF((R118)&gt;=6,"Có","Không")</f>
        <v>Có</v>
      </c>
      <c r="AJ118" s="29" t="str">
        <f>IF(OR(J118&gt;=140,K118&gt;=90),"Có","Không")</f>
        <v>Có</v>
      </c>
      <c r="AK118" s="5" t="s">
        <v>51</v>
      </c>
      <c r="AL118" s="32">
        <v>46053</v>
      </c>
      <c r="AM118" s="29" t="str">
        <f>"Tháng "&amp;MONTH(AL118)</f>
        <v>Tháng 1</v>
      </c>
      <c r="AN118" s="69" t="s">
        <v>1376</v>
      </c>
    </row>
    <row r="119" spans="1:40" x14ac:dyDescent="0.25">
      <c r="A119" s="51" t="s">
        <v>1134</v>
      </c>
      <c r="B119" s="20" t="s">
        <v>30</v>
      </c>
      <c r="C119" s="35">
        <v>27395</v>
      </c>
      <c r="D119" s="29">
        <f ca="1">DATEDIF(C119,TODAY(),"Y")</f>
        <v>51</v>
      </c>
      <c r="E119" s="5" t="s">
        <v>26</v>
      </c>
      <c r="F119" s="30">
        <v>169</v>
      </c>
      <c r="G119" s="30">
        <v>69</v>
      </c>
      <c r="H119" s="31">
        <f>G119/((F119/100)*(F119/100))</f>
        <v>24.158817968558527</v>
      </c>
      <c r="I119" s="5">
        <v>84</v>
      </c>
      <c r="J119" s="30">
        <v>110</v>
      </c>
      <c r="K119" s="30">
        <v>80</v>
      </c>
      <c r="L119" s="29">
        <f>IF(B119="Nữ",0,2)</f>
        <v>2</v>
      </c>
      <c r="M119" s="29">
        <f ca="1">IF(D119&lt;45,0,IF(D119&lt;=49,1,2))</f>
        <v>2</v>
      </c>
      <c r="N119" s="29">
        <f>IF(E119="Có",4,0)</f>
        <v>0</v>
      </c>
      <c r="O119" s="29">
        <f>IF(H119&lt;23,0,IF(H119&lt;27.5,3,5))</f>
        <v>3</v>
      </c>
      <c r="P119" s="29">
        <f>IF(OR(AND(B119="Nam",I119&gt;=90),AND(B119="Nữ",I119&gt;=80)),2,0)</f>
        <v>0</v>
      </c>
      <c r="Q119" s="29">
        <f>IF(OR(J119&gt;=140,K119&gt;=90),2,0)</f>
        <v>0</v>
      </c>
      <c r="R119" s="29">
        <f ca="1">SUM(L119:Q119)</f>
        <v>7</v>
      </c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5" t="s">
        <v>1393</v>
      </c>
      <c r="AE119" s="33"/>
      <c r="AF119" s="59" t="str">
        <f t="shared" si="4"/>
        <v>Không</v>
      </c>
      <c r="AG119" s="59" t="str">
        <f t="shared" si="5"/>
        <v>Không</v>
      </c>
      <c r="AH119" s="29" t="str">
        <f t="shared" ca="1" si="3"/>
        <v>Có</v>
      </c>
      <c r="AI119" s="29" t="str">
        <f ca="1">IF((R119)&gt;=6,"Có","Không")</f>
        <v>Có</v>
      </c>
      <c r="AJ119" s="29" t="str">
        <f>IF(OR(J119&gt;=140,K119&gt;=90),"Có","Không")</f>
        <v>Không</v>
      </c>
      <c r="AK119" s="5" t="s">
        <v>51</v>
      </c>
      <c r="AL119" s="32">
        <v>46053</v>
      </c>
      <c r="AM119" s="29" t="str">
        <f>"Tháng "&amp;MONTH(AL119)</f>
        <v>Tháng 1</v>
      </c>
      <c r="AN119" s="69" t="s">
        <v>1376</v>
      </c>
    </row>
    <row r="120" spans="1:40" x14ac:dyDescent="0.25">
      <c r="A120" s="51" t="s">
        <v>1137</v>
      </c>
      <c r="B120" s="20" t="s">
        <v>23</v>
      </c>
      <c r="C120" s="35">
        <v>21551</v>
      </c>
      <c r="D120" s="29">
        <f ca="1">DATEDIF(C120,TODAY(),"Y")</f>
        <v>67</v>
      </c>
      <c r="E120" s="5" t="s">
        <v>25</v>
      </c>
      <c r="F120" s="30">
        <v>158</v>
      </c>
      <c r="G120" s="30">
        <v>58</v>
      </c>
      <c r="H120" s="31">
        <f>G120/((F120/100)*(F120/100))</f>
        <v>23.233456176894723</v>
      </c>
      <c r="I120" s="5">
        <v>69</v>
      </c>
      <c r="J120" s="30">
        <v>120</v>
      </c>
      <c r="K120" s="30">
        <v>70</v>
      </c>
      <c r="L120" s="29">
        <f>IF(B120="Nữ",0,2)</f>
        <v>0</v>
      </c>
      <c r="M120" s="29">
        <f ca="1">IF(D120&lt;45,0,IF(D120&lt;=49,1,2))</f>
        <v>2</v>
      </c>
      <c r="N120" s="29">
        <f>IF(E120="Có",4,0)</f>
        <v>4</v>
      </c>
      <c r="O120" s="29">
        <f>IF(H120&lt;23,0,IF(H120&lt;27.5,3,5))</f>
        <v>3</v>
      </c>
      <c r="P120" s="29">
        <f>IF(OR(AND(B120="Nam",I120&gt;=90),AND(B120="Nữ",I120&gt;=80)),2,0)</f>
        <v>0</v>
      </c>
      <c r="Q120" s="29">
        <f>IF(OR(J120&gt;=140,K120&gt;=90),2,0)</f>
        <v>0</v>
      </c>
      <c r="R120" s="29">
        <f ca="1">SUM(L120:Q120)</f>
        <v>9</v>
      </c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5" t="s">
        <v>1393</v>
      </c>
      <c r="AE120" s="33"/>
      <c r="AF120" s="59" t="str">
        <f t="shared" si="4"/>
        <v>Không</v>
      </c>
      <c r="AG120" s="59" t="str">
        <f t="shared" si="5"/>
        <v>Không</v>
      </c>
      <c r="AH120" s="29" t="str">
        <f t="shared" ca="1" si="3"/>
        <v>Có</v>
      </c>
      <c r="AI120" s="29" t="str">
        <f ca="1">IF((R120)&gt;=6,"Có","Không")</f>
        <v>Có</v>
      </c>
      <c r="AJ120" s="29" t="str">
        <f>IF(OR(J120&gt;=140,K120&gt;=90),"Có","Không")</f>
        <v>Không</v>
      </c>
      <c r="AK120" s="5" t="s">
        <v>51</v>
      </c>
      <c r="AL120" s="32">
        <v>46053</v>
      </c>
      <c r="AM120" s="29" t="str">
        <f>"Tháng "&amp;MONTH(AL120)</f>
        <v>Tháng 1</v>
      </c>
      <c r="AN120" s="69" t="s">
        <v>1376</v>
      </c>
    </row>
    <row r="121" spans="1:40" x14ac:dyDescent="0.25">
      <c r="A121" s="51" t="s">
        <v>899</v>
      </c>
      <c r="B121" s="20" t="s">
        <v>23</v>
      </c>
      <c r="C121" s="35">
        <v>26299</v>
      </c>
      <c r="D121" s="29">
        <f ca="1">DATEDIF(C121,TODAY(),"Y")</f>
        <v>54</v>
      </c>
      <c r="E121" s="5" t="s">
        <v>25</v>
      </c>
      <c r="F121" s="30">
        <v>158</v>
      </c>
      <c r="G121" s="30">
        <v>58</v>
      </c>
      <c r="H121" s="31">
        <f>G121/((F121/100)*(F121/100))</f>
        <v>23.233456176894723</v>
      </c>
      <c r="I121" s="5">
        <v>70</v>
      </c>
      <c r="J121" s="30">
        <v>120</v>
      </c>
      <c r="K121" s="30">
        <v>80</v>
      </c>
      <c r="L121" s="29">
        <f>IF(B121="Nữ",0,2)</f>
        <v>0</v>
      </c>
      <c r="M121" s="29">
        <f ca="1">IF(D121&lt;45,0,IF(D121&lt;=49,1,2))</f>
        <v>2</v>
      </c>
      <c r="N121" s="29">
        <f>IF(E121="Có",4,0)</f>
        <v>4</v>
      </c>
      <c r="O121" s="29">
        <f>IF(H121&lt;23,0,IF(H121&lt;27.5,3,5))</f>
        <v>3</v>
      </c>
      <c r="P121" s="29">
        <f>IF(OR(AND(B121="Nam",I121&gt;=90),AND(B121="Nữ",I121&gt;=80)),2,0)</f>
        <v>0</v>
      </c>
      <c r="Q121" s="29">
        <f>IF(OR(J121&gt;=140,K121&gt;=90),2,0)</f>
        <v>0</v>
      </c>
      <c r="R121" s="29">
        <f ca="1">SUM(L121:Q121)</f>
        <v>9</v>
      </c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5" t="s">
        <v>1393</v>
      </c>
      <c r="AE121" s="33"/>
      <c r="AF121" s="59" t="str">
        <f t="shared" si="4"/>
        <v>Không</v>
      </c>
      <c r="AG121" s="59" t="str">
        <f t="shared" si="5"/>
        <v>Không</v>
      </c>
      <c r="AH121" s="29" t="str">
        <f t="shared" ca="1" si="3"/>
        <v>Có</v>
      </c>
      <c r="AI121" s="29" t="str">
        <f ca="1">IF((R121)&gt;=6,"Có","Không")</f>
        <v>Có</v>
      </c>
      <c r="AJ121" s="29" t="str">
        <f>IF(OR(J121&gt;=140,K121&gt;=90),"Có","Không")</f>
        <v>Không</v>
      </c>
      <c r="AK121" s="5" t="s">
        <v>51</v>
      </c>
      <c r="AL121" s="32">
        <v>46053</v>
      </c>
      <c r="AM121" s="29" t="str">
        <f>"Tháng "&amp;MONTH(AL121)</f>
        <v>Tháng 1</v>
      </c>
      <c r="AN121" s="69" t="s">
        <v>1376</v>
      </c>
    </row>
    <row r="122" spans="1:40" x14ac:dyDescent="0.25">
      <c r="A122" s="51" t="s">
        <v>1140</v>
      </c>
      <c r="B122" s="20" t="s">
        <v>30</v>
      </c>
      <c r="C122" s="35">
        <v>20821</v>
      </c>
      <c r="D122" s="29">
        <f ca="1">DATEDIF(C122,TODAY(),"Y")</f>
        <v>69</v>
      </c>
      <c r="E122" s="5" t="s">
        <v>26</v>
      </c>
      <c r="F122" s="30">
        <v>170</v>
      </c>
      <c r="G122" s="30">
        <v>70</v>
      </c>
      <c r="H122" s="31">
        <f>G122/((F122/100)*(F122/100))</f>
        <v>24.221453287197235</v>
      </c>
      <c r="I122" s="5">
        <v>69</v>
      </c>
      <c r="J122" s="30">
        <v>120</v>
      </c>
      <c r="K122" s="30">
        <v>80</v>
      </c>
      <c r="L122" s="29">
        <f>IF(B122="Nữ",0,2)</f>
        <v>2</v>
      </c>
      <c r="M122" s="29">
        <f ca="1">IF(D122&lt;45,0,IF(D122&lt;=49,1,2))</f>
        <v>2</v>
      </c>
      <c r="N122" s="29">
        <f>IF(E122="Có",4,0)</f>
        <v>0</v>
      </c>
      <c r="O122" s="29">
        <f>IF(H122&lt;23,0,IF(H122&lt;27.5,3,5))</f>
        <v>3</v>
      </c>
      <c r="P122" s="29">
        <f>IF(OR(AND(B122="Nam",I122&gt;=90),AND(B122="Nữ",I122&gt;=80)),2,0)</f>
        <v>0</v>
      </c>
      <c r="Q122" s="29">
        <f>IF(OR(J122&gt;=140,K122&gt;=90),2,0)</f>
        <v>0</v>
      </c>
      <c r="R122" s="29">
        <f ca="1">SUM(L122:Q122)</f>
        <v>7</v>
      </c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5" t="s">
        <v>1393</v>
      </c>
      <c r="AE122" s="33"/>
      <c r="AF122" s="59" t="str">
        <f t="shared" si="4"/>
        <v>Không</v>
      </c>
      <c r="AG122" s="59" t="str">
        <f t="shared" si="5"/>
        <v>Không</v>
      </c>
      <c r="AH122" s="29" t="str">
        <f t="shared" ca="1" si="3"/>
        <v>Có</v>
      </c>
      <c r="AI122" s="29" t="str">
        <f ca="1">IF((R122)&gt;=6,"Có","Không")</f>
        <v>Có</v>
      </c>
      <c r="AJ122" s="29" t="str">
        <f>IF(OR(J122&gt;=140,K122&gt;=90),"Có","Không")</f>
        <v>Không</v>
      </c>
      <c r="AK122" s="5" t="s">
        <v>51</v>
      </c>
      <c r="AL122" s="32">
        <v>46053</v>
      </c>
      <c r="AM122" s="29" t="str">
        <f>"Tháng "&amp;MONTH(AL122)</f>
        <v>Tháng 1</v>
      </c>
      <c r="AN122" s="69" t="s">
        <v>1376</v>
      </c>
    </row>
    <row r="123" spans="1:40" x14ac:dyDescent="0.25">
      <c r="A123" s="51" t="s">
        <v>165</v>
      </c>
      <c r="B123" s="20" t="s">
        <v>23</v>
      </c>
      <c r="C123" s="35">
        <v>24108</v>
      </c>
      <c r="D123" s="29">
        <f ca="1">DATEDIF(C123,TODAY(),"Y")</f>
        <v>60</v>
      </c>
      <c r="E123" s="5" t="s">
        <v>26</v>
      </c>
      <c r="F123" s="30">
        <v>158</v>
      </c>
      <c r="G123" s="30">
        <v>58</v>
      </c>
      <c r="H123" s="31">
        <f>G123/((F123/100)*(F123/100))</f>
        <v>23.233456176894723</v>
      </c>
      <c r="I123" s="5">
        <v>93</v>
      </c>
      <c r="J123" s="30">
        <v>140</v>
      </c>
      <c r="K123" s="30">
        <v>80</v>
      </c>
      <c r="L123" s="29">
        <f>IF(B123="Nữ",0,2)</f>
        <v>0</v>
      </c>
      <c r="M123" s="29">
        <f ca="1">IF(D123&lt;45,0,IF(D123&lt;=49,1,2))</f>
        <v>2</v>
      </c>
      <c r="N123" s="29">
        <f>IF(E123="Có",4,0)</f>
        <v>0</v>
      </c>
      <c r="O123" s="29">
        <f>IF(H123&lt;23,0,IF(H123&lt;27.5,3,5))</f>
        <v>3</v>
      </c>
      <c r="P123" s="29">
        <f>IF(OR(AND(B123="Nam",I123&gt;=90),AND(B123="Nữ",I123&gt;=80)),2,0)</f>
        <v>2</v>
      </c>
      <c r="Q123" s="29">
        <f>IF(OR(J123&gt;=140,K123&gt;=90),2,0)</f>
        <v>2</v>
      </c>
      <c r="R123" s="29">
        <f ca="1">SUM(L123:Q123)</f>
        <v>9</v>
      </c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5" t="s">
        <v>1393</v>
      </c>
      <c r="AE123" s="33"/>
      <c r="AF123" s="59" t="str">
        <f t="shared" si="4"/>
        <v>Không</v>
      </c>
      <c r="AG123" s="59" t="str">
        <f t="shared" si="5"/>
        <v>Không</v>
      </c>
      <c r="AH123" s="29" t="str">
        <f t="shared" ca="1" si="3"/>
        <v>Có</v>
      </c>
      <c r="AI123" s="29" t="str">
        <f ca="1">IF((R123)&gt;=6,"Có","Không")</f>
        <v>Có</v>
      </c>
      <c r="AJ123" s="29" t="str">
        <f>IF(OR(J123&gt;=140,K123&gt;=90),"Có","Không")</f>
        <v>Có</v>
      </c>
      <c r="AK123" s="5" t="s">
        <v>51</v>
      </c>
      <c r="AL123" s="32">
        <v>46053</v>
      </c>
      <c r="AM123" s="29" t="str">
        <f>"Tháng "&amp;MONTH(AL123)</f>
        <v>Tháng 1</v>
      </c>
      <c r="AN123" s="69" t="s">
        <v>1376</v>
      </c>
    </row>
    <row r="124" spans="1:40" x14ac:dyDescent="0.25">
      <c r="A124" s="51" t="s">
        <v>806</v>
      </c>
      <c r="B124" s="20" t="s">
        <v>23</v>
      </c>
      <c r="C124" s="35">
        <v>24108</v>
      </c>
      <c r="D124" s="29">
        <f ca="1">DATEDIF(C124,TODAY(),"Y")</f>
        <v>60</v>
      </c>
      <c r="E124" s="5" t="s">
        <v>25</v>
      </c>
      <c r="F124" s="30">
        <v>158</v>
      </c>
      <c r="G124" s="30">
        <v>58</v>
      </c>
      <c r="H124" s="31">
        <f>G124/((F124/100)*(F124/100))</f>
        <v>23.233456176894723</v>
      </c>
      <c r="I124" s="5">
        <v>73</v>
      </c>
      <c r="J124" s="30">
        <v>130</v>
      </c>
      <c r="K124" s="30">
        <v>80</v>
      </c>
      <c r="L124" s="29">
        <f>IF(B124="Nữ",0,2)</f>
        <v>0</v>
      </c>
      <c r="M124" s="29">
        <f ca="1">IF(D124&lt;45,0,IF(D124&lt;=49,1,2))</f>
        <v>2</v>
      </c>
      <c r="N124" s="29">
        <f>IF(E124="Có",4,0)</f>
        <v>4</v>
      </c>
      <c r="O124" s="29">
        <f>IF(H124&lt;23,0,IF(H124&lt;27.5,3,5))</f>
        <v>3</v>
      </c>
      <c r="P124" s="29">
        <f>IF(OR(AND(B124="Nam",I124&gt;=90),AND(B124="Nữ",I124&gt;=80)),2,0)</f>
        <v>0</v>
      </c>
      <c r="Q124" s="29">
        <f>IF(OR(J124&gt;=140,K124&gt;=90),2,0)</f>
        <v>0</v>
      </c>
      <c r="R124" s="29">
        <f ca="1">SUM(L124:Q124)</f>
        <v>9</v>
      </c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5" t="s">
        <v>1393</v>
      </c>
      <c r="AE124" s="33"/>
      <c r="AF124" s="59" t="str">
        <f t="shared" si="4"/>
        <v>Không</v>
      </c>
      <c r="AG124" s="59" t="str">
        <f t="shared" si="5"/>
        <v>Không</v>
      </c>
      <c r="AH124" s="29" t="str">
        <f t="shared" ca="1" si="3"/>
        <v>Có</v>
      </c>
      <c r="AI124" s="29" t="str">
        <f ca="1">IF((R124)&gt;=6,"Có","Không")</f>
        <v>Có</v>
      </c>
      <c r="AJ124" s="29" t="str">
        <f>IF(OR(J124&gt;=140,K124&gt;=90),"Có","Không")</f>
        <v>Không</v>
      </c>
      <c r="AK124" s="5" t="s">
        <v>51</v>
      </c>
      <c r="AL124" s="32">
        <v>46053</v>
      </c>
      <c r="AM124" s="29" t="str">
        <f>"Tháng "&amp;MONTH(AL124)</f>
        <v>Tháng 1</v>
      </c>
      <c r="AN124" s="69" t="s">
        <v>1376</v>
      </c>
    </row>
    <row r="125" spans="1:40" x14ac:dyDescent="0.25">
      <c r="A125" s="51" t="s">
        <v>1145</v>
      </c>
      <c r="B125" s="20" t="s">
        <v>30</v>
      </c>
      <c r="C125" s="35">
        <v>21186</v>
      </c>
      <c r="D125" s="29">
        <f ca="1">DATEDIF(C125,TODAY(),"Y")</f>
        <v>68</v>
      </c>
      <c r="E125" s="5" t="s">
        <v>26</v>
      </c>
      <c r="F125" s="30">
        <v>169</v>
      </c>
      <c r="G125" s="30">
        <v>69</v>
      </c>
      <c r="H125" s="31">
        <f>G125/((F125/100)*(F125/100))</f>
        <v>24.158817968558527</v>
      </c>
      <c r="I125" s="5">
        <v>81</v>
      </c>
      <c r="J125" s="30">
        <v>160</v>
      </c>
      <c r="K125" s="30">
        <v>80</v>
      </c>
      <c r="L125" s="29">
        <f>IF(B125="Nữ",0,2)</f>
        <v>2</v>
      </c>
      <c r="M125" s="29">
        <f ca="1">IF(D125&lt;45,0,IF(D125&lt;=49,1,2))</f>
        <v>2</v>
      </c>
      <c r="N125" s="29">
        <f>IF(E125="Có",4,0)</f>
        <v>0</v>
      </c>
      <c r="O125" s="29">
        <f>IF(H125&lt;23,0,IF(H125&lt;27.5,3,5))</f>
        <v>3</v>
      </c>
      <c r="P125" s="29">
        <f>IF(OR(AND(B125="Nam",I125&gt;=90),AND(B125="Nữ",I125&gt;=80)),2,0)</f>
        <v>0</v>
      </c>
      <c r="Q125" s="29">
        <f>IF(OR(J125&gt;=140,K125&gt;=90),2,0)</f>
        <v>2</v>
      </c>
      <c r="R125" s="29">
        <f ca="1">SUM(L125:Q125)</f>
        <v>9</v>
      </c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5" t="s">
        <v>1393</v>
      </c>
      <c r="AE125" s="33"/>
      <c r="AF125" s="59" t="str">
        <f t="shared" si="4"/>
        <v>Không</v>
      </c>
      <c r="AG125" s="59" t="str">
        <f t="shared" si="5"/>
        <v>Không</v>
      </c>
      <c r="AH125" s="29" t="str">
        <f t="shared" ca="1" si="3"/>
        <v>Có</v>
      </c>
      <c r="AI125" s="29" t="str">
        <f ca="1">IF((R125)&gt;=6,"Có","Không")</f>
        <v>Có</v>
      </c>
      <c r="AJ125" s="29" t="str">
        <f>IF(OR(J125&gt;=140,K125&gt;=90),"Có","Không")</f>
        <v>Có</v>
      </c>
      <c r="AK125" s="5" t="s">
        <v>51</v>
      </c>
      <c r="AL125" s="32">
        <v>46053</v>
      </c>
      <c r="AM125" s="29" t="str">
        <f>"Tháng "&amp;MONTH(AL125)</f>
        <v>Tháng 1</v>
      </c>
      <c r="AN125" s="69" t="s">
        <v>1376</v>
      </c>
    </row>
    <row r="126" spans="1:40" x14ac:dyDescent="0.25">
      <c r="A126" s="51" t="s">
        <v>375</v>
      </c>
      <c r="B126" s="20" t="s">
        <v>30</v>
      </c>
      <c r="C126" s="35">
        <v>15342</v>
      </c>
      <c r="D126" s="29">
        <f ca="1">DATEDIF(C126,TODAY(),"Y")</f>
        <v>84</v>
      </c>
      <c r="E126" s="5" t="s">
        <v>26</v>
      </c>
      <c r="F126" s="30">
        <v>158</v>
      </c>
      <c r="G126" s="30">
        <v>58</v>
      </c>
      <c r="H126" s="31">
        <f>G126/((F126/100)*(F126/100))</f>
        <v>23.233456176894723</v>
      </c>
      <c r="I126" s="5">
        <v>76</v>
      </c>
      <c r="J126" s="30">
        <v>120</v>
      </c>
      <c r="K126" s="30">
        <v>80</v>
      </c>
      <c r="L126" s="29">
        <f>IF(B126="Nữ",0,2)</f>
        <v>2</v>
      </c>
      <c r="M126" s="29">
        <f ca="1">IF(D126&lt;45,0,IF(D126&lt;=49,1,2))</f>
        <v>2</v>
      </c>
      <c r="N126" s="29">
        <f>IF(E126="Có",4,0)</f>
        <v>0</v>
      </c>
      <c r="O126" s="29">
        <f>IF(H126&lt;23,0,IF(H126&lt;27.5,3,5))</f>
        <v>3</v>
      </c>
      <c r="P126" s="29">
        <f>IF(OR(AND(B126="Nam",I126&gt;=90),AND(B126="Nữ",I126&gt;=80)),2,0)</f>
        <v>0</v>
      </c>
      <c r="Q126" s="29">
        <f>IF(OR(J126&gt;=140,K126&gt;=90),2,0)</f>
        <v>0</v>
      </c>
      <c r="R126" s="29">
        <f ca="1">SUM(L126:Q126)</f>
        <v>7</v>
      </c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5" t="s">
        <v>1393</v>
      </c>
      <c r="AE126" s="33"/>
      <c r="AF126" s="59" t="str">
        <f t="shared" si="4"/>
        <v>Không</v>
      </c>
      <c r="AG126" s="59" t="str">
        <f t="shared" si="5"/>
        <v>Không</v>
      </c>
      <c r="AH126" s="29" t="str">
        <f t="shared" ca="1" si="3"/>
        <v>Có</v>
      </c>
      <c r="AI126" s="29" t="str">
        <f ca="1">IF((R126)&gt;=6,"Có","Không")</f>
        <v>Có</v>
      </c>
      <c r="AJ126" s="29" t="str">
        <f>IF(OR(J126&gt;=140,K126&gt;=90),"Có","Không")</f>
        <v>Không</v>
      </c>
      <c r="AK126" s="5" t="s">
        <v>51</v>
      </c>
      <c r="AL126" s="32">
        <v>46053</v>
      </c>
      <c r="AM126" s="29" t="str">
        <f>"Tháng "&amp;MONTH(AL126)</f>
        <v>Tháng 1</v>
      </c>
      <c r="AN126" s="69" t="s">
        <v>1376</v>
      </c>
    </row>
    <row r="127" spans="1:40" x14ac:dyDescent="0.25">
      <c r="A127" s="51" t="s">
        <v>1150</v>
      </c>
      <c r="B127" s="20" t="s">
        <v>23</v>
      </c>
      <c r="C127" s="35">
        <v>25569</v>
      </c>
      <c r="D127" s="29">
        <f ca="1">DATEDIF(C127,TODAY(),"Y")</f>
        <v>56</v>
      </c>
      <c r="E127" s="5" t="s">
        <v>26</v>
      </c>
      <c r="F127" s="30">
        <v>169</v>
      </c>
      <c r="G127" s="30">
        <v>68</v>
      </c>
      <c r="H127" s="31">
        <f>G127/((F127/100)*(F127/100))</f>
        <v>23.808690171912751</v>
      </c>
      <c r="I127" s="5">
        <v>71</v>
      </c>
      <c r="J127" s="30">
        <v>120</v>
      </c>
      <c r="K127" s="30">
        <v>80</v>
      </c>
      <c r="L127" s="29">
        <f>IF(B127="Nữ",0,2)</f>
        <v>0</v>
      </c>
      <c r="M127" s="29">
        <f ca="1">IF(D127&lt;45,0,IF(D127&lt;=49,1,2))</f>
        <v>2</v>
      </c>
      <c r="N127" s="29">
        <f>IF(E127="Có",4,0)</f>
        <v>0</v>
      </c>
      <c r="O127" s="29">
        <f>IF(H127&lt;23,0,IF(H127&lt;27.5,3,5))</f>
        <v>3</v>
      </c>
      <c r="P127" s="29">
        <f>IF(OR(AND(B127="Nam",I127&gt;=90),AND(B127="Nữ",I127&gt;=80)),2,0)</f>
        <v>0</v>
      </c>
      <c r="Q127" s="29">
        <f>IF(OR(J127&gt;=140,K127&gt;=90),2,0)</f>
        <v>0</v>
      </c>
      <c r="R127" s="29">
        <f ca="1">SUM(L127:Q127)</f>
        <v>5</v>
      </c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5" t="s">
        <v>1393</v>
      </c>
      <c r="AE127" s="33"/>
      <c r="AF127" s="59" t="str">
        <f t="shared" si="4"/>
        <v>Không</v>
      </c>
      <c r="AG127" s="59" t="str">
        <f t="shared" si="5"/>
        <v>Không</v>
      </c>
      <c r="AH127" s="29" t="str">
        <f t="shared" ca="1" si="3"/>
        <v>Không</v>
      </c>
      <c r="AI127" s="29" t="str">
        <f ca="1">IF((R127)&gt;=6,"Có","Không")</f>
        <v>Không</v>
      </c>
      <c r="AJ127" s="29" t="str">
        <f>IF(OR(J127&gt;=140,K127&gt;=90),"Có","Không")</f>
        <v>Không</v>
      </c>
      <c r="AK127" s="5" t="s">
        <v>51</v>
      </c>
      <c r="AL127" s="32">
        <v>46053</v>
      </c>
      <c r="AM127" s="29" t="str">
        <f>"Tháng "&amp;MONTH(AL127)</f>
        <v>Tháng 1</v>
      </c>
      <c r="AN127" s="69" t="s">
        <v>1376</v>
      </c>
    </row>
    <row r="128" spans="1:40" x14ac:dyDescent="0.25">
      <c r="A128" s="51" t="s">
        <v>1154</v>
      </c>
      <c r="B128" s="20" t="s">
        <v>23</v>
      </c>
      <c r="C128" s="35">
        <v>25204</v>
      </c>
      <c r="D128" s="29">
        <f ca="1">DATEDIF(C128,TODAY(),"Y")</f>
        <v>57</v>
      </c>
      <c r="E128" s="5" t="s">
        <v>26</v>
      </c>
      <c r="F128" s="30">
        <v>158</v>
      </c>
      <c r="G128" s="30">
        <v>58</v>
      </c>
      <c r="H128" s="31">
        <f>G128/((F128/100)*(F128/100))</f>
        <v>23.233456176894723</v>
      </c>
      <c r="I128" s="5">
        <v>76</v>
      </c>
      <c r="J128" s="30">
        <v>140</v>
      </c>
      <c r="K128" s="30">
        <v>80</v>
      </c>
      <c r="L128" s="29">
        <f>IF(B128="Nữ",0,2)</f>
        <v>0</v>
      </c>
      <c r="M128" s="29">
        <f ca="1">IF(D128&lt;45,0,IF(D128&lt;=49,1,2))</f>
        <v>2</v>
      </c>
      <c r="N128" s="29">
        <f>IF(E128="Có",4,0)</f>
        <v>0</v>
      </c>
      <c r="O128" s="29">
        <f>IF(H128&lt;23,0,IF(H128&lt;27.5,3,5))</f>
        <v>3</v>
      </c>
      <c r="P128" s="29">
        <f>IF(OR(AND(B128="Nam",I128&gt;=90),AND(B128="Nữ",I128&gt;=80)),2,0)</f>
        <v>0</v>
      </c>
      <c r="Q128" s="29">
        <f>IF(OR(J128&gt;=140,K128&gt;=90),2,0)</f>
        <v>2</v>
      </c>
      <c r="R128" s="29">
        <f ca="1">SUM(L128:Q128)</f>
        <v>7</v>
      </c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5" t="s">
        <v>1393</v>
      </c>
      <c r="AE128" s="33"/>
      <c r="AF128" s="59" t="str">
        <f t="shared" si="4"/>
        <v>Không</v>
      </c>
      <c r="AG128" s="59" t="str">
        <f t="shared" si="5"/>
        <v>Không</v>
      </c>
      <c r="AH128" s="29" t="str">
        <f t="shared" ca="1" si="3"/>
        <v>Có</v>
      </c>
      <c r="AI128" s="29" t="str">
        <f ca="1">IF((R128)&gt;=6,"Có","Không")</f>
        <v>Có</v>
      </c>
      <c r="AJ128" s="29" t="str">
        <f>IF(OR(J128&gt;=140,K128&gt;=90),"Có","Không")</f>
        <v>Có</v>
      </c>
      <c r="AK128" s="5" t="s">
        <v>51</v>
      </c>
      <c r="AL128" s="32">
        <v>46053</v>
      </c>
      <c r="AM128" s="29" t="str">
        <f>"Tháng "&amp;MONTH(AL128)</f>
        <v>Tháng 1</v>
      </c>
      <c r="AN128" s="69" t="s">
        <v>1376</v>
      </c>
    </row>
    <row r="129" spans="1:40" x14ac:dyDescent="0.25">
      <c r="A129" s="51" t="s">
        <v>1161</v>
      </c>
      <c r="B129" s="20" t="s">
        <v>30</v>
      </c>
      <c r="C129" s="35">
        <v>21551</v>
      </c>
      <c r="D129" s="29">
        <f ca="1">DATEDIF(C129,TODAY(),"Y")</f>
        <v>67</v>
      </c>
      <c r="E129" s="5" t="s">
        <v>26</v>
      </c>
      <c r="F129" s="30">
        <v>158</v>
      </c>
      <c r="G129" s="30">
        <v>58</v>
      </c>
      <c r="H129" s="31">
        <f>G129/((F129/100)*(F129/100))</f>
        <v>23.233456176894723</v>
      </c>
      <c r="I129" s="5">
        <v>75</v>
      </c>
      <c r="J129" s="30">
        <v>120</v>
      </c>
      <c r="K129" s="30">
        <v>80</v>
      </c>
      <c r="L129" s="29">
        <f>IF(B129="Nữ",0,2)</f>
        <v>2</v>
      </c>
      <c r="M129" s="29">
        <f ca="1">IF(D129&lt;45,0,IF(D129&lt;=49,1,2))</f>
        <v>2</v>
      </c>
      <c r="N129" s="29">
        <f>IF(E129="Có",4,0)</f>
        <v>0</v>
      </c>
      <c r="O129" s="29">
        <f>IF(H129&lt;23,0,IF(H129&lt;27.5,3,5))</f>
        <v>3</v>
      </c>
      <c r="P129" s="29">
        <f>IF(OR(AND(B129="Nam",I129&gt;=90),AND(B129="Nữ",I129&gt;=80)),2,0)</f>
        <v>0</v>
      </c>
      <c r="Q129" s="29">
        <f>IF(OR(J129&gt;=140,K129&gt;=90),2,0)</f>
        <v>0</v>
      </c>
      <c r="R129" s="29">
        <f ca="1">SUM(L129:Q129)</f>
        <v>7</v>
      </c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5" t="s">
        <v>1393</v>
      </c>
      <c r="AE129" s="33"/>
      <c r="AF129" s="59" t="str">
        <f t="shared" si="4"/>
        <v>Không</v>
      </c>
      <c r="AG129" s="59" t="str">
        <f t="shared" si="5"/>
        <v>Không</v>
      </c>
      <c r="AH129" s="29" t="str">
        <f t="shared" ca="1" si="3"/>
        <v>Có</v>
      </c>
      <c r="AI129" s="29" t="str">
        <f ca="1">IF((R129)&gt;=6,"Có","Không")</f>
        <v>Có</v>
      </c>
      <c r="AJ129" s="29" t="str">
        <f>IF(OR(J129&gt;=140,K129&gt;=90),"Có","Không")</f>
        <v>Không</v>
      </c>
      <c r="AK129" s="5" t="s">
        <v>51</v>
      </c>
      <c r="AL129" s="32">
        <v>46053</v>
      </c>
      <c r="AM129" s="29" t="str">
        <f>"Tháng "&amp;MONTH(AL129)</f>
        <v>Tháng 1</v>
      </c>
      <c r="AN129" s="69" t="s">
        <v>1376</v>
      </c>
    </row>
    <row r="130" spans="1:40" x14ac:dyDescent="0.25">
      <c r="A130" s="51" t="s">
        <v>1163</v>
      </c>
      <c r="B130" s="20" t="s">
        <v>30</v>
      </c>
      <c r="C130" s="35">
        <v>25934</v>
      </c>
      <c r="D130" s="29">
        <f ca="1">DATEDIF(C130,TODAY(),"Y")</f>
        <v>55</v>
      </c>
      <c r="E130" s="5" t="s">
        <v>25</v>
      </c>
      <c r="F130" s="30">
        <v>160</v>
      </c>
      <c r="G130" s="30">
        <v>63</v>
      </c>
      <c r="H130" s="31">
        <f>G130/((F130/100)*(F130/100))</f>
        <v>24.609374999999996</v>
      </c>
      <c r="I130" s="5">
        <v>68</v>
      </c>
      <c r="J130" s="30">
        <v>140</v>
      </c>
      <c r="K130" s="30">
        <v>80</v>
      </c>
      <c r="L130" s="29">
        <f>IF(B130="Nữ",0,2)</f>
        <v>2</v>
      </c>
      <c r="M130" s="29">
        <f ca="1">IF(D130&lt;45,0,IF(D130&lt;=49,1,2))</f>
        <v>2</v>
      </c>
      <c r="N130" s="29">
        <f>IF(E130="Có",4,0)</f>
        <v>4</v>
      </c>
      <c r="O130" s="29">
        <f>IF(H130&lt;23,0,IF(H130&lt;27.5,3,5))</f>
        <v>3</v>
      </c>
      <c r="P130" s="29">
        <f>IF(OR(AND(B130="Nam",I130&gt;=90),AND(B130="Nữ",I130&gt;=80)),2,0)</f>
        <v>0</v>
      </c>
      <c r="Q130" s="29">
        <f>IF(OR(J130&gt;=140,K130&gt;=90),2,0)</f>
        <v>2</v>
      </c>
      <c r="R130" s="29">
        <f ca="1">SUM(L130:Q130)</f>
        <v>13</v>
      </c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5" t="s">
        <v>1393</v>
      </c>
      <c r="AE130" s="33"/>
      <c r="AF130" s="59" t="str">
        <f t="shared" si="4"/>
        <v>Không</v>
      </c>
      <c r="AG130" s="59" t="str">
        <f t="shared" si="5"/>
        <v>Không</v>
      </c>
      <c r="AH130" s="29" t="str">
        <f t="shared" ca="1" si="3"/>
        <v>Có</v>
      </c>
      <c r="AI130" s="29" t="str">
        <f ca="1">IF((R130)&gt;=6,"Có","Không")</f>
        <v>Có</v>
      </c>
      <c r="AJ130" s="29" t="str">
        <f>IF(OR(J130&gt;=140,K130&gt;=90),"Có","Không")</f>
        <v>Có</v>
      </c>
      <c r="AK130" s="5" t="s">
        <v>51</v>
      </c>
      <c r="AL130" s="32">
        <v>46053</v>
      </c>
      <c r="AM130" s="29" t="str">
        <f>"Tháng "&amp;MONTH(AL130)</f>
        <v>Tháng 1</v>
      </c>
      <c r="AN130" s="69" t="s">
        <v>1376</v>
      </c>
    </row>
    <row r="131" spans="1:40" x14ac:dyDescent="0.25">
      <c r="A131" s="51" t="s">
        <v>1164</v>
      </c>
      <c r="B131" s="20" t="s">
        <v>30</v>
      </c>
      <c r="C131" s="35">
        <v>26299</v>
      </c>
      <c r="D131" s="29">
        <f ca="1">DATEDIF(C131,TODAY(),"Y")</f>
        <v>54</v>
      </c>
      <c r="E131" s="5" t="s">
        <v>26</v>
      </c>
      <c r="F131" s="30">
        <v>169</v>
      </c>
      <c r="G131" s="30">
        <v>68</v>
      </c>
      <c r="H131" s="31">
        <f>G131/((F131/100)*(F131/100))</f>
        <v>23.808690171912751</v>
      </c>
      <c r="I131" s="5">
        <v>89</v>
      </c>
      <c r="J131" s="30">
        <v>130</v>
      </c>
      <c r="K131" s="30">
        <v>80</v>
      </c>
      <c r="L131" s="29">
        <f>IF(B131="Nữ",0,2)</f>
        <v>2</v>
      </c>
      <c r="M131" s="29">
        <f ca="1">IF(D131&lt;45,0,IF(D131&lt;=49,1,2))</f>
        <v>2</v>
      </c>
      <c r="N131" s="29">
        <f>IF(E131="Có",4,0)</f>
        <v>0</v>
      </c>
      <c r="O131" s="29">
        <f>IF(H131&lt;23,0,IF(H131&lt;27.5,3,5))</f>
        <v>3</v>
      </c>
      <c r="P131" s="29">
        <f>IF(OR(AND(B131="Nam",I131&gt;=90),AND(B131="Nữ",I131&gt;=80)),2,0)</f>
        <v>0</v>
      </c>
      <c r="Q131" s="29">
        <f>IF(OR(J131&gt;=140,K131&gt;=90),2,0)</f>
        <v>0</v>
      </c>
      <c r="R131" s="29">
        <f ca="1">SUM(L131:Q131)</f>
        <v>7</v>
      </c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5" t="s">
        <v>1393</v>
      </c>
      <c r="AE131" s="33"/>
      <c r="AF131" s="59" t="str">
        <f t="shared" si="4"/>
        <v>Không</v>
      </c>
      <c r="AG131" s="59" t="str">
        <f t="shared" si="5"/>
        <v>Không</v>
      </c>
      <c r="AH131" s="29" t="str">
        <f t="shared" ca="1" si="3"/>
        <v>Có</v>
      </c>
      <c r="AI131" s="29" t="str">
        <f ca="1">IF((R131)&gt;=6,"Có","Không")</f>
        <v>Có</v>
      </c>
      <c r="AJ131" s="29" t="str">
        <f>IF(OR(J131&gt;=140,K131&gt;=90),"Có","Không")</f>
        <v>Không</v>
      </c>
      <c r="AK131" s="5" t="s">
        <v>51</v>
      </c>
      <c r="AL131" s="32">
        <v>46053</v>
      </c>
      <c r="AM131" s="29" t="str">
        <f>"Tháng "&amp;MONTH(AL131)</f>
        <v>Tháng 1</v>
      </c>
      <c r="AN131" s="69" t="s">
        <v>1376</v>
      </c>
    </row>
    <row r="132" spans="1:40" x14ac:dyDescent="0.25">
      <c r="A132" s="51" t="s">
        <v>1167</v>
      </c>
      <c r="B132" s="20" t="s">
        <v>23</v>
      </c>
      <c r="C132" s="35">
        <v>24473</v>
      </c>
      <c r="D132" s="29">
        <f ca="1">DATEDIF(C132,TODAY(),"Y")</f>
        <v>59</v>
      </c>
      <c r="E132" s="5" t="s">
        <v>26</v>
      </c>
      <c r="F132" s="30">
        <v>160</v>
      </c>
      <c r="G132" s="30">
        <v>60</v>
      </c>
      <c r="H132" s="31">
        <f>G132/((F132/100)*(F132/100))</f>
        <v>23.437499999999996</v>
      </c>
      <c r="I132" s="5">
        <v>81</v>
      </c>
      <c r="J132" s="30">
        <v>130</v>
      </c>
      <c r="K132" s="30">
        <v>80</v>
      </c>
      <c r="L132" s="29">
        <f>IF(B132="Nữ",0,2)</f>
        <v>0</v>
      </c>
      <c r="M132" s="29">
        <f ca="1">IF(D132&lt;45,0,IF(D132&lt;=49,1,2))</f>
        <v>2</v>
      </c>
      <c r="N132" s="29">
        <f>IF(E132="Có",4,0)</f>
        <v>0</v>
      </c>
      <c r="O132" s="29">
        <f>IF(H132&lt;23,0,IF(H132&lt;27.5,3,5))</f>
        <v>3</v>
      </c>
      <c r="P132" s="29">
        <f>IF(OR(AND(B132="Nam",I132&gt;=90),AND(B132="Nữ",I132&gt;=80)),2,0)</f>
        <v>2</v>
      </c>
      <c r="Q132" s="29">
        <f>IF(OR(J132&gt;=140,K132&gt;=90),2,0)</f>
        <v>0</v>
      </c>
      <c r="R132" s="29">
        <f ca="1">SUM(L132:Q132)</f>
        <v>7</v>
      </c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5" t="s">
        <v>1393</v>
      </c>
      <c r="AE132" s="33"/>
      <c r="AF132" s="59" t="str">
        <f t="shared" si="4"/>
        <v>Không</v>
      </c>
      <c r="AG132" s="59" t="str">
        <f t="shared" si="5"/>
        <v>Không</v>
      </c>
      <c r="AH132" s="29" t="str">
        <f t="shared" ref="AH132:AH195" ca="1" si="6">IF((R132)&gt;=6,"Có","Không")</f>
        <v>Có</v>
      </c>
      <c r="AI132" s="29" t="str">
        <f ca="1">IF((R132)&gt;=6,"Có","Không")</f>
        <v>Có</v>
      </c>
      <c r="AJ132" s="29" t="str">
        <f>IF(OR(J132&gt;=140,K132&gt;=90),"Có","Không")</f>
        <v>Không</v>
      </c>
      <c r="AK132" s="5" t="s">
        <v>51</v>
      </c>
      <c r="AL132" s="32">
        <v>46053</v>
      </c>
      <c r="AM132" s="29" t="str">
        <f>"Tháng "&amp;MONTH(AL132)</f>
        <v>Tháng 1</v>
      </c>
      <c r="AN132" s="69" t="s">
        <v>1376</v>
      </c>
    </row>
    <row r="133" spans="1:40" x14ac:dyDescent="0.25">
      <c r="A133" s="51" t="s">
        <v>1168</v>
      </c>
      <c r="B133" s="20" t="s">
        <v>23</v>
      </c>
      <c r="C133" s="35">
        <v>23012</v>
      </c>
      <c r="D133" s="29">
        <f ca="1">DATEDIF(C133,TODAY(),"Y")</f>
        <v>63</v>
      </c>
      <c r="E133" s="5" t="s">
        <v>25</v>
      </c>
      <c r="F133" s="30">
        <v>158</v>
      </c>
      <c r="G133" s="30">
        <v>58</v>
      </c>
      <c r="H133" s="31">
        <f>G133/((F133/100)*(F133/100))</f>
        <v>23.233456176894723</v>
      </c>
      <c r="I133" s="5">
        <v>66</v>
      </c>
      <c r="J133" s="30">
        <v>120</v>
      </c>
      <c r="K133" s="30">
        <v>80</v>
      </c>
      <c r="L133" s="29">
        <f>IF(B133="Nữ",0,2)</f>
        <v>0</v>
      </c>
      <c r="M133" s="29">
        <f ca="1">IF(D133&lt;45,0,IF(D133&lt;=49,1,2))</f>
        <v>2</v>
      </c>
      <c r="N133" s="29">
        <f>IF(E133="Có",4,0)</f>
        <v>4</v>
      </c>
      <c r="O133" s="29">
        <f>IF(H133&lt;23,0,IF(H133&lt;27.5,3,5))</f>
        <v>3</v>
      </c>
      <c r="P133" s="29">
        <f>IF(OR(AND(B133="Nam",I133&gt;=90),AND(B133="Nữ",I133&gt;=80)),2,0)</f>
        <v>0</v>
      </c>
      <c r="Q133" s="29">
        <f>IF(OR(J133&gt;=140,K133&gt;=90),2,0)</f>
        <v>0</v>
      </c>
      <c r="R133" s="29">
        <f ca="1">SUM(L133:Q133)</f>
        <v>9</v>
      </c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5" t="s">
        <v>1393</v>
      </c>
      <c r="AE133" s="33"/>
      <c r="AF133" s="59" t="str">
        <f t="shared" ref="AF133:AF196" si="7">IF(COUNTIF(S133:Z133,"X")&gt;=2,"Có","Không")</f>
        <v>Không</v>
      </c>
      <c r="AG133" s="59" t="str">
        <f t="shared" ref="AG133:AG196" si="8">IF(COUNTIF(AA133:AE133,"X")&gt;=3,"Có","Không")</f>
        <v>Không</v>
      </c>
      <c r="AH133" s="29" t="str">
        <f t="shared" ca="1" si="6"/>
        <v>Có</v>
      </c>
      <c r="AI133" s="29" t="str">
        <f ca="1">IF((R133)&gt;=6,"Có","Không")</f>
        <v>Có</v>
      </c>
      <c r="AJ133" s="29" t="str">
        <f>IF(OR(J133&gt;=140,K133&gt;=90),"Có","Không")</f>
        <v>Không</v>
      </c>
      <c r="AK133" s="5" t="s">
        <v>51</v>
      </c>
      <c r="AL133" s="32">
        <v>46053</v>
      </c>
      <c r="AM133" s="29" t="str">
        <f>"Tháng "&amp;MONTH(AL133)</f>
        <v>Tháng 1</v>
      </c>
      <c r="AN133" s="69" t="s">
        <v>1376</v>
      </c>
    </row>
    <row r="134" spans="1:40" x14ac:dyDescent="0.25">
      <c r="A134" s="52" t="s">
        <v>1174</v>
      </c>
      <c r="B134" s="20" t="s">
        <v>23</v>
      </c>
      <c r="C134" s="35">
        <v>17533</v>
      </c>
      <c r="D134" s="29">
        <f ca="1">DATEDIF(C134,TODAY(),"Y")</f>
        <v>78</v>
      </c>
      <c r="E134" s="5" t="s">
        <v>26</v>
      </c>
      <c r="F134" s="30">
        <v>158</v>
      </c>
      <c r="G134" s="30">
        <v>58</v>
      </c>
      <c r="H134" s="31">
        <f>G134/((F134/100)*(F134/100))</f>
        <v>23.233456176894723</v>
      </c>
      <c r="I134" s="5">
        <v>88</v>
      </c>
      <c r="J134" s="30">
        <v>130</v>
      </c>
      <c r="K134" s="30">
        <v>80</v>
      </c>
      <c r="L134" s="29">
        <f>IF(B134="Nữ",0,2)</f>
        <v>0</v>
      </c>
      <c r="M134" s="29">
        <f ca="1">IF(D134&lt;45,0,IF(D134&lt;=49,1,2))</f>
        <v>2</v>
      </c>
      <c r="N134" s="29">
        <f>IF(E134="Có",4,0)</f>
        <v>0</v>
      </c>
      <c r="O134" s="29">
        <f>IF(H134&lt;23,0,IF(H134&lt;27.5,3,5))</f>
        <v>3</v>
      </c>
      <c r="P134" s="29">
        <f>IF(OR(AND(B134="Nam",I134&gt;=90),AND(B134="Nữ",I134&gt;=80)),2,0)</f>
        <v>2</v>
      </c>
      <c r="Q134" s="29">
        <f>IF(OR(J134&gt;=140,K134&gt;=90),2,0)</f>
        <v>0</v>
      </c>
      <c r="R134" s="29">
        <f ca="1">SUM(L134:Q134)</f>
        <v>7</v>
      </c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5" t="s">
        <v>1393</v>
      </c>
      <c r="AE134" s="33"/>
      <c r="AF134" s="59" t="str">
        <f t="shared" si="7"/>
        <v>Không</v>
      </c>
      <c r="AG134" s="59" t="str">
        <f t="shared" si="8"/>
        <v>Không</v>
      </c>
      <c r="AH134" s="29" t="str">
        <f t="shared" ca="1" si="6"/>
        <v>Có</v>
      </c>
      <c r="AI134" s="29" t="str">
        <f ca="1">IF((R134)&gt;=6,"Có","Không")</f>
        <v>Có</v>
      </c>
      <c r="AJ134" s="29" t="str">
        <f>IF(OR(J134&gt;=140,K134&gt;=90),"Có","Không")</f>
        <v>Không</v>
      </c>
      <c r="AK134" s="5" t="s">
        <v>51</v>
      </c>
      <c r="AL134" s="32">
        <v>46053</v>
      </c>
      <c r="AM134" s="29" t="str">
        <f>"Tháng "&amp;MONTH(AL134)</f>
        <v>Tháng 1</v>
      </c>
      <c r="AN134" s="69" t="s">
        <v>1376</v>
      </c>
    </row>
    <row r="135" spans="1:40" x14ac:dyDescent="0.25">
      <c r="A135" s="52" t="s">
        <v>1180</v>
      </c>
      <c r="B135" s="20" t="s">
        <v>23</v>
      </c>
      <c r="C135" s="35">
        <v>23377</v>
      </c>
      <c r="D135" s="29">
        <f ca="1">DATEDIF(C135,TODAY(),"Y")</f>
        <v>62</v>
      </c>
      <c r="E135" s="5" t="s">
        <v>26</v>
      </c>
      <c r="F135" s="30">
        <v>158</v>
      </c>
      <c r="G135" s="30">
        <v>55</v>
      </c>
      <c r="H135" s="31">
        <f>G135/((F135/100)*(F135/100))</f>
        <v>22.031725684986377</v>
      </c>
      <c r="I135" s="5">
        <v>88</v>
      </c>
      <c r="J135" s="30">
        <v>130</v>
      </c>
      <c r="K135" s="30">
        <v>80</v>
      </c>
      <c r="L135" s="29">
        <f>IF(B135="Nữ",0,2)</f>
        <v>0</v>
      </c>
      <c r="M135" s="29">
        <f ca="1">IF(D135&lt;45,0,IF(D135&lt;=49,1,2))</f>
        <v>2</v>
      </c>
      <c r="N135" s="29">
        <f>IF(E135="Có",4,0)</f>
        <v>0</v>
      </c>
      <c r="O135" s="29">
        <f>IF(H135&lt;23,0,IF(H135&lt;27.5,3,5))</f>
        <v>0</v>
      </c>
      <c r="P135" s="29">
        <f>IF(OR(AND(B135="Nam",I135&gt;=90),AND(B135="Nữ",I135&gt;=80)),2,0)</f>
        <v>2</v>
      </c>
      <c r="Q135" s="29">
        <f>IF(OR(J135&gt;=140,K135&gt;=90),2,0)</f>
        <v>0</v>
      </c>
      <c r="R135" s="29">
        <f ca="1">SUM(L135:Q135)</f>
        <v>4</v>
      </c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5" t="s">
        <v>1393</v>
      </c>
      <c r="AE135" s="33"/>
      <c r="AF135" s="59" t="str">
        <f t="shared" si="7"/>
        <v>Không</v>
      </c>
      <c r="AG135" s="59" t="str">
        <f t="shared" si="8"/>
        <v>Không</v>
      </c>
      <c r="AH135" s="29" t="str">
        <f t="shared" ca="1" si="6"/>
        <v>Không</v>
      </c>
      <c r="AI135" s="29" t="str">
        <f ca="1">IF((R135)&gt;=6,"Có","Không")</f>
        <v>Không</v>
      </c>
      <c r="AJ135" s="29" t="str">
        <f>IF(OR(J135&gt;=140,K135&gt;=90),"Có","Không")</f>
        <v>Không</v>
      </c>
      <c r="AK135" s="5" t="s">
        <v>51</v>
      </c>
      <c r="AL135" s="32">
        <v>46053</v>
      </c>
      <c r="AM135" s="29" t="str">
        <f>"Tháng "&amp;MONTH(AL135)</f>
        <v>Tháng 1</v>
      </c>
      <c r="AN135" s="69" t="s">
        <v>1376</v>
      </c>
    </row>
    <row r="136" spans="1:40" x14ac:dyDescent="0.25">
      <c r="A136" s="52" t="s">
        <v>1183</v>
      </c>
      <c r="B136" s="20" t="s">
        <v>23</v>
      </c>
      <c r="C136" s="35">
        <v>13881</v>
      </c>
      <c r="D136" s="29">
        <f ca="1">DATEDIF(C136,TODAY(),"Y")</f>
        <v>88</v>
      </c>
      <c r="E136" s="5" t="s">
        <v>26</v>
      </c>
      <c r="F136" s="30">
        <v>167</v>
      </c>
      <c r="G136" s="30">
        <v>75</v>
      </c>
      <c r="H136" s="31">
        <f>G136/((F136/100)*(F136/100))</f>
        <v>26.892323138154829</v>
      </c>
      <c r="I136" s="5">
        <v>82</v>
      </c>
      <c r="J136" s="30">
        <v>120</v>
      </c>
      <c r="K136" s="30">
        <v>80</v>
      </c>
      <c r="L136" s="29">
        <f>IF(B136="Nữ",0,2)</f>
        <v>0</v>
      </c>
      <c r="M136" s="29">
        <f ca="1">IF(D136&lt;45,0,IF(D136&lt;=49,1,2))</f>
        <v>2</v>
      </c>
      <c r="N136" s="29">
        <f>IF(E136="Có",4,0)</f>
        <v>0</v>
      </c>
      <c r="O136" s="29">
        <f>IF(H136&lt;23,0,IF(H136&lt;27.5,3,5))</f>
        <v>3</v>
      </c>
      <c r="P136" s="29">
        <f>IF(OR(AND(B136="Nam",I136&gt;=90),AND(B136="Nữ",I136&gt;=80)),2,0)</f>
        <v>2</v>
      </c>
      <c r="Q136" s="29">
        <f>IF(OR(J136&gt;=140,K136&gt;=90),2,0)</f>
        <v>0</v>
      </c>
      <c r="R136" s="29">
        <f ca="1">SUM(L136:Q136)</f>
        <v>7</v>
      </c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5" t="s">
        <v>1393</v>
      </c>
      <c r="AE136" s="33"/>
      <c r="AF136" s="59" t="str">
        <f t="shared" si="7"/>
        <v>Không</v>
      </c>
      <c r="AG136" s="59" t="str">
        <f t="shared" si="8"/>
        <v>Không</v>
      </c>
      <c r="AH136" s="29" t="str">
        <f t="shared" ca="1" si="6"/>
        <v>Có</v>
      </c>
      <c r="AI136" s="29" t="str">
        <f ca="1">IF((R136)&gt;=6,"Có","Không")</f>
        <v>Có</v>
      </c>
      <c r="AJ136" s="29" t="str">
        <f>IF(OR(J136&gt;=140,K136&gt;=90),"Có","Không")</f>
        <v>Không</v>
      </c>
      <c r="AK136" s="5" t="s">
        <v>51</v>
      </c>
      <c r="AL136" s="32">
        <v>46053</v>
      </c>
      <c r="AM136" s="29" t="str">
        <f>"Tháng "&amp;MONTH(AL136)</f>
        <v>Tháng 1</v>
      </c>
      <c r="AN136" s="69" t="s">
        <v>1376</v>
      </c>
    </row>
    <row r="137" spans="1:40" x14ac:dyDescent="0.25">
      <c r="A137" s="52" t="s">
        <v>1188</v>
      </c>
      <c r="B137" s="21" t="s">
        <v>23</v>
      </c>
      <c r="C137" s="35">
        <v>21186</v>
      </c>
      <c r="D137" s="29">
        <f ca="1">DATEDIF(C137,TODAY(),"Y")</f>
        <v>68</v>
      </c>
      <c r="E137" s="5" t="s">
        <v>26</v>
      </c>
      <c r="F137" s="30">
        <v>158</v>
      </c>
      <c r="G137" s="30">
        <v>58</v>
      </c>
      <c r="H137" s="31">
        <f>G137/((F137/100)*(F137/100))</f>
        <v>23.233456176894723</v>
      </c>
      <c r="I137" s="5">
        <v>96</v>
      </c>
      <c r="J137" s="30">
        <v>120</v>
      </c>
      <c r="K137" s="30">
        <v>80</v>
      </c>
      <c r="L137" s="29">
        <f>IF(B137="Nữ",0,2)</f>
        <v>0</v>
      </c>
      <c r="M137" s="29">
        <f ca="1">IF(D137&lt;45,0,IF(D137&lt;=49,1,2))</f>
        <v>2</v>
      </c>
      <c r="N137" s="29">
        <f>IF(E137="Có",4,0)</f>
        <v>0</v>
      </c>
      <c r="O137" s="29">
        <f>IF(H137&lt;23,0,IF(H137&lt;27.5,3,5))</f>
        <v>3</v>
      </c>
      <c r="P137" s="29">
        <f>IF(OR(AND(B137="Nam",I137&gt;=90),AND(B137="Nữ",I137&gt;=80)),2,0)</f>
        <v>2</v>
      </c>
      <c r="Q137" s="29">
        <f>IF(OR(J137&gt;=140,K137&gt;=90),2,0)</f>
        <v>0</v>
      </c>
      <c r="R137" s="29">
        <f ca="1">SUM(L137:Q137)</f>
        <v>7</v>
      </c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5" t="s">
        <v>1393</v>
      </c>
      <c r="AE137" s="33"/>
      <c r="AF137" s="59" t="str">
        <f t="shared" si="7"/>
        <v>Không</v>
      </c>
      <c r="AG137" s="59" t="str">
        <f t="shared" si="8"/>
        <v>Không</v>
      </c>
      <c r="AH137" s="29" t="str">
        <f t="shared" ca="1" si="6"/>
        <v>Có</v>
      </c>
      <c r="AI137" s="29" t="str">
        <f ca="1">IF((R137)&gt;=6,"Có","Không")</f>
        <v>Có</v>
      </c>
      <c r="AJ137" s="29" t="str">
        <f>IF(OR(J137&gt;=140,K137&gt;=90),"Có","Không")</f>
        <v>Không</v>
      </c>
      <c r="AK137" s="5" t="s">
        <v>51</v>
      </c>
      <c r="AL137" s="32">
        <v>46053</v>
      </c>
      <c r="AM137" s="29" t="str">
        <f>"Tháng "&amp;MONTH(AL137)</f>
        <v>Tháng 1</v>
      </c>
      <c r="AN137" s="69" t="s">
        <v>1376</v>
      </c>
    </row>
    <row r="138" spans="1:40" x14ac:dyDescent="0.25">
      <c r="A138" s="52" t="s">
        <v>1215</v>
      </c>
      <c r="B138" s="21" t="s">
        <v>23</v>
      </c>
      <c r="C138" s="35">
        <v>20821</v>
      </c>
      <c r="D138" s="29">
        <f ca="1">DATEDIF(C138,TODAY(),"Y")</f>
        <v>69</v>
      </c>
      <c r="E138" s="5" t="s">
        <v>25</v>
      </c>
      <c r="F138" s="30">
        <v>169</v>
      </c>
      <c r="G138" s="30">
        <v>58</v>
      </c>
      <c r="H138" s="31">
        <f>G138/((F138/100)*(F138/100))</f>
        <v>20.307412205454995</v>
      </c>
      <c r="I138" s="5">
        <v>74</v>
      </c>
      <c r="J138" s="30">
        <v>120</v>
      </c>
      <c r="K138" s="30">
        <v>80</v>
      </c>
      <c r="L138" s="29">
        <f>IF(B138="Nữ",0,2)</f>
        <v>0</v>
      </c>
      <c r="M138" s="29">
        <f ca="1">IF(D138&lt;45,0,IF(D138&lt;=49,1,2))</f>
        <v>2</v>
      </c>
      <c r="N138" s="29">
        <f>IF(E138="Có",4,0)</f>
        <v>4</v>
      </c>
      <c r="O138" s="29">
        <f>IF(H138&lt;23,0,IF(H138&lt;27.5,3,5))</f>
        <v>0</v>
      </c>
      <c r="P138" s="29">
        <f>IF(OR(AND(B138="Nam",I138&gt;=90),AND(B138="Nữ",I138&gt;=80)),2,0)</f>
        <v>0</v>
      </c>
      <c r="Q138" s="29">
        <f>IF(OR(J138&gt;=140,K138&gt;=90),2,0)</f>
        <v>0</v>
      </c>
      <c r="R138" s="29">
        <f ca="1">SUM(L138:Q138)</f>
        <v>6</v>
      </c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5" t="s">
        <v>1393</v>
      </c>
      <c r="AE138" s="33"/>
      <c r="AF138" s="59" t="str">
        <f t="shared" si="7"/>
        <v>Không</v>
      </c>
      <c r="AG138" s="59" t="str">
        <f t="shared" si="8"/>
        <v>Không</v>
      </c>
      <c r="AH138" s="29" t="str">
        <f t="shared" ca="1" si="6"/>
        <v>Có</v>
      </c>
      <c r="AI138" s="29" t="str">
        <f ca="1">IF((R138)&gt;=6,"Có","Không")</f>
        <v>Có</v>
      </c>
      <c r="AJ138" s="29" t="str">
        <f>IF(OR(J138&gt;=140,K138&gt;=90),"Có","Không")</f>
        <v>Không</v>
      </c>
      <c r="AK138" s="5" t="s">
        <v>51</v>
      </c>
      <c r="AL138" s="32">
        <v>46053</v>
      </c>
      <c r="AM138" s="29" t="str">
        <f>"Tháng "&amp;MONTH(AL138)</f>
        <v>Tháng 1</v>
      </c>
      <c r="AN138" s="69" t="s">
        <v>1376</v>
      </c>
    </row>
    <row r="139" spans="1:40" x14ac:dyDescent="0.25">
      <c r="A139" s="52" t="s">
        <v>641</v>
      </c>
      <c r="B139" s="21" t="s">
        <v>23</v>
      </c>
      <c r="C139" s="35">
        <v>26299</v>
      </c>
      <c r="D139" s="29">
        <f ca="1">DATEDIF(C139,TODAY(),"Y")</f>
        <v>54</v>
      </c>
      <c r="E139" s="5" t="s">
        <v>26</v>
      </c>
      <c r="F139" s="30">
        <v>170</v>
      </c>
      <c r="G139" s="30">
        <v>72</v>
      </c>
      <c r="H139" s="31">
        <f>G139/((F139/100)*(F139/100))</f>
        <v>24.913494809688583</v>
      </c>
      <c r="I139" s="5">
        <v>88</v>
      </c>
      <c r="J139" s="30">
        <v>120</v>
      </c>
      <c r="K139" s="30">
        <v>80</v>
      </c>
      <c r="L139" s="29">
        <f>IF(B139="Nữ",0,2)</f>
        <v>0</v>
      </c>
      <c r="M139" s="29">
        <f ca="1">IF(D139&lt;45,0,IF(D139&lt;=49,1,2))</f>
        <v>2</v>
      </c>
      <c r="N139" s="29">
        <f>IF(E139="Có",4,0)</f>
        <v>0</v>
      </c>
      <c r="O139" s="29">
        <f>IF(H139&lt;23,0,IF(H139&lt;27.5,3,5))</f>
        <v>3</v>
      </c>
      <c r="P139" s="29">
        <f>IF(OR(AND(B139="Nam",I139&gt;=90),AND(B139="Nữ",I139&gt;=80)),2,0)</f>
        <v>2</v>
      </c>
      <c r="Q139" s="29">
        <f>IF(OR(J139&gt;=140,K139&gt;=90),2,0)</f>
        <v>0</v>
      </c>
      <c r="R139" s="29">
        <f ca="1">SUM(L139:Q139)</f>
        <v>7</v>
      </c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5" t="s">
        <v>1393</v>
      </c>
      <c r="AE139" s="33"/>
      <c r="AF139" s="59" t="str">
        <f t="shared" si="7"/>
        <v>Không</v>
      </c>
      <c r="AG139" s="59" t="str">
        <f t="shared" si="8"/>
        <v>Không</v>
      </c>
      <c r="AH139" s="29" t="str">
        <f t="shared" ca="1" si="6"/>
        <v>Có</v>
      </c>
      <c r="AI139" s="29" t="str">
        <f ca="1">IF((R139)&gt;=6,"Có","Không")</f>
        <v>Có</v>
      </c>
      <c r="AJ139" s="29" t="str">
        <f>IF(OR(J139&gt;=140,K139&gt;=90),"Có","Không")</f>
        <v>Không</v>
      </c>
      <c r="AK139" s="5" t="s">
        <v>51</v>
      </c>
      <c r="AL139" s="32">
        <v>46053</v>
      </c>
      <c r="AM139" s="29" t="str">
        <f>"Tháng "&amp;MONTH(AL139)</f>
        <v>Tháng 1</v>
      </c>
      <c r="AN139" s="69" t="s">
        <v>1376</v>
      </c>
    </row>
    <row r="140" spans="1:40" x14ac:dyDescent="0.25">
      <c r="A140" s="52" t="s">
        <v>1225</v>
      </c>
      <c r="B140" s="21" t="s">
        <v>23</v>
      </c>
      <c r="C140" s="35">
        <v>23012</v>
      </c>
      <c r="D140" s="29">
        <f ca="1">DATEDIF(C140,TODAY(),"Y")</f>
        <v>63</v>
      </c>
      <c r="E140" s="5" t="s">
        <v>26</v>
      </c>
      <c r="F140" s="30">
        <v>159</v>
      </c>
      <c r="G140" s="30">
        <v>55</v>
      </c>
      <c r="H140" s="31">
        <f>G140/((F140/100)*(F140/100))</f>
        <v>21.75546853368142</v>
      </c>
      <c r="I140" s="5">
        <v>86</v>
      </c>
      <c r="J140" s="30">
        <v>120</v>
      </c>
      <c r="K140" s="30">
        <v>80</v>
      </c>
      <c r="L140" s="29">
        <f>IF(B140="Nữ",0,2)</f>
        <v>0</v>
      </c>
      <c r="M140" s="29">
        <f ca="1">IF(D140&lt;45,0,IF(D140&lt;=49,1,2))</f>
        <v>2</v>
      </c>
      <c r="N140" s="29">
        <f>IF(E140="Có",4,0)</f>
        <v>0</v>
      </c>
      <c r="O140" s="29">
        <f>IF(H140&lt;23,0,IF(H140&lt;27.5,3,5))</f>
        <v>0</v>
      </c>
      <c r="P140" s="29">
        <f>IF(OR(AND(B140="Nam",I140&gt;=90),AND(B140="Nữ",I140&gt;=80)),2,0)</f>
        <v>2</v>
      </c>
      <c r="Q140" s="29">
        <f>IF(OR(J140&gt;=140,K140&gt;=90),2,0)</f>
        <v>0</v>
      </c>
      <c r="R140" s="29">
        <f ca="1">SUM(L140:Q140)</f>
        <v>4</v>
      </c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5" t="s">
        <v>1393</v>
      </c>
      <c r="AE140" s="33"/>
      <c r="AF140" s="59" t="str">
        <f t="shared" si="7"/>
        <v>Không</v>
      </c>
      <c r="AG140" s="59" t="str">
        <f t="shared" si="8"/>
        <v>Không</v>
      </c>
      <c r="AH140" s="29" t="str">
        <f t="shared" ca="1" si="6"/>
        <v>Không</v>
      </c>
      <c r="AI140" s="29" t="str">
        <f ca="1">IF((R140)&gt;=6,"Có","Không")</f>
        <v>Không</v>
      </c>
      <c r="AJ140" s="29" t="str">
        <f>IF(OR(J140&gt;=140,K140&gt;=90),"Có","Không")</f>
        <v>Không</v>
      </c>
      <c r="AK140" s="5" t="s">
        <v>51</v>
      </c>
      <c r="AL140" s="32">
        <v>46053</v>
      </c>
      <c r="AM140" s="29" t="str">
        <f>"Tháng "&amp;MONTH(AL140)</f>
        <v>Tháng 1</v>
      </c>
      <c r="AN140" s="69" t="s">
        <v>1376</v>
      </c>
    </row>
    <row r="141" spans="1:40" x14ac:dyDescent="0.25">
      <c r="A141" s="52" t="s">
        <v>1229</v>
      </c>
      <c r="B141" s="20" t="s">
        <v>23</v>
      </c>
      <c r="C141" s="35">
        <v>21186</v>
      </c>
      <c r="D141" s="29">
        <f ca="1">DATEDIF(C141,TODAY(),"Y")</f>
        <v>68</v>
      </c>
      <c r="E141" s="5" t="s">
        <v>26</v>
      </c>
      <c r="F141" s="30">
        <v>169</v>
      </c>
      <c r="G141" s="30">
        <v>68</v>
      </c>
      <c r="H141" s="31">
        <f>G141/((F141/100)*(F141/100))</f>
        <v>23.808690171912751</v>
      </c>
      <c r="I141" s="5">
        <v>69</v>
      </c>
      <c r="J141" s="30">
        <v>120</v>
      </c>
      <c r="K141" s="30">
        <v>80</v>
      </c>
      <c r="L141" s="29">
        <f>IF(B141="Nữ",0,2)</f>
        <v>0</v>
      </c>
      <c r="M141" s="29">
        <f ca="1">IF(D141&lt;45,0,IF(D141&lt;=49,1,2))</f>
        <v>2</v>
      </c>
      <c r="N141" s="29">
        <f>IF(E141="Có",4,0)</f>
        <v>0</v>
      </c>
      <c r="O141" s="29">
        <f>IF(H141&lt;23,0,IF(H141&lt;27.5,3,5))</f>
        <v>3</v>
      </c>
      <c r="P141" s="29">
        <f>IF(OR(AND(B141="Nam",I141&gt;=90),AND(B141="Nữ",I141&gt;=80)),2,0)</f>
        <v>0</v>
      </c>
      <c r="Q141" s="29">
        <f>IF(OR(J141&gt;=140,K141&gt;=90),2,0)</f>
        <v>0</v>
      </c>
      <c r="R141" s="29">
        <f ca="1">SUM(L141:Q141)</f>
        <v>5</v>
      </c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5" t="s">
        <v>1393</v>
      </c>
      <c r="AE141" s="33"/>
      <c r="AF141" s="59" t="str">
        <f t="shared" si="7"/>
        <v>Không</v>
      </c>
      <c r="AG141" s="59" t="str">
        <f t="shared" si="8"/>
        <v>Không</v>
      </c>
      <c r="AH141" s="29" t="str">
        <f t="shared" ca="1" si="6"/>
        <v>Không</v>
      </c>
      <c r="AI141" s="29" t="str">
        <f ca="1">IF((R141)&gt;=6,"Có","Không")</f>
        <v>Không</v>
      </c>
      <c r="AJ141" s="29" t="str">
        <f>IF(OR(J141&gt;=140,K141&gt;=90),"Có","Không")</f>
        <v>Không</v>
      </c>
      <c r="AK141" s="5" t="s">
        <v>51</v>
      </c>
      <c r="AL141" s="32">
        <v>46053</v>
      </c>
      <c r="AM141" s="29" t="str">
        <f>"Tháng "&amp;MONTH(AL141)</f>
        <v>Tháng 1</v>
      </c>
      <c r="AN141" s="69" t="s">
        <v>1376</v>
      </c>
    </row>
    <row r="142" spans="1:40" x14ac:dyDescent="0.25">
      <c r="A142" s="52" t="s">
        <v>1264</v>
      </c>
      <c r="B142" s="20" t="s">
        <v>23</v>
      </c>
      <c r="C142" s="35">
        <v>19360</v>
      </c>
      <c r="D142" s="29">
        <f ca="1">DATEDIF(C142,TODAY(),"Y")</f>
        <v>73</v>
      </c>
      <c r="E142" s="5" t="s">
        <v>26</v>
      </c>
      <c r="F142" s="30">
        <v>158</v>
      </c>
      <c r="G142" s="30">
        <v>58</v>
      </c>
      <c r="H142" s="31">
        <f>G142/((F142/100)*(F142/100))</f>
        <v>23.233456176894723</v>
      </c>
      <c r="I142" s="5">
        <v>89</v>
      </c>
      <c r="J142" s="30">
        <v>120</v>
      </c>
      <c r="K142" s="30">
        <v>70</v>
      </c>
      <c r="L142" s="29">
        <f>IF(B142="Nữ",0,2)</f>
        <v>0</v>
      </c>
      <c r="M142" s="29">
        <f ca="1">IF(D142&lt;45,0,IF(D142&lt;=49,1,2))</f>
        <v>2</v>
      </c>
      <c r="N142" s="29">
        <f>IF(E142="Có",4,0)</f>
        <v>0</v>
      </c>
      <c r="O142" s="29">
        <f>IF(H142&lt;23,0,IF(H142&lt;27.5,3,5))</f>
        <v>3</v>
      </c>
      <c r="P142" s="29">
        <f>IF(OR(AND(B142="Nam",I142&gt;=90),AND(B142="Nữ",I142&gt;=80)),2,0)</f>
        <v>2</v>
      </c>
      <c r="Q142" s="29">
        <f>IF(OR(J142&gt;=140,K142&gt;=90),2,0)</f>
        <v>0</v>
      </c>
      <c r="R142" s="29">
        <f ca="1">SUM(L142:Q142)</f>
        <v>7</v>
      </c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5" t="s">
        <v>1393</v>
      </c>
      <c r="AE142" s="33"/>
      <c r="AF142" s="59" t="str">
        <f t="shared" si="7"/>
        <v>Không</v>
      </c>
      <c r="AG142" s="59" t="str">
        <f t="shared" si="8"/>
        <v>Không</v>
      </c>
      <c r="AH142" s="29" t="str">
        <f t="shared" ca="1" si="6"/>
        <v>Có</v>
      </c>
      <c r="AI142" s="29" t="str">
        <f ca="1">IF((R142)&gt;=6,"Có","Không")</f>
        <v>Có</v>
      </c>
      <c r="AJ142" s="29" t="str">
        <f>IF(OR(J142&gt;=140,K142&gt;=90),"Có","Không")</f>
        <v>Không</v>
      </c>
      <c r="AK142" s="5" t="s">
        <v>51</v>
      </c>
      <c r="AL142" s="32">
        <v>46053</v>
      </c>
      <c r="AM142" s="29" t="str">
        <f>"Tháng "&amp;MONTH(AL142)</f>
        <v>Tháng 1</v>
      </c>
      <c r="AN142" s="69" t="s">
        <v>1376</v>
      </c>
    </row>
    <row r="143" spans="1:40" x14ac:dyDescent="0.25">
      <c r="A143" s="52" t="s">
        <v>1268</v>
      </c>
      <c r="B143" s="20" t="s">
        <v>23</v>
      </c>
      <c r="C143" s="35">
        <v>19360</v>
      </c>
      <c r="D143" s="29">
        <f ca="1">DATEDIF(C143,TODAY(),"Y")</f>
        <v>73</v>
      </c>
      <c r="E143" s="5" t="s">
        <v>26</v>
      </c>
      <c r="F143" s="30">
        <v>169</v>
      </c>
      <c r="G143" s="30">
        <v>68</v>
      </c>
      <c r="H143" s="31">
        <f>G143/((F143/100)*(F143/100))</f>
        <v>23.808690171912751</v>
      </c>
      <c r="I143" s="5">
        <v>77</v>
      </c>
      <c r="J143" s="30">
        <v>130</v>
      </c>
      <c r="K143" s="30">
        <v>80</v>
      </c>
      <c r="L143" s="29">
        <f>IF(B143="Nữ",0,2)</f>
        <v>0</v>
      </c>
      <c r="M143" s="29">
        <f ca="1">IF(D143&lt;45,0,IF(D143&lt;=49,1,2))</f>
        <v>2</v>
      </c>
      <c r="N143" s="29">
        <f>IF(E143="Có",4,0)</f>
        <v>0</v>
      </c>
      <c r="O143" s="29">
        <f>IF(H143&lt;23,0,IF(H143&lt;27.5,3,5))</f>
        <v>3</v>
      </c>
      <c r="P143" s="29">
        <f>IF(OR(AND(B143="Nam",I143&gt;=90),AND(B143="Nữ",I143&gt;=80)),2,0)</f>
        <v>0</v>
      </c>
      <c r="Q143" s="29">
        <f>IF(OR(J143&gt;=140,K143&gt;=90),2,0)</f>
        <v>0</v>
      </c>
      <c r="R143" s="29">
        <f ca="1">SUM(L143:Q143)</f>
        <v>5</v>
      </c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5" t="s">
        <v>1393</v>
      </c>
      <c r="AE143" s="33"/>
      <c r="AF143" s="59" t="str">
        <f t="shared" si="7"/>
        <v>Không</v>
      </c>
      <c r="AG143" s="59" t="str">
        <f t="shared" si="8"/>
        <v>Không</v>
      </c>
      <c r="AH143" s="29" t="str">
        <f t="shared" ca="1" si="6"/>
        <v>Không</v>
      </c>
      <c r="AI143" s="29" t="str">
        <f ca="1">IF((R143)&gt;=6,"Có","Không")</f>
        <v>Không</v>
      </c>
      <c r="AJ143" s="29" t="str">
        <f>IF(OR(J143&gt;=140,K143&gt;=90),"Có","Không")</f>
        <v>Không</v>
      </c>
      <c r="AK143" s="5" t="s">
        <v>51</v>
      </c>
      <c r="AL143" s="32">
        <v>46053</v>
      </c>
      <c r="AM143" s="29" t="str">
        <f>"Tháng "&amp;MONTH(AL143)</f>
        <v>Tháng 1</v>
      </c>
      <c r="AN143" s="69" t="s">
        <v>1376</v>
      </c>
    </row>
    <row r="144" spans="1:40" x14ac:dyDescent="0.25">
      <c r="A144" s="52" t="s">
        <v>1270</v>
      </c>
      <c r="B144" s="21" t="s">
        <v>23</v>
      </c>
      <c r="C144" s="35">
        <v>18629</v>
      </c>
      <c r="D144" s="29">
        <f ca="1">DATEDIF(C144,TODAY(),"Y")</f>
        <v>75</v>
      </c>
      <c r="E144" s="5" t="s">
        <v>25</v>
      </c>
      <c r="F144" s="30">
        <v>165</v>
      </c>
      <c r="G144" s="30">
        <v>73</v>
      </c>
      <c r="H144" s="31">
        <f>G144/((F144/100)*(F144/100))</f>
        <v>26.813590449954088</v>
      </c>
      <c r="I144" s="5">
        <v>67</v>
      </c>
      <c r="J144" s="30">
        <v>120</v>
      </c>
      <c r="K144" s="30">
        <v>70</v>
      </c>
      <c r="L144" s="29">
        <f>IF(B144="Nữ",0,2)</f>
        <v>0</v>
      </c>
      <c r="M144" s="29">
        <f ca="1">IF(D144&lt;45,0,IF(D144&lt;=49,1,2))</f>
        <v>2</v>
      </c>
      <c r="N144" s="29">
        <f>IF(E144="Có",4,0)</f>
        <v>4</v>
      </c>
      <c r="O144" s="29">
        <f>IF(H144&lt;23,0,IF(H144&lt;27.5,3,5))</f>
        <v>3</v>
      </c>
      <c r="P144" s="29">
        <f>IF(OR(AND(B144="Nam",I144&gt;=90),AND(B144="Nữ",I144&gt;=80)),2,0)</f>
        <v>0</v>
      </c>
      <c r="Q144" s="29">
        <f>IF(OR(J144&gt;=140,K144&gt;=90),2,0)</f>
        <v>0</v>
      </c>
      <c r="R144" s="29">
        <f ca="1">SUM(L144:Q144)</f>
        <v>9</v>
      </c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5" t="s">
        <v>1393</v>
      </c>
      <c r="AE144" s="33"/>
      <c r="AF144" s="59" t="str">
        <f t="shared" si="7"/>
        <v>Không</v>
      </c>
      <c r="AG144" s="59" t="str">
        <f t="shared" si="8"/>
        <v>Không</v>
      </c>
      <c r="AH144" s="29" t="str">
        <f t="shared" ca="1" si="6"/>
        <v>Có</v>
      </c>
      <c r="AI144" s="29" t="str">
        <f ca="1">IF((R144)&gt;=6,"Có","Không")</f>
        <v>Có</v>
      </c>
      <c r="AJ144" s="29" t="str">
        <f>IF(OR(J144&gt;=140,K144&gt;=90),"Có","Không")</f>
        <v>Không</v>
      </c>
      <c r="AK144" s="5" t="s">
        <v>51</v>
      </c>
      <c r="AL144" s="32">
        <v>46053</v>
      </c>
      <c r="AM144" s="29" t="str">
        <f>"Tháng "&amp;MONTH(AL144)</f>
        <v>Tháng 1</v>
      </c>
      <c r="AN144" s="69" t="s">
        <v>1376</v>
      </c>
    </row>
    <row r="145" spans="1:40" x14ac:dyDescent="0.25">
      <c r="A145" s="52" t="s">
        <v>1271</v>
      </c>
      <c r="B145" s="21" t="s">
        <v>23</v>
      </c>
      <c r="C145" s="35">
        <v>18994</v>
      </c>
      <c r="D145" s="29">
        <f ca="1">DATEDIF(C145,TODAY(),"Y")</f>
        <v>74</v>
      </c>
      <c r="E145" s="5" t="s">
        <v>26</v>
      </c>
      <c r="F145" s="30">
        <v>169</v>
      </c>
      <c r="G145" s="30">
        <v>68</v>
      </c>
      <c r="H145" s="31">
        <f>G145/((F145/100)*(F145/100))</f>
        <v>23.808690171912751</v>
      </c>
      <c r="I145" s="5">
        <v>91</v>
      </c>
      <c r="J145" s="30">
        <v>120</v>
      </c>
      <c r="K145" s="30">
        <v>70</v>
      </c>
      <c r="L145" s="29">
        <f>IF(B145="Nữ",0,2)</f>
        <v>0</v>
      </c>
      <c r="M145" s="29">
        <f ca="1">IF(D145&lt;45,0,IF(D145&lt;=49,1,2))</f>
        <v>2</v>
      </c>
      <c r="N145" s="29">
        <f>IF(E145="Có",4,0)</f>
        <v>0</v>
      </c>
      <c r="O145" s="29">
        <f>IF(H145&lt;23,0,IF(H145&lt;27.5,3,5))</f>
        <v>3</v>
      </c>
      <c r="P145" s="29">
        <f>IF(OR(AND(B145="Nam",I145&gt;=90),AND(B145="Nữ",I145&gt;=80)),2,0)</f>
        <v>2</v>
      </c>
      <c r="Q145" s="29">
        <f>IF(OR(J145&gt;=140,K145&gt;=90),2,0)</f>
        <v>0</v>
      </c>
      <c r="R145" s="29">
        <f ca="1">SUM(L145:Q145)</f>
        <v>7</v>
      </c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5" t="s">
        <v>1393</v>
      </c>
      <c r="AE145" s="33"/>
      <c r="AF145" s="59" t="str">
        <f t="shared" si="7"/>
        <v>Không</v>
      </c>
      <c r="AG145" s="59" t="str">
        <f t="shared" si="8"/>
        <v>Không</v>
      </c>
      <c r="AH145" s="29" t="str">
        <f t="shared" ca="1" si="6"/>
        <v>Có</v>
      </c>
      <c r="AI145" s="29" t="str">
        <f ca="1">IF((R145)&gt;=6,"Có","Không")</f>
        <v>Có</v>
      </c>
      <c r="AJ145" s="29" t="str">
        <f>IF(OR(J145&gt;=140,K145&gt;=90),"Có","Không")</f>
        <v>Không</v>
      </c>
      <c r="AK145" s="5" t="s">
        <v>51</v>
      </c>
      <c r="AL145" s="32">
        <v>46053</v>
      </c>
      <c r="AM145" s="29" t="str">
        <f>"Tháng "&amp;MONTH(AL145)</f>
        <v>Tháng 1</v>
      </c>
      <c r="AN145" s="69" t="s">
        <v>1376</v>
      </c>
    </row>
    <row r="146" spans="1:40" x14ac:dyDescent="0.25">
      <c r="A146" s="52" t="s">
        <v>1274</v>
      </c>
      <c r="B146" s="21" t="s">
        <v>23</v>
      </c>
      <c r="C146" s="35">
        <v>21551</v>
      </c>
      <c r="D146" s="29">
        <f ca="1">DATEDIF(C146,TODAY(),"Y")</f>
        <v>67</v>
      </c>
      <c r="E146" s="5" t="s">
        <v>26</v>
      </c>
      <c r="F146" s="30">
        <v>169</v>
      </c>
      <c r="G146" s="30">
        <v>69</v>
      </c>
      <c r="H146" s="31">
        <f>G146/((F146/100)*(F146/100))</f>
        <v>24.158817968558527</v>
      </c>
      <c r="I146" s="5">
        <v>86</v>
      </c>
      <c r="J146" s="30">
        <v>120</v>
      </c>
      <c r="K146" s="30">
        <v>80</v>
      </c>
      <c r="L146" s="29">
        <f>IF(B146="Nữ",0,2)</f>
        <v>0</v>
      </c>
      <c r="M146" s="29">
        <f ca="1">IF(D146&lt;45,0,IF(D146&lt;=49,1,2))</f>
        <v>2</v>
      </c>
      <c r="N146" s="29">
        <f>IF(E146="Có",4,0)</f>
        <v>0</v>
      </c>
      <c r="O146" s="29">
        <f>IF(H146&lt;23,0,IF(H146&lt;27.5,3,5))</f>
        <v>3</v>
      </c>
      <c r="P146" s="29">
        <f>IF(OR(AND(B146="Nam",I146&gt;=90),AND(B146="Nữ",I146&gt;=80)),2,0)</f>
        <v>2</v>
      </c>
      <c r="Q146" s="29">
        <f>IF(OR(J146&gt;=140,K146&gt;=90),2,0)</f>
        <v>0</v>
      </c>
      <c r="R146" s="29">
        <f ca="1">SUM(L146:Q146)</f>
        <v>7</v>
      </c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5" t="s">
        <v>1393</v>
      </c>
      <c r="AE146" s="33"/>
      <c r="AF146" s="59" t="str">
        <f t="shared" si="7"/>
        <v>Không</v>
      </c>
      <c r="AG146" s="59" t="str">
        <f t="shared" si="8"/>
        <v>Không</v>
      </c>
      <c r="AH146" s="29" t="str">
        <f t="shared" ca="1" si="6"/>
        <v>Có</v>
      </c>
      <c r="AI146" s="29" t="str">
        <f ca="1">IF((R146)&gt;=6,"Có","Không")</f>
        <v>Có</v>
      </c>
      <c r="AJ146" s="29" t="str">
        <f>IF(OR(J146&gt;=140,K146&gt;=90),"Có","Không")</f>
        <v>Không</v>
      </c>
      <c r="AK146" s="5" t="s">
        <v>51</v>
      </c>
      <c r="AL146" s="32">
        <v>46053</v>
      </c>
      <c r="AM146" s="29" t="str">
        <f>"Tháng "&amp;MONTH(AL146)</f>
        <v>Tháng 1</v>
      </c>
      <c r="AN146" s="69" t="s">
        <v>1376</v>
      </c>
    </row>
    <row r="147" spans="1:40" x14ac:dyDescent="0.25">
      <c r="A147" s="52" t="s">
        <v>1275</v>
      </c>
      <c r="B147" s="21" t="s">
        <v>23</v>
      </c>
      <c r="C147" s="35">
        <v>24108</v>
      </c>
      <c r="D147" s="29">
        <f ca="1">DATEDIF(C147,TODAY(),"Y")</f>
        <v>60</v>
      </c>
      <c r="E147" s="5" t="s">
        <v>26</v>
      </c>
      <c r="F147" s="30">
        <v>158</v>
      </c>
      <c r="G147" s="30">
        <v>58</v>
      </c>
      <c r="H147" s="31">
        <f>G147/((F147/100)*(F147/100))</f>
        <v>23.233456176894723</v>
      </c>
      <c r="I147" s="5">
        <v>80</v>
      </c>
      <c r="J147" s="30">
        <v>140</v>
      </c>
      <c r="K147" s="30">
        <v>80</v>
      </c>
      <c r="L147" s="29">
        <f>IF(B147="Nữ",0,2)</f>
        <v>0</v>
      </c>
      <c r="M147" s="29">
        <f ca="1">IF(D147&lt;45,0,IF(D147&lt;=49,1,2))</f>
        <v>2</v>
      </c>
      <c r="N147" s="29">
        <f>IF(E147="Có",4,0)</f>
        <v>0</v>
      </c>
      <c r="O147" s="29">
        <f>IF(H147&lt;23,0,IF(H147&lt;27.5,3,5))</f>
        <v>3</v>
      </c>
      <c r="P147" s="29">
        <f>IF(OR(AND(B147="Nam",I147&gt;=90),AND(B147="Nữ",I147&gt;=80)),2,0)</f>
        <v>2</v>
      </c>
      <c r="Q147" s="29">
        <f>IF(OR(J147&gt;=140,K147&gt;=90),2,0)</f>
        <v>2</v>
      </c>
      <c r="R147" s="29">
        <f ca="1">SUM(L147:Q147)</f>
        <v>9</v>
      </c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5" t="s">
        <v>1393</v>
      </c>
      <c r="AE147" s="33"/>
      <c r="AF147" s="59" t="str">
        <f t="shared" si="7"/>
        <v>Không</v>
      </c>
      <c r="AG147" s="59" t="str">
        <f t="shared" si="8"/>
        <v>Không</v>
      </c>
      <c r="AH147" s="29" t="str">
        <f t="shared" ca="1" si="6"/>
        <v>Có</v>
      </c>
      <c r="AI147" s="29" t="str">
        <f ca="1">IF((R147)&gt;=6,"Có","Không")</f>
        <v>Có</v>
      </c>
      <c r="AJ147" s="29" t="str">
        <f>IF(OR(J147&gt;=140,K147&gt;=90),"Có","Không")</f>
        <v>Có</v>
      </c>
      <c r="AK147" s="5" t="s">
        <v>51</v>
      </c>
      <c r="AL147" s="32">
        <v>46053</v>
      </c>
      <c r="AM147" s="29" t="str">
        <f>"Tháng "&amp;MONTH(AL147)</f>
        <v>Tháng 1</v>
      </c>
      <c r="AN147" s="69" t="s">
        <v>1376</v>
      </c>
    </row>
    <row r="148" spans="1:40" x14ac:dyDescent="0.25">
      <c r="A148" s="52" t="s">
        <v>1283</v>
      </c>
      <c r="B148" s="21" t="s">
        <v>23</v>
      </c>
      <c r="C148" s="35">
        <v>21551</v>
      </c>
      <c r="D148" s="29">
        <f ca="1">DATEDIF(C148,TODAY(),"Y")</f>
        <v>67</v>
      </c>
      <c r="E148" s="5" t="s">
        <v>26</v>
      </c>
      <c r="F148" s="30">
        <v>150</v>
      </c>
      <c r="G148" s="30">
        <v>55</v>
      </c>
      <c r="H148" s="31">
        <f>G148/((F148/100)*(F148/100))</f>
        <v>24.444444444444443</v>
      </c>
      <c r="I148" s="5">
        <v>83</v>
      </c>
      <c r="J148" s="30">
        <v>120</v>
      </c>
      <c r="K148" s="30">
        <v>70</v>
      </c>
      <c r="L148" s="29">
        <f>IF(B148="Nữ",0,2)</f>
        <v>0</v>
      </c>
      <c r="M148" s="29">
        <f ca="1">IF(D148&lt;45,0,IF(D148&lt;=49,1,2))</f>
        <v>2</v>
      </c>
      <c r="N148" s="29">
        <f>IF(E148="Có",4,0)</f>
        <v>0</v>
      </c>
      <c r="O148" s="29">
        <f>IF(H148&lt;23,0,IF(H148&lt;27.5,3,5))</f>
        <v>3</v>
      </c>
      <c r="P148" s="29">
        <f>IF(OR(AND(B148="Nam",I148&gt;=90),AND(B148="Nữ",I148&gt;=80)),2,0)</f>
        <v>2</v>
      </c>
      <c r="Q148" s="29">
        <f>IF(OR(J148&gt;=140,K148&gt;=90),2,0)</f>
        <v>0</v>
      </c>
      <c r="R148" s="29">
        <f ca="1">SUM(L148:Q148)</f>
        <v>7</v>
      </c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5" t="s">
        <v>1393</v>
      </c>
      <c r="AE148" s="33"/>
      <c r="AF148" s="59" t="str">
        <f t="shared" si="7"/>
        <v>Không</v>
      </c>
      <c r="AG148" s="59" t="str">
        <f t="shared" si="8"/>
        <v>Không</v>
      </c>
      <c r="AH148" s="29" t="str">
        <f t="shared" ca="1" si="6"/>
        <v>Có</v>
      </c>
      <c r="AI148" s="29" t="str">
        <f ca="1">IF((R148)&gt;=6,"Có","Không")</f>
        <v>Có</v>
      </c>
      <c r="AJ148" s="29" t="str">
        <f>IF(OR(J148&gt;=140,K148&gt;=90),"Có","Không")</f>
        <v>Không</v>
      </c>
      <c r="AK148" s="5" t="s">
        <v>51</v>
      </c>
      <c r="AL148" s="32">
        <v>46053</v>
      </c>
      <c r="AM148" s="29" t="str">
        <f>"Tháng "&amp;MONTH(AL148)</f>
        <v>Tháng 1</v>
      </c>
      <c r="AN148" s="69" t="s">
        <v>1376</v>
      </c>
    </row>
    <row r="149" spans="1:40" x14ac:dyDescent="0.25">
      <c r="A149" s="52" t="s">
        <v>1289</v>
      </c>
      <c r="B149" s="21" t="s">
        <v>23</v>
      </c>
      <c r="C149" s="35">
        <v>24473</v>
      </c>
      <c r="D149" s="29">
        <f ca="1">DATEDIF(C149,TODAY(),"Y")</f>
        <v>59</v>
      </c>
      <c r="E149" s="5" t="s">
        <v>26</v>
      </c>
      <c r="F149" s="30">
        <v>160</v>
      </c>
      <c r="G149" s="30">
        <v>67</v>
      </c>
      <c r="H149" s="31">
        <f>G149/((F149/100)*(F149/100))</f>
        <v>26.171874999999996</v>
      </c>
      <c r="I149" s="5">
        <v>66</v>
      </c>
      <c r="J149" s="30">
        <v>120</v>
      </c>
      <c r="K149" s="30">
        <v>80</v>
      </c>
      <c r="L149" s="29">
        <f>IF(B149="Nữ",0,2)</f>
        <v>0</v>
      </c>
      <c r="M149" s="29">
        <f ca="1">IF(D149&lt;45,0,IF(D149&lt;=49,1,2))</f>
        <v>2</v>
      </c>
      <c r="N149" s="29">
        <f>IF(E149="Có",4,0)</f>
        <v>0</v>
      </c>
      <c r="O149" s="29">
        <f>IF(H149&lt;23,0,IF(H149&lt;27.5,3,5))</f>
        <v>3</v>
      </c>
      <c r="P149" s="29">
        <f>IF(OR(AND(B149="Nam",I149&gt;=90),AND(B149="Nữ",I149&gt;=80)),2,0)</f>
        <v>0</v>
      </c>
      <c r="Q149" s="29">
        <f>IF(OR(J149&gt;=140,K149&gt;=90),2,0)</f>
        <v>0</v>
      </c>
      <c r="R149" s="29">
        <f ca="1">SUM(L149:Q149)</f>
        <v>5</v>
      </c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5" t="s">
        <v>1393</v>
      </c>
      <c r="AE149" s="33"/>
      <c r="AF149" s="59" t="str">
        <f t="shared" si="7"/>
        <v>Không</v>
      </c>
      <c r="AG149" s="59" t="str">
        <f t="shared" si="8"/>
        <v>Không</v>
      </c>
      <c r="AH149" s="29" t="str">
        <f t="shared" ca="1" si="6"/>
        <v>Không</v>
      </c>
      <c r="AI149" s="29" t="str">
        <f ca="1">IF((R149)&gt;=6,"Có","Không")</f>
        <v>Không</v>
      </c>
      <c r="AJ149" s="29" t="str">
        <f>IF(OR(J149&gt;=140,K149&gt;=90),"Có","Không")</f>
        <v>Không</v>
      </c>
      <c r="AK149" s="5" t="s">
        <v>51</v>
      </c>
      <c r="AL149" s="32">
        <v>46053</v>
      </c>
      <c r="AM149" s="29" t="str">
        <f>"Tháng "&amp;MONTH(AL149)</f>
        <v>Tháng 1</v>
      </c>
      <c r="AN149" s="69" t="s">
        <v>1376</v>
      </c>
    </row>
    <row r="150" spans="1:40" x14ac:dyDescent="0.25">
      <c r="A150" s="52" t="s">
        <v>971</v>
      </c>
      <c r="B150" s="21" t="s">
        <v>23</v>
      </c>
      <c r="C150" s="35">
        <v>26665</v>
      </c>
      <c r="D150" s="29">
        <f ca="1">DATEDIF(C150,TODAY(),"Y")</f>
        <v>53</v>
      </c>
      <c r="E150" s="5" t="s">
        <v>25</v>
      </c>
      <c r="F150" s="30">
        <v>169</v>
      </c>
      <c r="G150" s="30">
        <v>68</v>
      </c>
      <c r="H150" s="31">
        <f>G150/((F150/100)*(F150/100))</f>
        <v>23.808690171912751</v>
      </c>
      <c r="I150" s="5">
        <v>70</v>
      </c>
      <c r="J150" s="30">
        <v>140</v>
      </c>
      <c r="K150" s="30">
        <v>80</v>
      </c>
      <c r="L150" s="29">
        <f>IF(B150="Nữ",0,2)</f>
        <v>0</v>
      </c>
      <c r="M150" s="29">
        <f ca="1">IF(D150&lt;45,0,IF(D150&lt;=49,1,2))</f>
        <v>2</v>
      </c>
      <c r="N150" s="29">
        <f>IF(E150="Có",4,0)</f>
        <v>4</v>
      </c>
      <c r="O150" s="29">
        <f>IF(H150&lt;23,0,IF(H150&lt;27.5,3,5))</f>
        <v>3</v>
      </c>
      <c r="P150" s="29">
        <f>IF(OR(AND(B150="Nam",I150&gt;=90),AND(B150="Nữ",I150&gt;=80)),2,0)</f>
        <v>0</v>
      </c>
      <c r="Q150" s="29">
        <f>IF(OR(J150&gt;=140,K150&gt;=90),2,0)</f>
        <v>2</v>
      </c>
      <c r="R150" s="29">
        <f ca="1">SUM(L150:Q150)</f>
        <v>11</v>
      </c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5" t="s">
        <v>1393</v>
      </c>
      <c r="AE150" s="33"/>
      <c r="AF150" s="59" t="str">
        <f t="shared" si="7"/>
        <v>Không</v>
      </c>
      <c r="AG150" s="59" t="str">
        <f t="shared" si="8"/>
        <v>Không</v>
      </c>
      <c r="AH150" s="29" t="str">
        <f t="shared" ca="1" si="6"/>
        <v>Có</v>
      </c>
      <c r="AI150" s="29" t="str">
        <f ca="1">IF((R150)&gt;=6,"Có","Không")</f>
        <v>Có</v>
      </c>
      <c r="AJ150" s="29" t="str">
        <f>IF(OR(J150&gt;=140,K150&gt;=90),"Có","Không")</f>
        <v>Có</v>
      </c>
      <c r="AK150" s="5" t="s">
        <v>51</v>
      </c>
      <c r="AL150" s="32">
        <v>46053</v>
      </c>
      <c r="AM150" s="29" t="str">
        <f>"Tháng "&amp;MONTH(AL150)</f>
        <v>Tháng 1</v>
      </c>
      <c r="AN150" s="69" t="s">
        <v>1376</v>
      </c>
    </row>
    <row r="151" spans="1:40" x14ac:dyDescent="0.25">
      <c r="A151" s="52" t="s">
        <v>1308</v>
      </c>
      <c r="B151" s="21" t="s">
        <v>23</v>
      </c>
      <c r="C151" s="35">
        <v>24108</v>
      </c>
      <c r="D151" s="29">
        <f ca="1">DATEDIF(C151,TODAY(),"Y")</f>
        <v>60</v>
      </c>
      <c r="E151" s="5" t="s">
        <v>25</v>
      </c>
      <c r="F151" s="30">
        <v>160</v>
      </c>
      <c r="G151" s="30">
        <v>60</v>
      </c>
      <c r="H151" s="31">
        <f>G151/((F151/100)*(F151/100))</f>
        <v>23.437499999999996</v>
      </c>
      <c r="I151" s="5">
        <v>90</v>
      </c>
      <c r="J151" s="30">
        <v>130</v>
      </c>
      <c r="K151" s="30">
        <v>80</v>
      </c>
      <c r="L151" s="29">
        <f>IF(B151="Nữ",0,2)</f>
        <v>0</v>
      </c>
      <c r="M151" s="29">
        <f ca="1">IF(D151&lt;45,0,IF(D151&lt;=49,1,2))</f>
        <v>2</v>
      </c>
      <c r="N151" s="29">
        <f>IF(E151="Có",4,0)</f>
        <v>4</v>
      </c>
      <c r="O151" s="29">
        <f>IF(H151&lt;23,0,IF(H151&lt;27.5,3,5))</f>
        <v>3</v>
      </c>
      <c r="P151" s="29">
        <f>IF(OR(AND(B151="Nam",I151&gt;=90),AND(B151="Nữ",I151&gt;=80)),2,0)</f>
        <v>2</v>
      </c>
      <c r="Q151" s="29">
        <f>IF(OR(J151&gt;=140,K151&gt;=90),2,0)</f>
        <v>0</v>
      </c>
      <c r="R151" s="29">
        <f ca="1">SUM(L151:Q151)</f>
        <v>11</v>
      </c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5" t="s">
        <v>1393</v>
      </c>
      <c r="AE151" s="33"/>
      <c r="AF151" s="59" t="str">
        <f t="shared" si="7"/>
        <v>Không</v>
      </c>
      <c r="AG151" s="59" t="str">
        <f t="shared" si="8"/>
        <v>Không</v>
      </c>
      <c r="AH151" s="29" t="str">
        <f t="shared" ca="1" si="6"/>
        <v>Có</v>
      </c>
      <c r="AI151" s="29" t="str">
        <f ca="1">IF((R151)&gt;=6,"Có","Không")</f>
        <v>Có</v>
      </c>
      <c r="AJ151" s="29" t="str">
        <f>IF(OR(J151&gt;=140,K151&gt;=90),"Có","Không")</f>
        <v>Không</v>
      </c>
      <c r="AK151" s="5" t="s">
        <v>51</v>
      </c>
      <c r="AL151" s="32">
        <v>46053</v>
      </c>
      <c r="AM151" s="29" t="str">
        <f>"Tháng "&amp;MONTH(AL151)</f>
        <v>Tháng 1</v>
      </c>
      <c r="AN151" s="69" t="s">
        <v>1376</v>
      </c>
    </row>
    <row r="152" spans="1:40" x14ac:dyDescent="0.25">
      <c r="A152" s="51" t="s">
        <v>921</v>
      </c>
      <c r="B152" s="20" t="s">
        <v>23</v>
      </c>
      <c r="C152" s="35">
        <v>28491</v>
      </c>
      <c r="D152" s="29">
        <f ca="1">DATEDIF(C152,TODAY(),"Y")</f>
        <v>48</v>
      </c>
      <c r="E152" s="5" t="s">
        <v>26</v>
      </c>
      <c r="F152" s="30">
        <v>169</v>
      </c>
      <c r="G152" s="30">
        <v>68</v>
      </c>
      <c r="H152" s="31">
        <f>G152/((F152/100)*(F152/100))</f>
        <v>23.808690171912751</v>
      </c>
      <c r="I152" s="5">
        <v>69</v>
      </c>
      <c r="J152" s="30">
        <v>120</v>
      </c>
      <c r="K152" s="30">
        <v>70</v>
      </c>
      <c r="L152" s="29">
        <f>IF(B152="Nữ",0,2)</f>
        <v>0</v>
      </c>
      <c r="M152" s="29">
        <f ca="1">IF(D152&lt;45,0,IF(D152&lt;=49,1,2))</f>
        <v>1</v>
      </c>
      <c r="N152" s="29">
        <f>IF(E152="Có",4,0)</f>
        <v>0</v>
      </c>
      <c r="O152" s="29">
        <f>IF(H152&lt;23,0,IF(H152&lt;27.5,3,5))</f>
        <v>3</v>
      </c>
      <c r="P152" s="29">
        <f>IF(OR(AND(B152="Nam",I152&gt;=90),AND(B152="Nữ",I152&gt;=80)),2,0)</f>
        <v>0</v>
      </c>
      <c r="Q152" s="29">
        <f>IF(OR(J152&gt;=140,K152&gt;=90),2,0)</f>
        <v>0</v>
      </c>
      <c r="R152" s="29">
        <f ca="1">SUM(L152:Q152)</f>
        <v>4</v>
      </c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5" t="s">
        <v>1393</v>
      </c>
      <c r="AE152" s="33"/>
      <c r="AF152" s="59" t="str">
        <f t="shared" si="7"/>
        <v>Không</v>
      </c>
      <c r="AG152" s="59" t="str">
        <f t="shared" si="8"/>
        <v>Không</v>
      </c>
      <c r="AH152" s="29" t="str">
        <f t="shared" ca="1" si="6"/>
        <v>Không</v>
      </c>
      <c r="AI152" s="29" t="str">
        <f ca="1">IF((R152)&gt;=6,"Có","Không")</f>
        <v>Không</v>
      </c>
      <c r="AJ152" s="29" t="str">
        <f>IF(OR(J152&gt;=140,K152&gt;=90),"Có","Không")</f>
        <v>Không</v>
      </c>
      <c r="AK152" s="5" t="s">
        <v>51</v>
      </c>
      <c r="AL152" s="32">
        <v>46053</v>
      </c>
      <c r="AM152" s="29" t="str">
        <f>"Tháng "&amp;MONTH(AL152)</f>
        <v>Tháng 1</v>
      </c>
      <c r="AN152" s="69" t="s">
        <v>1376</v>
      </c>
    </row>
    <row r="153" spans="1:40" x14ac:dyDescent="0.25">
      <c r="A153" s="51" t="s">
        <v>887</v>
      </c>
      <c r="B153" s="20" t="s">
        <v>23</v>
      </c>
      <c r="C153" s="35">
        <v>19360</v>
      </c>
      <c r="D153" s="29">
        <f ca="1">DATEDIF(C153,TODAY(),"Y")</f>
        <v>73</v>
      </c>
      <c r="E153" s="5" t="s">
        <v>25</v>
      </c>
      <c r="F153" s="30">
        <v>160</v>
      </c>
      <c r="G153" s="30">
        <v>49</v>
      </c>
      <c r="H153" s="31">
        <f>G153/((F153/100)*(F153/100))</f>
        <v>19.140624999999996</v>
      </c>
      <c r="I153" s="5">
        <v>84</v>
      </c>
      <c r="J153" s="30">
        <v>120</v>
      </c>
      <c r="K153" s="30">
        <v>70</v>
      </c>
      <c r="L153" s="29">
        <f>IF(B153="Nữ",0,2)</f>
        <v>0</v>
      </c>
      <c r="M153" s="29">
        <f ca="1">IF(D153&lt;45,0,IF(D153&lt;=49,1,2))</f>
        <v>2</v>
      </c>
      <c r="N153" s="29">
        <f>IF(E153="Có",4,0)</f>
        <v>4</v>
      </c>
      <c r="O153" s="29">
        <f>IF(H153&lt;23,0,IF(H153&lt;27.5,3,5))</f>
        <v>0</v>
      </c>
      <c r="P153" s="29">
        <f>IF(OR(AND(B153="Nam",I153&gt;=90),AND(B153="Nữ",I153&gt;=80)),2,0)</f>
        <v>2</v>
      </c>
      <c r="Q153" s="29">
        <f>IF(OR(J153&gt;=140,K153&gt;=90),2,0)</f>
        <v>0</v>
      </c>
      <c r="R153" s="29">
        <f ca="1">SUM(L153:Q153)</f>
        <v>8</v>
      </c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5" t="s">
        <v>1393</v>
      </c>
      <c r="AE153" s="33"/>
      <c r="AF153" s="59" t="str">
        <f t="shared" si="7"/>
        <v>Không</v>
      </c>
      <c r="AG153" s="59" t="str">
        <f t="shared" si="8"/>
        <v>Không</v>
      </c>
      <c r="AH153" s="29" t="str">
        <f t="shared" ca="1" si="6"/>
        <v>Có</v>
      </c>
      <c r="AI153" s="29" t="str">
        <f ca="1">IF((R153)&gt;=6,"Có","Không")</f>
        <v>Có</v>
      </c>
      <c r="AJ153" s="29" t="str">
        <f>IF(OR(J153&gt;=140,K153&gt;=90),"Có","Không")</f>
        <v>Không</v>
      </c>
      <c r="AK153" s="5" t="s">
        <v>51</v>
      </c>
      <c r="AL153" s="32">
        <v>46053</v>
      </c>
      <c r="AM153" s="29" t="str">
        <f>"Tháng "&amp;MONTH(AL153)</f>
        <v>Tháng 1</v>
      </c>
      <c r="AN153" s="69" t="s">
        <v>1376</v>
      </c>
    </row>
    <row r="154" spans="1:40" x14ac:dyDescent="0.25">
      <c r="A154" s="49" t="s">
        <v>107</v>
      </c>
      <c r="B154" s="5" t="s">
        <v>30</v>
      </c>
      <c r="C154" s="5" t="s">
        <v>50</v>
      </c>
      <c r="D154" s="29">
        <f ca="1">DATEDIF(C154,TODAY(),"Y")</f>
        <v>58</v>
      </c>
      <c r="E154" s="5" t="s">
        <v>25</v>
      </c>
      <c r="F154" s="30">
        <v>163</v>
      </c>
      <c r="G154" s="30">
        <v>69</v>
      </c>
      <c r="H154" s="31">
        <f>G154/((F154/100)*(F154/100))</f>
        <v>25.970115548195267</v>
      </c>
      <c r="I154" s="5">
        <v>99</v>
      </c>
      <c r="J154" s="30">
        <v>120</v>
      </c>
      <c r="K154" s="30">
        <v>80</v>
      </c>
      <c r="L154" s="29">
        <f>IF(B154="Nữ",0,2)</f>
        <v>2</v>
      </c>
      <c r="M154" s="29">
        <f ca="1">IF(D154&lt;45,0,IF(D154&lt;=49,1,2))</f>
        <v>2</v>
      </c>
      <c r="N154" s="29">
        <f>IF(E154="Có",4,0)</f>
        <v>4</v>
      </c>
      <c r="O154" s="29">
        <f>IF(H154&lt;23,0,IF(H154&lt;27.5,3,5))</f>
        <v>3</v>
      </c>
      <c r="P154" s="29">
        <f>IF(OR(AND(B154="Nam",I154&gt;=90),AND(B154="Nữ",I154&gt;=80)),2,0)</f>
        <v>2</v>
      </c>
      <c r="Q154" s="29">
        <f>IF(OR(J154&gt;=140,K154&gt;=90),2,0)</f>
        <v>0</v>
      </c>
      <c r="R154" s="29">
        <f ca="1">SUM(L154:Q154)</f>
        <v>13</v>
      </c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5" t="s">
        <v>1393</v>
      </c>
      <c r="AE154" s="33"/>
      <c r="AF154" s="59" t="str">
        <f t="shared" si="7"/>
        <v>Không</v>
      </c>
      <c r="AG154" s="59" t="str">
        <f t="shared" si="8"/>
        <v>Không</v>
      </c>
      <c r="AH154" s="29" t="str">
        <f t="shared" ca="1" si="6"/>
        <v>Có</v>
      </c>
      <c r="AI154" s="29" t="str">
        <f ca="1">IF((R154)&gt;=6,"Có","Không")</f>
        <v>Có</v>
      </c>
      <c r="AJ154" s="29" t="str">
        <f>IF(OR(J154&gt;=140,K154&gt;=90),"Có","Không")</f>
        <v>Không</v>
      </c>
      <c r="AK154" s="5" t="s">
        <v>108</v>
      </c>
      <c r="AL154" s="32">
        <v>46081</v>
      </c>
      <c r="AM154" s="29" t="str">
        <f>"Tháng "&amp;MONTH(AL154)</f>
        <v>Tháng 2</v>
      </c>
      <c r="AN154" s="29" t="str">
        <f>LEFT(AK154,FIND(",",AK154)-1)</f>
        <v>Phường Hiệp Thành</v>
      </c>
    </row>
    <row r="155" spans="1:40" x14ac:dyDescent="0.25">
      <c r="A155" s="49" t="s">
        <v>112</v>
      </c>
      <c r="B155" s="5" t="s">
        <v>30</v>
      </c>
      <c r="C155" s="5" t="s">
        <v>59</v>
      </c>
      <c r="D155" s="29">
        <f ca="1">DATEDIF(C155,TODAY(),"Y")</f>
        <v>74</v>
      </c>
      <c r="E155" s="5" t="s">
        <v>26</v>
      </c>
      <c r="F155" s="30">
        <v>170</v>
      </c>
      <c r="G155" s="30">
        <v>57</v>
      </c>
      <c r="H155" s="31">
        <f>G155/((F155/100)*(F155/100))</f>
        <v>19.723183391003463</v>
      </c>
      <c r="I155" s="5">
        <v>81</v>
      </c>
      <c r="J155" s="30">
        <v>120</v>
      </c>
      <c r="K155" s="30">
        <v>80</v>
      </c>
      <c r="L155" s="29">
        <f>IF(B155="Nữ",0,2)</f>
        <v>2</v>
      </c>
      <c r="M155" s="29">
        <f ca="1">IF(D155&lt;45,0,IF(D155&lt;=49,1,2))</f>
        <v>2</v>
      </c>
      <c r="N155" s="29">
        <f>IF(E155="Có",4,0)</f>
        <v>0</v>
      </c>
      <c r="O155" s="29">
        <f>IF(H155&lt;23,0,IF(H155&lt;27.5,3,5))</f>
        <v>0</v>
      </c>
      <c r="P155" s="29">
        <f>IF(OR(AND(B155="Nam",I155&gt;=90),AND(B155="Nữ",I155&gt;=80)),2,0)</f>
        <v>0</v>
      </c>
      <c r="Q155" s="29">
        <f>IF(OR(J155&gt;=140,K155&gt;=90),2,0)</f>
        <v>0</v>
      </c>
      <c r="R155" s="29">
        <f ca="1">SUM(L155:Q155)</f>
        <v>4</v>
      </c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5" t="s">
        <v>1393</v>
      </c>
      <c r="AE155" s="33"/>
      <c r="AF155" s="59" t="str">
        <f t="shared" si="7"/>
        <v>Không</v>
      </c>
      <c r="AG155" s="59" t="str">
        <f t="shared" si="8"/>
        <v>Không</v>
      </c>
      <c r="AH155" s="29" t="str">
        <f t="shared" ca="1" si="6"/>
        <v>Không</v>
      </c>
      <c r="AI155" s="29" t="str">
        <f ca="1">IF((R155)&gt;=6,"Có","Không")</f>
        <v>Không</v>
      </c>
      <c r="AJ155" s="29" t="str">
        <f>IF(OR(J155&gt;=140,K155&gt;=90),"Có","Không")</f>
        <v>Không</v>
      </c>
      <c r="AK155" s="5" t="s">
        <v>113</v>
      </c>
      <c r="AL155" s="32">
        <v>46081</v>
      </c>
      <c r="AM155" s="29" t="str">
        <f>"Tháng "&amp;MONTH(AL155)</f>
        <v>Tháng 2</v>
      </c>
      <c r="AN155" s="29" t="str">
        <f>LEFT(AK155,FIND(",",AK155)-1)</f>
        <v>Giống Nhãn</v>
      </c>
    </row>
    <row r="156" spans="1:40" x14ac:dyDescent="0.25">
      <c r="A156" s="49" t="s">
        <v>129</v>
      </c>
      <c r="B156" s="5" t="s">
        <v>23</v>
      </c>
      <c r="C156" s="5" t="s">
        <v>130</v>
      </c>
      <c r="D156" s="29">
        <f ca="1">DATEDIF(C156,TODAY(),"Y")</f>
        <v>57</v>
      </c>
      <c r="E156" s="5" t="s">
        <v>25</v>
      </c>
      <c r="F156" s="30">
        <v>150</v>
      </c>
      <c r="G156" s="30">
        <v>32</v>
      </c>
      <c r="H156" s="31">
        <f>G156/((F156/100)*(F156/100))</f>
        <v>14.222222222222221</v>
      </c>
      <c r="I156" s="5">
        <v>73</v>
      </c>
      <c r="J156" s="30">
        <v>120</v>
      </c>
      <c r="K156" s="30">
        <v>80</v>
      </c>
      <c r="L156" s="29">
        <f>IF(B156="Nữ",0,2)</f>
        <v>0</v>
      </c>
      <c r="M156" s="29">
        <f ca="1">IF(D156&lt;45,0,IF(D156&lt;=49,1,2))</f>
        <v>2</v>
      </c>
      <c r="N156" s="29">
        <f>IF(E156="Có",4,0)</f>
        <v>4</v>
      </c>
      <c r="O156" s="29">
        <f>IF(H156&lt;23,0,IF(H156&lt;27.5,3,5))</f>
        <v>0</v>
      </c>
      <c r="P156" s="29">
        <f>IF(OR(AND(B156="Nam",I156&gt;=90),AND(B156="Nữ",I156&gt;=80)),2,0)</f>
        <v>0</v>
      </c>
      <c r="Q156" s="29">
        <f>IF(OR(J156&gt;=140,K156&gt;=90),2,0)</f>
        <v>0</v>
      </c>
      <c r="R156" s="29">
        <f ca="1">SUM(L156:Q156)</f>
        <v>6</v>
      </c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5" t="s">
        <v>1393</v>
      </c>
      <c r="AE156" s="33"/>
      <c r="AF156" s="59" t="str">
        <f t="shared" si="7"/>
        <v>Không</v>
      </c>
      <c r="AG156" s="59" t="str">
        <f t="shared" si="8"/>
        <v>Không</v>
      </c>
      <c r="AH156" s="29" t="str">
        <f t="shared" ca="1" si="6"/>
        <v>Có</v>
      </c>
      <c r="AI156" s="29" t="str">
        <f ca="1">IF((R156)&gt;=6,"Có","Không")</f>
        <v>Có</v>
      </c>
      <c r="AJ156" s="29" t="str">
        <f>IF(OR(J156&gt;=140,K156&gt;=90),"Có","Không")</f>
        <v>Không</v>
      </c>
      <c r="AK156" s="5" t="s">
        <v>51</v>
      </c>
      <c r="AL156" s="32">
        <v>46081</v>
      </c>
      <c r="AM156" s="29" t="str">
        <f>"Tháng "&amp;MONTH(AL156)</f>
        <v>Tháng 2</v>
      </c>
      <c r="AN156" s="29" t="str">
        <f>LEFT(AK156,FIND(",",AK156)-1)</f>
        <v>Phường Hiệp Thành</v>
      </c>
    </row>
    <row r="157" spans="1:40" x14ac:dyDescent="0.25">
      <c r="A157" s="49" t="s">
        <v>143</v>
      </c>
      <c r="B157" s="5" t="s">
        <v>30</v>
      </c>
      <c r="C157" s="5" t="s">
        <v>31</v>
      </c>
      <c r="D157" s="29">
        <f ca="1">DATEDIF(C157,TODAY(),"Y")</f>
        <v>79</v>
      </c>
      <c r="E157" s="5" t="s">
        <v>26</v>
      </c>
      <c r="F157" s="30">
        <v>169</v>
      </c>
      <c r="G157" s="30">
        <v>69</v>
      </c>
      <c r="H157" s="31">
        <f>G157/((F157/100)*(F157/100))</f>
        <v>24.158817968558527</v>
      </c>
      <c r="I157" s="5">
        <v>100</v>
      </c>
      <c r="J157" s="30">
        <v>140</v>
      </c>
      <c r="K157" s="30">
        <v>80</v>
      </c>
      <c r="L157" s="29">
        <f>IF(B157="Nữ",0,2)</f>
        <v>2</v>
      </c>
      <c r="M157" s="29">
        <f ca="1">IF(D157&lt;45,0,IF(D157&lt;=49,1,2))</f>
        <v>2</v>
      </c>
      <c r="N157" s="29">
        <f>IF(E157="Có",4,0)</f>
        <v>0</v>
      </c>
      <c r="O157" s="29">
        <f>IF(H157&lt;23,0,IF(H157&lt;27.5,3,5))</f>
        <v>3</v>
      </c>
      <c r="P157" s="29">
        <f>IF(OR(AND(B157="Nam",I157&gt;=90),AND(B157="Nữ",I157&gt;=80)),2,0)</f>
        <v>2</v>
      </c>
      <c r="Q157" s="29">
        <f>IF(OR(J157&gt;=140,K157&gt;=90),2,0)</f>
        <v>2</v>
      </c>
      <c r="R157" s="29">
        <f ca="1">SUM(L157:Q157)</f>
        <v>11</v>
      </c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5" t="s">
        <v>1393</v>
      </c>
      <c r="AE157" s="33"/>
      <c r="AF157" s="59" t="str">
        <f t="shared" si="7"/>
        <v>Không</v>
      </c>
      <c r="AG157" s="59" t="str">
        <f t="shared" si="8"/>
        <v>Không</v>
      </c>
      <c r="AH157" s="29" t="str">
        <f t="shared" ca="1" si="6"/>
        <v>Có</v>
      </c>
      <c r="AI157" s="29" t="str">
        <f ca="1">IF((R157)&gt;=6,"Có","Không")</f>
        <v>Có</v>
      </c>
      <c r="AJ157" s="29" t="str">
        <f>IF(OR(J157&gt;=140,K157&gt;=90),"Có","Không")</f>
        <v>Có</v>
      </c>
      <c r="AK157" s="5" t="s">
        <v>28</v>
      </c>
      <c r="AL157" s="32">
        <v>46081</v>
      </c>
      <c r="AM157" s="29" t="str">
        <f>"Tháng "&amp;MONTH(AL157)</f>
        <v>Tháng 2</v>
      </c>
      <c r="AN157" s="29" t="str">
        <f>LEFT(AK157,FIND(",",AK157)-1)</f>
        <v>Ấp Biển Đông A</v>
      </c>
    </row>
    <row r="158" spans="1:40" x14ac:dyDescent="0.25">
      <c r="A158" s="49" t="s">
        <v>144</v>
      </c>
      <c r="B158" s="5" t="s">
        <v>30</v>
      </c>
      <c r="C158" s="5" t="s">
        <v>56</v>
      </c>
      <c r="D158" s="29">
        <f ca="1">DATEDIF(C158,TODAY(),"Y")</f>
        <v>65</v>
      </c>
      <c r="E158" s="5" t="s">
        <v>25</v>
      </c>
      <c r="F158" s="30">
        <v>169</v>
      </c>
      <c r="G158" s="30">
        <v>69</v>
      </c>
      <c r="H158" s="31">
        <f>G158/((F158/100)*(F158/100))</f>
        <v>24.158817968558527</v>
      </c>
      <c r="I158" s="5">
        <v>96</v>
      </c>
      <c r="J158" s="30">
        <v>140</v>
      </c>
      <c r="K158" s="30">
        <v>80</v>
      </c>
      <c r="L158" s="29">
        <f>IF(B158="Nữ",0,2)</f>
        <v>2</v>
      </c>
      <c r="M158" s="29">
        <f ca="1">IF(D158&lt;45,0,IF(D158&lt;=49,1,2))</f>
        <v>2</v>
      </c>
      <c r="N158" s="29">
        <f>IF(E158="Có",4,0)</f>
        <v>4</v>
      </c>
      <c r="O158" s="29">
        <f>IF(H158&lt;23,0,IF(H158&lt;27.5,3,5))</f>
        <v>3</v>
      </c>
      <c r="P158" s="29">
        <f>IF(OR(AND(B158="Nam",I158&gt;=90),AND(B158="Nữ",I158&gt;=80)),2,0)</f>
        <v>2</v>
      </c>
      <c r="Q158" s="29">
        <f>IF(OR(J158&gt;=140,K158&gt;=90),2,0)</f>
        <v>2</v>
      </c>
      <c r="R158" s="29">
        <f ca="1">SUM(L158:Q158)</f>
        <v>15</v>
      </c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5" t="s">
        <v>1393</v>
      </c>
      <c r="AE158" s="33"/>
      <c r="AF158" s="59" t="str">
        <f t="shared" si="7"/>
        <v>Không</v>
      </c>
      <c r="AG158" s="59" t="str">
        <f t="shared" si="8"/>
        <v>Không</v>
      </c>
      <c r="AH158" s="29" t="str">
        <f t="shared" ca="1" si="6"/>
        <v>Có</v>
      </c>
      <c r="AI158" s="29" t="str">
        <f ca="1">IF((R158)&gt;=6,"Có","Không")</f>
        <v>Có</v>
      </c>
      <c r="AJ158" s="29" t="str">
        <f>IF(OR(J158&gt;=140,K158&gt;=90),"Có","Không")</f>
        <v>Có</v>
      </c>
      <c r="AK158" s="5" t="s">
        <v>28</v>
      </c>
      <c r="AL158" s="32">
        <v>46081</v>
      </c>
      <c r="AM158" s="29" t="str">
        <f>"Tháng "&amp;MONTH(AL158)</f>
        <v>Tháng 2</v>
      </c>
      <c r="AN158" s="29" t="str">
        <f>LEFT(AK158,FIND(",",AK158)-1)</f>
        <v>Ấp Biển Đông A</v>
      </c>
    </row>
    <row r="159" spans="1:40" x14ac:dyDescent="0.25">
      <c r="A159" s="49" t="s">
        <v>145</v>
      </c>
      <c r="B159" s="5" t="s">
        <v>30</v>
      </c>
      <c r="C159" s="5" t="s">
        <v>146</v>
      </c>
      <c r="D159" s="29">
        <f ca="1">DATEDIF(C159,TODAY(),"Y")</f>
        <v>52</v>
      </c>
      <c r="E159" s="5" t="s">
        <v>25</v>
      </c>
      <c r="F159" s="30">
        <v>169</v>
      </c>
      <c r="G159" s="30">
        <v>69</v>
      </c>
      <c r="H159" s="31">
        <f>G159/((F159/100)*(F159/100))</f>
        <v>24.158817968558527</v>
      </c>
      <c r="I159" s="5">
        <v>90</v>
      </c>
      <c r="J159" s="30">
        <v>160</v>
      </c>
      <c r="K159" s="30">
        <v>80</v>
      </c>
      <c r="L159" s="29">
        <f>IF(B159="Nữ",0,2)</f>
        <v>2</v>
      </c>
      <c r="M159" s="29">
        <f ca="1">IF(D159&lt;45,0,IF(D159&lt;=49,1,2))</f>
        <v>2</v>
      </c>
      <c r="N159" s="29">
        <f>IF(E159="Có",4,0)</f>
        <v>4</v>
      </c>
      <c r="O159" s="29">
        <f>IF(H159&lt;23,0,IF(H159&lt;27.5,3,5))</f>
        <v>3</v>
      </c>
      <c r="P159" s="29">
        <f>IF(OR(AND(B159="Nam",I159&gt;=90),AND(B159="Nữ",I159&gt;=80)),2,0)</f>
        <v>2</v>
      </c>
      <c r="Q159" s="29">
        <f>IF(OR(J159&gt;=140,K159&gt;=90),2,0)</f>
        <v>2</v>
      </c>
      <c r="R159" s="29">
        <f ca="1">SUM(L159:Q159)</f>
        <v>15</v>
      </c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5" t="s">
        <v>1393</v>
      </c>
      <c r="AE159" s="33"/>
      <c r="AF159" s="59" t="str">
        <f t="shared" si="7"/>
        <v>Không</v>
      </c>
      <c r="AG159" s="59" t="str">
        <f t="shared" si="8"/>
        <v>Không</v>
      </c>
      <c r="AH159" s="29" t="str">
        <f t="shared" ca="1" si="6"/>
        <v>Có</v>
      </c>
      <c r="AI159" s="29" t="str">
        <f ca="1">IF((R159)&gt;=6,"Có","Không")</f>
        <v>Có</v>
      </c>
      <c r="AJ159" s="29" t="str">
        <f>IF(OR(J159&gt;=140,K159&gt;=90),"Có","Không")</f>
        <v>Có</v>
      </c>
      <c r="AK159" s="5" t="s">
        <v>147</v>
      </c>
      <c r="AL159" s="32">
        <v>46081</v>
      </c>
      <c r="AM159" s="29" t="str">
        <f>"Tháng "&amp;MONTH(AL159)</f>
        <v>Tháng 2</v>
      </c>
      <c r="AN159" s="29" t="str">
        <f>LEFT(AK159,FIND(",",AK159)-1)</f>
        <v>ẤP BIỂN TÂY B</v>
      </c>
    </row>
    <row r="160" spans="1:40" x14ac:dyDescent="0.25">
      <c r="A160" s="49" t="s">
        <v>151</v>
      </c>
      <c r="B160" s="5" t="s">
        <v>30</v>
      </c>
      <c r="C160" s="5" t="s">
        <v>56</v>
      </c>
      <c r="D160" s="29">
        <f ca="1">DATEDIF(C160,TODAY(),"Y")</f>
        <v>65</v>
      </c>
      <c r="E160" s="5" t="s">
        <v>25</v>
      </c>
      <c r="F160" s="30">
        <v>170</v>
      </c>
      <c r="G160" s="30">
        <v>55</v>
      </c>
      <c r="H160" s="31">
        <f>G160/((F160/100)*(F160/100))</f>
        <v>19.031141868512112</v>
      </c>
      <c r="I160" s="5">
        <v>76</v>
      </c>
      <c r="J160" s="30">
        <v>120</v>
      </c>
      <c r="K160" s="30">
        <v>80</v>
      </c>
      <c r="L160" s="29">
        <f>IF(B160="Nữ",0,2)</f>
        <v>2</v>
      </c>
      <c r="M160" s="29">
        <f ca="1">IF(D160&lt;45,0,IF(D160&lt;=49,1,2))</f>
        <v>2</v>
      </c>
      <c r="N160" s="29">
        <f>IF(E160="Có",4,0)</f>
        <v>4</v>
      </c>
      <c r="O160" s="29">
        <f>IF(H160&lt;23,0,IF(H160&lt;27.5,3,5))</f>
        <v>0</v>
      </c>
      <c r="P160" s="29">
        <f>IF(OR(AND(B160="Nam",I160&gt;=90),AND(B160="Nữ",I160&gt;=80)),2,0)</f>
        <v>0</v>
      </c>
      <c r="Q160" s="29">
        <f>IF(OR(J160&gt;=140,K160&gt;=90),2,0)</f>
        <v>0</v>
      </c>
      <c r="R160" s="29">
        <f ca="1">SUM(L160:Q160)</f>
        <v>8</v>
      </c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5" t="s">
        <v>1393</v>
      </c>
      <c r="AE160" s="33"/>
      <c r="AF160" s="59" t="str">
        <f t="shared" si="7"/>
        <v>Không</v>
      </c>
      <c r="AG160" s="59" t="str">
        <f t="shared" si="8"/>
        <v>Không</v>
      </c>
      <c r="AH160" s="29" t="str">
        <f t="shared" ca="1" si="6"/>
        <v>Có</v>
      </c>
      <c r="AI160" s="29" t="str">
        <f ca="1">IF((R160)&gt;=6,"Có","Không")</f>
        <v>Có</v>
      </c>
      <c r="AJ160" s="29" t="str">
        <f>IF(OR(J160&gt;=140,K160&gt;=90),"Có","Không")</f>
        <v>Không</v>
      </c>
      <c r="AK160" s="5" t="s">
        <v>152</v>
      </c>
      <c r="AL160" s="32">
        <v>46081</v>
      </c>
      <c r="AM160" s="29" t="str">
        <f>"Tháng "&amp;MONTH(AL160)</f>
        <v>Tháng 2</v>
      </c>
      <c r="AN160" s="29" t="str">
        <f>LEFT(AK160,FIND(",",AK160)-1)</f>
        <v>Khóm Giồng Giữa</v>
      </c>
    </row>
    <row r="161" spans="1:40" x14ac:dyDescent="0.25">
      <c r="A161" s="49" t="s">
        <v>228</v>
      </c>
      <c r="B161" s="5" t="s">
        <v>23</v>
      </c>
      <c r="C161" s="5" t="s">
        <v>90</v>
      </c>
      <c r="D161" s="29">
        <f ca="1">DATEDIF(C161,TODAY(),"Y")</f>
        <v>54</v>
      </c>
      <c r="E161" s="5" t="s">
        <v>26</v>
      </c>
      <c r="F161" s="30">
        <v>164</v>
      </c>
      <c r="G161" s="30">
        <v>61</v>
      </c>
      <c r="H161" s="31">
        <f>G161/((F161/100)*(F161/100))</f>
        <v>22.679952409280194</v>
      </c>
      <c r="I161" s="5">
        <v>90</v>
      </c>
      <c r="J161" s="30">
        <v>120</v>
      </c>
      <c r="K161" s="30">
        <v>80</v>
      </c>
      <c r="L161" s="29">
        <f>IF(B161="Nữ",0,2)</f>
        <v>0</v>
      </c>
      <c r="M161" s="29">
        <f ca="1">IF(D161&lt;45,0,IF(D161&lt;=49,1,2))</f>
        <v>2</v>
      </c>
      <c r="N161" s="29">
        <f>IF(E161="Có",4,0)</f>
        <v>0</v>
      </c>
      <c r="O161" s="29">
        <f>IF(H161&lt;23,0,IF(H161&lt;27.5,3,5))</f>
        <v>0</v>
      </c>
      <c r="P161" s="29">
        <f>IF(OR(AND(B161="Nam",I161&gt;=90),AND(B161="Nữ",I161&gt;=80)),2,0)</f>
        <v>2</v>
      </c>
      <c r="Q161" s="29">
        <f>IF(OR(J161&gt;=140,K161&gt;=90),2,0)</f>
        <v>0</v>
      </c>
      <c r="R161" s="29">
        <f ca="1">SUM(L161:Q161)</f>
        <v>4</v>
      </c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5" t="s">
        <v>1393</v>
      </c>
      <c r="AE161" s="33"/>
      <c r="AF161" s="59" t="str">
        <f t="shared" si="7"/>
        <v>Không</v>
      </c>
      <c r="AG161" s="59" t="str">
        <f t="shared" si="8"/>
        <v>Không</v>
      </c>
      <c r="AH161" s="29" t="str">
        <f t="shared" ca="1" si="6"/>
        <v>Không</v>
      </c>
      <c r="AI161" s="29" t="str">
        <f ca="1">IF((R161)&gt;=6,"Có","Không")</f>
        <v>Không</v>
      </c>
      <c r="AJ161" s="29" t="str">
        <f>IF(OR(J161&gt;=140,K161&gt;=90),"Có","Không")</f>
        <v>Không</v>
      </c>
      <c r="AK161" s="5" t="s">
        <v>229</v>
      </c>
      <c r="AL161" s="32">
        <v>46081</v>
      </c>
      <c r="AM161" s="29" t="str">
        <f>"Tháng "&amp;MONTH(AL161)</f>
        <v>Tháng 2</v>
      </c>
      <c r="AN161" s="29" t="str">
        <f>LEFT(AK161,FIND(",",AK161)-1)</f>
        <v>Xã Vĩnh Trạch Đông</v>
      </c>
    </row>
    <row r="162" spans="1:40" x14ac:dyDescent="0.25">
      <c r="A162" s="49" t="s">
        <v>230</v>
      </c>
      <c r="B162" s="5" t="s">
        <v>30</v>
      </c>
      <c r="C162" s="5" t="s">
        <v>84</v>
      </c>
      <c r="D162" s="29">
        <f ca="1">DATEDIF(C162,TODAY(),"Y")</f>
        <v>69</v>
      </c>
      <c r="E162" s="5" t="s">
        <v>26</v>
      </c>
      <c r="F162" s="30">
        <v>167</v>
      </c>
      <c r="G162" s="30">
        <v>66</v>
      </c>
      <c r="H162" s="31">
        <f>G162/((F162/100)*(F162/100))</f>
        <v>23.665244361576249</v>
      </c>
      <c r="I162" s="5">
        <v>91</v>
      </c>
      <c r="J162" s="30">
        <v>120</v>
      </c>
      <c r="K162" s="30">
        <v>80</v>
      </c>
      <c r="L162" s="29">
        <f>IF(B162="Nữ",0,2)</f>
        <v>2</v>
      </c>
      <c r="M162" s="29">
        <f ca="1">IF(D162&lt;45,0,IF(D162&lt;=49,1,2))</f>
        <v>2</v>
      </c>
      <c r="N162" s="29">
        <f>IF(E162="Có",4,0)</f>
        <v>0</v>
      </c>
      <c r="O162" s="29">
        <f>IF(H162&lt;23,0,IF(H162&lt;27.5,3,5))</f>
        <v>3</v>
      </c>
      <c r="P162" s="29">
        <f>IF(OR(AND(B162="Nam",I162&gt;=90),AND(B162="Nữ",I162&gt;=80)),2,0)</f>
        <v>2</v>
      </c>
      <c r="Q162" s="29">
        <f>IF(OR(J162&gt;=140,K162&gt;=90),2,0)</f>
        <v>0</v>
      </c>
      <c r="R162" s="29">
        <f ca="1">SUM(L162:Q162)</f>
        <v>9</v>
      </c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5" t="s">
        <v>1393</v>
      </c>
      <c r="AE162" s="33"/>
      <c r="AF162" s="59" t="str">
        <f t="shared" si="7"/>
        <v>Không</v>
      </c>
      <c r="AG162" s="59" t="str">
        <f t="shared" si="8"/>
        <v>Không</v>
      </c>
      <c r="AH162" s="29" t="str">
        <f t="shared" ca="1" si="6"/>
        <v>Có</v>
      </c>
      <c r="AI162" s="29" t="str">
        <f ca="1">IF((R162)&gt;=6,"Có","Không")</f>
        <v>Có</v>
      </c>
      <c r="AJ162" s="29" t="str">
        <f>IF(OR(J162&gt;=140,K162&gt;=90),"Có","Không")</f>
        <v>Không</v>
      </c>
      <c r="AK162" s="5" t="s">
        <v>32</v>
      </c>
      <c r="AL162" s="32">
        <v>46081</v>
      </c>
      <c r="AM162" s="29" t="str">
        <f>"Tháng "&amp;MONTH(AL162)</f>
        <v>Tháng 2</v>
      </c>
      <c r="AN162" s="29" t="str">
        <f>LEFT(AK162,FIND(",",AK162)-1)</f>
        <v>Ấp Giồng Giữa B</v>
      </c>
    </row>
    <row r="163" spans="1:40" x14ac:dyDescent="0.25">
      <c r="A163" s="49" t="s">
        <v>238</v>
      </c>
      <c r="B163" s="5" t="s">
        <v>23</v>
      </c>
      <c r="C163" s="5" t="s">
        <v>87</v>
      </c>
      <c r="D163" s="29">
        <f ca="1">DATEDIF(C163,TODAY(),"Y")</f>
        <v>49</v>
      </c>
      <c r="E163" s="5" t="s">
        <v>26</v>
      </c>
      <c r="F163" s="30">
        <v>170</v>
      </c>
      <c r="G163" s="30">
        <v>60</v>
      </c>
      <c r="H163" s="31">
        <f>G163/((F163/100)*(F163/100))</f>
        <v>20.761245674740486</v>
      </c>
      <c r="I163" s="5">
        <v>88</v>
      </c>
      <c r="J163" s="30">
        <v>120</v>
      </c>
      <c r="K163" s="30">
        <v>70</v>
      </c>
      <c r="L163" s="29">
        <f>IF(B163="Nữ",0,2)</f>
        <v>0</v>
      </c>
      <c r="M163" s="29">
        <f ca="1">IF(D163&lt;45,0,IF(D163&lt;=49,1,2))</f>
        <v>1</v>
      </c>
      <c r="N163" s="29">
        <f>IF(E163="Có",4,0)</f>
        <v>0</v>
      </c>
      <c r="O163" s="29">
        <f>IF(H163&lt;23,0,IF(H163&lt;27.5,3,5))</f>
        <v>0</v>
      </c>
      <c r="P163" s="29">
        <f>IF(OR(AND(B163="Nam",I163&gt;=90),AND(B163="Nữ",I163&gt;=80)),2,0)</f>
        <v>2</v>
      </c>
      <c r="Q163" s="29">
        <f>IF(OR(J163&gt;=140,K163&gt;=90),2,0)</f>
        <v>0</v>
      </c>
      <c r="R163" s="29">
        <f ca="1">SUM(L163:Q163)</f>
        <v>3</v>
      </c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5" t="s">
        <v>1393</v>
      </c>
      <c r="AE163" s="33"/>
      <c r="AF163" s="59" t="str">
        <f t="shared" si="7"/>
        <v>Không</v>
      </c>
      <c r="AG163" s="59" t="str">
        <f t="shared" si="8"/>
        <v>Không</v>
      </c>
      <c r="AH163" s="29" t="str">
        <f t="shared" ca="1" si="6"/>
        <v>Không</v>
      </c>
      <c r="AI163" s="29" t="str">
        <f ca="1">IF((R163)&gt;=6,"Có","Không")</f>
        <v>Không</v>
      </c>
      <c r="AJ163" s="29" t="str">
        <f>IF(OR(J163&gt;=140,K163&gt;=90),"Có","Không")</f>
        <v>Không</v>
      </c>
      <c r="AK163" s="5" t="s">
        <v>239</v>
      </c>
      <c r="AL163" s="32">
        <v>46081</v>
      </c>
      <c r="AM163" s="29" t="str">
        <f>"Tháng "&amp;MONTH(AL163)</f>
        <v>Tháng 2</v>
      </c>
      <c r="AN163" s="29" t="str">
        <f>LEFT(AK163,FIND(",",AK163)-1)</f>
        <v>Xóm Lẫm</v>
      </c>
    </row>
    <row r="164" spans="1:40" x14ac:dyDescent="0.25">
      <c r="A164" s="49" t="s">
        <v>248</v>
      </c>
      <c r="B164" s="5" t="s">
        <v>23</v>
      </c>
      <c r="C164" s="5" t="s">
        <v>45</v>
      </c>
      <c r="D164" s="29">
        <f ca="1">DATEDIF(C164,TODAY(),"Y")</f>
        <v>50</v>
      </c>
      <c r="E164" s="5" t="s">
        <v>26</v>
      </c>
      <c r="F164" s="30">
        <v>158</v>
      </c>
      <c r="G164" s="30">
        <v>58</v>
      </c>
      <c r="H164" s="31">
        <f>G164/((F164/100)*(F164/100))</f>
        <v>23.233456176894723</v>
      </c>
      <c r="I164" s="5">
        <v>72</v>
      </c>
      <c r="J164" s="30">
        <v>140</v>
      </c>
      <c r="K164" s="30">
        <v>80</v>
      </c>
      <c r="L164" s="29">
        <f>IF(B164="Nữ",0,2)</f>
        <v>0</v>
      </c>
      <c r="M164" s="29">
        <f ca="1">IF(D164&lt;45,0,IF(D164&lt;=49,1,2))</f>
        <v>2</v>
      </c>
      <c r="N164" s="29">
        <f>IF(E164="Có",4,0)</f>
        <v>0</v>
      </c>
      <c r="O164" s="29">
        <f>IF(H164&lt;23,0,IF(H164&lt;27.5,3,5))</f>
        <v>3</v>
      </c>
      <c r="P164" s="29">
        <f>IF(OR(AND(B164="Nam",I164&gt;=90),AND(B164="Nữ",I164&gt;=80)),2,0)</f>
        <v>0</v>
      </c>
      <c r="Q164" s="29">
        <f>IF(OR(J164&gt;=140,K164&gt;=90),2,0)</f>
        <v>2</v>
      </c>
      <c r="R164" s="29">
        <f ca="1">SUM(L164:Q164)</f>
        <v>7</v>
      </c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5" t="s">
        <v>1393</v>
      </c>
      <c r="AE164" s="33"/>
      <c r="AF164" s="59" t="str">
        <f t="shared" si="7"/>
        <v>Không</v>
      </c>
      <c r="AG164" s="59" t="str">
        <f t="shared" si="8"/>
        <v>Không</v>
      </c>
      <c r="AH164" s="29" t="str">
        <f t="shared" ca="1" si="6"/>
        <v>Có</v>
      </c>
      <c r="AI164" s="29" t="str">
        <f ca="1">IF((R164)&gt;=6,"Có","Không")</f>
        <v>Có</v>
      </c>
      <c r="AJ164" s="29" t="str">
        <f>IF(OR(J164&gt;=140,K164&gt;=90),"Có","Không")</f>
        <v>Có</v>
      </c>
      <c r="AK164" s="5" t="s">
        <v>210</v>
      </c>
      <c r="AL164" s="32">
        <v>46081</v>
      </c>
      <c r="AM164" s="29" t="str">
        <f>"Tháng "&amp;MONTH(AL164)</f>
        <v>Tháng 2</v>
      </c>
      <c r="AN164" s="29" t="str">
        <f>LEFT(AK164,FIND(",",AK164)-1)</f>
        <v>Biển Đông A</v>
      </c>
    </row>
    <row r="165" spans="1:40" x14ac:dyDescent="0.25">
      <c r="A165" s="49" t="s">
        <v>260</v>
      </c>
      <c r="B165" s="5" t="s">
        <v>23</v>
      </c>
      <c r="C165" s="5" t="s">
        <v>90</v>
      </c>
      <c r="D165" s="29">
        <f ca="1">DATEDIF(C165,TODAY(),"Y")</f>
        <v>54</v>
      </c>
      <c r="E165" s="5" t="s">
        <v>26</v>
      </c>
      <c r="F165" s="30">
        <v>160</v>
      </c>
      <c r="G165" s="30">
        <v>55</v>
      </c>
      <c r="H165" s="31">
        <f>G165/((F165/100)*(F165/100))</f>
        <v>21.484374999999996</v>
      </c>
      <c r="I165" s="5">
        <v>74</v>
      </c>
      <c r="J165" s="30">
        <v>120</v>
      </c>
      <c r="K165" s="30">
        <v>70</v>
      </c>
      <c r="L165" s="29">
        <f>IF(B165="Nữ",0,2)</f>
        <v>0</v>
      </c>
      <c r="M165" s="29">
        <f ca="1">IF(D165&lt;45,0,IF(D165&lt;=49,1,2))</f>
        <v>2</v>
      </c>
      <c r="N165" s="29">
        <f>IF(E165="Có",4,0)</f>
        <v>0</v>
      </c>
      <c r="O165" s="29">
        <f>IF(H165&lt;23,0,IF(H165&lt;27.5,3,5))</f>
        <v>0</v>
      </c>
      <c r="P165" s="29">
        <f>IF(OR(AND(B165="Nam",I165&gt;=90),AND(B165="Nữ",I165&gt;=80)),2,0)</f>
        <v>0</v>
      </c>
      <c r="Q165" s="29">
        <f>IF(OR(J165&gt;=140,K165&gt;=90),2,0)</f>
        <v>0</v>
      </c>
      <c r="R165" s="29">
        <f ca="1">SUM(L165:Q165)</f>
        <v>2</v>
      </c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5" t="s">
        <v>1393</v>
      </c>
      <c r="AE165" s="33"/>
      <c r="AF165" s="59" t="str">
        <f t="shared" si="7"/>
        <v>Không</v>
      </c>
      <c r="AG165" s="59" t="str">
        <f t="shared" si="8"/>
        <v>Không</v>
      </c>
      <c r="AH165" s="29" t="str">
        <f t="shared" ca="1" si="6"/>
        <v>Không</v>
      </c>
      <c r="AI165" s="29" t="str">
        <f ca="1">IF((R165)&gt;=6,"Có","Không")</f>
        <v>Không</v>
      </c>
      <c r="AJ165" s="29" t="str">
        <f>IF(OR(J165&gt;=140,K165&gt;=90),"Có","Không")</f>
        <v>Không</v>
      </c>
      <c r="AK165" s="5" t="s">
        <v>215</v>
      </c>
      <c r="AL165" s="32">
        <v>46081</v>
      </c>
      <c r="AM165" s="29" t="str">
        <f>"Tháng "&amp;MONTH(AL165)</f>
        <v>Tháng 2</v>
      </c>
      <c r="AN165" s="29" t="str">
        <f>LEFT(AK165,FIND(",",AK165)-1)</f>
        <v>Giồng Nhãn A</v>
      </c>
    </row>
    <row r="166" spans="1:40" x14ac:dyDescent="0.25">
      <c r="A166" s="49" t="s">
        <v>262</v>
      </c>
      <c r="B166" s="5" t="s">
        <v>23</v>
      </c>
      <c r="C166" s="5" t="s">
        <v>90</v>
      </c>
      <c r="D166" s="29">
        <f ca="1">DATEDIF(C166,TODAY(),"Y")</f>
        <v>54</v>
      </c>
      <c r="E166" s="5" t="s">
        <v>26</v>
      </c>
      <c r="F166" s="30">
        <v>154</v>
      </c>
      <c r="G166" s="30">
        <v>49</v>
      </c>
      <c r="H166" s="31">
        <f>G166/((F166/100)*(F166/100))</f>
        <v>20.66115702479339</v>
      </c>
      <c r="I166" s="5">
        <v>80</v>
      </c>
      <c r="J166" s="30">
        <v>140</v>
      </c>
      <c r="K166" s="30">
        <v>80</v>
      </c>
      <c r="L166" s="29">
        <f>IF(B166="Nữ",0,2)</f>
        <v>0</v>
      </c>
      <c r="M166" s="29">
        <f ca="1">IF(D166&lt;45,0,IF(D166&lt;=49,1,2))</f>
        <v>2</v>
      </c>
      <c r="N166" s="29">
        <f>IF(E166="Có",4,0)</f>
        <v>0</v>
      </c>
      <c r="O166" s="29">
        <f>IF(H166&lt;23,0,IF(H166&lt;27.5,3,5))</f>
        <v>0</v>
      </c>
      <c r="P166" s="29">
        <f>IF(OR(AND(B166="Nam",I166&gt;=90),AND(B166="Nữ",I166&gt;=80)),2,0)</f>
        <v>2</v>
      </c>
      <c r="Q166" s="29">
        <f>IF(OR(J166&gt;=140,K166&gt;=90),2,0)</f>
        <v>2</v>
      </c>
      <c r="R166" s="29">
        <f ca="1">SUM(L166:Q166)</f>
        <v>6</v>
      </c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5" t="s">
        <v>1393</v>
      </c>
      <c r="AE166" s="33"/>
      <c r="AF166" s="59" t="str">
        <f t="shared" si="7"/>
        <v>Không</v>
      </c>
      <c r="AG166" s="59" t="str">
        <f t="shared" si="8"/>
        <v>Không</v>
      </c>
      <c r="AH166" s="29" t="str">
        <f t="shared" ca="1" si="6"/>
        <v>Có</v>
      </c>
      <c r="AI166" s="29" t="str">
        <f ca="1">IF((R166)&gt;=6,"Có","Không")</f>
        <v>Có</v>
      </c>
      <c r="AJ166" s="29" t="str">
        <f>IF(OR(J166&gt;=140,K166&gt;=90),"Có","Không")</f>
        <v>Có</v>
      </c>
      <c r="AK166" s="5" t="s">
        <v>51</v>
      </c>
      <c r="AL166" s="32">
        <v>46081</v>
      </c>
      <c r="AM166" s="29" t="str">
        <f>"Tháng "&amp;MONTH(AL166)</f>
        <v>Tháng 2</v>
      </c>
      <c r="AN166" s="29" t="str">
        <f>LEFT(AK166,FIND(",",AK166)-1)</f>
        <v>Phường Hiệp Thành</v>
      </c>
    </row>
    <row r="167" spans="1:40" x14ac:dyDescent="0.25">
      <c r="A167" s="49" t="s">
        <v>313</v>
      </c>
      <c r="B167" s="5" t="s">
        <v>23</v>
      </c>
      <c r="C167" s="5" t="s">
        <v>314</v>
      </c>
      <c r="D167" s="29">
        <f ca="1">DATEDIF(C167,TODAY(),"Y")</f>
        <v>77</v>
      </c>
      <c r="E167" s="5" t="s">
        <v>26</v>
      </c>
      <c r="F167" s="30">
        <v>158</v>
      </c>
      <c r="G167" s="30">
        <v>58</v>
      </c>
      <c r="H167" s="31">
        <f>G167/((F167/100)*(F167/100))</f>
        <v>23.233456176894723</v>
      </c>
      <c r="I167" s="5">
        <v>75</v>
      </c>
      <c r="J167" s="30">
        <v>170</v>
      </c>
      <c r="K167" s="30">
        <v>80</v>
      </c>
      <c r="L167" s="29">
        <f>IF(B167="Nữ",0,2)</f>
        <v>0</v>
      </c>
      <c r="M167" s="29">
        <f ca="1">IF(D167&lt;45,0,IF(D167&lt;=49,1,2))</f>
        <v>2</v>
      </c>
      <c r="N167" s="29">
        <f>IF(E167="Có",4,0)</f>
        <v>0</v>
      </c>
      <c r="O167" s="29">
        <f>IF(H167&lt;23,0,IF(H167&lt;27.5,3,5))</f>
        <v>3</v>
      </c>
      <c r="P167" s="29">
        <f>IF(OR(AND(B167="Nam",I167&gt;=90),AND(B167="Nữ",I167&gt;=80)),2,0)</f>
        <v>0</v>
      </c>
      <c r="Q167" s="29">
        <f>IF(OR(J167&gt;=140,K167&gt;=90),2,0)</f>
        <v>2</v>
      </c>
      <c r="R167" s="29">
        <f ca="1">SUM(L167:Q167)</f>
        <v>7</v>
      </c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5" t="s">
        <v>1393</v>
      </c>
      <c r="AE167" s="33"/>
      <c r="AF167" s="59" t="str">
        <f t="shared" si="7"/>
        <v>Không</v>
      </c>
      <c r="AG167" s="59" t="str">
        <f t="shared" si="8"/>
        <v>Không</v>
      </c>
      <c r="AH167" s="29" t="str">
        <f t="shared" ca="1" si="6"/>
        <v>Có</v>
      </c>
      <c r="AI167" s="29" t="str">
        <f ca="1">IF((R167)&gt;=6,"Có","Không")</f>
        <v>Có</v>
      </c>
      <c r="AJ167" s="29" t="str">
        <f>IF(OR(J167&gt;=140,K167&gt;=90),"Có","Không")</f>
        <v>Có</v>
      </c>
      <c r="AK167" s="5" t="s">
        <v>60</v>
      </c>
      <c r="AL167" s="32">
        <v>46081</v>
      </c>
      <c r="AM167" s="29" t="str">
        <f>"Tháng "&amp;MONTH(AL167)</f>
        <v>Tháng 2</v>
      </c>
      <c r="AN167" s="29" t="str">
        <f>LEFT(AK167,FIND(",",AK167)-1)</f>
        <v>ấp Biển Đông A</v>
      </c>
    </row>
    <row r="168" spans="1:40" x14ac:dyDescent="0.25">
      <c r="A168" s="49" t="s">
        <v>315</v>
      </c>
      <c r="B168" s="5" t="s">
        <v>30</v>
      </c>
      <c r="C168" s="5" t="s">
        <v>163</v>
      </c>
      <c r="D168" s="29">
        <f ca="1">DATEDIF(C168,TODAY(),"Y")</f>
        <v>46</v>
      </c>
      <c r="E168" s="5" t="s">
        <v>26</v>
      </c>
      <c r="F168" s="30">
        <v>161</v>
      </c>
      <c r="G168" s="30">
        <v>80</v>
      </c>
      <c r="H168" s="31">
        <f>G168/((F168/100)*(F168/100))</f>
        <v>30.863006828440259</v>
      </c>
      <c r="I168" s="5">
        <v>97</v>
      </c>
      <c r="J168" s="30">
        <v>120</v>
      </c>
      <c r="K168" s="30">
        <v>80</v>
      </c>
      <c r="L168" s="29">
        <f>IF(B168="Nữ",0,2)</f>
        <v>2</v>
      </c>
      <c r="M168" s="29">
        <f ca="1">IF(D168&lt;45,0,IF(D168&lt;=49,1,2))</f>
        <v>1</v>
      </c>
      <c r="N168" s="29">
        <f>IF(E168="Có",4,0)</f>
        <v>0</v>
      </c>
      <c r="O168" s="29">
        <f>IF(H168&lt;23,0,IF(H168&lt;27.5,3,5))</f>
        <v>5</v>
      </c>
      <c r="P168" s="29">
        <f>IF(OR(AND(B168="Nam",I168&gt;=90),AND(B168="Nữ",I168&gt;=80)),2,0)</f>
        <v>2</v>
      </c>
      <c r="Q168" s="29">
        <f>IF(OR(J168&gt;=140,K168&gt;=90),2,0)</f>
        <v>0</v>
      </c>
      <c r="R168" s="29">
        <f ca="1">SUM(L168:Q168)</f>
        <v>10</v>
      </c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5" t="s">
        <v>1393</v>
      </c>
      <c r="AE168" s="33"/>
      <c r="AF168" s="59" t="str">
        <f t="shared" si="7"/>
        <v>Không</v>
      </c>
      <c r="AG168" s="59" t="str">
        <f t="shared" si="8"/>
        <v>Không</v>
      </c>
      <c r="AH168" s="29" t="str">
        <f t="shared" ca="1" si="6"/>
        <v>Có</v>
      </c>
      <c r="AI168" s="29" t="str">
        <f ca="1">IF((R168)&gt;=6,"Có","Không")</f>
        <v>Có</v>
      </c>
      <c r="AJ168" s="29" t="str">
        <f>IF(OR(J168&gt;=140,K168&gt;=90),"Có","Không")</f>
        <v>Không</v>
      </c>
      <c r="AK168" s="5" t="s">
        <v>51</v>
      </c>
      <c r="AL168" s="32">
        <v>46081</v>
      </c>
      <c r="AM168" s="29" t="str">
        <f>"Tháng "&amp;MONTH(AL168)</f>
        <v>Tháng 2</v>
      </c>
      <c r="AN168" s="29" t="str">
        <f>LEFT(AK168,FIND(",",AK168)-1)</f>
        <v>Phường Hiệp Thành</v>
      </c>
    </row>
    <row r="169" spans="1:40" x14ac:dyDescent="0.25">
      <c r="A169" s="49" t="s">
        <v>322</v>
      </c>
      <c r="B169" s="5" t="s">
        <v>23</v>
      </c>
      <c r="C169" s="5" t="s">
        <v>155</v>
      </c>
      <c r="D169" s="29">
        <f ca="1">DATEDIF(C169,TODAY(),"Y")</f>
        <v>53</v>
      </c>
      <c r="E169" s="5" t="s">
        <v>26</v>
      </c>
      <c r="F169" s="30">
        <v>168</v>
      </c>
      <c r="G169" s="30">
        <v>61</v>
      </c>
      <c r="H169" s="31">
        <f>G169/((F169/100)*(F169/100))</f>
        <v>21.612811791383223</v>
      </c>
      <c r="I169" s="5">
        <v>73</v>
      </c>
      <c r="J169" s="30">
        <v>120</v>
      </c>
      <c r="K169" s="30">
        <v>80</v>
      </c>
      <c r="L169" s="29">
        <f>IF(B169="Nữ",0,2)</f>
        <v>0</v>
      </c>
      <c r="M169" s="29">
        <f ca="1">IF(D169&lt;45,0,IF(D169&lt;=49,1,2))</f>
        <v>2</v>
      </c>
      <c r="N169" s="29">
        <f>IF(E169="Có",4,0)</f>
        <v>0</v>
      </c>
      <c r="O169" s="29">
        <f>IF(H169&lt;23,0,IF(H169&lt;27.5,3,5))</f>
        <v>0</v>
      </c>
      <c r="P169" s="29">
        <f>IF(OR(AND(B169="Nam",I169&gt;=90),AND(B169="Nữ",I169&gt;=80)),2,0)</f>
        <v>0</v>
      </c>
      <c r="Q169" s="29">
        <f>IF(OR(J169&gt;=140,K169&gt;=90),2,0)</f>
        <v>0</v>
      </c>
      <c r="R169" s="29">
        <f ca="1">SUM(L169:Q169)</f>
        <v>2</v>
      </c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5" t="s">
        <v>1393</v>
      </c>
      <c r="AE169" s="33"/>
      <c r="AF169" s="59" t="str">
        <f t="shared" si="7"/>
        <v>Không</v>
      </c>
      <c r="AG169" s="59" t="str">
        <f t="shared" si="8"/>
        <v>Không</v>
      </c>
      <c r="AH169" s="29" t="str">
        <f t="shared" ca="1" si="6"/>
        <v>Không</v>
      </c>
      <c r="AI169" s="29" t="str">
        <f ca="1">IF((R169)&gt;=6,"Có","Không")</f>
        <v>Không</v>
      </c>
      <c r="AJ169" s="29" t="str">
        <f>IF(OR(J169&gt;=140,K169&gt;=90),"Có","Không")</f>
        <v>Không</v>
      </c>
      <c r="AK169" s="5" t="s">
        <v>122</v>
      </c>
      <c r="AL169" s="32">
        <v>46081</v>
      </c>
      <c r="AM169" s="29" t="str">
        <f>"Tháng "&amp;MONTH(AL169)</f>
        <v>Tháng 2</v>
      </c>
      <c r="AN169" s="29" t="str">
        <f>LEFT(AK169,FIND(",",AK169)-1)</f>
        <v>Giồng Nhãn</v>
      </c>
    </row>
    <row r="170" spans="1:40" x14ac:dyDescent="0.25">
      <c r="A170" s="49" t="s">
        <v>323</v>
      </c>
      <c r="B170" s="5" t="s">
        <v>30</v>
      </c>
      <c r="C170" s="5" t="s">
        <v>76</v>
      </c>
      <c r="D170" s="29">
        <f ca="1">DATEDIF(C170,TODAY(),"Y")</f>
        <v>68</v>
      </c>
      <c r="E170" s="5" t="s">
        <v>26</v>
      </c>
      <c r="F170" s="30">
        <v>169</v>
      </c>
      <c r="G170" s="30">
        <v>69</v>
      </c>
      <c r="H170" s="31">
        <f>G170/((F170/100)*(F170/100))</f>
        <v>24.158817968558527</v>
      </c>
      <c r="I170" s="5">
        <v>96</v>
      </c>
      <c r="J170" s="30">
        <v>140</v>
      </c>
      <c r="K170" s="30">
        <v>80</v>
      </c>
      <c r="L170" s="29">
        <f>IF(B170="Nữ",0,2)</f>
        <v>2</v>
      </c>
      <c r="M170" s="29">
        <f ca="1">IF(D170&lt;45,0,IF(D170&lt;=49,1,2))</f>
        <v>2</v>
      </c>
      <c r="N170" s="29">
        <f>IF(E170="Có",4,0)</f>
        <v>0</v>
      </c>
      <c r="O170" s="29">
        <f>IF(H170&lt;23,0,IF(H170&lt;27.5,3,5))</f>
        <v>3</v>
      </c>
      <c r="P170" s="29">
        <f>IF(OR(AND(B170="Nam",I170&gt;=90),AND(B170="Nữ",I170&gt;=80)),2,0)</f>
        <v>2</v>
      </c>
      <c r="Q170" s="29">
        <f>IF(OR(J170&gt;=140,K170&gt;=90),2,0)</f>
        <v>2</v>
      </c>
      <c r="R170" s="29">
        <f ca="1">SUM(L170:Q170)</f>
        <v>11</v>
      </c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5" t="s">
        <v>1393</v>
      </c>
      <c r="AE170" s="33"/>
      <c r="AF170" s="59" t="str">
        <f t="shared" si="7"/>
        <v>Không</v>
      </c>
      <c r="AG170" s="59" t="str">
        <f t="shared" si="8"/>
        <v>Không</v>
      </c>
      <c r="AH170" s="29" t="str">
        <f t="shared" ca="1" si="6"/>
        <v>Có</v>
      </c>
      <c r="AI170" s="29" t="str">
        <f ca="1">IF((R170)&gt;=6,"Có","Không")</f>
        <v>Có</v>
      </c>
      <c r="AJ170" s="29" t="str">
        <f>IF(OR(J170&gt;=140,K170&gt;=90),"Có","Không")</f>
        <v>Có</v>
      </c>
      <c r="AK170" s="5" t="s">
        <v>160</v>
      </c>
      <c r="AL170" s="32">
        <v>46081</v>
      </c>
      <c r="AM170" s="29" t="str">
        <f>"Tháng "&amp;MONTH(AL170)</f>
        <v>Tháng 2</v>
      </c>
      <c r="AN170" s="29" t="str">
        <f>LEFT(AK170,FIND(",",AK170)-1)</f>
        <v>Ấp Giồng Nhãn</v>
      </c>
    </row>
    <row r="171" spans="1:40" x14ac:dyDescent="0.25">
      <c r="A171" s="49" t="s">
        <v>324</v>
      </c>
      <c r="B171" s="5" t="s">
        <v>30</v>
      </c>
      <c r="C171" s="5" t="s">
        <v>188</v>
      </c>
      <c r="D171" s="29">
        <f ca="1">DATEDIF(C171,TODAY(),"Y")</f>
        <v>63</v>
      </c>
      <c r="E171" s="5" t="s">
        <v>26</v>
      </c>
      <c r="F171" s="30">
        <v>158</v>
      </c>
      <c r="G171" s="30">
        <v>50</v>
      </c>
      <c r="H171" s="31">
        <f>G171/((F171/100)*(F171/100))</f>
        <v>20.028841531805796</v>
      </c>
      <c r="I171" s="5">
        <v>75</v>
      </c>
      <c r="J171" s="30">
        <v>120</v>
      </c>
      <c r="K171" s="30">
        <v>80</v>
      </c>
      <c r="L171" s="29">
        <f>IF(B171="Nữ",0,2)</f>
        <v>2</v>
      </c>
      <c r="M171" s="29">
        <f ca="1">IF(D171&lt;45,0,IF(D171&lt;=49,1,2))</f>
        <v>2</v>
      </c>
      <c r="N171" s="29">
        <f>IF(E171="Có",4,0)</f>
        <v>0</v>
      </c>
      <c r="O171" s="29">
        <f>IF(H171&lt;23,0,IF(H171&lt;27.5,3,5))</f>
        <v>0</v>
      </c>
      <c r="P171" s="29">
        <f>IF(OR(AND(B171="Nam",I171&gt;=90),AND(B171="Nữ",I171&gt;=80)),2,0)</f>
        <v>0</v>
      </c>
      <c r="Q171" s="29">
        <f>IF(OR(J171&gt;=140,K171&gt;=90),2,0)</f>
        <v>0</v>
      </c>
      <c r="R171" s="29">
        <f ca="1">SUM(L171:Q171)</f>
        <v>4</v>
      </c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5" t="s">
        <v>1393</v>
      </c>
      <c r="AE171" s="33"/>
      <c r="AF171" s="59" t="str">
        <f t="shared" si="7"/>
        <v>Không</v>
      </c>
      <c r="AG171" s="59" t="str">
        <f t="shared" si="8"/>
        <v>Không</v>
      </c>
      <c r="AH171" s="29" t="str">
        <f t="shared" ca="1" si="6"/>
        <v>Không</v>
      </c>
      <c r="AI171" s="29" t="str">
        <f ca="1">IF((R171)&gt;=6,"Có","Không")</f>
        <v>Không</v>
      </c>
      <c r="AJ171" s="29" t="str">
        <f>IF(OR(J171&gt;=140,K171&gt;=90),"Có","Không")</f>
        <v>Không</v>
      </c>
      <c r="AK171" s="5" t="s">
        <v>325</v>
      </c>
      <c r="AL171" s="32">
        <v>46081</v>
      </c>
      <c r="AM171" s="29" t="str">
        <f>"Tháng "&amp;MONTH(AL171)</f>
        <v>Tháng 2</v>
      </c>
      <c r="AN171" s="29" t="str">
        <f>LEFT(AK171,FIND(",",AK171)-1)</f>
        <v>Ấp Giồng Giữa A</v>
      </c>
    </row>
    <row r="172" spans="1:40" x14ac:dyDescent="0.25">
      <c r="A172" s="49" t="s">
        <v>327</v>
      </c>
      <c r="B172" s="5" t="s">
        <v>23</v>
      </c>
      <c r="C172" s="5" t="s">
        <v>93</v>
      </c>
      <c r="D172" s="29">
        <f ca="1">DATEDIF(C172,TODAY(),"Y")</f>
        <v>66</v>
      </c>
      <c r="E172" s="5" t="s">
        <v>26</v>
      </c>
      <c r="F172" s="30">
        <v>158</v>
      </c>
      <c r="G172" s="30">
        <v>58</v>
      </c>
      <c r="H172" s="31">
        <f>G172/((F172/100)*(F172/100))</f>
        <v>23.233456176894723</v>
      </c>
      <c r="I172" s="5">
        <v>85</v>
      </c>
      <c r="J172" s="30">
        <v>130</v>
      </c>
      <c r="K172" s="30">
        <v>80</v>
      </c>
      <c r="L172" s="29">
        <f>IF(B172="Nữ",0,2)</f>
        <v>0</v>
      </c>
      <c r="M172" s="29">
        <f ca="1">IF(D172&lt;45,0,IF(D172&lt;=49,1,2))</f>
        <v>2</v>
      </c>
      <c r="N172" s="29">
        <f>IF(E172="Có",4,0)</f>
        <v>0</v>
      </c>
      <c r="O172" s="29">
        <f>IF(H172&lt;23,0,IF(H172&lt;27.5,3,5))</f>
        <v>3</v>
      </c>
      <c r="P172" s="29">
        <f>IF(OR(AND(B172="Nam",I172&gt;=90),AND(B172="Nữ",I172&gt;=80)),2,0)</f>
        <v>2</v>
      </c>
      <c r="Q172" s="29">
        <f>IF(OR(J172&gt;=140,K172&gt;=90),2,0)</f>
        <v>0</v>
      </c>
      <c r="R172" s="29">
        <f ca="1">SUM(L172:Q172)</f>
        <v>7</v>
      </c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5" t="s">
        <v>1393</v>
      </c>
      <c r="AE172" s="33"/>
      <c r="AF172" s="59" t="str">
        <f t="shared" si="7"/>
        <v>Không</v>
      </c>
      <c r="AG172" s="59" t="str">
        <f t="shared" si="8"/>
        <v>Không</v>
      </c>
      <c r="AH172" s="29" t="str">
        <f t="shared" ca="1" si="6"/>
        <v>Có</v>
      </c>
      <c r="AI172" s="29" t="str">
        <f ca="1">IF((R172)&gt;=6,"Có","Không")</f>
        <v>Có</v>
      </c>
      <c r="AJ172" s="29" t="str">
        <f>IF(OR(J172&gt;=140,K172&gt;=90),"Có","Không")</f>
        <v>Không</v>
      </c>
      <c r="AK172" s="5" t="s">
        <v>160</v>
      </c>
      <c r="AL172" s="32">
        <v>46081</v>
      </c>
      <c r="AM172" s="29" t="str">
        <f>"Tháng "&amp;MONTH(AL172)</f>
        <v>Tháng 2</v>
      </c>
      <c r="AN172" s="29" t="str">
        <f>LEFT(AK172,FIND(",",AK172)-1)</f>
        <v>Ấp Giồng Nhãn</v>
      </c>
    </row>
    <row r="173" spans="1:40" x14ac:dyDescent="0.25">
      <c r="A173" s="49" t="s">
        <v>330</v>
      </c>
      <c r="B173" s="5" t="s">
        <v>23</v>
      </c>
      <c r="C173" s="5" t="s">
        <v>133</v>
      </c>
      <c r="D173" s="29">
        <f ca="1">DATEDIF(C173,TODAY(),"Y")</f>
        <v>56</v>
      </c>
      <c r="E173" s="5" t="s">
        <v>25</v>
      </c>
      <c r="F173" s="30">
        <v>158</v>
      </c>
      <c r="G173" s="30">
        <v>65</v>
      </c>
      <c r="H173" s="31">
        <f>G173/((F173/100)*(F173/100))</f>
        <v>26.037493991347535</v>
      </c>
      <c r="I173" s="5">
        <v>70</v>
      </c>
      <c r="J173" s="30">
        <v>120</v>
      </c>
      <c r="K173" s="30">
        <v>70</v>
      </c>
      <c r="L173" s="29">
        <f>IF(B173="Nữ",0,2)</f>
        <v>0</v>
      </c>
      <c r="M173" s="29">
        <f ca="1">IF(D173&lt;45,0,IF(D173&lt;=49,1,2))</f>
        <v>2</v>
      </c>
      <c r="N173" s="29">
        <f>IF(E173="Có",4,0)</f>
        <v>4</v>
      </c>
      <c r="O173" s="29">
        <f>IF(H173&lt;23,0,IF(H173&lt;27.5,3,5))</f>
        <v>3</v>
      </c>
      <c r="P173" s="29">
        <f>IF(OR(AND(B173="Nam",I173&gt;=90),AND(B173="Nữ",I173&gt;=80)),2,0)</f>
        <v>0</v>
      </c>
      <c r="Q173" s="29">
        <f>IF(OR(J173&gt;=140,K173&gt;=90),2,0)</f>
        <v>0</v>
      </c>
      <c r="R173" s="29">
        <f ca="1">SUM(L173:Q173)</f>
        <v>9</v>
      </c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5" t="s">
        <v>1393</v>
      </c>
      <c r="AE173" s="33"/>
      <c r="AF173" s="59" t="str">
        <f t="shared" si="7"/>
        <v>Không</v>
      </c>
      <c r="AG173" s="59" t="str">
        <f t="shared" si="8"/>
        <v>Không</v>
      </c>
      <c r="AH173" s="29" t="str">
        <f t="shared" ca="1" si="6"/>
        <v>Có</v>
      </c>
      <c r="AI173" s="29" t="str">
        <f ca="1">IF((R173)&gt;=6,"Có","Không")</f>
        <v>Có</v>
      </c>
      <c r="AJ173" s="29" t="str">
        <f>IF(OR(J173&gt;=140,K173&gt;=90),"Có","Không")</f>
        <v>Không</v>
      </c>
      <c r="AK173" s="5" t="s">
        <v>51</v>
      </c>
      <c r="AL173" s="32">
        <v>46081</v>
      </c>
      <c r="AM173" s="29" t="str">
        <f>"Tháng "&amp;MONTH(AL173)</f>
        <v>Tháng 2</v>
      </c>
      <c r="AN173" s="29" t="str">
        <f>LEFT(AK173,FIND(",",AK173)-1)</f>
        <v>Phường Hiệp Thành</v>
      </c>
    </row>
    <row r="174" spans="1:40" x14ac:dyDescent="0.25">
      <c r="A174" s="49" t="s">
        <v>331</v>
      </c>
      <c r="B174" s="5" t="s">
        <v>23</v>
      </c>
      <c r="C174" s="5" t="s">
        <v>84</v>
      </c>
      <c r="D174" s="29">
        <f ca="1">DATEDIF(C174,TODAY(),"Y")</f>
        <v>69</v>
      </c>
      <c r="E174" s="5" t="s">
        <v>26</v>
      </c>
      <c r="F174" s="30">
        <v>158</v>
      </c>
      <c r="G174" s="30">
        <v>58</v>
      </c>
      <c r="H174" s="31">
        <f>G174/((F174/100)*(F174/100))</f>
        <v>23.233456176894723</v>
      </c>
      <c r="I174" s="5">
        <v>85</v>
      </c>
      <c r="J174" s="30">
        <v>140</v>
      </c>
      <c r="K174" s="30">
        <v>80</v>
      </c>
      <c r="L174" s="29">
        <f>IF(B174="Nữ",0,2)</f>
        <v>0</v>
      </c>
      <c r="M174" s="29">
        <f ca="1">IF(D174&lt;45,0,IF(D174&lt;=49,1,2))</f>
        <v>2</v>
      </c>
      <c r="N174" s="29">
        <f>IF(E174="Có",4,0)</f>
        <v>0</v>
      </c>
      <c r="O174" s="29">
        <f>IF(H174&lt;23,0,IF(H174&lt;27.5,3,5))</f>
        <v>3</v>
      </c>
      <c r="P174" s="29">
        <f>IF(OR(AND(B174="Nam",I174&gt;=90),AND(B174="Nữ",I174&gt;=80)),2,0)</f>
        <v>2</v>
      </c>
      <c r="Q174" s="29">
        <f>IF(OR(J174&gt;=140,K174&gt;=90),2,0)</f>
        <v>2</v>
      </c>
      <c r="R174" s="29">
        <f ca="1">SUM(L174:Q174)</f>
        <v>9</v>
      </c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5" t="s">
        <v>1393</v>
      </c>
      <c r="AE174" s="33"/>
      <c r="AF174" s="59" t="str">
        <f t="shared" si="7"/>
        <v>Không</v>
      </c>
      <c r="AG174" s="59" t="str">
        <f t="shared" si="8"/>
        <v>Không</v>
      </c>
      <c r="AH174" s="29" t="str">
        <f t="shared" ca="1" si="6"/>
        <v>Có</v>
      </c>
      <c r="AI174" s="29" t="str">
        <f ca="1">IF((R174)&gt;=6,"Có","Không")</f>
        <v>Có</v>
      </c>
      <c r="AJ174" s="29" t="str">
        <f>IF(OR(J174&gt;=140,K174&gt;=90),"Có","Không")</f>
        <v>Có</v>
      </c>
      <c r="AK174" s="5" t="s">
        <v>206</v>
      </c>
      <c r="AL174" s="32">
        <v>46081</v>
      </c>
      <c r="AM174" s="29" t="str">
        <f>"Tháng "&amp;MONTH(AL174)</f>
        <v>Tháng 2</v>
      </c>
      <c r="AN174" s="29" t="str">
        <f>LEFT(AK174,FIND(",",AK174)-1)</f>
        <v>Prey Chóp B</v>
      </c>
    </row>
    <row r="175" spans="1:40" x14ac:dyDescent="0.25">
      <c r="A175" s="49" t="s">
        <v>339</v>
      </c>
      <c r="B175" s="5" t="s">
        <v>30</v>
      </c>
      <c r="C175" s="5" t="s">
        <v>188</v>
      </c>
      <c r="D175" s="29">
        <f ca="1">DATEDIF(C175,TODAY(),"Y")</f>
        <v>63</v>
      </c>
      <c r="E175" s="5" t="s">
        <v>26</v>
      </c>
      <c r="F175" s="30">
        <v>157</v>
      </c>
      <c r="G175" s="30">
        <v>52</v>
      </c>
      <c r="H175" s="31">
        <f>G175/((F175/100)*(F175/100))</f>
        <v>21.096190514828187</v>
      </c>
      <c r="I175" s="5">
        <v>82</v>
      </c>
      <c r="J175" s="30">
        <v>120</v>
      </c>
      <c r="K175" s="30">
        <v>70</v>
      </c>
      <c r="L175" s="29">
        <f>IF(B175="Nữ",0,2)</f>
        <v>2</v>
      </c>
      <c r="M175" s="29">
        <f ca="1">IF(D175&lt;45,0,IF(D175&lt;=49,1,2))</f>
        <v>2</v>
      </c>
      <c r="N175" s="29">
        <f>IF(E175="Có",4,0)</f>
        <v>0</v>
      </c>
      <c r="O175" s="29">
        <f>IF(H175&lt;23,0,IF(H175&lt;27.5,3,5))</f>
        <v>0</v>
      </c>
      <c r="P175" s="29">
        <f>IF(OR(AND(B175="Nam",I175&gt;=90),AND(B175="Nữ",I175&gt;=80)),2,0)</f>
        <v>0</v>
      </c>
      <c r="Q175" s="29">
        <f>IF(OR(J175&gt;=140,K175&gt;=90),2,0)</f>
        <v>0</v>
      </c>
      <c r="R175" s="29">
        <f ca="1">SUM(L175:Q175)</f>
        <v>4</v>
      </c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5" t="s">
        <v>1393</v>
      </c>
      <c r="AE175" s="33"/>
      <c r="AF175" s="59" t="str">
        <f t="shared" si="7"/>
        <v>Không</v>
      </c>
      <c r="AG175" s="59" t="str">
        <f t="shared" si="8"/>
        <v>Không</v>
      </c>
      <c r="AH175" s="29" t="str">
        <f t="shared" ca="1" si="6"/>
        <v>Không</v>
      </c>
      <c r="AI175" s="29" t="str">
        <f ca="1">IF((R175)&gt;=6,"Có","Không")</f>
        <v>Không</v>
      </c>
      <c r="AJ175" s="29" t="str">
        <f>IF(OR(J175&gt;=140,K175&gt;=90),"Có","Không")</f>
        <v>Không</v>
      </c>
      <c r="AK175" s="5" t="s">
        <v>51</v>
      </c>
      <c r="AL175" s="32">
        <v>46081</v>
      </c>
      <c r="AM175" s="29" t="str">
        <f>"Tháng "&amp;MONTH(AL175)</f>
        <v>Tháng 2</v>
      </c>
      <c r="AN175" s="29" t="str">
        <f>LEFT(AK175,FIND(",",AK175)-1)</f>
        <v>Phường Hiệp Thành</v>
      </c>
    </row>
    <row r="176" spans="1:40" x14ac:dyDescent="0.25">
      <c r="A176" s="49" t="s">
        <v>340</v>
      </c>
      <c r="B176" s="5" t="s">
        <v>23</v>
      </c>
      <c r="C176" s="5" t="s">
        <v>341</v>
      </c>
      <c r="D176" s="29">
        <f ca="1">DATEDIF(C176,TODAY(),"Y")</f>
        <v>51</v>
      </c>
      <c r="E176" s="5" t="s">
        <v>26</v>
      </c>
      <c r="F176" s="30">
        <v>157</v>
      </c>
      <c r="G176" s="30">
        <v>55</v>
      </c>
      <c r="H176" s="31">
        <f>G176/((F176/100)*(F176/100))</f>
        <v>22.313278429145196</v>
      </c>
      <c r="I176" s="5">
        <v>85</v>
      </c>
      <c r="J176" s="30">
        <v>120</v>
      </c>
      <c r="K176" s="30">
        <v>70</v>
      </c>
      <c r="L176" s="29">
        <f>IF(B176="Nữ",0,2)</f>
        <v>0</v>
      </c>
      <c r="M176" s="29">
        <f ca="1">IF(D176&lt;45,0,IF(D176&lt;=49,1,2))</f>
        <v>2</v>
      </c>
      <c r="N176" s="29">
        <f>IF(E176="Có",4,0)</f>
        <v>0</v>
      </c>
      <c r="O176" s="29">
        <f>IF(H176&lt;23,0,IF(H176&lt;27.5,3,5))</f>
        <v>0</v>
      </c>
      <c r="P176" s="29">
        <f>IF(OR(AND(B176="Nam",I176&gt;=90),AND(B176="Nữ",I176&gt;=80)),2,0)</f>
        <v>2</v>
      </c>
      <c r="Q176" s="29">
        <f>IF(OR(J176&gt;=140,K176&gt;=90),2,0)</f>
        <v>0</v>
      </c>
      <c r="R176" s="29">
        <f ca="1">SUM(L176:Q176)</f>
        <v>4</v>
      </c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5" t="s">
        <v>1393</v>
      </c>
      <c r="AE176" s="33"/>
      <c r="AF176" s="59" t="str">
        <f t="shared" si="7"/>
        <v>Không</v>
      </c>
      <c r="AG176" s="59" t="str">
        <f t="shared" si="8"/>
        <v>Không</v>
      </c>
      <c r="AH176" s="29" t="str">
        <f t="shared" ca="1" si="6"/>
        <v>Không</v>
      </c>
      <c r="AI176" s="29" t="str">
        <f ca="1">IF((R176)&gt;=6,"Có","Không")</f>
        <v>Không</v>
      </c>
      <c r="AJ176" s="29" t="str">
        <f>IF(OR(J176&gt;=140,K176&gt;=90),"Có","Không")</f>
        <v>Không</v>
      </c>
      <c r="AK176" s="5" t="s">
        <v>342</v>
      </c>
      <c r="AL176" s="32">
        <v>46081</v>
      </c>
      <c r="AM176" s="29" t="str">
        <f>"Tháng "&amp;MONTH(AL176)</f>
        <v>Tháng 2</v>
      </c>
      <c r="AN176" s="29" t="str">
        <f>LEFT(AK176,FIND(",",AK176)-1)</f>
        <v>ấp Giồng nhãn A</v>
      </c>
    </row>
    <row r="177" spans="1:40" x14ac:dyDescent="0.25">
      <c r="A177" s="49" t="s">
        <v>388</v>
      </c>
      <c r="B177" s="5" t="s">
        <v>30</v>
      </c>
      <c r="C177" s="5" t="s">
        <v>90</v>
      </c>
      <c r="D177" s="29">
        <f ca="1">DATEDIF(C177,TODAY(),"Y")</f>
        <v>54</v>
      </c>
      <c r="E177" s="5" t="s">
        <v>26</v>
      </c>
      <c r="F177" s="30">
        <v>165</v>
      </c>
      <c r="G177" s="30">
        <v>49</v>
      </c>
      <c r="H177" s="31">
        <f>G177/((F177/100)*(F177/100))</f>
        <v>17.998163452708908</v>
      </c>
      <c r="I177" s="5">
        <v>90</v>
      </c>
      <c r="J177" s="30">
        <v>120</v>
      </c>
      <c r="K177" s="30">
        <v>80</v>
      </c>
      <c r="L177" s="29">
        <f>IF(B177="Nữ",0,2)</f>
        <v>2</v>
      </c>
      <c r="M177" s="29">
        <f ca="1">IF(D177&lt;45,0,IF(D177&lt;=49,1,2))</f>
        <v>2</v>
      </c>
      <c r="N177" s="29">
        <f>IF(E177="Có",4,0)</f>
        <v>0</v>
      </c>
      <c r="O177" s="29">
        <f>IF(H177&lt;23,0,IF(H177&lt;27.5,3,5))</f>
        <v>0</v>
      </c>
      <c r="P177" s="29">
        <f>IF(OR(AND(B177="Nam",I177&gt;=90),AND(B177="Nữ",I177&gt;=80)),2,0)</f>
        <v>2</v>
      </c>
      <c r="Q177" s="29">
        <f>IF(OR(J177&gt;=140,K177&gt;=90),2,0)</f>
        <v>0</v>
      </c>
      <c r="R177" s="29">
        <f ca="1">SUM(L177:Q177)</f>
        <v>6</v>
      </c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5" t="s">
        <v>1393</v>
      </c>
      <c r="AE177" s="33"/>
      <c r="AF177" s="59" t="str">
        <f t="shared" si="7"/>
        <v>Không</v>
      </c>
      <c r="AG177" s="59" t="str">
        <f t="shared" si="8"/>
        <v>Không</v>
      </c>
      <c r="AH177" s="29" t="str">
        <f t="shared" ca="1" si="6"/>
        <v>Có</v>
      </c>
      <c r="AI177" s="29" t="str">
        <f ca="1">IF((R177)&gt;=6,"Có","Không")</f>
        <v>Có</v>
      </c>
      <c r="AJ177" s="29" t="str">
        <f>IF(OR(J177&gt;=140,K177&gt;=90),"Có","Không")</f>
        <v>Không</v>
      </c>
      <c r="AK177" s="5" t="s">
        <v>152</v>
      </c>
      <c r="AL177" s="32">
        <v>46081</v>
      </c>
      <c r="AM177" s="29" t="str">
        <f>"Tháng "&amp;MONTH(AL177)</f>
        <v>Tháng 2</v>
      </c>
      <c r="AN177" s="29" t="str">
        <f>LEFT(AK177,FIND(",",AK177)-1)</f>
        <v>Khóm Giồng Giữa</v>
      </c>
    </row>
    <row r="178" spans="1:40" x14ac:dyDescent="0.25">
      <c r="A178" s="49" t="s">
        <v>389</v>
      </c>
      <c r="B178" s="5" t="s">
        <v>23</v>
      </c>
      <c r="C178" s="5" t="s">
        <v>40</v>
      </c>
      <c r="D178" s="29">
        <f ca="1">DATEDIF(C178,TODAY(),"Y")</f>
        <v>70</v>
      </c>
      <c r="E178" s="5" t="s">
        <v>25</v>
      </c>
      <c r="F178" s="30">
        <v>150</v>
      </c>
      <c r="G178" s="30">
        <v>55</v>
      </c>
      <c r="H178" s="31">
        <f>G178/((F178/100)*(F178/100))</f>
        <v>24.444444444444443</v>
      </c>
      <c r="I178" s="5">
        <v>79</v>
      </c>
      <c r="J178" s="30">
        <v>120</v>
      </c>
      <c r="K178" s="30">
        <v>80</v>
      </c>
      <c r="L178" s="29">
        <f>IF(B178="Nữ",0,2)</f>
        <v>0</v>
      </c>
      <c r="M178" s="29">
        <f ca="1">IF(D178&lt;45,0,IF(D178&lt;=49,1,2))</f>
        <v>2</v>
      </c>
      <c r="N178" s="29">
        <f>IF(E178="Có",4,0)</f>
        <v>4</v>
      </c>
      <c r="O178" s="29">
        <f>IF(H178&lt;23,0,IF(H178&lt;27.5,3,5))</f>
        <v>3</v>
      </c>
      <c r="P178" s="29">
        <f>IF(OR(AND(B178="Nam",I178&gt;=90),AND(B178="Nữ",I178&gt;=80)),2,0)</f>
        <v>0</v>
      </c>
      <c r="Q178" s="29">
        <f>IF(OR(J178&gt;=140,K178&gt;=90),2,0)</f>
        <v>0</v>
      </c>
      <c r="R178" s="29">
        <f ca="1">SUM(L178:Q178)</f>
        <v>9</v>
      </c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5" t="s">
        <v>1393</v>
      </c>
      <c r="AE178" s="33"/>
      <c r="AF178" s="59" t="str">
        <f t="shared" si="7"/>
        <v>Không</v>
      </c>
      <c r="AG178" s="59" t="str">
        <f t="shared" si="8"/>
        <v>Không</v>
      </c>
      <c r="AH178" s="29" t="str">
        <f t="shared" ca="1" si="6"/>
        <v>Có</v>
      </c>
      <c r="AI178" s="29" t="str">
        <f ca="1">IF((R178)&gt;=6,"Có","Không")</f>
        <v>Có</v>
      </c>
      <c r="AJ178" s="29" t="str">
        <f>IF(OR(J178&gt;=140,K178&gt;=90),"Có","Không")</f>
        <v>Không</v>
      </c>
      <c r="AK178" s="5" t="s">
        <v>390</v>
      </c>
      <c r="AL178" s="32">
        <v>46081</v>
      </c>
      <c r="AM178" s="29" t="str">
        <f>"Tháng "&amp;MONTH(AL178)</f>
        <v>Tháng 2</v>
      </c>
      <c r="AN178" s="29" t="str">
        <f>LEFT(AK178,FIND(",",AK178)-1)</f>
        <v>khóm giồng nhãn</v>
      </c>
    </row>
    <row r="179" spans="1:40" x14ac:dyDescent="0.25">
      <c r="A179" s="49" t="s">
        <v>404</v>
      </c>
      <c r="B179" s="5" t="s">
        <v>23</v>
      </c>
      <c r="C179" s="5" t="s">
        <v>130</v>
      </c>
      <c r="D179" s="29">
        <f ca="1">DATEDIF(C179,TODAY(),"Y")</f>
        <v>57</v>
      </c>
      <c r="E179" s="5" t="s">
        <v>25</v>
      </c>
      <c r="F179" s="30">
        <v>158</v>
      </c>
      <c r="G179" s="30">
        <v>58</v>
      </c>
      <c r="H179" s="31">
        <f>G179/((F179/100)*(F179/100))</f>
        <v>23.233456176894723</v>
      </c>
      <c r="I179" s="5">
        <v>84</v>
      </c>
      <c r="J179" s="30">
        <v>140</v>
      </c>
      <c r="K179" s="30">
        <v>80</v>
      </c>
      <c r="L179" s="29">
        <f>IF(B179="Nữ",0,2)</f>
        <v>0</v>
      </c>
      <c r="M179" s="29">
        <f ca="1">IF(D179&lt;45,0,IF(D179&lt;=49,1,2))</f>
        <v>2</v>
      </c>
      <c r="N179" s="29">
        <f>IF(E179="Có",4,0)</f>
        <v>4</v>
      </c>
      <c r="O179" s="29">
        <f>IF(H179&lt;23,0,IF(H179&lt;27.5,3,5))</f>
        <v>3</v>
      </c>
      <c r="P179" s="29">
        <f>IF(OR(AND(B179="Nam",I179&gt;=90),AND(B179="Nữ",I179&gt;=80)),2,0)</f>
        <v>2</v>
      </c>
      <c r="Q179" s="29">
        <f>IF(OR(J179&gt;=140,K179&gt;=90),2,0)</f>
        <v>2</v>
      </c>
      <c r="R179" s="29">
        <f ca="1">SUM(L179:Q179)</f>
        <v>13</v>
      </c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5" t="s">
        <v>1393</v>
      </c>
      <c r="AE179" s="33"/>
      <c r="AF179" s="59" t="str">
        <f t="shared" si="7"/>
        <v>Không</v>
      </c>
      <c r="AG179" s="59" t="str">
        <f t="shared" si="8"/>
        <v>Không</v>
      </c>
      <c r="AH179" s="29" t="str">
        <f t="shared" ca="1" si="6"/>
        <v>Có</v>
      </c>
      <c r="AI179" s="29" t="str">
        <f ca="1">IF((R179)&gt;=6,"Có","Không")</f>
        <v>Có</v>
      </c>
      <c r="AJ179" s="29" t="str">
        <f>IF(OR(J179&gt;=140,K179&gt;=90),"Có","Không")</f>
        <v>Có</v>
      </c>
      <c r="AK179" s="5" t="s">
        <v>306</v>
      </c>
      <c r="AL179" s="32">
        <v>46081</v>
      </c>
      <c r="AM179" s="29" t="str">
        <f>"Tháng "&amp;MONTH(AL179)</f>
        <v>Tháng 2</v>
      </c>
      <c r="AN179" s="29" t="str">
        <f>LEFT(AK179,FIND(",",AK179)-1)</f>
        <v>Giồng Giữa A</v>
      </c>
    </row>
    <row r="180" spans="1:40" x14ac:dyDescent="0.25">
      <c r="A180" s="49" t="s">
        <v>407</v>
      </c>
      <c r="B180" s="5" t="s">
        <v>23</v>
      </c>
      <c r="C180" s="5" t="s">
        <v>93</v>
      </c>
      <c r="D180" s="29">
        <f ca="1">DATEDIF(C180,TODAY(),"Y")</f>
        <v>66</v>
      </c>
      <c r="E180" s="5" t="s">
        <v>26</v>
      </c>
      <c r="F180" s="30">
        <v>158</v>
      </c>
      <c r="G180" s="30">
        <v>58</v>
      </c>
      <c r="H180" s="31">
        <f>G180/((F180/100)*(F180/100))</f>
        <v>23.233456176894723</v>
      </c>
      <c r="I180" s="5">
        <v>71</v>
      </c>
      <c r="J180" s="30">
        <v>140</v>
      </c>
      <c r="K180" s="30">
        <v>80</v>
      </c>
      <c r="L180" s="29">
        <f>IF(B180="Nữ",0,2)</f>
        <v>0</v>
      </c>
      <c r="M180" s="29">
        <f ca="1">IF(D180&lt;45,0,IF(D180&lt;=49,1,2))</f>
        <v>2</v>
      </c>
      <c r="N180" s="29">
        <f>IF(E180="Có",4,0)</f>
        <v>0</v>
      </c>
      <c r="O180" s="29">
        <f>IF(H180&lt;23,0,IF(H180&lt;27.5,3,5))</f>
        <v>3</v>
      </c>
      <c r="P180" s="29">
        <f>IF(OR(AND(B180="Nam",I180&gt;=90),AND(B180="Nữ",I180&gt;=80)),2,0)</f>
        <v>0</v>
      </c>
      <c r="Q180" s="29">
        <f>IF(OR(J180&gt;=140,K180&gt;=90),2,0)</f>
        <v>2</v>
      </c>
      <c r="R180" s="29">
        <f ca="1">SUM(L180:Q180)</f>
        <v>7</v>
      </c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5" t="s">
        <v>1393</v>
      </c>
      <c r="AE180" s="33"/>
      <c r="AF180" s="59" t="str">
        <f t="shared" si="7"/>
        <v>Không</v>
      </c>
      <c r="AG180" s="59" t="str">
        <f t="shared" si="8"/>
        <v>Không</v>
      </c>
      <c r="AH180" s="29" t="str">
        <f t="shared" ca="1" si="6"/>
        <v>Có</v>
      </c>
      <c r="AI180" s="29" t="str">
        <f ca="1">IF((R180)&gt;=6,"Có","Không")</f>
        <v>Có</v>
      </c>
      <c r="AJ180" s="29" t="str">
        <f>IF(OR(J180&gt;=140,K180&gt;=90),"Có","Không")</f>
        <v>Có</v>
      </c>
      <c r="AK180" s="5" t="s">
        <v>306</v>
      </c>
      <c r="AL180" s="32">
        <v>46081</v>
      </c>
      <c r="AM180" s="29" t="str">
        <f>"Tháng "&amp;MONTH(AL180)</f>
        <v>Tháng 2</v>
      </c>
      <c r="AN180" s="29" t="str">
        <f>LEFT(AK180,FIND(",",AK180)-1)</f>
        <v>Giồng Giữa A</v>
      </c>
    </row>
    <row r="181" spans="1:40" x14ac:dyDescent="0.25">
      <c r="A181" s="49" t="s">
        <v>435</v>
      </c>
      <c r="B181" s="5" t="s">
        <v>23</v>
      </c>
      <c r="C181" s="5" t="s">
        <v>47</v>
      </c>
      <c r="D181" s="29">
        <f ca="1">DATEDIF(C181,TODAY(),"Y")</f>
        <v>55</v>
      </c>
      <c r="E181" s="5" t="s">
        <v>26</v>
      </c>
      <c r="F181" s="30">
        <v>160</v>
      </c>
      <c r="G181" s="30">
        <v>70</v>
      </c>
      <c r="H181" s="31">
        <f>G181/((F181/100)*(F181/100))</f>
        <v>27.343749999999996</v>
      </c>
      <c r="I181" s="5">
        <v>86</v>
      </c>
      <c r="J181" s="30">
        <v>120</v>
      </c>
      <c r="K181" s="30">
        <v>80</v>
      </c>
      <c r="L181" s="29">
        <f>IF(B181="Nữ",0,2)</f>
        <v>0</v>
      </c>
      <c r="M181" s="29">
        <f ca="1">IF(D181&lt;45,0,IF(D181&lt;=49,1,2))</f>
        <v>2</v>
      </c>
      <c r="N181" s="29">
        <f>IF(E181="Có",4,0)</f>
        <v>0</v>
      </c>
      <c r="O181" s="29">
        <f>IF(H181&lt;23,0,IF(H181&lt;27.5,3,5))</f>
        <v>3</v>
      </c>
      <c r="P181" s="29">
        <f>IF(OR(AND(B181="Nam",I181&gt;=90),AND(B181="Nữ",I181&gt;=80)),2,0)</f>
        <v>2</v>
      </c>
      <c r="Q181" s="29">
        <f>IF(OR(J181&gt;=140,K181&gt;=90),2,0)</f>
        <v>0</v>
      </c>
      <c r="R181" s="29">
        <f ca="1">SUM(L181:Q181)</f>
        <v>7</v>
      </c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5" t="s">
        <v>1393</v>
      </c>
      <c r="AE181" s="33"/>
      <c r="AF181" s="59" t="str">
        <f t="shared" si="7"/>
        <v>Không</v>
      </c>
      <c r="AG181" s="59" t="str">
        <f t="shared" si="8"/>
        <v>Không</v>
      </c>
      <c r="AH181" s="29" t="str">
        <f t="shared" ca="1" si="6"/>
        <v>Có</v>
      </c>
      <c r="AI181" s="29" t="str">
        <f ca="1">IF((R181)&gt;=6,"Có","Không")</f>
        <v>Có</v>
      </c>
      <c r="AJ181" s="29" t="str">
        <f>IF(OR(J181&gt;=140,K181&gt;=90),"Có","Không")</f>
        <v>Không</v>
      </c>
      <c r="AK181" s="5" t="s">
        <v>436</v>
      </c>
      <c r="AL181" s="32">
        <v>46081</v>
      </c>
      <c r="AM181" s="29" t="str">
        <f>"Tháng "&amp;MONTH(AL181)</f>
        <v>Tháng 2</v>
      </c>
      <c r="AN181" s="29" t="str">
        <f>LEFT(AK181,FIND(",",AK181)-1)</f>
        <v>ấp giồng nhãn a</v>
      </c>
    </row>
    <row r="182" spans="1:40" x14ac:dyDescent="0.25">
      <c r="A182" s="49" t="s">
        <v>443</v>
      </c>
      <c r="B182" s="5" t="s">
        <v>23</v>
      </c>
      <c r="C182" s="5" t="s">
        <v>329</v>
      </c>
      <c r="D182" s="29">
        <f ca="1">DATEDIF(C182,TODAY(),"Y")</f>
        <v>81</v>
      </c>
      <c r="E182" s="5" t="s">
        <v>26</v>
      </c>
      <c r="F182" s="30">
        <v>158</v>
      </c>
      <c r="G182" s="30">
        <v>61</v>
      </c>
      <c r="H182" s="31">
        <f>G182/((F182/100)*(F182/100))</f>
        <v>24.435186668803073</v>
      </c>
      <c r="I182" s="5">
        <v>73</v>
      </c>
      <c r="J182" s="30">
        <v>140</v>
      </c>
      <c r="K182" s="30">
        <v>90</v>
      </c>
      <c r="L182" s="29">
        <f>IF(B182="Nữ",0,2)</f>
        <v>0</v>
      </c>
      <c r="M182" s="29">
        <f ca="1">IF(D182&lt;45,0,IF(D182&lt;=49,1,2))</f>
        <v>2</v>
      </c>
      <c r="N182" s="29">
        <f>IF(E182="Có",4,0)</f>
        <v>0</v>
      </c>
      <c r="O182" s="29">
        <f>IF(H182&lt;23,0,IF(H182&lt;27.5,3,5))</f>
        <v>3</v>
      </c>
      <c r="P182" s="29">
        <f>IF(OR(AND(B182="Nam",I182&gt;=90),AND(B182="Nữ",I182&gt;=80)),2,0)</f>
        <v>0</v>
      </c>
      <c r="Q182" s="29">
        <f>IF(OR(J182&gt;=140,K182&gt;=90),2,0)</f>
        <v>2</v>
      </c>
      <c r="R182" s="29">
        <f ca="1">SUM(L182:Q182)</f>
        <v>7</v>
      </c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5" t="s">
        <v>1393</v>
      </c>
      <c r="AE182" s="33"/>
      <c r="AF182" s="59" t="str">
        <f t="shared" si="7"/>
        <v>Không</v>
      </c>
      <c r="AG182" s="59" t="str">
        <f t="shared" si="8"/>
        <v>Không</v>
      </c>
      <c r="AH182" s="29" t="str">
        <f t="shared" ca="1" si="6"/>
        <v>Có</v>
      </c>
      <c r="AI182" s="29" t="str">
        <f ca="1">IF((R182)&gt;=6,"Có","Không")</f>
        <v>Có</v>
      </c>
      <c r="AJ182" s="29" t="str">
        <f>IF(OR(J182&gt;=140,K182&gt;=90),"Có","Không")</f>
        <v>Có</v>
      </c>
      <c r="AK182" s="5" t="s">
        <v>91</v>
      </c>
      <c r="AL182" s="32">
        <v>46081</v>
      </c>
      <c r="AM182" s="29" t="str">
        <f>"Tháng "&amp;MONTH(AL182)</f>
        <v>Tháng 2</v>
      </c>
      <c r="AN182" s="29" t="str">
        <f>LEFT(AK182,FIND(",",AK182)-1)</f>
        <v>Ấp Giồng Giữa</v>
      </c>
    </row>
    <row r="183" spans="1:40" x14ac:dyDescent="0.25">
      <c r="A183" s="49" t="s">
        <v>452</v>
      </c>
      <c r="B183" s="5" t="s">
        <v>23</v>
      </c>
      <c r="C183" s="5" t="s">
        <v>80</v>
      </c>
      <c r="D183" s="29">
        <f ca="1">DATEDIF(C183,TODAY(),"Y")</f>
        <v>71</v>
      </c>
      <c r="E183" s="5" t="s">
        <v>26</v>
      </c>
      <c r="F183" s="30">
        <v>158</v>
      </c>
      <c r="G183" s="30">
        <v>58</v>
      </c>
      <c r="H183" s="31">
        <f>G183/((F183/100)*(F183/100))</f>
        <v>23.233456176894723</v>
      </c>
      <c r="I183" s="5">
        <v>89</v>
      </c>
      <c r="J183" s="30">
        <v>140</v>
      </c>
      <c r="K183" s="30">
        <v>80</v>
      </c>
      <c r="L183" s="29">
        <f>IF(B183="Nữ",0,2)</f>
        <v>0</v>
      </c>
      <c r="M183" s="29">
        <f ca="1">IF(D183&lt;45,0,IF(D183&lt;=49,1,2))</f>
        <v>2</v>
      </c>
      <c r="N183" s="29">
        <f>IF(E183="Có",4,0)</f>
        <v>0</v>
      </c>
      <c r="O183" s="29">
        <f>IF(H183&lt;23,0,IF(H183&lt;27.5,3,5))</f>
        <v>3</v>
      </c>
      <c r="P183" s="29">
        <f>IF(OR(AND(B183="Nam",I183&gt;=90),AND(B183="Nữ",I183&gt;=80)),2,0)</f>
        <v>2</v>
      </c>
      <c r="Q183" s="29">
        <f>IF(OR(J183&gt;=140,K183&gt;=90),2,0)</f>
        <v>2</v>
      </c>
      <c r="R183" s="29">
        <f ca="1">SUM(L183:Q183)</f>
        <v>9</v>
      </c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5" t="s">
        <v>1393</v>
      </c>
      <c r="AE183" s="33"/>
      <c r="AF183" s="59" t="str">
        <f t="shared" si="7"/>
        <v>Không</v>
      </c>
      <c r="AG183" s="59" t="str">
        <f t="shared" si="8"/>
        <v>Không</v>
      </c>
      <c r="AH183" s="29" t="str">
        <f t="shared" ca="1" si="6"/>
        <v>Có</v>
      </c>
      <c r="AI183" s="29" t="str">
        <f ca="1">IF((R183)&gt;=6,"Có","Không")</f>
        <v>Có</v>
      </c>
      <c r="AJ183" s="29" t="str">
        <f>IF(OR(J183&gt;=140,K183&gt;=90),"Có","Không")</f>
        <v>Có</v>
      </c>
      <c r="AK183" s="5" t="s">
        <v>38</v>
      </c>
      <c r="AL183" s="32">
        <v>46081</v>
      </c>
      <c r="AM183" s="29" t="str">
        <f>"Tháng "&amp;MONTH(AL183)</f>
        <v>Tháng 2</v>
      </c>
      <c r="AN183" s="29" t="str">
        <f>LEFT(AK183,FIND(",",AK183)-1)</f>
        <v>Ấp Biển Đông B</v>
      </c>
    </row>
    <row r="184" spans="1:40" x14ac:dyDescent="0.25">
      <c r="A184" s="49" t="s">
        <v>456</v>
      </c>
      <c r="B184" s="5" t="s">
        <v>30</v>
      </c>
      <c r="C184" s="5" t="s">
        <v>47</v>
      </c>
      <c r="D184" s="29">
        <f ca="1">DATEDIF(C184,TODAY(),"Y")</f>
        <v>55</v>
      </c>
      <c r="E184" s="5" t="s">
        <v>26</v>
      </c>
      <c r="F184" s="30">
        <v>169</v>
      </c>
      <c r="G184" s="30">
        <v>58</v>
      </c>
      <c r="H184" s="31">
        <f>G184/((F184/100)*(F184/100))</f>
        <v>20.307412205454995</v>
      </c>
      <c r="I184" s="5">
        <v>76</v>
      </c>
      <c r="J184" s="30">
        <v>120</v>
      </c>
      <c r="K184" s="30">
        <v>80</v>
      </c>
      <c r="L184" s="29">
        <f>IF(B184="Nữ",0,2)</f>
        <v>2</v>
      </c>
      <c r="M184" s="29">
        <f ca="1">IF(D184&lt;45,0,IF(D184&lt;=49,1,2))</f>
        <v>2</v>
      </c>
      <c r="N184" s="29">
        <f>IF(E184="Có",4,0)</f>
        <v>0</v>
      </c>
      <c r="O184" s="29">
        <f>IF(H184&lt;23,0,IF(H184&lt;27.5,3,5))</f>
        <v>0</v>
      </c>
      <c r="P184" s="29">
        <f>IF(OR(AND(B184="Nam",I184&gt;=90),AND(B184="Nữ",I184&gt;=80)),2,0)</f>
        <v>0</v>
      </c>
      <c r="Q184" s="29">
        <f>IF(OR(J184&gt;=140,K184&gt;=90),2,0)</f>
        <v>0</v>
      </c>
      <c r="R184" s="29">
        <f ca="1">SUM(L184:Q184)</f>
        <v>4</v>
      </c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5" t="s">
        <v>1393</v>
      </c>
      <c r="AE184" s="33"/>
      <c r="AF184" s="59" t="str">
        <f t="shared" si="7"/>
        <v>Không</v>
      </c>
      <c r="AG184" s="59" t="str">
        <f t="shared" si="8"/>
        <v>Không</v>
      </c>
      <c r="AH184" s="29" t="str">
        <f t="shared" ca="1" si="6"/>
        <v>Không</v>
      </c>
      <c r="AI184" s="29" t="str">
        <f ca="1">IF((R184)&gt;=6,"Có","Không")</f>
        <v>Không</v>
      </c>
      <c r="AJ184" s="29" t="str">
        <f>IF(OR(J184&gt;=140,K184&gt;=90),"Có","Không")</f>
        <v>Không</v>
      </c>
      <c r="AK184" s="5" t="s">
        <v>111</v>
      </c>
      <c r="AL184" s="32">
        <v>46081</v>
      </c>
      <c r="AM184" s="29" t="str">
        <f>"Tháng "&amp;MONTH(AL184)</f>
        <v>Tháng 2</v>
      </c>
      <c r="AN184" s="29" t="str">
        <f>LEFT(AK184,FIND(",",AK184)-1)</f>
        <v>Phường Vĩnh Trạch</v>
      </c>
    </row>
    <row r="185" spans="1:40" x14ac:dyDescent="0.25">
      <c r="A185" s="49" t="s">
        <v>463</v>
      </c>
      <c r="B185" s="5" t="s">
        <v>23</v>
      </c>
      <c r="C185" s="5" t="s">
        <v>64</v>
      </c>
      <c r="D185" s="29">
        <f ca="1">DATEDIF(C185,TODAY(),"Y")</f>
        <v>42</v>
      </c>
      <c r="E185" s="5" t="s">
        <v>26</v>
      </c>
      <c r="F185" s="30">
        <v>155</v>
      </c>
      <c r="G185" s="30">
        <v>56</v>
      </c>
      <c r="H185" s="31">
        <f>G185/((F185/100)*(F185/100))</f>
        <v>23.309053069719038</v>
      </c>
      <c r="I185" s="5">
        <v>75</v>
      </c>
      <c r="J185" s="30">
        <v>120</v>
      </c>
      <c r="K185" s="30">
        <v>80</v>
      </c>
      <c r="L185" s="29">
        <f>IF(B185="Nữ",0,2)</f>
        <v>0</v>
      </c>
      <c r="M185" s="29">
        <f ca="1">IF(D185&lt;45,0,IF(D185&lt;=49,1,2))</f>
        <v>0</v>
      </c>
      <c r="N185" s="29">
        <f>IF(E185="Có",4,0)</f>
        <v>0</v>
      </c>
      <c r="O185" s="29">
        <f>IF(H185&lt;23,0,IF(H185&lt;27.5,3,5))</f>
        <v>3</v>
      </c>
      <c r="P185" s="29">
        <f>IF(OR(AND(B185="Nam",I185&gt;=90),AND(B185="Nữ",I185&gt;=80)),2,0)</f>
        <v>0</v>
      </c>
      <c r="Q185" s="29">
        <f>IF(OR(J185&gt;=140,K185&gt;=90),2,0)</f>
        <v>0</v>
      </c>
      <c r="R185" s="29">
        <f ca="1">SUM(L185:Q185)</f>
        <v>3</v>
      </c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5" t="s">
        <v>1393</v>
      </c>
      <c r="AE185" s="33"/>
      <c r="AF185" s="59" t="str">
        <f t="shared" si="7"/>
        <v>Không</v>
      </c>
      <c r="AG185" s="59" t="str">
        <f t="shared" si="8"/>
        <v>Không</v>
      </c>
      <c r="AH185" s="29" t="str">
        <f t="shared" ca="1" si="6"/>
        <v>Không</v>
      </c>
      <c r="AI185" s="29" t="str">
        <f ca="1">IF((R185)&gt;=6,"Có","Không")</f>
        <v>Không</v>
      </c>
      <c r="AJ185" s="29" t="str">
        <f>IF(OR(J185&gt;=140,K185&gt;=90),"Có","Không")</f>
        <v>Không</v>
      </c>
      <c r="AK185" s="5" t="s">
        <v>51</v>
      </c>
      <c r="AL185" s="32">
        <v>46081</v>
      </c>
      <c r="AM185" s="29" t="str">
        <f>"Tháng "&amp;MONTH(AL185)</f>
        <v>Tháng 2</v>
      </c>
      <c r="AN185" s="29" t="str">
        <f>LEFT(AK185,FIND(",",AK185)-1)</f>
        <v>Phường Hiệp Thành</v>
      </c>
    </row>
    <row r="186" spans="1:40" x14ac:dyDescent="0.25">
      <c r="A186" s="49" t="s">
        <v>464</v>
      </c>
      <c r="B186" s="5" t="s">
        <v>30</v>
      </c>
      <c r="C186" s="5" t="s">
        <v>146</v>
      </c>
      <c r="D186" s="29">
        <f ca="1">DATEDIF(C186,TODAY(),"Y")</f>
        <v>52</v>
      </c>
      <c r="E186" s="5" t="s">
        <v>25</v>
      </c>
      <c r="F186" s="30">
        <v>169</v>
      </c>
      <c r="G186" s="30">
        <v>69</v>
      </c>
      <c r="H186" s="31">
        <f>G186/((F186/100)*(F186/100))</f>
        <v>24.158817968558527</v>
      </c>
      <c r="I186" s="5">
        <v>72</v>
      </c>
      <c r="J186" s="30">
        <v>140</v>
      </c>
      <c r="K186" s="30">
        <v>80</v>
      </c>
      <c r="L186" s="29">
        <f>IF(B186="Nữ",0,2)</f>
        <v>2</v>
      </c>
      <c r="M186" s="29">
        <f ca="1">IF(D186&lt;45,0,IF(D186&lt;=49,1,2))</f>
        <v>2</v>
      </c>
      <c r="N186" s="29">
        <f>IF(E186="Có",4,0)</f>
        <v>4</v>
      </c>
      <c r="O186" s="29">
        <f>IF(H186&lt;23,0,IF(H186&lt;27.5,3,5))</f>
        <v>3</v>
      </c>
      <c r="P186" s="29">
        <f>IF(OR(AND(B186="Nam",I186&gt;=90),AND(B186="Nữ",I186&gt;=80)),2,0)</f>
        <v>0</v>
      </c>
      <c r="Q186" s="29">
        <f>IF(OR(J186&gt;=140,K186&gt;=90),2,0)</f>
        <v>2</v>
      </c>
      <c r="R186" s="29">
        <f ca="1">SUM(L186:Q186)</f>
        <v>13</v>
      </c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5" t="s">
        <v>1393</v>
      </c>
      <c r="AE186" s="33"/>
      <c r="AF186" s="59" t="str">
        <f t="shared" si="7"/>
        <v>Không</v>
      </c>
      <c r="AG186" s="59" t="str">
        <f t="shared" si="8"/>
        <v>Không</v>
      </c>
      <c r="AH186" s="29" t="str">
        <f t="shared" ca="1" si="6"/>
        <v>Có</v>
      </c>
      <c r="AI186" s="29" t="str">
        <f ca="1">IF((R186)&gt;=6,"Có","Không")</f>
        <v>Có</v>
      </c>
      <c r="AJ186" s="29" t="str">
        <f>IF(OR(J186&gt;=140,K186&gt;=90),"Có","Không")</f>
        <v>Có</v>
      </c>
      <c r="AK186" s="5" t="s">
        <v>68</v>
      </c>
      <c r="AL186" s="32">
        <v>46081</v>
      </c>
      <c r="AM186" s="29" t="str">
        <f>"Tháng "&amp;MONTH(AL186)</f>
        <v>Tháng 2</v>
      </c>
      <c r="AN186" s="29" t="str">
        <f>LEFT(AK186,FIND(",",AK186)-1)</f>
        <v>Ấp Biển Tây B</v>
      </c>
    </row>
    <row r="187" spans="1:40" x14ac:dyDescent="0.25">
      <c r="A187" s="49" t="s">
        <v>473</v>
      </c>
      <c r="B187" s="5" t="s">
        <v>23</v>
      </c>
      <c r="C187" s="5" t="s">
        <v>50</v>
      </c>
      <c r="D187" s="29">
        <f ca="1">DATEDIF(C187,TODAY(),"Y")</f>
        <v>58</v>
      </c>
      <c r="E187" s="5" t="s">
        <v>26</v>
      </c>
      <c r="F187" s="30">
        <v>158</v>
      </c>
      <c r="G187" s="30">
        <v>58</v>
      </c>
      <c r="H187" s="31">
        <f>G187/((F187/100)*(F187/100))</f>
        <v>23.233456176894723</v>
      </c>
      <c r="I187" s="5">
        <v>90</v>
      </c>
      <c r="J187" s="30">
        <v>140</v>
      </c>
      <c r="K187" s="30">
        <v>80</v>
      </c>
      <c r="L187" s="29">
        <f>IF(B187="Nữ",0,2)</f>
        <v>0</v>
      </c>
      <c r="M187" s="29">
        <f ca="1">IF(D187&lt;45,0,IF(D187&lt;=49,1,2))</f>
        <v>2</v>
      </c>
      <c r="N187" s="29">
        <f>IF(E187="Có",4,0)</f>
        <v>0</v>
      </c>
      <c r="O187" s="29">
        <f>IF(H187&lt;23,0,IF(H187&lt;27.5,3,5))</f>
        <v>3</v>
      </c>
      <c r="P187" s="29">
        <f>IF(OR(AND(B187="Nam",I187&gt;=90),AND(B187="Nữ",I187&gt;=80)),2,0)</f>
        <v>2</v>
      </c>
      <c r="Q187" s="29">
        <f>IF(OR(J187&gt;=140,K187&gt;=90),2,0)</f>
        <v>2</v>
      </c>
      <c r="R187" s="29">
        <f ca="1">SUM(L187:Q187)</f>
        <v>9</v>
      </c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5" t="s">
        <v>1393</v>
      </c>
      <c r="AE187" s="33"/>
      <c r="AF187" s="59" t="str">
        <f t="shared" si="7"/>
        <v>Không</v>
      </c>
      <c r="AG187" s="59" t="str">
        <f t="shared" si="8"/>
        <v>Không</v>
      </c>
      <c r="AH187" s="29" t="str">
        <f t="shared" ca="1" si="6"/>
        <v>Có</v>
      </c>
      <c r="AI187" s="29" t="str">
        <f ca="1">IF((R187)&gt;=6,"Có","Không")</f>
        <v>Có</v>
      </c>
      <c r="AJ187" s="29" t="str">
        <f>IF(OR(J187&gt;=140,K187&gt;=90),"Có","Không")</f>
        <v>Có</v>
      </c>
      <c r="AK187" s="5" t="s">
        <v>51</v>
      </c>
      <c r="AL187" s="32">
        <v>46081</v>
      </c>
      <c r="AM187" s="29" t="str">
        <f>"Tháng "&amp;MONTH(AL187)</f>
        <v>Tháng 2</v>
      </c>
      <c r="AN187" s="29" t="str">
        <f>LEFT(AK187,FIND(",",AK187)-1)</f>
        <v>Phường Hiệp Thành</v>
      </c>
    </row>
    <row r="188" spans="1:40" x14ac:dyDescent="0.25">
      <c r="A188" s="49" t="s">
        <v>475</v>
      </c>
      <c r="B188" s="5" t="s">
        <v>30</v>
      </c>
      <c r="C188" s="5" t="s">
        <v>45</v>
      </c>
      <c r="D188" s="29">
        <f ca="1">DATEDIF(C188,TODAY(),"Y")</f>
        <v>50</v>
      </c>
      <c r="E188" s="5" t="s">
        <v>26</v>
      </c>
      <c r="F188" s="30">
        <v>170</v>
      </c>
      <c r="G188" s="30">
        <v>70</v>
      </c>
      <c r="H188" s="31">
        <f>G188/((F188/100)*(F188/100))</f>
        <v>24.221453287197235</v>
      </c>
      <c r="I188" s="5">
        <v>96</v>
      </c>
      <c r="J188" s="30">
        <v>120</v>
      </c>
      <c r="K188" s="30">
        <v>80</v>
      </c>
      <c r="L188" s="29">
        <f>IF(B188="Nữ",0,2)</f>
        <v>2</v>
      </c>
      <c r="M188" s="29">
        <f ca="1">IF(D188&lt;45,0,IF(D188&lt;=49,1,2))</f>
        <v>2</v>
      </c>
      <c r="N188" s="29">
        <f>IF(E188="Có",4,0)</f>
        <v>0</v>
      </c>
      <c r="O188" s="29">
        <f>IF(H188&lt;23,0,IF(H188&lt;27.5,3,5))</f>
        <v>3</v>
      </c>
      <c r="P188" s="29">
        <f>IF(OR(AND(B188="Nam",I188&gt;=90),AND(B188="Nữ",I188&gt;=80)),2,0)</f>
        <v>2</v>
      </c>
      <c r="Q188" s="29">
        <f>IF(OR(J188&gt;=140,K188&gt;=90),2,0)</f>
        <v>0</v>
      </c>
      <c r="R188" s="29">
        <f ca="1">SUM(L188:Q188)</f>
        <v>9</v>
      </c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5" t="s">
        <v>1393</v>
      </c>
      <c r="AE188" s="33"/>
      <c r="AF188" s="59" t="str">
        <f t="shared" si="7"/>
        <v>Không</v>
      </c>
      <c r="AG188" s="59" t="str">
        <f t="shared" si="8"/>
        <v>Không</v>
      </c>
      <c r="AH188" s="29" t="str">
        <f t="shared" ca="1" si="6"/>
        <v>Có</v>
      </c>
      <c r="AI188" s="29" t="str">
        <f ca="1">IF((R188)&gt;=6,"Có","Không")</f>
        <v>Có</v>
      </c>
      <c r="AJ188" s="29" t="str">
        <f>IF(OR(J188&gt;=140,K188&gt;=90),"Có","Không")</f>
        <v>Không</v>
      </c>
      <c r="AK188" s="5" t="s">
        <v>476</v>
      </c>
      <c r="AL188" s="32">
        <v>46081</v>
      </c>
      <c r="AM188" s="29" t="str">
        <f>"Tháng "&amp;MONTH(AL188)</f>
        <v>Tháng 2</v>
      </c>
      <c r="AN188" s="29" t="str">
        <f>LEFT(AK188,FIND(",",AK188)-1)</f>
        <v>khóm Biển Đông B</v>
      </c>
    </row>
    <row r="189" spans="1:40" x14ac:dyDescent="0.25">
      <c r="A189" s="49" t="s">
        <v>562</v>
      </c>
      <c r="B189" s="5" t="s">
        <v>30</v>
      </c>
      <c r="C189" s="5" t="s">
        <v>203</v>
      </c>
      <c r="D189" s="29">
        <f ca="1">DATEDIF(C189,TODAY(),"Y")</f>
        <v>43</v>
      </c>
      <c r="E189" s="5" t="s">
        <v>25</v>
      </c>
      <c r="F189" s="30">
        <v>169</v>
      </c>
      <c r="G189" s="30">
        <v>68</v>
      </c>
      <c r="H189" s="31">
        <f>G189/((F189/100)*(F189/100))</f>
        <v>23.808690171912751</v>
      </c>
      <c r="I189" s="5">
        <v>76</v>
      </c>
      <c r="J189" s="30">
        <v>150</v>
      </c>
      <c r="K189" s="30">
        <v>80</v>
      </c>
      <c r="L189" s="29">
        <f>IF(B189="Nữ",0,2)</f>
        <v>2</v>
      </c>
      <c r="M189" s="29">
        <f ca="1">IF(D189&lt;45,0,IF(D189&lt;=49,1,2))</f>
        <v>0</v>
      </c>
      <c r="N189" s="29">
        <f>IF(E189="Có",4,0)</f>
        <v>4</v>
      </c>
      <c r="O189" s="29">
        <f>IF(H189&lt;23,0,IF(H189&lt;27.5,3,5))</f>
        <v>3</v>
      </c>
      <c r="P189" s="29">
        <f>IF(OR(AND(B189="Nam",I189&gt;=90),AND(B189="Nữ",I189&gt;=80)),2,0)</f>
        <v>0</v>
      </c>
      <c r="Q189" s="29">
        <f>IF(OR(J189&gt;=140,K189&gt;=90),2,0)</f>
        <v>2</v>
      </c>
      <c r="R189" s="29">
        <f ca="1">SUM(L189:Q189)</f>
        <v>11</v>
      </c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5" t="s">
        <v>1393</v>
      </c>
      <c r="AE189" s="33"/>
      <c r="AF189" s="59" t="str">
        <f t="shared" si="7"/>
        <v>Không</v>
      </c>
      <c r="AG189" s="59" t="str">
        <f t="shared" si="8"/>
        <v>Không</v>
      </c>
      <c r="AH189" s="29" t="str">
        <f t="shared" ca="1" si="6"/>
        <v>Có</v>
      </c>
      <c r="AI189" s="29" t="str">
        <f ca="1">IF((R189)&gt;=6,"Có","Không")</f>
        <v>Có</v>
      </c>
      <c r="AJ189" s="29" t="str">
        <f>IF(OR(J189&gt;=140,K189&gt;=90),"Có","Không")</f>
        <v>Có</v>
      </c>
      <c r="AK189" s="5" t="s">
        <v>68</v>
      </c>
      <c r="AL189" s="32">
        <v>46081</v>
      </c>
      <c r="AM189" s="29" t="str">
        <f>"Tháng "&amp;MONTH(AL189)</f>
        <v>Tháng 2</v>
      </c>
      <c r="AN189" s="29" t="str">
        <f>LEFT(AK189,FIND(",",AK189)-1)</f>
        <v>Ấp Biển Tây B</v>
      </c>
    </row>
    <row r="190" spans="1:40" x14ac:dyDescent="0.25">
      <c r="A190" s="49" t="s">
        <v>593</v>
      </c>
      <c r="B190" s="5" t="s">
        <v>23</v>
      </c>
      <c r="C190" s="5" t="s">
        <v>50</v>
      </c>
      <c r="D190" s="29">
        <f ca="1">DATEDIF(C190,TODAY(),"Y")</f>
        <v>58</v>
      </c>
      <c r="E190" s="5" t="s">
        <v>26</v>
      </c>
      <c r="F190" s="30">
        <v>158</v>
      </c>
      <c r="G190" s="30">
        <v>50</v>
      </c>
      <c r="H190" s="31">
        <f>G190/((F190/100)*(F190/100))</f>
        <v>20.028841531805796</v>
      </c>
      <c r="I190" s="5">
        <v>85</v>
      </c>
      <c r="J190" s="30">
        <v>120</v>
      </c>
      <c r="K190" s="30">
        <v>70</v>
      </c>
      <c r="L190" s="29">
        <f>IF(B190="Nữ",0,2)</f>
        <v>0</v>
      </c>
      <c r="M190" s="29">
        <f ca="1">IF(D190&lt;45,0,IF(D190&lt;=49,1,2))</f>
        <v>2</v>
      </c>
      <c r="N190" s="29">
        <f>IF(E190="Có",4,0)</f>
        <v>0</v>
      </c>
      <c r="O190" s="29">
        <f>IF(H190&lt;23,0,IF(H190&lt;27.5,3,5))</f>
        <v>0</v>
      </c>
      <c r="P190" s="29">
        <f>IF(OR(AND(B190="Nam",I190&gt;=90),AND(B190="Nữ",I190&gt;=80)),2,0)</f>
        <v>2</v>
      </c>
      <c r="Q190" s="29">
        <f>IF(OR(J190&gt;=140,K190&gt;=90),2,0)</f>
        <v>0</v>
      </c>
      <c r="R190" s="29">
        <f ca="1">SUM(L190:Q190)</f>
        <v>4</v>
      </c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5" t="s">
        <v>1393</v>
      </c>
      <c r="AE190" s="33"/>
      <c r="AF190" s="59" t="str">
        <f t="shared" si="7"/>
        <v>Không</v>
      </c>
      <c r="AG190" s="59" t="str">
        <f t="shared" si="8"/>
        <v>Không</v>
      </c>
      <c r="AH190" s="29" t="str">
        <f t="shared" ca="1" si="6"/>
        <v>Không</v>
      </c>
      <c r="AI190" s="29" t="str">
        <f ca="1">IF((R190)&gt;=6,"Có","Không")</f>
        <v>Không</v>
      </c>
      <c r="AJ190" s="29" t="str">
        <f>IF(OR(J190&gt;=140,K190&gt;=90),"Có","Không")</f>
        <v>Không</v>
      </c>
      <c r="AK190" s="5" t="s">
        <v>509</v>
      </c>
      <c r="AL190" s="32">
        <v>46081</v>
      </c>
      <c r="AM190" s="29" t="str">
        <f>"Tháng "&amp;MONTH(AL190)</f>
        <v>Tháng 2</v>
      </c>
      <c r="AN190" s="29" t="str">
        <f>LEFT(AK190,FIND(",",AK190)-1)</f>
        <v>Khóm Nhà Mát</v>
      </c>
    </row>
    <row r="191" spans="1:40" x14ac:dyDescent="0.25">
      <c r="A191" s="49" t="s">
        <v>597</v>
      </c>
      <c r="B191" s="5" t="s">
        <v>23</v>
      </c>
      <c r="C191" s="5" t="s">
        <v>40</v>
      </c>
      <c r="D191" s="29">
        <f ca="1">DATEDIF(C191,TODAY(),"Y")</f>
        <v>70</v>
      </c>
      <c r="E191" s="5" t="s">
        <v>26</v>
      </c>
      <c r="F191" s="30">
        <v>160</v>
      </c>
      <c r="G191" s="30">
        <v>63</v>
      </c>
      <c r="H191" s="31">
        <f>G191/((F191/100)*(F191/100))</f>
        <v>24.609374999999996</v>
      </c>
      <c r="I191" s="5">
        <v>88</v>
      </c>
      <c r="J191" s="30">
        <v>120</v>
      </c>
      <c r="K191" s="30">
        <v>80</v>
      </c>
      <c r="L191" s="29">
        <f>IF(B191="Nữ",0,2)</f>
        <v>0</v>
      </c>
      <c r="M191" s="29">
        <f ca="1">IF(D191&lt;45,0,IF(D191&lt;=49,1,2))</f>
        <v>2</v>
      </c>
      <c r="N191" s="29">
        <f>IF(E191="Có",4,0)</f>
        <v>0</v>
      </c>
      <c r="O191" s="29">
        <f>IF(H191&lt;23,0,IF(H191&lt;27.5,3,5))</f>
        <v>3</v>
      </c>
      <c r="P191" s="29">
        <f>IF(OR(AND(B191="Nam",I191&gt;=90),AND(B191="Nữ",I191&gt;=80)),2,0)</f>
        <v>2</v>
      </c>
      <c r="Q191" s="29">
        <f>IF(OR(J191&gt;=140,K191&gt;=90),2,0)</f>
        <v>0</v>
      </c>
      <c r="R191" s="29">
        <f ca="1">SUM(L191:Q191)</f>
        <v>7</v>
      </c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5" t="s">
        <v>1393</v>
      </c>
      <c r="AE191" s="33"/>
      <c r="AF191" s="59" t="str">
        <f t="shared" si="7"/>
        <v>Không</v>
      </c>
      <c r="AG191" s="59" t="str">
        <f t="shared" si="8"/>
        <v>Không</v>
      </c>
      <c r="AH191" s="29" t="str">
        <f t="shared" ca="1" si="6"/>
        <v>Có</v>
      </c>
      <c r="AI191" s="29" t="str">
        <f ca="1">IF((R191)&gt;=6,"Có","Không")</f>
        <v>Có</v>
      </c>
      <c r="AJ191" s="29" t="str">
        <f>IF(OR(J191&gt;=140,K191&gt;=90),"Có","Không")</f>
        <v>Không</v>
      </c>
      <c r="AK191" s="5" t="s">
        <v>51</v>
      </c>
      <c r="AL191" s="32">
        <v>46081</v>
      </c>
      <c r="AM191" s="29" t="str">
        <f>"Tháng "&amp;MONTH(AL191)</f>
        <v>Tháng 2</v>
      </c>
      <c r="AN191" s="29" t="str">
        <f>LEFT(AK191,FIND(",",AK191)-1)</f>
        <v>Phường Hiệp Thành</v>
      </c>
    </row>
    <row r="192" spans="1:40" x14ac:dyDescent="0.25">
      <c r="A192" s="49" t="s">
        <v>599</v>
      </c>
      <c r="B192" s="5" t="s">
        <v>23</v>
      </c>
      <c r="C192" s="5" t="s">
        <v>93</v>
      </c>
      <c r="D192" s="29">
        <f ca="1">DATEDIF(C192,TODAY(),"Y")</f>
        <v>66</v>
      </c>
      <c r="E192" s="5" t="s">
        <v>25</v>
      </c>
      <c r="F192" s="30">
        <v>169</v>
      </c>
      <c r="G192" s="30">
        <v>68</v>
      </c>
      <c r="H192" s="31">
        <f>G192/((F192/100)*(F192/100))</f>
        <v>23.808690171912751</v>
      </c>
      <c r="I192" s="5">
        <v>88</v>
      </c>
      <c r="J192" s="30">
        <v>120</v>
      </c>
      <c r="K192" s="30">
        <v>80</v>
      </c>
      <c r="L192" s="29">
        <f>IF(B192="Nữ",0,2)</f>
        <v>0</v>
      </c>
      <c r="M192" s="29">
        <f ca="1">IF(D192&lt;45,0,IF(D192&lt;=49,1,2))</f>
        <v>2</v>
      </c>
      <c r="N192" s="29">
        <f>IF(E192="Có",4,0)</f>
        <v>4</v>
      </c>
      <c r="O192" s="29">
        <f>IF(H192&lt;23,0,IF(H192&lt;27.5,3,5))</f>
        <v>3</v>
      </c>
      <c r="P192" s="29">
        <f>IF(OR(AND(B192="Nam",I192&gt;=90),AND(B192="Nữ",I192&gt;=80)),2,0)</f>
        <v>2</v>
      </c>
      <c r="Q192" s="29">
        <f>IF(OR(J192&gt;=140,K192&gt;=90),2,0)</f>
        <v>0</v>
      </c>
      <c r="R192" s="29">
        <f ca="1">SUM(L192:Q192)</f>
        <v>11</v>
      </c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5" t="s">
        <v>1393</v>
      </c>
      <c r="AE192" s="33"/>
      <c r="AF192" s="59" t="str">
        <f t="shared" si="7"/>
        <v>Không</v>
      </c>
      <c r="AG192" s="59" t="str">
        <f t="shared" si="8"/>
        <v>Không</v>
      </c>
      <c r="AH192" s="29" t="str">
        <f t="shared" ca="1" si="6"/>
        <v>Có</v>
      </c>
      <c r="AI192" s="29" t="str">
        <f ca="1">IF((R192)&gt;=6,"Có","Không")</f>
        <v>Có</v>
      </c>
      <c r="AJ192" s="29" t="str">
        <f>IF(OR(J192&gt;=140,K192&gt;=90),"Có","Không")</f>
        <v>Không</v>
      </c>
      <c r="AK192" s="5" t="s">
        <v>51</v>
      </c>
      <c r="AL192" s="32">
        <v>46081</v>
      </c>
      <c r="AM192" s="29" t="str">
        <f>"Tháng "&amp;MONTH(AL192)</f>
        <v>Tháng 2</v>
      </c>
      <c r="AN192" s="29" t="str">
        <f>LEFT(AK192,FIND(",",AK192)-1)</f>
        <v>Phường Hiệp Thành</v>
      </c>
    </row>
    <row r="193" spans="1:40" x14ac:dyDescent="0.25">
      <c r="A193" s="49" t="s">
        <v>601</v>
      </c>
      <c r="B193" s="5" t="s">
        <v>30</v>
      </c>
      <c r="C193" s="5" t="s">
        <v>80</v>
      </c>
      <c r="D193" s="29">
        <f ca="1">DATEDIF(C193,TODAY(),"Y")</f>
        <v>71</v>
      </c>
      <c r="E193" s="5" t="s">
        <v>26</v>
      </c>
      <c r="F193" s="30">
        <v>169</v>
      </c>
      <c r="G193" s="30">
        <v>69</v>
      </c>
      <c r="H193" s="31">
        <f>G193/((F193/100)*(F193/100))</f>
        <v>24.158817968558527</v>
      </c>
      <c r="I193" s="5">
        <v>88</v>
      </c>
      <c r="J193" s="30">
        <v>120</v>
      </c>
      <c r="K193" s="30">
        <v>80</v>
      </c>
      <c r="L193" s="29">
        <f>IF(B193="Nữ",0,2)</f>
        <v>2</v>
      </c>
      <c r="M193" s="29">
        <f ca="1">IF(D193&lt;45,0,IF(D193&lt;=49,1,2))</f>
        <v>2</v>
      </c>
      <c r="N193" s="29">
        <f>IF(E193="Có",4,0)</f>
        <v>0</v>
      </c>
      <c r="O193" s="29">
        <f>IF(H193&lt;23,0,IF(H193&lt;27.5,3,5))</f>
        <v>3</v>
      </c>
      <c r="P193" s="29">
        <f>IF(OR(AND(B193="Nam",I193&gt;=90),AND(B193="Nữ",I193&gt;=80)),2,0)</f>
        <v>0</v>
      </c>
      <c r="Q193" s="29">
        <f>IF(OR(J193&gt;=140,K193&gt;=90),2,0)</f>
        <v>0</v>
      </c>
      <c r="R193" s="29">
        <f ca="1">SUM(L193:Q193)</f>
        <v>7</v>
      </c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5" t="s">
        <v>1393</v>
      </c>
      <c r="AE193" s="33"/>
      <c r="AF193" s="59" t="str">
        <f t="shared" si="7"/>
        <v>Không</v>
      </c>
      <c r="AG193" s="59" t="str">
        <f t="shared" si="8"/>
        <v>Không</v>
      </c>
      <c r="AH193" s="29" t="str">
        <f t="shared" ca="1" si="6"/>
        <v>Có</v>
      </c>
      <c r="AI193" s="29" t="str">
        <f ca="1">IF((R193)&gt;=6,"Có","Không")</f>
        <v>Có</v>
      </c>
      <c r="AJ193" s="29" t="str">
        <f>IF(OR(J193&gt;=140,K193&gt;=90),"Có","Không")</f>
        <v>Không</v>
      </c>
      <c r="AK193" s="5" t="s">
        <v>51</v>
      </c>
      <c r="AL193" s="32">
        <v>46081</v>
      </c>
      <c r="AM193" s="29" t="str">
        <f>"Tháng "&amp;MONTH(AL193)</f>
        <v>Tháng 2</v>
      </c>
      <c r="AN193" s="29" t="str">
        <f>LEFT(AK193,FIND(",",AK193)-1)</f>
        <v>Phường Hiệp Thành</v>
      </c>
    </row>
    <row r="194" spans="1:40" x14ac:dyDescent="0.25">
      <c r="A194" s="49" t="s">
        <v>602</v>
      </c>
      <c r="B194" s="5" t="s">
        <v>23</v>
      </c>
      <c r="C194" s="5" t="s">
        <v>64</v>
      </c>
      <c r="D194" s="29">
        <f ca="1">DATEDIF(C194,TODAY(),"Y")</f>
        <v>42</v>
      </c>
      <c r="E194" s="5" t="s">
        <v>25</v>
      </c>
      <c r="F194" s="30">
        <v>158</v>
      </c>
      <c r="G194" s="30">
        <v>58</v>
      </c>
      <c r="H194" s="31">
        <f>G194/((F194/100)*(F194/100))</f>
        <v>23.233456176894723</v>
      </c>
      <c r="I194" s="5">
        <v>66</v>
      </c>
      <c r="J194" s="30">
        <v>120</v>
      </c>
      <c r="K194" s="30">
        <v>80</v>
      </c>
      <c r="L194" s="29">
        <f>IF(B194="Nữ",0,2)</f>
        <v>0</v>
      </c>
      <c r="M194" s="29">
        <f ca="1">IF(D194&lt;45,0,IF(D194&lt;=49,1,2))</f>
        <v>0</v>
      </c>
      <c r="N194" s="29">
        <f>IF(E194="Có",4,0)</f>
        <v>4</v>
      </c>
      <c r="O194" s="29">
        <f>IF(H194&lt;23,0,IF(H194&lt;27.5,3,5))</f>
        <v>3</v>
      </c>
      <c r="P194" s="29">
        <f>IF(OR(AND(B194="Nam",I194&gt;=90),AND(B194="Nữ",I194&gt;=80)),2,0)</f>
        <v>0</v>
      </c>
      <c r="Q194" s="29">
        <f>IF(OR(J194&gt;=140,K194&gt;=90),2,0)</f>
        <v>0</v>
      </c>
      <c r="R194" s="29">
        <f ca="1">SUM(L194:Q194)</f>
        <v>7</v>
      </c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5" t="s">
        <v>1393</v>
      </c>
      <c r="AE194" s="33"/>
      <c r="AF194" s="59" t="str">
        <f t="shared" si="7"/>
        <v>Không</v>
      </c>
      <c r="AG194" s="59" t="str">
        <f t="shared" si="8"/>
        <v>Không</v>
      </c>
      <c r="AH194" s="29" t="str">
        <f t="shared" ca="1" si="6"/>
        <v>Có</v>
      </c>
      <c r="AI194" s="29" t="str">
        <f ca="1">IF((R194)&gt;=6,"Có","Không")</f>
        <v>Có</v>
      </c>
      <c r="AJ194" s="29" t="str">
        <f>IF(OR(J194&gt;=140,K194&gt;=90),"Có","Không")</f>
        <v>Không</v>
      </c>
      <c r="AK194" s="5" t="s">
        <v>603</v>
      </c>
      <c r="AL194" s="32">
        <v>46081</v>
      </c>
      <c r="AM194" s="29" t="str">
        <f>"Tháng "&amp;MONTH(AL194)</f>
        <v>Tháng 2</v>
      </c>
      <c r="AN194" s="29" t="str">
        <f>LEFT(AK194,FIND(",",AK194)-1)</f>
        <v>ấp Cù Lao</v>
      </c>
    </row>
    <row r="195" spans="1:40" x14ac:dyDescent="0.25">
      <c r="A195" s="49" t="s">
        <v>604</v>
      </c>
      <c r="B195" s="5" t="s">
        <v>30</v>
      </c>
      <c r="C195" s="5" t="s">
        <v>318</v>
      </c>
      <c r="D195" s="29">
        <f ca="1">DATEDIF(C195,TODAY(),"Y")</f>
        <v>82</v>
      </c>
      <c r="E195" s="5" t="s">
        <v>26</v>
      </c>
      <c r="F195" s="30">
        <v>169</v>
      </c>
      <c r="G195" s="30">
        <v>68</v>
      </c>
      <c r="H195" s="31">
        <f>G195/((F195/100)*(F195/100))</f>
        <v>23.808690171912751</v>
      </c>
      <c r="I195" s="5">
        <v>96</v>
      </c>
      <c r="J195" s="30">
        <v>120</v>
      </c>
      <c r="K195" s="30">
        <v>80</v>
      </c>
      <c r="L195" s="29">
        <f>IF(B195="Nữ",0,2)</f>
        <v>2</v>
      </c>
      <c r="M195" s="29">
        <f ca="1">IF(D195&lt;45,0,IF(D195&lt;=49,1,2))</f>
        <v>2</v>
      </c>
      <c r="N195" s="29">
        <f>IF(E195="Có",4,0)</f>
        <v>0</v>
      </c>
      <c r="O195" s="29">
        <f>IF(H195&lt;23,0,IF(H195&lt;27.5,3,5))</f>
        <v>3</v>
      </c>
      <c r="P195" s="29">
        <f>IF(OR(AND(B195="Nam",I195&gt;=90),AND(B195="Nữ",I195&gt;=80)),2,0)</f>
        <v>2</v>
      </c>
      <c r="Q195" s="29">
        <f>IF(OR(J195&gt;=140,K195&gt;=90),2,0)</f>
        <v>0</v>
      </c>
      <c r="R195" s="29">
        <f ca="1">SUM(L195:Q195)</f>
        <v>9</v>
      </c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5" t="s">
        <v>1393</v>
      </c>
      <c r="AE195" s="33"/>
      <c r="AF195" s="59" t="str">
        <f t="shared" si="7"/>
        <v>Không</v>
      </c>
      <c r="AG195" s="59" t="str">
        <f t="shared" si="8"/>
        <v>Không</v>
      </c>
      <c r="AH195" s="29" t="str">
        <f t="shared" ca="1" si="6"/>
        <v>Có</v>
      </c>
      <c r="AI195" s="29" t="str">
        <f ca="1">IF((R195)&gt;=6,"Có","Không")</f>
        <v>Có</v>
      </c>
      <c r="AJ195" s="29" t="str">
        <f>IF(OR(J195&gt;=140,K195&gt;=90),"Có","Không")</f>
        <v>Không</v>
      </c>
      <c r="AK195" s="5" t="s">
        <v>51</v>
      </c>
      <c r="AL195" s="32">
        <v>46081</v>
      </c>
      <c r="AM195" s="29" t="str">
        <f>"Tháng "&amp;MONTH(AL195)</f>
        <v>Tháng 2</v>
      </c>
      <c r="AN195" s="29" t="str">
        <f>LEFT(AK195,FIND(",",AK195)-1)</f>
        <v>Phường Hiệp Thành</v>
      </c>
    </row>
    <row r="196" spans="1:40" x14ac:dyDescent="0.25">
      <c r="A196" s="49" t="s">
        <v>609</v>
      </c>
      <c r="B196" s="5" t="s">
        <v>30</v>
      </c>
      <c r="C196" s="5" t="s">
        <v>80</v>
      </c>
      <c r="D196" s="29">
        <f ca="1">DATEDIF(C196,TODAY(),"Y")</f>
        <v>71</v>
      </c>
      <c r="E196" s="5" t="s">
        <v>26</v>
      </c>
      <c r="F196" s="30">
        <v>175</v>
      </c>
      <c r="G196" s="30">
        <v>51</v>
      </c>
      <c r="H196" s="31">
        <f>G196/((F196/100)*(F196/100))</f>
        <v>16.653061224489797</v>
      </c>
      <c r="I196" s="5">
        <v>66</v>
      </c>
      <c r="J196" s="30">
        <v>120</v>
      </c>
      <c r="K196" s="30">
        <v>70</v>
      </c>
      <c r="L196" s="29">
        <f>IF(B196="Nữ",0,2)</f>
        <v>2</v>
      </c>
      <c r="M196" s="29">
        <f ca="1">IF(D196&lt;45,0,IF(D196&lt;=49,1,2))</f>
        <v>2</v>
      </c>
      <c r="N196" s="29">
        <f>IF(E196="Có",4,0)</f>
        <v>0</v>
      </c>
      <c r="O196" s="29">
        <f>IF(H196&lt;23,0,IF(H196&lt;27.5,3,5))</f>
        <v>0</v>
      </c>
      <c r="P196" s="29">
        <f>IF(OR(AND(B196="Nam",I196&gt;=90),AND(B196="Nữ",I196&gt;=80)),2,0)</f>
        <v>0</v>
      </c>
      <c r="Q196" s="29">
        <f>IF(OR(J196&gt;=140,K196&gt;=90),2,0)</f>
        <v>0</v>
      </c>
      <c r="R196" s="29">
        <f ca="1">SUM(L196:Q196)</f>
        <v>4</v>
      </c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5" t="s">
        <v>1393</v>
      </c>
      <c r="AE196" s="33"/>
      <c r="AF196" s="59" t="str">
        <f t="shared" si="7"/>
        <v>Không</v>
      </c>
      <c r="AG196" s="59" t="str">
        <f t="shared" si="8"/>
        <v>Không</v>
      </c>
      <c r="AH196" s="29" t="str">
        <f t="shared" ref="AH196:AH259" ca="1" si="9">IF((R196)&gt;=6,"Có","Không")</f>
        <v>Không</v>
      </c>
      <c r="AI196" s="29" t="str">
        <f ca="1">IF((R196)&gt;=6,"Có","Không")</f>
        <v>Không</v>
      </c>
      <c r="AJ196" s="29" t="str">
        <f>IF(OR(J196&gt;=140,K196&gt;=90),"Có","Không")</f>
        <v>Không</v>
      </c>
      <c r="AK196" s="5" t="s">
        <v>57</v>
      </c>
      <c r="AL196" s="32">
        <v>46081</v>
      </c>
      <c r="AM196" s="29" t="str">
        <f>"Tháng "&amp;MONTH(AL196)</f>
        <v>Tháng 2</v>
      </c>
      <c r="AN196" s="29" t="str">
        <f>LEFT(AK196,FIND(",",AK196)-1)</f>
        <v>xã hiệp thành</v>
      </c>
    </row>
    <row r="197" spans="1:40" x14ac:dyDescent="0.25">
      <c r="A197" s="49" t="s">
        <v>610</v>
      </c>
      <c r="B197" s="5" t="s">
        <v>23</v>
      </c>
      <c r="C197" s="5" t="s">
        <v>80</v>
      </c>
      <c r="D197" s="29">
        <f ca="1">DATEDIF(C197,TODAY(),"Y")</f>
        <v>71</v>
      </c>
      <c r="E197" s="5" t="s">
        <v>26</v>
      </c>
      <c r="F197" s="30">
        <v>158</v>
      </c>
      <c r="G197" s="30">
        <v>58</v>
      </c>
      <c r="H197" s="31">
        <f>G197/((F197/100)*(F197/100))</f>
        <v>23.233456176894723</v>
      </c>
      <c r="I197" s="5">
        <v>70</v>
      </c>
      <c r="J197" s="30">
        <v>120</v>
      </c>
      <c r="K197" s="30">
        <v>80</v>
      </c>
      <c r="L197" s="29">
        <f>IF(B197="Nữ",0,2)</f>
        <v>0</v>
      </c>
      <c r="M197" s="29">
        <f ca="1">IF(D197&lt;45,0,IF(D197&lt;=49,1,2))</f>
        <v>2</v>
      </c>
      <c r="N197" s="29">
        <f>IF(E197="Có",4,0)</f>
        <v>0</v>
      </c>
      <c r="O197" s="29">
        <f>IF(H197&lt;23,0,IF(H197&lt;27.5,3,5))</f>
        <v>3</v>
      </c>
      <c r="P197" s="29">
        <f>IF(OR(AND(B197="Nam",I197&gt;=90),AND(B197="Nữ",I197&gt;=80)),2,0)</f>
        <v>0</v>
      </c>
      <c r="Q197" s="29">
        <f>IF(OR(J197&gt;=140,K197&gt;=90),2,0)</f>
        <v>0</v>
      </c>
      <c r="R197" s="29">
        <f ca="1">SUM(L197:Q197)</f>
        <v>5</v>
      </c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5" t="s">
        <v>1393</v>
      </c>
      <c r="AE197" s="33"/>
      <c r="AF197" s="59" t="str">
        <f t="shared" ref="AF197:AF260" si="10">IF(COUNTIF(S197:Z197,"X")&gt;=2,"Có","Không")</f>
        <v>Không</v>
      </c>
      <c r="AG197" s="59" t="str">
        <f t="shared" ref="AG197:AG260" si="11">IF(COUNTIF(AA197:AE197,"X")&gt;=3,"Có","Không")</f>
        <v>Không</v>
      </c>
      <c r="AH197" s="29" t="str">
        <f t="shared" ca="1" si="9"/>
        <v>Không</v>
      </c>
      <c r="AI197" s="29" t="str">
        <f ca="1">IF((R197)&gt;=6,"Có","Không")</f>
        <v>Không</v>
      </c>
      <c r="AJ197" s="29" t="str">
        <f>IF(OR(J197&gt;=140,K197&gt;=90),"Có","Không")</f>
        <v>Không</v>
      </c>
      <c r="AK197" s="5" t="s">
        <v>383</v>
      </c>
      <c r="AL197" s="32">
        <v>46081</v>
      </c>
      <c r="AM197" s="29" t="str">
        <f>"Tháng "&amp;MONTH(AL197)</f>
        <v>Tháng 2</v>
      </c>
      <c r="AN197" s="29" t="str">
        <f>LEFT(AK197,FIND(",",AK197)-1)</f>
        <v>ấp Biển Đông A</v>
      </c>
    </row>
    <row r="198" spans="1:40" x14ac:dyDescent="0.25">
      <c r="A198" s="49" t="s">
        <v>611</v>
      </c>
      <c r="B198" s="5" t="s">
        <v>23</v>
      </c>
      <c r="C198" s="5" t="s">
        <v>273</v>
      </c>
      <c r="D198" s="29">
        <f ca="1">DATEDIF(C198,TODAY(),"Y")</f>
        <v>47</v>
      </c>
      <c r="E198" s="5" t="s">
        <v>25</v>
      </c>
      <c r="F198" s="30">
        <v>158</v>
      </c>
      <c r="G198" s="30">
        <v>58</v>
      </c>
      <c r="H198" s="31">
        <f>G198/((F198/100)*(F198/100))</f>
        <v>23.233456176894723</v>
      </c>
      <c r="I198" s="5">
        <v>93</v>
      </c>
      <c r="J198" s="30">
        <v>160</v>
      </c>
      <c r="K198" s="30">
        <v>80</v>
      </c>
      <c r="L198" s="29">
        <f>IF(B198="Nữ",0,2)</f>
        <v>0</v>
      </c>
      <c r="M198" s="29">
        <f ca="1">IF(D198&lt;45,0,IF(D198&lt;=49,1,2))</f>
        <v>1</v>
      </c>
      <c r="N198" s="29">
        <f>IF(E198="Có",4,0)</f>
        <v>4</v>
      </c>
      <c r="O198" s="29">
        <f>IF(H198&lt;23,0,IF(H198&lt;27.5,3,5))</f>
        <v>3</v>
      </c>
      <c r="P198" s="29">
        <f>IF(OR(AND(B198="Nam",I198&gt;=90),AND(B198="Nữ",I198&gt;=80)),2,0)</f>
        <v>2</v>
      </c>
      <c r="Q198" s="29">
        <f>IF(OR(J198&gt;=140,K198&gt;=90),2,0)</f>
        <v>2</v>
      </c>
      <c r="R198" s="29">
        <f ca="1">SUM(L198:Q198)</f>
        <v>12</v>
      </c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5" t="s">
        <v>1393</v>
      </c>
      <c r="AE198" s="33"/>
      <c r="AF198" s="59" t="str">
        <f t="shared" si="10"/>
        <v>Không</v>
      </c>
      <c r="AG198" s="59" t="str">
        <f t="shared" si="11"/>
        <v>Không</v>
      </c>
      <c r="AH198" s="29" t="str">
        <f t="shared" ca="1" si="9"/>
        <v>Có</v>
      </c>
      <c r="AI198" s="29" t="str">
        <f ca="1">IF((R198)&gt;=6,"Có","Không")</f>
        <v>Có</v>
      </c>
      <c r="AJ198" s="29" t="str">
        <f>IF(OR(J198&gt;=140,K198&gt;=90),"Có","Không")</f>
        <v>Có</v>
      </c>
      <c r="AK198" s="5" t="s">
        <v>335</v>
      </c>
      <c r="AL198" s="32">
        <v>46081</v>
      </c>
      <c r="AM198" s="29" t="str">
        <f>"Tháng "&amp;MONTH(AL198)</f>
        <v>Tháng 2</v>
      </c>
      <c r="AN198" s="29" t="str">
        <f>LEFT(AK198,FIND(",",AK198)-1)</f>
        <v>ấp Giồng Giữa B</v>
      </c>
    </row>
    <row r="199" spans="1:40" x14ac:dyDescent="0.25">
      <c r="A199" s="49" t="s">
        <v>612</v>
      </c>
      <c r="B199" s="5" t="s">
        <v>30</v>
      </c>
      <c r="C199" s="5" t="s">
        <v>133</v>
      </c>
      <c r="D199" s="29">
        <f ca="1">DATEDIF(C199,TODAY(),"Y")</f>
        <v>56</v>
      </c>
      <c r="E199" s="5" t="s">
        <v>26</v>
      </c>
      <c r="F199" s="30">
        <v>169</v>
      </c>
      <c r="G199" s="30">
        <v>69</v>
      </c>
      <c r="H199" s="31">
        <f>G199/((F199/100)*(F199/100))</f>
        <v>24.158817968558527</v>
      </c>
      <c r="I199" s="5">
        <v>86</v>
      </c>
      <c r="J199" s="30">
        <v>160</v>
      </c>
      <c r="K199" s="30">
        <v>80</v>
      </c>
      <c r="L199" s="29">
        <f>IF(B199="Nữ",0,2)</f>
        <v>2</v>
      </c>
      <c r="M199" s="29">
        <f ca="1">IF(D199&lt;45,0,IF(D199&lt;=49,1,2))</f>
        <v>2</v>
      </c>
      <c r="N199" s="29">
        <f>IF(E199="Có",4,0)</f>
        <v>0</v>
      </c>
      <c r="O199" s="29">
        <f>IF(H199&lt;23,0,IF(H199&lt;27.5,3,5))</f>
        <v>3</v>
      </c>
      <c r="P199" s="29">
        <f>IF(OR(AND(B199="Nam",I199&gt;=90),AND(B199="Nữ",I199&gt;=80)),2,0)</f>
        <v>0</v>
      </c>
      <c r="Q199" s="29">
        <f>IF(OR(J199&gt;=140,K199&gt;=90),2,0)</f>
        <v>2</v>
      </c>
      <c r="R199" s="29">
        <f ca="1">SUM(L199:Q199)</f>
        <v>9</v>
      </c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5" t="s">
        <v>1393</v>
      </c>
      <c r="AE199" s="33"/>
      <c r="AF199" s="59" t="str">
        <f t="shared" si="10"/>
        <v>Không</v>
      </c>
      <c r="AG199" s="59" t="str">
        <f t="shared" si="11"/>
        <v>Không</v>
      </c>
      <c r="AH199" s="29" t="str">
        <f t="shared" ca="1" si="9"/>
        <v>Có</v>
      </c>
      <c r="AI199" s="29" t="str">
        <f ca="1">IF((R199)&gt;=6,"Có","Không")</f>
        <v>Có</v>
      </c>
      <c r="AJ199" s="29" t="str">
        <f>IF(OR(J199&gt;=140,K199&gt;=90),"Có","Không")</f>
        <v>Có</v>
      </c>
      <c r="AK199" s="5" t="s">
        <v>298</v>
      </c>
      <c r="AL199" s="32">
        <v>46081</v>
      </c>
      <c r="AM199" s="29" t="str">
        <f>"Tháng "&amp;MONTH(AL199)</f>
        <v>Tháng 2</v>
      </c>
      <c r="AN199" s="29" t="str">
        <f>LEFT(AK199,FIND(",",AK199)-1)</f>
        <v>ấp Biển Tây A</v>
      </c>
    </row>
    <row r="200" spans="1:40" x14ac:dyDescent="0.25">
      <c r="A200" s="49" t="s">
        <v>642</v>
      </c>
      <c r="B200" s="5" t="s">
        <v>23</v>
      </c>
      <c r="C200" s="5" t="s">
        <v>268</v>
      </c>
      <c r="D200" s="29">
        <f ca="1">DATEDIF(C200,TODAY(),"Y")</f>
        <v>44</v>
      </c>
      <c r="E200" s="5" t="s">
        <v>26</v>
      </c>
      <c r="F200" s="30">
        <v>158</v>
      </c>
      <c r="G200" s="30">
        <v>58</v>
      </c>
      <c r="H200" s="31">
        <f>G200/((F200/100)*(F200/100))</f>
        <v>23.233456176894723</v>
      </c>
      <c r="I200" s="5">
        <v>75</v>
      </c>
      <c r="J200" s="30">
        <v>120</v>
      </c>
      <c r="K200" s="30">
        <v>80</v>
      </c>
      <c r="L200" s="29">
        <f>IF(B200="Nữ",0,2)</f>
        <v>0</v>
      </c>
      <c r="M200" s="29">
        <f ca="1">IF(D200&lt;45,0,IF(D200&lt;=49,1,2))</f>
        <v>0</v>
      </c>
      <c r="N200" s="29">
        <f>IF(E200="Có",4,0)</f>
        <v>0</v>
      </c>
      <c r="O200" s="29">
        <f>IF(H200&lt;23,0,IF(H200&lt;27.5,3,5))</f>
        <v>3</v>
      </c>
      <c r="P200" s="29">
        <f>IF(OR(AND(B200="Nam",I200&gt;=90),AND(B200="Nữ",I200&gt;=80)),2,0)</f>
        <v>0</v>
      </c>
      <c r="Q200" s="29">
        <f>IF(OR(J200&gt;=140,K200&gt;=90),2,0)</f>
        <v>0</v>
      </c>
      <c r="R200" s="29">
        <f ca="1">SUM(L200:Q200)</f>
        <v>3</v>
      </c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5" t="s">
        <v>1393</v>
      </c>
      <c r="AE200" s="33"/>
      <c r="AF200" s="59" t="str">
        <f t="shared" si="10"/>
        <v>Không</v>
      </c>
      <c r="AG200" s="59" t="str">
        <f t="shared" si="11"/>
        <v>Không</v>
      </c>
      <c r="AH200" s="29" t="str">
        <f t="shared" ca="1" si="9"/>
        <v>Không</v>
      </c>
      <c r="AI200" s="29" t="str">
        <f ca="1">IF((R200)&gt;=6,"Có","Không")</f>
        <v>Không</v>
      </c>
      <c r="AJ200" s="29" t="str">
        <f>IF(OR(J200&gt;=140,K200&gt;=90),"Có","Không")</f>
        <v>Không</v>
      </c>
      <c r="AK200" s="5" t="s">
        <v>111</v>
      </c>
      <c r="AL200" s="32">
        <v>46081</v>
      </c>
      <c r="AM200" s="29" t="str">
        <f>"Tháng "&amp;MONTH(AL200)</f>
        <v>Tháng 2</v>
      </c>
      <c r="AN200" s="29" t="str">
        <f>LEFT(AK200,FIND(",",AK200)-1)</f>
        <v>Phường Vĩnh Trạch</v>
      </c>
    </row>
    <row r="201" spans="1:40" x14ac:dyDescent="0.25">
      <c r="A201" s="49" t="s">
        <v>645</v>
      </c>
      <c r="B201" s="5" t="s">
        <v>23</v>
      </c>
      <c r="C201" s="5" t="s">
        <v>188</v>
      </c>
      <c r="D201" s="29">
        <f ca="1">DATEDIF(C201,TODAY(),"Y")</f>
        <v>63</v>
      </c>
      <c r="E201" s="5" t="s">
        <v>26</v>
      </c>
      <c r="F201" s="30">
        <v>158</v>
      </c>
      <c r="G201" s="30">
        <v>58</v>
      </c>
      <c r="H201" s="31">
        <f>G201/((F201/100)*(F201/100))</f>
        <v>23.233456176894723</v>
      </c>
      <c r="I201" s="5">
        <v>87</v>
      </c>
      <c r="J201" s="30">
        <v>160</v>
      </c>
      <c r="K201" s="30">
        <v>80</v>
      </c>
      <c r="L201" s="29">
        <f>IF(B201="Nữ",0,2)</f>
        <v>0</v>
      </c>
      <c r="M201" s="29">
        <f ca="1">IF(D201&lt;45,0,IF(D201&lt;=49,1,2))</f>
        <v>2</v>
      </c>
      <c r="N201" s="29">
        <f>IF(E201="Có",4,0)</f>
        <v>0</v>
      </c>
      <c r="O201" s="29">
        <f>IF(H201&lt;23,0,IF(H201&lt;27.5,3,5))</f>
        <v>3</v>
      </c>
      <c r="P201" s="29">
        <f>IF(OR(AND(B201="Nam",I201&gt;=90),AND(B201="Nữ",I201&gt;=80)),2,0)</f>
        <v>2</v>
      </c>
      <c r="Q201" s="29">
        <f>IF(OR(J201&gt;=140,K201&gt;=90),2,0)</f>
        <v>2</v>
      </c>
      <c r="R201" s="29">
        <f ca="1">SUM(L201:Q201)</f>
        <v>9</v>
      </c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5" t="s">
        <v>1393</v>
      </c>
      <c r="AE201" s="33"/>
      <c r="AF201" s="59" t="str">
        <f t="shared" si="10"/>
        <v>Không</v>
      </c>
      <c r="AG201" s="59" t="str">
        <f t="shared" si="11"/>
        <v>Không</v>
      </c>
      <c r="AH201" s="29" t="str">
        <f t="shared" ca="1" si="9"/>
        <v>Có</v>
      </c>
      <c r="AI201" s="29" t="str">
        <f ca="1">IF((R201)&gt;=6,"Có","Không")</f>
        <v>Có</v>
      </c>
      <c r="AJ201" s="29" t="str">
        <f>IF(OR(J201&gt;=140,K201&gt;=90),"Có","Không")</f>
        <v>Có</v>
      </c>
      <c r="AK201" s="5" t="s">
        <v>38</v>
      </c>
      <c r="AL201" s="32">
        <v>46081</v>
      </c>
      <c r="AM201" s="29" t="str">
        <f>"Tháng "&amp;MONTH(AL201)</f>
        <v>Tháng 2</v>
      </c>
      <c r="AN201" s="29" t="str">
        <f>LEFT(AK201,FIND(",",AK201)-1)</f>
        <v>Ấp Biển Đông B</v>
      </c>
    </row>
    <row r="202" spans="1:40" x14ac:dyDescent="0.25">
      <c r="A202" s="49" t="s">
        <v>684</v>
      </c>
      <c r="B202" s="5" t="s">
        <v>23</v>
      </c>
      <c r="C202" s="5" t="s">
        <v>40</v>
      </c>
      <c r="D202" s="29">
        <f ca="1">DATEDIF(C202,TODAY(),"Y")</f>
        <v>70</v>
      </c>
      <c r="E202" s="5" t="s">
        <v>26</v>
      </c>
      <c r="F202" s="30">
        <v>150</v>
      </c>
      <c r="G202" s="30">
        <v>52</v>
      </c>
      <c r="H202" s="31">
        <f>G202/((F202/100)*(F202/100))</f>
        <v>23.111111111111111</v>
      </c>
      <c r="I202" s="5">
        <v>95</v>
      </c>
      <c r="J202" s="30">
        <v>120</v>
      </c>
      <c r="K202" s="30">
        <v>80</v>
      </c>
      <c r="L202" s="29">
        <f>IF(B202="Nữ",0,2)</f>
        <v>0</v>
      </c>
      <c r="M202" s="29">
        <f ca="1">IF(D202&lt;45,0,IF(D202&lt;=49,1,2))</f>
        <v>2</v>
      </c>
      <c r="N202" s="29">
        <f>IF(E202="Có",4,0)</f>
        <v>0</v>
      </c>
      <c r="O202" s="29">
        <f>IF(H202&lt;23,0,IF(H202&lt;27.5,3,5))</f>
        <v>3</v>
      </c>
      <c r="P202" s="29">
        <f>IF(OR(AND(B202="Nam",I202&gt;=90),AND(B202="Nữ",I202&gt;=80)),2,0)</f>
        <v>2</v>
      </c>
      <c r="Q202" s="29">
        <f>IF(OR(J202&gt;=140,K202&gt;=90),2,0)</f>
        <v>0</v>
      </c>
      <c r="R202" s="29">
        <f ca="1">SUM(L202:Q202)</f>
        <v>7</v>
      </c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5" t="s">
        <v>1393</v>
      </c>
      <c r="AE202" s="33"/>
      <c r="AF202" s="59" t="str">
        <f t="shared" si="10"/>
        <v>Không</v>
      </c>
      <c r="AG202" s="59" t="str">
        <f t="shared" si="11"/>
        <v>Không</v>
      </c>
      <c r="AH202" s="29" t="str">
        <f t="shared" ca="1" si="9"/>
        <v>Có</v>
      </c>
      <c r="AI202" s="29" t="str">
        <f ca="1">IF((R202)&gt;=6,"Có","Không")</f>
        <v>Có</v>
      </c>
      <c r="AJ202" s="29" t="str">
        <f>IF(OR(J202&gt;=140,K202&gt;=90),"Có","Không")</f>
        <v>Không</v>
      </c>
      <c r="AK202" s="5" t="s">
        <v>685</v>
      </c>
      <c r="AL202" s="32">
        <v>46081</v>
      </c>
      <c r="AM202" s="29" t="str">
        <f>"Tháng "&amp;MONTH(AL202)</f>
        <v>Tháng 2</v>
      </c>
      <c r="AN202" s="29" t="str">
        <f>LEFT(AK202,FIND(",",AK202)-1)</f>
        <v>Khóm Giồng Nhãn A</v>
      </c>
    </row>
    <row r="203" spans="1:40" x14ac:dyDescent="0.25">
      <c r="A203" s="49" t="s">
        <v>702</v>
      </c>
      <c r="B203" s="5" t="s">
        <v>30</v>
      </c>
      <c r="C203" s="5" t="s">
        <v>93</v>
      </c>
      <c r="D203" s="29">
        <f ca="1">DATEDIF(C203,TODAY(),"Y")</f>
        <v>66</v>
      </c>
      <c r="E203" s="5" t="s">
        <v>26</v>
      </c>
      <c r="F203" s="30">
        <v>155</v>
      </c>
      <c r="G203" s="30">
        <v>55</v>
      </c>
      <c r="H203" s="31">
        <f>G203/((F203/100)*(F203/100))</f>
        <v>22.892819979188342</v>
      </c>
      <c r="I203" s="5">
        <v>88</v>
      </c>
      <c r="J203" s="30">
        <v>120</v>
      </c>
      <c r="K203" s="30">
        <v>80</v>
      </c>
      <c r="L203" s="29">
        <f>IF(B203="Nữ",0,2)</f>
        <v>2</v>
      </c>
      <c r="M203" s="29">
        <f ca="1">IF(D203&lt;45,0,IF(D203&lt;=49,1,2))</f>
        <v>2</v>
      </c>
      <c r="N203" s="29">
        <f>IF(E203="Có",4,0)</f>
        <v>0</v>
      </c>
      <c r="O203" s="29">
        <f>IF(H203&lt;23,0,IF(H203&lt;27.5,3,5))</f>
        <v>0</v>
      </c>
      <c r="P203" s="29">
        <f>IF(OR(AND(B203="Nam",I203&gt;=90),AND(B203="Nữ",I203&gt;=80)),2,0)</f>
        <v>0</v>
      </c>
      <c r="Q203" s="29">
        <f>IF(OR(J203&gt;=140,K203&gt;=90),2,0)</f>
        <v>0</v>
      </c>
      <c r="R203" s="29">
        <f ca="1">SUM(L203:Q203)</f>
        <v>4</v>
      </c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5" t="s">
        <v>1393</v>
      </c>
      <c r="AE203" s="33"/>
      <c r="AF203" s="59" t="str">
        <f t="shared" si="10"/>
        <v>Không</v>
      </c>
      <c r="AG203" s="59" t="str">
        <f t="shared" si="11"/>
        <v>Không</v>
      </c>
      <c r="AH203" s="29" t="str">
        <f t="shared" ca="1" si="9"/>
        <v>Không</v>
      </c>
      <c r="AI203" s="29" t="str">
        <f ca="1">IF((R203)&gt;=6,"Có","Không")</f>
        <v>Không</v>
      </c>
      <c r="AJ203" s="29" t="str">
        <f>IF(OR(J203&gt;=140,K203&gt;=90),"Có","Không")</f>
        <v>Không</v>
      </c>
      <c r="AK203" s="5" t="s">
        <v>703</v>
      </c>
      <c r="AL203" s="32">
        <v>46081</v>
      </c>
      <c r="AM203" s="29" t="str">
        <f>"Tháng "&amp;MONTH(AL203)</f>
        <v>Tháng 2</v>
      </c>
      <c r="AN203" s="29" t="str">
        <f>LEFT(AK203,FIND(",",AK203)-1)</f>
        <v>khóm Giồng Giữa</v>
      </c>
    </row>
    <row r="204" spans="1:40" x14ac:dyDescent="0.25">
      <c r="A204" s="49" t="s">
        <v>714</v>
      </c>
      <c r="B204" s="5" t="s">
        <v>30</v>
      </c>
      <c r="C204" s="5" t="s">
        <v>84</v>
      </c>
      <c r="D204" s="29">
        <f ca="1">DATEDIF(C204,TODAY(),"Y")</f>
        <v>69</v>
      </c>
      <c r="E204" s="5" t="s">
        <v>26</v>
      </c>
      <c r="F204" s="30">
        <v>169</v>
      </c>
      <c r="G204" s="30">
        <v>69</v>
      </c>
      <c r="H204" s="31">
        <f>G204/((F204/100)*(F204/100))</f>
        <v>24.158817968558527</v>
      </c>
      <c r="I204" s="5">
        <v>68</v>
      </c>
      <c r="J204" s="30">
        <v>160</v>
      </c>
      <c r="K204" s="30">
        <v>80</v>
      </c>
      <c r="L204" s="29">
        <f>IF(B204="Nữ",0,2)</f>
        <v>2</v>
      </c>
      <c r="M204" s="29">
        <f ca="1">IF(D204&lt;45,0,IF(D204&lt;=49,1,2))</f>
        <v>2</v>
      </c>
      <c r="N204" s="29">
        <f>IF(E204="Có",4,0)</f>
        <v>0</v>
      </c>
      <c r="O204" s="29">
        <f>IF(H204&lt;23,0,IF(H204&lt;27.5,3,5))</f>
        <v>3</v>
      </c>
      <c r="P204" s="29">
        <f>IF(OR(AND(B204="Nam",I204&gt;=90),AND(B204="Nữ",I204&gt;=80)),2,0)</f>
        <v>0</v>
      </c>
      <c r="Q204" s="29">
        <f>IF(OR(J204&gt;=140,K204&gt;=90),2,0)</f>
        <v>2</v>
      </c>
      <c r="R204" s="29">
        <f ca="1">SUM(L204:Q204)</f>
        <v>9</v>
      </c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5" t="s">
        <v>1393</v>
      </c>
      <c r="AE204" s="33"/>
      <c r="AF204" s="59" t="str">
        <f t="shared" si="10"/>
        <v>Không</v>
      </c>
      <c r="AG204" s="59" t="str">
        <f t="shared" si="11"/>
        <v>Không</v>
      </c>
      <c r="AH204" s="29" t="str">
        <f t="shared" ca="1" si="9"/>
        <v>Có</v>
      </c>
      <c r="AI204" s="29" t="str">
        <f ca="1">IF((R204)&gt;=6,"Có","Không")</f>
        <v>Có</v>
      </c>
      <c r="AJ204" s="29" t="str">
        <f>IF(OR(J204&gt;=140,K204&gt;=90),"Có","Không")</f>
        <v>Có</v>
      </c>
      <c r="AK204" s="5" t="s">
        <v>140</v>
      </c>
      <c r="AL204" s="32">
        <v>46081</v>
      </c>
      <c r="AM204" s="29" t="str">
        <f>"Tháng "&amp;MONTH(AL204)</f>
        <v>Tháng 2</v>
      </c>
      <c r="AN204" s="29" t="str">
        <f>LEFT(AK204,FIND(",",AK204)-1)</f>
        <v>Biển Tây A</v>
      </c>
    </row>
    <row r="205" spans="1:40" x14ac:dyDescent="0.25">
      <c r="A205" s="49" t="s">
        <v>720</v>
      </c>
      <c r="B205" s="5" t="s">
        <v>30</v>
      </c>
      <c r="C205" s="5" t="s">
        <v>110</v>
      </c>
      <c r="D205" s="29">
        <f ca="1">DATEDIF(C205,TODAY(),"Y")</f>
        <v>62</v>
      </c>
      <c r="E205" s="5" t="s">
        <v>26</v>
      </c>
      <c r="F205" s="30">
        <v>168</v>
      </c>
      <c r="G205" s="30">
        <v>68</v>
      </c>
      <c r="H205" s="31">
        <f>G205/((F205/100)*(F205/100))</f>
        <v>24.092970521541954</v>
      </c>
      <c r="I205" s="5">
        <v>86</v>
      </c>
      <c r="J205" s="30">
        <v>120</v>
      </c>
      <c r="K205" s="30">
        <v>80</v>
      </c>
      <c r="L205" s="29">
        <f>IF(B205="Nữ",0,2)</f>
        <v>2</v>
      </c>
      <c r="M205" s="29">
        <f ca="1">IF(D205&lt;45,0,IF(D205&lt;=49,1,2))</f>
        <v>2</v>
      </c>
      <c r="N205" s="29">
        <f>IF(E205="Có",4,0)</f>
        <v>0</v>
      </c>
      <c r="O205" s="29">
        <f>IF(H205&lt;23,0,IF(H205&lt;27.5,3,5))</f>
        <v>3</v>
      </c>
      <c r="P205" s="29">
        <f>IF(OR(AND(B205="Nam",I205&gt;=90),AND(B205="Nữ",I205&gt;=80)),2,0)</f>
        <v>0</v>
      </c>
      <c r="Q205" s="29">
        <f>IF(OR(J205&gt;=140,K205&gt;=90),2,0)</f>
        <v>0</v>
      </c>
      <c r="R205" s="29">
        <f ca="1">SUM(L205:Q205)</f>
        <v>7</v>
      </c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5" t="s">
        <v>1393</v>
      </c>
      <c r="AE205" s="33"/>
      <c r="AF205" s="59" t="str">
        <f t="shared" si="10"/>
        <v>Không</v>
      </c>
      <c r="AG205" s="59" t="str">
        <f t="shared" si="11"/>
        <v>Không</v>
      </c>
      <c r="AH205" s="29" t="str">
        <f t="shared" ca="1" si="9"/>
        <v>Có</v>
      </c>
      <c r="AI205" s="29" t="str">
        <f ca="1">IF((R205)&gt;=6,"Có","Không")</f>
        <v>Có</v>
      </c>
      <c r="AJ205" s="29" t="str">
        <f>IF(OR(J205&gt;=140,K205&gt;=90),"Có","Không")</f>
        <v>Không</v>
      </c>
      <c r="AK205" s="5" t="s">
        <v>68</v>
      </c>
      <c r="AL205" s="32">
        <v>46081</v>
      </c>
      <c r="AM205" s="29" t="str">
        <f>"Tháng "&amp;MONTH(AL205)</f>
        <v>Tháng 2</v>
      </c>
      <c r="AN205" s="29" t="str">
        <f>LEFT(AK205,FIND(",",AK205)-1)</f>
        <v>Ấp Biển Tây B</v>
      </c>
    </row>
    <row r="206" spans="1:40" x14ac:dyDescent="0.25">
      <c r="A206" s="49" t="s">
        <v>724</v>
      </c>
      <c r="B206" s="5" t="s">
        <v>30</v>
      </c>
      <c r="C206" s="5" t="s">
        <v>373</v>
      </c>
      <c r="D206" s="29">
        <f ca="1">DATEDIF(C206,TODAY(),"Y")</f>
        <v>61</v>
      </c>
      <c r="E206" s="5" t="s">
        <v>26</v>
      </c>
      <c r="F206" s="30">
        <v>165</v>
      </c>
      <c r="G206" s="30">
        <v>62</v>
      </c>
      <c r="H206" s="31">
        <f>G206/((F206/100)*(F206/100))</f>
        <v>22.77318640955005</v>
      </c>
      <c r="I206" s="5">
        <v>88</v>
      </c>
      <c r="J206" s="30">
        <v>120</v>
      </c>
      <c r="K206" s="30">
        <v>70</v>
      </c>
      <c r="L206" s="29">
        <f>IF(B206="Nữ",0,2)</f>
        <v>2</v>
      </c>
      <c r="M206" s="29">
        <f ca="1">IF(D206&lt;45,0,IF(D206&lt;=49,1,2))</f>
        <v>2</v>
      </c>
      <c r="N206" s="29">
        <f>IF(E206="Có",4,0)</f>
        <v>0</v>
      </c>
      <c r="O206" s="29">
        <f>IF(H206&lt;23,0,IF(H206&lt;27.5,3,5))</f>
        <v>0</v>
      </c>
      <c r="P206" s="29">
        <f>IF(OR(AND(B206="Nam",I206&gt;=90),AND(B206="Nữ",I206&gt;=80)),2,0)</f>
        <v>0</v>
      </c>
      <c r="Q206" s="29">
        <f>IF(OR(J206&gt;=140,K206&gt;=90),2,0)</f>
        <v>0</v>
      </c>
      <c r="R206" s="29">
        <f ca="1">SUM(L206:Q206)</f>
        <v>4</v>
      </c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5" t="s">
        <v>1393</v>
      </c>
      <c r="AE206" s="33"/>
      <c r="AF206" s="59" t="str">
        <f t="shared" si="10"/>
        <v>Không</v>
      </c>
      <c r="AG206" s="59" t="str">
        <f t="shared" si="11"/>
        <v>Không</v>
      </c>
      <c r="AH206" s="29" t="str">
        <f t="shared" ca="1" si="9"/>
        <v>Không</v>
      </c>
      <c r="AI206" s="29" t="str">
        <f ca="1">IF((R206)&gt;=6,"Có","Không")</f>
        <v>Không</v>
      </c>
      <c r="AJ206" s="29" t="str">
        <f>IF(OR(J206&gt;=140,K206&gt;=90),"Có","Không")</f>
        <v>Không</v>
      </c>
      <c r="AK206" s="5" t="s">
        <v>51</v>
      </c>
      <c r="AL206" s="32">
        <v>46081</v>
      </c>
      <c r="AM206" s="29" t="str">
        <f>"Tháng "&amp;MONTH(AL206)</f>
        <v>Tháng 2</v>
      </c>
      <c r="AN206" s="29" t="str">
        <f>LEFT(AK206,FIND(",",AK206)-1)</f>
        <v>Phường Hiệp Thành</v>
      </c>
    </row>
    <row r="207" spans="1:40" x14ac:dyDescent="0.25">
      <c r="A207" s="49" t="s">
        <v>726</v>
      </c>
      <c r="B207" s="5" t="s">
        <v>23</v>
      </c>
      <c r="C207" s="5" t="s">
        <v>24</v>
      </c>
      <c r="D207" s="29">
        <f ca="1">DATEDIF(C207,TODAY(),"Y")</f>
        <v>83</v>
      </c>
      <c r="E207" s="5" t="s">
        <v>25</v>
      </c>
      <c r="F207" s="30">
        <v>158</v>
      </c>
      <c r="G207" s="30">
        <v>45</v>
      </c>
      <c r="H207" s="31">
        <f>G207/((F207/100)*(F207/100))</f>
        <v>18.025957378625218</v>
      </c>
      <c r="I207" s="5">
        <v>73</v>
      </c>
      <c r="J207" s="30">
        <v>130</v>
      </c>
      <c r="K207" s="30">
        <v>80</v>
      </c>
      <c r="L207" s="29">
        <f>IF(B207="Nữ",0,2)</f>
        <v>0</v>
      </c>
      <c r="M207" s="29">
        <f ca="1">IF(D207&lt;45,0,IF(D207&lt;=49,1,2))</f>
        <v>2</v>
      </c>
      <c r="N207" s="29">
        <f>IF(E207="Có",4,0)</f>
        <v>4</v>
      </c>
      <c r="O207" s="29">
        <f>IF(H207&lt;23,0,IF(H207&lt;27.5,3,5))</f>
        <v>0</v>
      </c>
      <c r="P207" s="29">
        <f>IF(OR(AND(B207="Nam",I207&gt;=90),AND(B207="Nữ",I207&gt;=80)),2,0)</f>
        <v>0</v>
      </c>
      <c r="Q207" s="29">
        <f>IF(OR(J207&gt;=140,K207&gt;=90),2,0)</f>
        <v>0</v>
      </c>
      <c r="R207" s="29">
        <f ca="1">SUM(L207:Q207)</f>
        <v>6</v>
      </c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5" t="s">
        <v>1393</v>
      </c>
      <c r="AE207" s="33"/>
      <c r="AF207" s="59" t="str">
        <f t="shared" si="10"/>
        <v>Không</v>
      </c>
      <c r="AG207" s="59" t="str">
        <f t="shared" si="11"/>
        <v>Không</v>
      </c>
      <c r="AH207" s="29" t="str">
        <f t="shared" ca="1" si="9"/>
        <v>Có</v>
      </c>
      <c r="AI207" s="29" t="str">
        <f ca="1">IF((R207)&gt;=6,"Có","Không")</f>
        <v>Có</v>
      </c>
      <c r="AJ207" s="29" t="str">
        <f>IF(OR(J207&gt;=140,K207&gt;=90),"Có","Không")</f>
        <v>Không</v>
      </c>
      <c r="AK207" s="5" t="s">
        <v>51</v>
      </c>
      <c r="AL207" s="32">
        <v>46081</v>
      </c>
      <c r="AM207" s="29" t="str">
        <f>"Tháng "&amp;MONTH(AL207)</f>
        <v>Tháng 2</v>
      </c>
      <c r="AN207" s="29" t="str">
        <f>LEFT(AK207,FIND(",",AK207)-1)</f>
        <v>Phường Hiệp Thành</v>
      </c>
    </row>
    <row r="208" spans="1:40" x14ac:dyDescent="0.25">
      <c r="A208" s="49" t="s">
        <v>727</v>
      </c>
      <c r="B208" s="5" t="s">
        <v>30</v>
      </c>
      <c r="C208" s="5" t="s">
        <v>87</v>
      </c>
      <c r="D208" s="29">
        <f ca="1">DATEDIF(C208,TODAY(),"Y")</f>
        <v>49</v>
      </c>
      <c r="E208" s="5" t="s">
        <v>25</v>
      </c>
      <c r="F208" s="30">
        <v>169</v>
      </c>
      <c r="G208" s="30">
        <v>69</v>
      </c>
      <c r="H208" s="31">
        <f>G208/((F208/100)*(F208/100))</f>
        <v>24.158817968558527</v>
      </c>
      <c r="I208" s="5">
        <v>68</v>
      </c>
      <c r="J208" s="30">
        <v>120</v>
      </c>
      <c r="K208" s="30">
        <v>80</v>
      </c>
      <c r="L208" s="29">
        <f>IF(B208="Nữ",0,2)</f>
        <v>2</v>
      </c>
      <c r="M208" s="29">
        <f ca="1">IF(D208&lt;45,0,IF(D208&lt;=49,1,2))</f>
        <v>1</v>
      </c>
      <c r="N208" s="29">
        <f>IF(E208="Có",4,0)</f>
        <v>4</v>
      </c>
      <c r="O208" s="29">
        <f>IF(H208&lt;23,0,IF(H208&lt;27.5,3,5))</f>
        <v>3</v>
      </c>
      <c r="P208" s="29">
        <f>IF(OR(AND(B208="Nam",I208&gt;=90),AND(B208="Nữ",I208&gt;=80)),2,0)</f>
        <v>0</v>
      </c>
      <c r="Q208" s="29">
        <f>IF(OR(J208&gt;=140,K208&gt;=90),2,0)</f>
        <v>0</v>
      </c>
      <c r="R208" s="29">
        <f ca="1">SUM(L208:Q208)</f>
        <v>10</v>
      </c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5" t="s">
        <v>1393</v>
      </c>
      <c r="AE208" s="33"/>
      <c r="AF208" s="59" t="str">
        <f t="shared" si="10"/>
        <v>Không</v>
      </c>
      <c r="AG208" s="59" t="str">
        <f t="shared" si="11"/>
        <v>Không</v>
      </c>
      <c r="AH208" s="29" t="str">
        <f t="shared" ca="1" si="9"/>
        <v>Có</v>
      </c>
      <c r="AI208" s="29" t="str">
        <f ca="1">IF((R208)&gt;=6,"Có","Không")</f>
        <v>Có</v>
      </c>
      <c r="AJ208" s="29" t="str">
        <f>IF(OR(J208&gt;=140,K208&gt;=90),"Có","Không")</f>
        <v>Không</v>
      </c>
      <c r="AK208" s="5" t="s">
        <v>32</v>
      </c>
      <c r="AL208" s="32">
        <v>46081</v>
      </c>
      <c r="AM208" s="29" t="str">
        <f>"Tháng "&amp;MONTH(AL208)</f>
        <v>Tháng 2</v>
      </c>
      <c r="AN208" s="29" t="str">
        <f>LEFT(AK208,FIND(",",AK208)-1)</f>
        <v>Ấp Giồng Giữa B</v>
      </c>
    </row>
    <row r="209" spans="1:40" x14ac:dyDescent="0.25">
      <c r="A209" s="49" t="s">
        <v>761</v>
      </c>
      <c r="B209" s="5" t="s">
        <v>30</v>
      </c>
      <c r="C209" s="5" t="s">
        <v>62</v>
      </c>
      <c r="D209" s="29">
        <f ca="1">DATEDIF(C209,TODAY(),"Y")</f>
        <v>64</v>
      </c>
      <c r="E209" s="5" t="s">
        <v>25</v>
      </c>
      <c r="F209" s="30">
        <v>158</v>
      </c>
      <c r="G209" s="30">
        <v>58</v>
      </c>
      <c r="H209" s="31">
        <f>G209/((F209/100)*(F209/100))</f>
        <v>23.233456176894723</v>
      </c>
      <c r="I209" s="5">
        <v>76</v>
      </c>
      <c r="J209" s="30">
        <v>120</v>
      </c>
      <c r="K209" s="30">
        <v>80</v>
      </c>
      <c r="L209" s="29">
        <f>IF(B209="Nữ",0,2)</f>
        <v>2</v>
      </c>
      <c r="M209" s="29">
        <f ca="1">IF(D209&lt;45,0,IF(D209&lt;=49,1,2))</f>
        <v>2</v>
      </c>
      <c r="N209" s="29">
        <f>IF(E209="Có",4,0)</f>
        <v>4</v>
      </c>
      <c r="O209" s="29">
        <f>IF(H209&lt;23,0,IF(H209&lt;27.5,3,5))</f>
        <v>3</v>
      </c>
      <c r="P209" s="29">
        <f>IF(OR(AND(B209="Nam",I209&gt;=90),AND(B209="Nữ",I209&gt;=80)),2,0)</f>
        <v>0</v>
      </c>
      <c r="Q209" s="29">
        <f>IF(OR(J209&gt;=140,K209&gt;=90),2,0)</f>
        <v>0</v>
      </c>
      <c r="R209" s="29">
        <f ca="1">SUM(L209:Q209)</f>
        <v>11</v>
      </c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5" t="s">
        <v>1393</v>
      </c>
      <c r="AE209" s="33"/>
      <c r="AF209" s="59" t="str">
        <f t="shared" si="10"/>
        <v>Không</v>
      </c>
      <c r="AG209" s="59" t="str">
        <f t="shared" si="11"/>
        <v>Không</v>
      </c>
      <c r="AH209" s="29" t="str">
        <f t="shared" ca="1" si="9"/>
        <v>Có</v>
      </c>
      <c r="AI209" s="29" t="str">
        <f ca="1">IF((R209)&gt;=6,"Có","Không")</f>
        <v>Có</v>
      </c>
      <c r="AJ209" s="29" t="str">
        <f>IF(OR(J209&gt;=140,K209&gt;=90),"Có","Không")</f>
        <v>Không</v>
      </c>
      <c r="AK209" s="5" t="s">
        <v>94</v>
      </c>
      <c r="AL209" s="32">
        <v>46081</v>
      </c>
      <c r="AM209" s="29" t="str">
        <f>"Tháng "&amp;MONTH(AL209)</f>
        <v>Tháng 2</v>
      </c>
      <c r="AN209" s="29" t="str">
        <f>LEFT(AK209,FIND(",",AK209)-1)</f>
        <v>.</v>
      </c>
    </row>
    <row r="210" spans="1:40" x14ac:dyDescent="0.25">
      <c r="A210" s="49" t="s">
        <v>762</v>
      </c>
      <c r="B210" s="5" t="s">
        <v>30</v>
      </c>
      <c r="C210" s="5" t="s">
        <v>50</v>
      </c>
      <c r="D210" s="29">
        <f ca="1">DATEDIF(C210,TODAY(),"Y")</f>
        <v>58</v>
      </c>
      <c r="E210" s="5" t="s">
        <v>25</v>
      </c>
      <c r="F210" s="30">
        <v>169</v>
      </c>
      <c r="G210" s="30">
        <v>69</v>
      </c>
      <c r="H210" s="31">
        <f>G210/((F210/100)*(F210/100))</f>
        <v>24.158817968558527</v>
      </c>
      <c r="I210" s="5">
        <v>86</v>
      </c>
      <c r="J210" s="30">
        <v>120</v>
      </c>
      <c r="K210" s="30">
        <v>80</v>
      </c>
      <c r="L210" s="29">
        <f>IF(B210="Nữ",0,2)</f>
        <v>2</v>
      </c>
      <c r="M210" s="29">
        <f ca="1">IF(D210&lt;45,0,IF(D210&lt;=49,1,2))</f>
        <v>2</v>
      </c>
      <c r="N210" s="29">
        <f>IF(E210="Có",4,0)</f>
        <v>4</v>
      </c>
      <c r="O210" s="29">
        <f>IF(H210&lt;23,0,IF(H210&lt;27.5,3,5))</f>
        <v>3</v>
      </c>
      <c r="P210" s="29">
        <f>IF(OR(AND(B210="Nam",I210&gt;=90),AND(B210="Nữ",I210&gt;=80)),2,0)</f>
        <v>0</v>
      </c>
      <c r="Q210" s="29">
        <f>IF(OR(J210&gt;=140,K210&gt;=90),2,0)</f>
        <v>0</v>
      </c>
      <c r="R210" s="29">
        <f ca="1">SUM(L210:Q210)</f>
        <v>11</v>
      </c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5" t="s">
        <v>1393</v>
      </c>
      <c r="AE210" s="33"/>
      <c r="AF210" s="59" t="str">
        <f t="shared" si="10"/>
        <v>Không</v>
      </c>
      <c r="AG210" s="59" t="str">
        <f t="shared" si="11"/>
        <v>Không</v>
      </c>
      <c r="AH210" s="29" t="str">
        <f t="shared" ca="1" si="9"/>
        <v>Có</v>
      </c>
      <c r="AI210" s="29" t="str">
        <f ca="1">IF((R210)&gt;=6,"Có","Không")</f>
        <v>Có</v>
      </c>
      <c r="AJ210" s="29" t="str">
        <f>IF(OR(J210&gt;=140,K210&gt;=90),"Có","Không")</f>
        <v>Không</v>
      </c>
      <c r="AK210" s="5" t="s">
        <v>763</v>
      </c>
      <c r="AL210" s="32">
        <v>46081</v>
      </c>
      <c r="AM210" s="29" t="str">
        <f>"Tháng "&amp;MONTH(AL210)</f>
        <v>Tháng 2</v>
      </c>
      <c r="AN210" s="29" t="str">
        <f>LEFT(AK210,FIND(",",AK210)-1)</f>
        <v>Xung Thum B</v>
      </c>
    </row>
    <row r="211" spans="1:40" x14ac:dyDescent="0.25">
      <c r="A211" s="49" t="s">
        <v>764</v>
      </c>
      <c r="B211" s="5" t="s">
        <v>23</v>
      </c>
      <c r="C211" s="5" t="s">
        <v>110</v>
      </c>
      <c r="D211" s="29">
        <f ca="1">DATEDIF(C211,TODAY(),"Y")</f>
        <v>62</v>
      </c>
      <c r="E211" s="5" t="s">
        <v>26</v>
      </c>
      <c r="F211" s="30">
        <v>161</v>
      </c>
      <c r="G211" s="30">
        <v>58</v>
      </c>
      <c r="H211" s="31">
        <f>G211/((F211/100)*(F211/100))</f>
        <v>22.375679950619187</v>
      </c>
      <c r="I211" s="5">
        <v>88</v>
      </c>
      <c r="J211" s="30">
        <v>120</v>
      </c>
      <c r="K211" s="30">
        <v>70</v>
      </c>
      <c r="L211" s="29">
        <f>IF(B211="Nữ",0,2)</f>
        <v>0</v>
      </c>
      <c r="M211" s="29">
        <f ca="1">IF(D211&lt;45,0,IF(D211&lt;=49,1,2))</f>
        <v>2</v>
      </c>
      <c r="N211" s="29">
        <f>IF(E211="Có",4,0)</f>
        <v>0</v>
      </c>
      <c r="O211" s="29">
        <f>IF(H211&lt;23,0,IF(H211&lt;27.5,3,5))</f>
        <v>0</v>
      </c>
      <c r="P211" s="29">
        <f>IF(OR(AND(B211="Nam",I211&gt;=90),AND(B211="Nữ",I211&gt;=80)),2,0)</f>
        <v>2</v>
      </c>
      <c r="Q211" s="29">
        <f>IF(OR(J211&gt;=140,K211&gt;=90),2,0)</f>
        <v>0</v>
      </c>
      <c r="R211" s="29">
        <f ca="1">SUM(L211:Q211)</f>
        <v>4</v>
      </c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5" t="s">
        <v>1393</v>
      </c>
      <c r="AE211" s="33"/>
      <c r="AF211" s="59" t="str">
        <f t="shared" si="10"/>
        <v>Không</v>
      </c>
      <c r="AG211" s="59" t="str">
        <f t="shared" si="11"/>
        <v>Không</v>
      </c>
      <c r="AH211" s="29" t="str">
        <f t="shared" ca="1" si="9"/>
        <v>Không</v>
      </c>
      <c r="AI211" s="29" t="str">
        <f ca="1">IF((R211)&gt;=6,"Có","Không")</f>
        <v>Không</v>
      </c>
      <c r="AJ211" s="29" t="str">
        <f>IF(OR(J211&gt;=140,K211&gt;=90),"Có","Không")</f>
        <v>Không</v>
      </c>
      <c r="AK211" s="5" t="s">
        <v>51</v>
      </c>
      <c r="AL211" s="32">
        <v>46081</v>
      </c>
      <c r="AM211" s="29" t="str">
        <f>"Tháng "&amp;MONTH(AL211)</f>
        <v>Tháng 2</v>
      </c>
      <c r="AN211" s="29" t="str">
        <f>LEFT(AK211,FIND(",",AK211)-1)</f>
        <v>Phường Hiệp Thành</v>
      </c>
    </row>
    <row r="212" spans="1:40" x14ac:dyDescent="0.25">
      <c r="A212" s="49" t="s">
        <v>765</v>
      </c>
      <c r="B212" s="5" t="s">
        <v>23</v>
      </c>
      <c r="C212" s="5" t="s">
        <v>80</v>
      </c>
      <c r="D212" s="29">
        <f ca="1">DATEDIF(C212,TODAY(),"Y")</f>
        <v>71</v>
      </c>
      <c r="E212" s="5" t="s">
        <v>25</v>
      </c>
      <c r="F212" s="30">
        <v>158</v>
      </c>
      <c r="G212" s="30">
        <v>58</v>
      </c>
      <c r="H212" s="31">
        <f>G212/((F212/100)*(F212/100))</f>
        <v>23.233456176894723</v>
      </c>
      <c r="I212" s="5">
        <v>74</v>
      </c>
      <c r="J212" s="30">
        <v>160</v>
      </c>
      <c r="K212" s="30">
        <v>80</v>
      </c>
      <c r="L212" s="29">
        <f>IF(B212="Nữ",0,2)</f>
        <v>0</v>
      </c>
      <c r="M212" s="29">
        <f ca="1">IF(D212&lt;45,0,IF(D212&lt;=49,1,2))</f>
        <v>2</v>
      </c>
      <c r="N212" s="29">
        <f>IF(E212="Có",4,0)</f>
        <v>4</v>
      </c>
      <c r="O212" s="29">
        <f>IF(H212&lt;23,0,IF(H212&lt;27.5,3,5))</f>
        <v>3</v>
      </c>
      <c r="P212" s="29">
        <f>IF(OR(AND(B212="Nam",I212&gt;=90),AND(B212="Nữ",I212&gt;=80)),2,0)</f>
        <v>0</v>
      </c>
      <c r="Q212" s="29">
        <f>IF(OR(J212&gt;=140,K212&gt;=90),2,0)</f>
        <v>2</v>
      </c>
      <c r="R212" s="29">
        <f ca="1">SUM(L212:Q212)</f>
        <v>11</v>
      </c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5" t="s">
        <v>1393</v>
      </c>
      <c r="AE212" s="33"/>
      <c r="AF212" s="59" t="str">
        <f t="shared" si="10"/>
        <v>Không</v>
      </c>
      <c r="AG212" s="59" t="str">
        <f t="shared" si="11"/>
        <v>Không</v>
      </c>
      <c r="AH212" s="29" t="str">
        <f t="shared" ca="1" si="9"/>
        <v>Có</v>
      </c>
      <c r="AI212" s="29" t="str">
        <f ca="1">IF((R212)&gt;=6,"Có","Không")</f>
        <v>Có</v>
      </c>
      <c r="AJ212" s="29" t="str">
        <f>IF(OR(J212&gt;=140,K212&gt;=90),"Có","Không")</f>
        <v>Có</v>
      </c>
      <c r="AK212" s="5" t="s">
        <v>68</v>
      </c>
      <c r="AL212" s="32">
        <v>46081</v>
      </c>
      <c r="AM212" s="29" t="str">
        <f>"Tháng "&amp;MONTH(AL212)</f>
        <v>Tháng 2</v>
      </c>
      <c r="AN212" s="29" t="str">
        <f>LEFT(AK212,FIND(",",AK212)-1)</f>
        <v>Ấp Biển Tây B</v>
      </c>
    </row>
    <row r="213" spans="1:40" x14ac:dyDescent="0.25">
      <c r="A213" s="49" t="s">
        <v>770</v>
      </c>
      <c r="B213" s="5" t="s">
        <v>30</v>
      </c>
      <c r="C213" s="5" t="s">
        <v>47</v>
      </c>
      <c r="D213" s="29">
        <f ca="1">DATEDIF(C213,TODAY(),"Y")</f>
        <v>55</v>
      </c>
      <c r="E213" s="5" t="s">
        <v>26</v>
      </c>
      <c r="F213" s="30">
        <v>160</v>
      </c>
      <c r="G213" s="30">
        <v>56</v>
      </c>
      <c r="H213" s="31">
        <f>G213/((F213/100)*(F213/100))</f>
        <v>21.874999999999996</v>
      </c>
      <c r="I213" s="5">
        <v>91</v>
      </c>
      <c r="J213" s="30">
        <v>120</v>
      </c>
      <c r="K213" s="30">
        <v>80</v>
      </c>
      <c r="L213" s="29">
        <f>IF(B213="Nữ",0,2)</f>
        <v>2</v>
      </c>
      <c r="M213" s="29">
        <f ca="1">IF(D213&lt;45,0,IF(D213&lt;=49,1,2))</f>
        <v>2</v>
      </c>
      <c r="N213" s="29">
        <f>IF(E213="Có",4,0)</f>
        <v>0</v>
      </c>
      <c r="O213" s="29">
        <f>IF(H213&lt;23,0,IF(H213&lt;27.5,3,5))</f>
        <v>0</v>
      </c>
      <c r="P213" s="29">
        <f>IF(OR(AND(B213="Nam",I213&gt;=90),AND(B213="Nữ",I213&gt;=80)),2,0)</f>
        <v>2</v>
      </c>
      <c r="Q213" s="29">
        <f>IF(OR(J213&gt;=140,K213&gt;=90),2,0)</f>
        <v>0</v>
      </c>
      <c r="R213" s="29">
        <f ca="1">SUM(L213:Q213)</f>
        <v>6</v>
      </c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5" t="s">
        <v>1393</v>
      </c>
      <c r="AE213" s="33"/>
      <c r="AF213" s="59" t="str">
        <f t="shared" si="10"/>
        <v>Không</v>
      </c>
      <c r="AG213" s="59" t="str">
        <f t="shared" si="11"/>
        <v>Không</v>
      </c>
      <c r="AH213" s="29" t="str">
        <f t="shared" ca="1" si="9"/>
        <v>Có</v>
      </c>
      <c r="AI213" s="29" t="str">
        <f ca="1">IF((R213)&gt;=6,"Có","Không")</f>
        <v>Có</v>
      </c>
      <c r="AJ213" s="29" t="str">
        <f>IF(OR(J213&gt;=140,K213&gt;=90),"Có","Không")</f>
        <v>Không</v>
      </c>
      <c r="AK213" s="5" t="s">
        <v>771</v>
      </c>
      <c r="AL213" s="32">
        <v>46081</v>
      </c>
      <c r="AM213" s="29" t="str">
        <f>"Tháng "&amp;MONTH(AL213)</f>
        <v>Tháng 2</v>
      </c>
      <c r="AN213" s="29" t="str">
        <f>LEFT(AK213,FIND(",",AK213)-1)</f>
        <v>ấp Giồng Giữa</v>
      </c>
    </row>
    <row r="214" spans="1:40" x14ac:dyDescent="0.25">
      <c r="A214" s="49" t="s">
        <v>773</v>
      </c>
      <c r="B214" s="5" t="s">
        <v>30</v>
      </c>
      <c r="C214" s="5" t="s">
        <v>115</v>
      </c>
      <c r="D214" s="29">
        <f ca="1">DATEDIF(C214,TODAY(),"Y")</f>
        <v>40</v>
      </c>
      <c r="E214" s="5" t="s">
        <v>26</v>
      </c>
      <c r="F214" s="30">
        <v>175</v>
      </c>
      <c r="G214" s="30">
        <v>80</v>
      </c>
      <c r="H214" s="31">
        <f>G214/((F214/100)*(F214/100))</f>
        <v>26.122448979591837</v>
      </c>
      <c r="I214" s="5">
        <v>85</v>
      </c>
      <c r="J214" s="30">
        <v>150</v>
      </c>
      <c r="K214" s="30">
        <v>90</v>
      </c>
      <c r="L214" s="29">
        <f>IF(B214="Nữ",0,2)</f>
        <v>2</v>
      </c>
      <c r="M214" s="29">
        <f ca="1">IF(D214&lt;45,0,IF(D214&lt;=49,1,2))</f>
        <v>0</v>
      </c>
      <c r="N214" s="29">
        <f>IF(E214="Có",4,0)</f>
        <v>0</v>
      </c>
      <c r="O214" s="29">
        <f>IF(H214&lt;23,0,IF(H214&lt;27.5,3,5))</f>
        <v>3</v>
      </c>
      <c r="P214" s="29">
        <f>IF(OR(AND(B214="Nam",I214&gt;=90),AND(B214="Nữ",I214&gt;=80)),2,0)</f>
        <v>0</v>
      </c>
      <c r="Q214" s="29">
        <f>IF(OR(J214&gt;=140,K214&gt;=90),2,0)</f>
        <v>2</v>
      </c>
      <c r="R214" s="29">
        <f ca="1">SUM(L214:Q214)</f>
        <v>7</v>
      </c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5" t="s">
        <v>1393</v>
      </c>
      <c r="AE214" s="33"/>
      <c r="AF214" s="59" t="str">
        <f t="shared" si="10"/>
        <v>Không</v>
      </c>
      <c r="AG214" s="59" t="str">
        <f t="shared" si="11"/>
        <v>Không</v>
      </c>
      <c r="AH214" s="29" t="str">
        <f t="shared" ca="1" si="9"/>
        <v>Có</v>
      </c>
      <c r="AI214" s="29" t="str">
        <f ca="1">IF((R214)&gt;=6,"Có","Không")</f>
        <v>Có</v>
      </c>
      <c r="AJ214" s="29" t="str">
        <f>IF(OR(J214&gt;=140,K214&gt;=90),"Có","Không")</f>
        <v>Có</v>
      </c>
      <c r="AK214" s="5" t="s">
        <v>774</v>
      </c>
      <c r="AL214" s="32">
        <v>46081</v>
      </c>
      <c r="AM214" s="29" t="str">
        <f>"Tháng "&amp;MONTH(AL214)</f>
        <v>Tháng 2</v>
      </c>
      <c r="AN214" s="29" t="str">
        <f>LEFT(AK214,FIND(",",AK214)-1)</f>
        <v>Khóm 2</v>
      </c>
    </row>
    <row r="215" spans="1:40" x14ac:dyDescent="0.25">
      <c r="A215" s="49" t="s">
        <v>775</v>
      </c>
      <c r="B215" s="5" t="s">
        <v>30</v>
      </c>
      <c r="C215" s="5" t="s">
        <v>394</v>
      </c>
      <c r="D215" s="29">
        <f ca="1">DATEDIF(C215,TODAY(),"Y")</f>
        <v>45</v>
      </c>
      <c r="E215" s="5" t="s">
        <v>25</v>
      </c>
      <c r="F215" s="30">
        <v>158</v>
      </c>
      <c r="G215" s="30">
        <v>93</v>
      </c>
      <c r="H215" s="31">
        <f>G215/((F215/100)*(F215/100))</f>
        <v>37.25364524915878</v>
      </c>
      <c r="I215" s="5">
        <v>67</v>
      </c>
      <c r="J215" s="30">
        <v>110</v>
      </c>
      <c r="K215" s="30">
        <v>70</v>
      </c>
      <c r="L215" s="29">
        <f>IF(B215="Nữ",0,2)</f>
        <v>2</v>
      </c>
      <c r="M215" s="29">
        <f ca="1">IF(D215&lt;45,0,IF(D215&lt;=49,1,2))</f>
        <v>1</v>
      </c>
      <c r="N215" s="29">
        <f>IF(E215="Có",4,0)</f>
        <v>4</v>
      </c>
      <c r="O215" s="29">
        <f>IF(H215&lt;23,0,IF(H215&lt;27.5,3,5))</f>
        <v>5</v>
      </c>
      <c r="P215" s="29">
        <f>IF(OR(AND(B215="Nam",I215&gt;=90),AND(B215="Nữ",I215&gt;=80)),2,0)</f>
        <v>0</v>
      </c>
      <c r="Q215" s="29">
        <f>IF(OR(J215&gt;=140,K215&gt;=90),2,0)</f>
        <v>0</v>
      </c>
      <c r="R215" s="29">
        <f ca="1">SUM(L215:Q215)</f>
        <v>12</v>
      </c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5" t="s">
        <v>1393</v>
      </c>
      <c r="AE215" s="33"/>
      <c r="AF215" s="59" t="str">
        <f t="shared" si="10"/>
        <v>Không</v>
      </c>
      <c r="AG215" s="59" t="str">
        <f t="shared" si="11"/>
        <v>Không</v>
      </c>
      <c r="AH215" s="29" t="str">
        <f t="shared" ca="1" si="9"/>
        <v>Có</v>
      </c>
      <c r="AI215" s="29" t="str">
        <f ca="1">IF((R215)&gt;=6,"Có","Không")</f>
        <v>Có</v>
      </c>
      <c r="AJ215" s="29" t="str">
        <f>IF(OR(J215&gt;=140,K215&gt;=90),"Có","Không")</f>
        <v>Không</v>
      </c>
      <c r="AK215" s="5" t="s">
        <v>776</v>
      </c>
      <c r="AL215" s="32">
        <v>46081</v>
      </c>
      <c r="AM215" s="29" t="str">
        <f>"Tháng "&amp;MONTH(AL215)</f>
        <v>Tháng 2</v>
      </c>
      <c r="AN215" s="29" t="str">
        <f>LEFT(AK215,FIND(",",AK215)-1)</f>
        <v>Khóm 1</v>
      </c>
    </row>
    <row r="216" spans="1:40" x14ac:dyDescent="0.25">
      <c r="A216" s="49" t="s">
        <v>777</v>
      </c>
      <c r="B216" s="5" t="s">
        <v>23</v>
      </c>
      <c r="C216" s="5" t="s">
        <v>394</v>
      </c>
      <c r="D216" s="29">
        <f ca="1">DATEDIF(C216,TODAY(),"Y")</f>
        <v>45</v>
      </c>
      <c r="E216" s="5" t="s">
        <v>25</v>
      </c>
      <c r="F216" s="30">
        <v>157</v>
      </c>
      <c r="G216" s="30">
        <v>68</v>
      </c>
      <c r="H216" s="31">
        <f>G216/((F216/100)*(F216/100))</f>
        <v>27.587326057852245</v>
      </c>
      <c r="I216" s="5">
        <v>84</v>
      </c>
      <c r="J216" s="30">
        <v>120</v>
      </c>
      <c r="K216" s="30">
        <v>70</v>
      </c>
      <c r="L216" s="29">
        <f>IF(B216="Nữ",0,2)</f>
        <v>0</v>
      </c>
      <c r="M216" s="29">
        <f ca="1">IF(D216&lt;45,0,IF(D216&lt;=49,1,2))</f>
        <v>1</v>
      </c>
      <c r="N216" s="29">
        <f>IF(E216="Có",4,0)</f>
        <v>4</v>
      </c>
      <c r="O216" s="29">
        <f>IF(H216&lt;23,0,IF(H216&lt;27.5,3,5))</f>
        <v>5</v>
      </c>
      <c r="P216" s="29">
        <f>IF(OR(AND(B216="Nam",I216&gt;=90),AND(B216="Nữ",I216&gt;=80)),2,0)</f>
        <v>2</v>
      </c>
      <c r="Q216" s="29">
        <f>IF(OR(J216&gt;=140,K216&gt;=90),2,0)</f>
        <v>0</v>
      </c>
      <c r="R216" s="29">
        <f ca="1">SUM(L216:Q216)</f>
        <v>12</v>
      </c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5" t="s">
        <v>1393</v>
      </c>
      <c r="AE216" s="33"/>
      <c r="AF216" s="59" t="str">
        <f t="shared" si="10"/>
        <v>Không</v>
      </c>
      <c r="AG216" s="59" t="str">
        <f t="shared" si="11"/>
        <v>Không</v>
      </c>
      <c r="AH216" s="29" t="str">
        <f t="shared" ca="1" si="9"/>
        <v>Có</v>
      </c>
      <c r="AI216" s="29" t="str">
        <f ca="1">IF((R216)&gt;=6,"Có","Không")</f>
        <v>Có</v>
      </c>
      <c r="AJ216" s="29" t="str">
        <f>IF(OR(J216&gt;=140,K216&gt;=90),"Có","Không")</f>
        <v>Không</v>
      </c>
      <c r="AK216" s="5" t="s">
        <v>778</v>
      </c>
      <c r="AL216" s="32">
        <v>46081</v>
      </c>
      <c r="AM216" s="29" t="str">
        <f>"Tháng "&amp;MONTH(AL216)</f>
        <v>Tháng 2</v>
      </c>
      <c r="AN216" s="29" t="str">
        <f>LEFT(AK216,FIND(",",AK216)-1)</f>
        <v>Khóm 1</v>
      </c>
    </row>
    <row r="217" spans="1:40" x14ac:dyDescent="0.25">
      <c r="A217" s="49" t="s">
        <v>802</v>
      </c>
      <c r="B217" s="5" t="s">
        <v>23</v>
      </c>
      <c r="C217" s="5" t="s">
        <v>53</v>
      </c>
      <c r="D217" s="29">
        <f ca="1">DATEDIF(C217,TODAY(),"Y")</f>
        <v>72</v>
      </c>
      <c r="E217" s="5" t="s">
        <v>26</v>
      </c>
      <c r="F217" s="30">
        <v>158</v>
      </c>
      <c r="G217" s="30">
        <v>58</v>
      </c>
      <c r="H217" s="31">
        <f>G217/((F217/100)*(F217/100))</f>
        <v>23.233456176894723</v>
      </c>
      <c r="I217" s="5">
        <v>73</v>
      </c>
      <c r="J217" s="30">
        <v>140</v>
      </c>
      <c r="K217" s="30">
        <v>80</v>
      </c>
      <c r="L217" s="29">
        <f>IF(B217="Nữ",0,2)</f>
        <v>0</v>
      </c>
      <c r="M217" s="29">
        <f ca="1">IF(D217&lt;45,0,IF(D217&lt;=49,1,2))</f>
        <v>2</v>
      </c>
      <c r="N217" s="29">
        <f>IF(E217="Có",4,0)</f>
        <v>0</v>
      </c>
      <c r="O217" s="29">
        <f>IF(H217&lt;23,0,IF(H217&lt;27.5,3,5))</f>
        <v>3</v>
      </c>
      <c r="P217" s="29">
        <f>IF(OR(AND(B217="Nam",I217&gt;=90),AND(B217="Nữ",I217&gt;=80)),2,0)</f>
        <v>0</v>
      </c>
      <c r="Q217" s="29">
        <f>IF(OR(J217&gt;=140,K217&gt;=90),2,0)</f>
        <v>2</v>
      </c>
      <c r="R217" s="29">
        <f ca="1">SUM(L217:Q217)</f>
        <v>7</v>
      </c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5" t="s">
        <v>1393</v>
      </c>
      <c r="AE217" s="33"/>
      <c r="AF217" s="59" t="str">
        <f t="shared" si="10"/>
        <v>Không</v>
      </c>
      <c r="AG217" s="59" t="str">
        <f t="shared" si="11"/>
        <v>Không</v>
      </c>
      <c r="AH217" s="29" t="str">
        <f t="shared" ca="1" si="9"/>
        <v>Có</v>
      </c>
      <c r="AI217" s="29" t="str">
        <f ca="1">IF((R217)&gt;=6,"Có","Không")</f>
        <v>Có</v>
      </c>
      <c r="AJ217" s="29" t="str">
        <f>IF(OR(J217&gt;=140,K217&gt;=90),"Có","Không")</f>
        <v>Có</v>
      </c>
      <c r="AK217" s="5" t="s">
        <v>51</v>
      </c>
      <c r="AL217" s="32">
        <v>46081</v>
      </c>
      <c r="AM217" s="29" t="str">
        <f>"Tháng "&amp;MONTH(AL217)</f>
        <v>Tháng 2</v>
      </c>
      <c r="AN217" s="29" t="str">
        <f>LEFT(AK217,FIND(",",AK217)-1)</f>
        <v>Phường Hiệp Thành</v>
      </c>
    </row>
    <row r="218" spans="1:40" x14ac:dyDescent="0.25">
      <c r="A218" s="49" t="s">
        <v>882</v>
      </c>
      <c r="B218" s="5" t="s">
        <v>30</v>
      </c>
      <c r="C218" s="5" t="s">
        <v>127</v>
      </c>
      <c r="D218" s="29">
        <f ca="1">DATEDIF(C218,TODAY(),"Y")</f>
        <v>76</v>
      </c>
      <c r="E218" s="5" t="s">
        <v>26</v>
      </c>
      <c r="F218" s="30">
        <v>158</v>
      </c>
      <c r="G218" s="30">
        <v>58</v>
      </c>
      <c r="H218" s="31">
        <f>G218/((F218/100)*(F218/100))</f>
        <v>23.233456176894723</v>
      </c>
      <c r="I218" s="5">
        <v>69</v>
      </c>
      <c r="J218" s="30">
        <v>150</v>
      </c>
      <c r="K218" s="30">
        <v>80</v>
      </c>
      <c r="L218" s="29">
        <f>IF(B218="Nữ",0,2)</f>
        <v>2</v>
      </c>
      <c r="M218" s="29">
        <f ca="1">IF(D218&lt;45,0,IF(D218&lt;=49,1,2))</f>
        <v>2</v>
      </c>
      <c r="N218" s="29">
        <f>IF(E218="Có",4,0)</f>
        <v>0</v>
      </c>
      <c r="O218" s="29">
        <f>IF(H218&lt;23,0,IF(H218&lt;27.5,3,5))</f>
        <v>3</v>
      </c>
      <c r="P218" s="29">
        <f>IF(OR(AND(B218="Nam",I218&gt;=90),AND(B218="Nữ",I218&gt;=80)),2,0)</f>
        <v>0</v>
      </c>
      <c r="Q218" s="29">
        <f>IF(OR(J218&gt;=140,K218&gt;=90),2,0)</f>
        <v>2</v>
      </c>
      <c r="R218" s="29">
        <f ca="1">SUM(L218:Q218)</f>
        <v>9</v>
      </c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5" t="s">
        <v>1393</v>
      </c>
      <c r="AE218" s="33"/>
      <c r="AF218" s="59" t="str">
        <f t="shared" si="10"/>
        <v>Không</v>
      </c>
      <c r="AG218" s="59" t="str">
        <f t="shared" si="11"/>
        <v>Không</v>
      </c>
      <c r="AH218" s="29" t="str">
        <f t="shared" ca="1" si="9"/>
        <v>Có</v>
      </c>
      <c r="AI218" s="29" t="str">
        <f ca="1">IF((R218)&gt;=6,"Có","Không")</f>
        <v>Có</v>
      </c>
      <c r="AJ218" s="29" t="str">
        <f>IF(OR(J218&gt;=140,K218&gt;=90),"Có","Không")</f>
        <v>Có</v>
      </c>
      <c r="AK218" s="5" t="s">
        <v>883</v>
      </c>
      <c r="AL218" s="32">
        <v>46081</v>
      </c>
      <c r="AM218" s="29" t="str">
        <f>"Tháng "&amp;MONTH(AL218)</f>
        <v>Tháng 2</v>
      </c>
      <c r="AN218" s="29" t="str">
        <f>LEFT(AK218,FIND(",",AK218)-1)</f>
        <v>Số 9/367</v>
      </c>
    </row>
    <row r="219" spans="1:40" x14ac:dyDescent="0.25">
      <c r="A219" s="49" t="s">
        <v>892</v>
      </c>
      <c r="B219" s="5" t="s">
        <v>30</v>
      </c>
      <c r="C219" s="5" t="s">
        <v>273</v>
      </c>
      <c r="D219" s="29">
        <f ca="1">DATEDIF(C219,TODAY(),"Y")</f>
        <v>47</v>
      </c>
      <c r="E219" s="5" t="s">
        <v>26</v>
      </c>
      <c r="F219" s="30">
        <v>169</v>
      </c>
      <c r="G219" s="30">
        <v>68</v>
      </c>
      <c r="H219" s="31">
        <f>G219/((F219/100)*(F219/100))</f>
        <v>23.808690171912751</v>
      </c>
      <c r="I219" s="5">
        <v>80</v>
      </c>
      <c r="J219" s="30">
        <v>140</v>
      </c>
      <c r="K219" s="30">
        <v>80</v>
      </c>
      <c r="L219" s="29">
        <f>IF(B219="Nữ",0,2)</f>
        <v>2</v>
      </c>
      <c r="M219" s="29">
        <f ca="1">IF(D219&lt;45,0,IF(D219&lt;=49,1,2))</f>
        <v>1</v>
      </c>
      <c r="N219" s="29">
        <f>IF(E219="Có",4,0)</f>
        <v>0</v>
      </c>
      <c r="O219" s="29">
        <f>IF(H219&lt;23,0,IF(H219&lt;27.5,3,5))</f>
        <v>3</v>
      </c>
      <c r="P219" s="29">
        <f>IF(OR(AND(B219="Nam",I219&gt;=90),AND(B219="Nữ",I219&gt;=80)),2,0)</f>
        <v>0</v>
      </c>
      <c r="Q219" s="29">
        <f>IF(OR(J219&gt;=140,K219&gt;=90),2,0)</f>
        <v>2</v>
      </c>
      <c r="R219" s="29">
        <f ca="1">SUM(L219:Q219)</f>
        <v>8</v>
      </c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5" t="s">
        <v>1393</v>
      </c>
      <c r="AE219" s="33"/>
      <c r="AF219" s="59" t="str">
        <f t="shared" si="10"/>
        <v>Không</v>
      </c>
      <c r="AG219" s="59" t="str">
        <f t="shared" si="11"/>
        <v>Không</v>
      </c>
      <c r="AH219" s="29" t="str">
        <f t="shared" ca="1" si="9"/>
        <v>Có</v>
      </c>
      <c r="AI219" s="29" t="str">
        <f ca="1">IF((R219)&gt;=6,"Có","Không")</f>
        <v>Có</v>
      </c>
      <c r="AJ219" s="29" t="str">
        <f>IF(OR(J219&gt;=140,K219&gt;=90),"Có","Không")</f>
        <v>Có</v>
      </c>
      <c r="AK219" s="5" t="s">
        <v>893</v>
      </c>
      <c r="AL219" s="32">
        <v>46081</v>
      </c>
      <c r="AM219" s="29" t="str">
        <f>"Tháng "&amp;MONTH(AL219)</f>
        <v>Tháng 2</v>
      </c>
      <c r="AN219" s="29" t="str">
        <f>LEFT(AK219,FIND(",",AK219)-1)</f>
        <v>ấp Biển Tây B</v>
      </c>
    </row>
    <row r="220" spans="1:40" x14ac:dyDescent="0.25">
      <c r="A220" s="49" t="s">
        <v>944</v>
      </c>
      <c r="B220" s="5" t="s">
        <v>23</v>
      </c>
      <c r="C220" s="5" t="s">
        <v>67</v>
      </c>
      <c r="D220" s="29">
        <f ca="1">DATEDIF(C220,TODAY(),"Y")</f>
        <v>48</v>
      </c>
      <c r="E220" s="5" t="s">
        <v>26</v>
      </c>
      <c r="F220" s="30">
        <v>160</v>
      </c>
      <c r="G220" s="30">
        <v>56</v>
      </c>
      <c r="H220" s="31">
        <f>G220/((F220/100)*(F220/100))</f>
        <v>21.874999999999996</v>
      </c>
      <c r="I220" s="5">
        <v>98</v>
      </c>
      <c r="J220" s="30">
        <v>120</v>
      </c>
      <c r="K220" s="30">
        <v>70</v>
      </c>
      <c r="L220" s="29">
        <f>IF(B220="Nữ",0,2)</f>
        <v>0</v>
      </c>
      <c r="M220" s="29">
        <f ca="1">IF(D220&lt;45,0,IF(D220&lt;=49,1,2))</f>
        <v>1</v>
      </c>
      <c r="N220" s="29">
        <f>IF(E220="Có",4,0)</f>
        <v>0</v>
      </c>
      <c r="O220" s="29">
        <f>IF(H220&lt;23,0,IF(H220&lt;27.5,3,5))</f>
        <v>0</v>
      </c>
      <c r="P220" s="29">
        <f>IF(OR(AND(B220="Nam",I220&gt;=90),AND(B220="Nữ",I220&gt;=80)),2,0)</f>
        <v>2</v>
      </c>
      <c r="Q220" s="29">
        <f>IF(OR(J220&gt;=140,K220&gt;=90),2,0)</f>
        <v>0</v>
      </c>
      <c r="R220" s="29">
        <f ca="1">SUM(L220:Q220)</f>
        <v>3</v>
      </c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5" t="s">
        <v>1393</v>
      </c>
      <c r="AE220" s="33"/>
      <c r="AF220" s="59" t="str">
        <f t="shared" si="10"/>
        <v>Không</v>
      </c>
      <c r="AG220" s="59" t="str">
        <f t="shared" si="11"/>
        <v>Không</v>
      </c>
      <c r="AH220" s="29" t="str">
        <f t="shared" ca="1" si="9"/>
        <v>Không</v>
      </c>
      <c r="AI220" s="29" t="str">
        <f ca="1">IF((R220)&gt;=6,"Có","Không")</f>
        <v>Không</v>
      </c>
      <c r="AJ220" s="29" t="str">
        <f>IF(OR(J220&gt;=140,K220&gt;=90),"Có","Không")</f>
        <v>Không</v>
      </c>
      <c r="AK220" s="5" t="s">
        <v>51</v>
      </c>
      <c r="AL220" s="32">
        <v>46081</v>
      </c>
      <c r="AM220" s="29" t="str">
        <f>"Tháng "&amp;MONTH(AL220)</f>
        <v>Tháng 2</v>
      </c>
      <c r="AN220" s="29" t="str">
        <f>LEFT(AK220,FIND(",",AK220)-1)</f>
        <v>Phường Hiệp Thành</v>
      </c>
    </row>
    <row r="221" spans="1:40" x14ac:dyDescent="0.25">
      <c r="A221" s="49" t="s">
        <v>951</v>
      </c>
      <c r="B221" s="5" t="s">
        <v>30</v>
      </c>
      <c r="C221" s="5" t="s">
        <v>90</v>
      </c>
      <c r="D221" s="29">
        <f ca="1">DATEDIF(C221,TODAY(),"Y")</f>
        <v>54</v>
      </c>
      <c r="E221" s="5" t="s">
        <v>26</v>
      </c>
      <c r="F221" s="30">
        <v>169</v>
      </c>
      <c r="G221" s="30">
        <v>69</v>
      </c>
      <c r="H221" s="31">
        <f>G221/((F221/100)*(F221/100))</f>
        <v>24.158817968558527</v>
      </c>
      <c r="I221" s="5">
        <v>96</v>
      </c>
      <c r="J221" s="30">
        <v>140</v>
      </c>
      <c r="K221" s="30">
        <v>80</v>
      </c>
      <c r="L221" s="29">
        <f>IF(B221="Nữ",0,2)</f>
        <v>2</v>
      </c>
      <c r="M221" s="29">
        <f ca="1">IF(D221&lt;45,0,IF(D221&lt;=49,1,2))</f>
        <v>2</v>
      </c>
      <c r="N221" s="29">
        <f>IF(E221="Có",4,0)</f>
        <v>0</v>
      </c>
      <c r="O221" s="29">
        <f>IF(H221&lt;23,0,IF(H221&lt;27.5,3,5))</f>
        <v>3</v>
      </c>
      <c r="P221" s="29">
        <f>IF(OR(AND(B221="Nam",I221&gt;=90),AND(B221="Nữ",I221&gt;=80)),2,0)</f>
        <v>2</v>
      </c>
      <c r="Q221" s="29">
        <f>IF(OR(J221&gt;=140,K221&gt;=90),2,0)</f>
        <v>2</v>
      </c>
      <c r="R221" s="29">
        <f ca="1">SUM(L221:Q221)</f>
        <v>11</v>
      </c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5" t="s">
        <v>1393</v>
      </c>
      <c r="AE221" s="33"/>
      <c r="AF221" s="59" t="str">
        <f t="shared" si="10"/>
        <v>Không</v>
      </c>
      <c r="AG221" s="59" t="str">
        <f t="shared" si="11"/>
        <v>Không</v>
      </c>
      <c r="AH221" s="29" t="str">
        <f t="shared" ca="1" si="9"/>
        <v>Có</v>
      </c>
      <c r="AI221" s="29" t="str">
        <f ca="1">IF((R221)&gt;=6,"Có","Không")</f>
        <v>Có</v>
      </c>
      <c r="AJ221" s="29" t="str">
        <f>IF(OR(J221&gt;=140,K221&gt;=90),"Có","Không")</f>
        <v>Có</v>
      </c>
      <c r="AK221" s="5" t="s">
        <v>60</v>
      </c>
      <c r="AL221" s="32">
        <v>46081</v>
      </c>
      <c r="AM221" s="29" t="str">
        <f>"Tháng "&amp;MONTH(AL221)</f>
        <v>Tháng 2</v>
      </c>
      <c r="AN221" s="29" t="str">
        <f>LEFT(AK221,FIND(",",AK221)-1)</f>
        <v>ấp Biển Đông A</v>
      </c>
    </row>
    <row r="222" spans="1:40" x14ac:dyDescent="0.25">
      <c r="A222" s="49" t="s">
        <v>952</v>
      </c>
      <c r="B222" s="5" t="s">
        <v>23</v>
      </c>
      <c r="C222" s="5" t="s">
        <v>155</v>
      </c>
      <c r="D222" s="29">
        <f ca="1">DATEDIF(C222,TODAY(),"Y")</f>
        <v>53</v>
      </c>
      <c r="E222" s="5" t="s">
        <v>26</v>
      </c>
      <c r="F222" s="30">
        <v>158</v>
      </c>
      <c r="G222" s="30">
        <v>58</v>
      </c>
      <c r="H222" s="31">
        <f>G222/((F222/100)*(F222/100))</f>
        <v>23.233456176894723</v>
      </c>
      <c r="I222" s="5">
        <v>75</v>
      </c>
      <c r="J222" s="30">
        <v>150</v>
      </c>
      <c r="K222" s="30">
        <v>80</v>
      </c>
      <c r="L222" s="29">
        <f>IF(B222="Nữ",0,2)</f>
        <v>0</v>
      </c>
      <c r="M222" s="29">
        <f ca="1">IF(D222&lt;45,0,IF(D222&lt;=49,1,2))</f>
        <v>2</v>
      </c>
      <c r="N222" s="29">
        <f>IF(E222="Có",4,0)</f>
        <v>0</v>
      </c>
      <c r="O222" s="29">
        <f>IF(H222&lt;23,0,IF(H222&lt;27.5,3,5))</f>
        <v>3</v>
      </c>
      <c r="P222" s="29">
        <f>IF(OR(AND(B222="Nam",I222&gt;=90),AND(B222="Nữ",I222&gt;=80)),2,0)</f>
        <v>0</v>
      </c>
      <c r="Q222" s="29">
        <f>IF(OR(J222&gt;=140,K222&gt;=90),2,0)</f>
        <v>2</v>
      </c>
      <c r="R222" s="29">
        <f ca="1">SUM(L222:Q222)</f>
        <v>7</v>
      </c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5" t="s">
        <v>1393</v>
      </c>
      <c r="AE222" s="33"/>
      <c r="AF222" s="59" t="str">
        <f t="shared" si="10"/>
        <v>Không</v>
      </c>
      <c r="AG222" s="59" t="str">
        <f t="shared" si="11"/>
        <v>Không</v>
      </c>
      <c r="AH222" s="29" t="str">
        <f t="shared" ca="1" si="9"/>
        <v>Có</v>
      </c>
      <c r="AI222" s="29" t="str">
        <f ca="1">IF((R222)&gt;=6,"Có","Không")</f>
        <v>Có</v>
      </c>
      <c r="AJ222" s="29" t="str">
        <f>IF(OR(J222&gt;=140,K222&gt;=90),"Có","Không")</f>
        <v>Có</v>
      </c>
      <c r="AK222" s="5" t="s">
        <v>28</v>
      </c>
      <c r="AL222" s="32">
        <v>46081</v>
      </c>
      <c r="AM222" s="29" t="str">
        <f>"Tháng "&amp;MONTH(AL222)</f>
        <v>Tháng 2</v>
      </c>
      <c r="AN222" s="29" t="str">
        <f>LEFT(AK222,FIND(",",AK222)-1)</f>
        <v>Ấp Biển Đông A</v>
      </c>
    </row>
    <row r="223" spans="1:40" x14ac:dyDescent="0.25">
      <c r="A223" s="49" t="s">
        <v>957</v>
      </c>
      <c r="B223" s="5" t="s">
        <v>23</v>
      </c>
      <c r="C223" s="5" t="s">
        <v>82</v>
      </c>
      <c r="D223" s="29">
        <f ca="1">DATEDIF(C223,TODAY(),"Y")</f>
        <v>73</v>
      </c>
      <c r="E223" s="5" t="s">
        <v>26</v>
      </c>
      <c r="F223" s="30">
        <v>154</v>
      </c>
      <c r="G223" s="30">
        <v>37</v>
      </c>
      <c r="H223" s="31">
        <f>G223/((F223/100)*(F223/100))</f>
        <v>15.60128183504807</v>
      </c>
      <c r="I223" s="5">
        <v>73</v>
      </c>
      <c r="J223" s="30">
        <v>100</v>
      </c>
      <c r="K223" s="30">
        <v>60</v>
      </c>
      <c r="L223" s="29">
        <f>IF(B223="Nữ",0,2)</f>
        <v>0</v>
      </c>
      <c r="M223" s="29">
        <f ca="1">IF(D223&lt;45,0,IF(D223&lt;=49,1,2))</f>
        <v>2</v>
      </c>
      <c r="N223" s="29">
        <f>IF(E223="Có",4,0)</f>
        <v>0</v>
      </c>
      <c r="O223" s="29">
        <f>IF(H223&lt;23,0,IF(H223&lt;27.5,3,5))</f>
        <v>0</v>
      </c>
      <c r="P223" s="29">
        <f>IF(OR(AND(B223="Nam",I223&gt;=90),AND(B223="Nữ",I223&gt;=80)),2,0)</f>
        <v>0</v>
      </c>
      <c r="Q223" s="29">
        <f>IF(OR(J223&gt;=140,K223&gt;=90),2,0)</f>
        <v>0</v>
      </c>
      <c r="R223" s="29">
        <f ca="1">SUM(L223:Q223)</f>
        <v>2</v>
      </c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5" t="s">
        <v>1393</v>
      </c>
      <c r="AE223" s="33"/>
      <c r="AF223" s="59" t="str">
        <f t="shared" si="10"/>
        <v>Không</v>
      </c>
      <c r="AG223" s="59" t="str">
        <f t="shared" si="11"/>
        <v>Không</v>
      </c>
      <c r="AH223" s="29" t="str">
        <f t="shared" ca="1" si="9"/>
        <v>Không</v>
      </c>
      <c r="AI223" s="29" t="str">
        <f ca="1">IF((R223)&gt;=6,"Có","Không")</f>
        <v>Không</v>
      </c>
      <c r="AJ223" s="29" t="str">
        <f>IF(OR(J223&gt;=140,K223&gt;=90),"Có","Không")</f>
        <v>Không</v>
      </c>
      <c r="AK223" s="5" t="s">
        <v>958</v>
      </c>
      <c r="AL223" s="32">
        <v>46081</v>
      </c>
      <c r="AM223" s="29" t="str">
        <f>"Tháng "&amp;MONTH(AL223)</f>
        <v>Tháng 2</v>
      </c>
      <c r="AN223" s="29" t="str">
        <f>LEFT(AK223,FIND(",",AK223)-1)</f>
        <v>9/98 Ấp Biển Đông B</v>
      </c>
    </row>
    <row r="224" spans="1:40" x14ac:dyDescent="0.25">
      <c r="A224" s="49" t="s">
        <v>959</v>
      </c>
      <c r="B224" s="5" t="s">
        <v>30</v>
      </c>
      <c r="C224" s="5" t="s">
        <v>188</v>
      </c>
      <c r="D224" s="29">
        <f ca="1">DATEDIF(C224,TODAY(),"Y")</f>
        <v>63</v>
      </c>
      <c r="E224" s="5" t="s">
        <v>26</v>
      </c>
      <c r="F224" s="30">
        <v>169</v>
      </c>
      <c r="G224" s="30">
        <v>68</v>
      </c>
      <c r="H224" s="31">
        <f>G224/((F224/100)*(F224/100))</f>
        <v>23.808690171912751</v>
      </c>
      <c r="I224" s="5">
        <v>97</v>
      </c>
      <c r="J224" s="30">
        <v>150</v>
      </c>
      <c r="K224" s="30">
        <v>80</v>
      </c>
      <c r="L224" s="29">
        <f>IF(B224="Nữ",0,2)</f>
        <v>2</v>
      </c>
      <c r="M224" s="29">
        <f ca="1">IF(D224&lt;45,0,IF(D224&lt;=49,1,2))</f>
        <v>2</v>
      </c>
      <c r="N224" s="29">
        <f>IF(E224="Có",4,0)</f>
        <v>0</v>
      </c>
      <c r="O224" s="29">
        <f>IF(H224&lt;23,0,IF(H224&lt;27.5,3,5))</f>
        <v>3</v>
      </c>
      <c r="P224" s="29">
        <f>IF(OR(AND(B224="Nam",I224&gt;=90),AND(B224="Nữ",I224&gt;=80)),2,0)</f>
        <v>2</v>
      </c>
      <c r="Q224" s="29">
        <f>IF(OR(J224&gt;=140,K224&gt;=90),2,0)</f>
        <v>2</v>
      </c>
      <c r="R224" s="29">
        <f ca="1">SUM(L224:Q224)</f>
        <v>11</v>
      </c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5" t="s">
        <v>1393</v>
      </c>
      <c r="AE224" s="33"/>
      <c r="AF224" s="59" t="str">
        <f t="shared" si="10"/>
        <v>Không</v>
      </c>
      <c r="AG224" s="59" t="str">
        <f t="shared" si="11"/>
        <v>Không</v>
      </c>
      <c r="AH224" s="29" t="str">
        <f t="shared" ca="1" si="9"/>
        <v>Có</v>
      </c>
      <c r="AI224" s="29" t="str">
        <f ca="1">IF((R224)&gt;=6,"Có","Không")</f>
        <v>Có</v>
      </c>
      <c r="AJ224" s="29" t="str">
        <f>IF(OR(J224&gt;=140,K224&gt;=90),"Có","Không")</f>
        <v>Có</v>
      </c>
      <c r="AK224" s="5" t="s">
        <v>38</v>
      </c>
      <c r="AL224" s="32">
        <v>46081</v>
      </c>
      <c r="AM224" s="29" t="str">
        <f>"Tháng "&amp;MONTH(AL224)</f>
        <v>Tháng 2</v>
      </c>
      <c r="AN224" s="29" t="str">
        <f>LEFT(AK224,FIND(",",AK224)-1)</f>
        <v>Ấp Biển Đông B</v>
      </c>
    </row>
    <row r="225" spans="1:40" x14ac:dyDescent="0.25">
      <c r="A225" s="49" t="s">
        <v>968</v>
      </c>
      <c r="B225" s="5" t="s">
        <v>30</v>
      </c>
      <c r="C225" s="5" t="s">
        <v>59</v>
      </c>
      <c r="D225" s="29">
        <f ca="1">DATEDIF(C225,TODAY(),"Y")</f>
        <v>74</v>
      </c>
      <c r="E225" s="5" t="s">
        <v>26</v>
      </c>
      <c r="F225" s="30">
        <v>169</v>
      </c>
      <c r="G225" s="30">
        <v>69</v>
      </c>
      <c r="H225" s="31">
        <f>G225/((F225/100)*(F225/100))</f>
        <v>24.158817968558527</v>
      </c>
      <c r="I225" s="5">
        <v>100</v>
      </c>
      <c r="J225" s="30">
        <v>140</v>
      </c>
      <c r="K225" s="30">
        <v>80</v>
      </c>
      <c r="L225" s="29">
        <f>IF(B225="Nữ",0,2)</f>
        <v>2</v>
      </c>
      <c r="M225" s="29">
        <f ca="1">IF(D225&lt;45,0,IF(D225&lt;=49,1,2))</f>
        <v>2</v>
      </c>
      <c r="N225" s="29">
        <f>IF(E225="Có",4,0)</f>
        <v>0</v>
      </c>
      <c r="O225" s="29">
        <f>IF(H225&lt;23,0,IF(H225&lt;27.5,3,5))</f>
        <v>3</v>
      </c>
      <c r="P225" s="29">
        <f>IF(OR(AND(B225="Nam",I225&gt;=90),AND(B225="Nữ",I225&gt;=80)),2,0)</f>
        <v>2</v>
      </c>
      <c r="Q225" s="29">
        <f>IF(OR(J225&gt;=140,K225&gt;=90),2,0)</f>
        <v>2</v>
      </c>
      <c r="R225" s="29">
        <f ca="1">SUM(L225:Q225)</f>
        <v>11</v>
      </c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5" t="s">
        <v>1393</v>
      </c>
      <c r="AE225" s="33"/>
      <c r="AF225" s="59" t="str">
        <f t="shared" si="10"/>
        <v>Không</v>
      </c>
      <c r="AG225" s="59" t="str">
        <f t="shared" si="11"/>
        <v>Không</v>
      </c>
      <c r="AH225" s="29" t="str">
        <f t="shared" ca="1" si="9"/>
        <v>Có</v>
      </c>
      <c r="AI225" s="29" t="str">
        <f ca="1">IF((R225)&gt;=6,"Có","Không")</f>
        <v>Có</v>
      </c>
      <c r="AJ225" s="29" t="str">
        <f>IF(OR(J225&gt;=140,K225&gt;=90),"Có","Không")</f>
        <v>Có</v>
      </c>
      <c r="AK225" s="5" t="s">
        <v>51</v>
      </c>
      <c r="AL225" s="32">
        <v>46081</v>
      </c>
      <c r="AM225" s="29" t="str">
        <f>"Tháng "&amp;MONTH(AL225)</f>
        <v>Tháng 2</v>
      </c>
      <c r="AN225" s="29" t="str">
        <f>LEFT(AK225,FIND(",",AK225)-1)</f>
        <v>Phường Hiệp Thành</v>
      </c>
    </row>
    <row r="226" spans="1:40" x14ac:dyDescent="0.25">
      <c r="A226" s="49" t="s">
        <v>841</v>
      </c>
      <c r="B226" s="5" t="s">
        <v>23</v>
      </c>
      <c r="C226" s="5" t="s">
        <v>42</v>
      </c>
      <c r="D226" s="29">
        <f ca="1">DATEDIF(C226,TODAY(),"Y")</f>
        <v>59</v>
      </c>
      <c r="E226" s="5" t="s">
        <v>26</v>
      </c>
      <c r="F226" s="30">
        <v>158</v>
      </c>
      <c r="G226" s="30">
        <v>58</v>
      </c>
      <c r="H226" s="31">
        <f>G226/((F226/100)*(F226/100))</f>
        <v>23.233456176894723</v>
      </c>
      <c r="I226" s="5">
        <v>74</v>
      </c>
      <c r="J226" s="30">
        <v>130</v>
      </c>
      <c r="K226" s="30">
        <v>80</v>
      </c>
      <c r="L226" s="29">
        <f>IF(B226="Nữ",0,2)</f>
        <v>0</v>
      </c>
      <c r="M226" s="29">
        <f ca="1">IF(D226&lt;45,0,IF(D226&lt;=49,1,2))</f>
        <v>2</v>
      </c>
      <c r="N226" s="29">
        <f>IF(E226="Có",4,0)</f>
        <v>0</v>
      </c>
      <c r="O226" s="29">
        <f>IF(H226&lt;23,0,IF(H226&lt;27.5,3,5))</f>
        <v>3</v>
      </c>
      <c r="P226" s="29">
        <f>IF(OR(AND(B226="Nam",I226&gt;=90),AND(B226="Nữ",I226&gt;=80)),2,0)</f>
        <v>0</v>
      </c>
      <c r="Q226" s="29">
        <f>IF(OR(J226&gt;=140,K226&gt;=90),2,0)</f>
        <v>0</v>
      </c>
      <c r="R226" s="29">
        <f ca="1">SUM(L226:Q226)</f>
        <v>5</v>
      </c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5" t="s">
        <v>1393</v>
      </c>
      <c r="AE226" s="33"/>
      <c r="AF226" s="59" t="str">
        <f t="shared" si="10"/>
        <v>Không</v>
      </c>
      <c r="AG226" s="59" t="str">
        <f t="shared" si="11"/>
        <v>Không</v>
      </c>
      <c r="AH226" s="29" t="str">
        <f t="shared" ca="1" si="9"/>
        <v>Không</v>
      </c>
      <c r="AI226" s="29" t="str">
        <f ca="1">IF((R226)&gt;=6,"Có","Không")</f>
        <v>Không</v>
      </c>
      <c r="AJ226" s="29" t="str">
        <f>IF(OR(J226&gt;=140,K226&gt;=90),"Có","Không")</f>
        <v>Không</v>
      </c>
      <c r="AK226" s="5" t="s">
        <v>969</v>
      </c>
      <c r="AL226" s="32">
        <v>46081</v>
      </c>
      <c r="AM226" s="29" t="str">
        <f>"Tháng "&amp;MONTH(AL226)</f>
        <v>Tháng 2</v>
      </c>
      <c r="AN226" s="29" t="str">
        <f>LEFT(AK226,FIND(",",AK226)-1)</f>
        <v>Ấp Biển Đông B</v>
      </c>
    </row>
    <row r="227" spans="1:40" x14ac:dyDescent="0.25">
      <c r="A227" s="49" t="s">
        <v>970</v>
      </c>
      <c r="B227" s="5" t="s">
        <v>23</v>
      </c>
      <c r="C227" s="5" t="s">
        <v>341</v>
      </c>
      <c r="D227" s="29">
        <f ca="1">DATEDIF(C227,TODAY(),"Y")</f>
        <v>51</v>
      </c>
      <c r="E227" s="5" t="s">
        <v>26</v>
      </c>
      <c r="F227" s="30">
        <v>158</v>
      </c>
      <c r="G227" s="30">
        <v>58</v>
      </c>
      <c r="H227" s="31">
        <f>G227/((F227/100)*(F227/100))</f>
        <v>23.233456176894723</v>
      </c>
      <c r="I227" s="5">
        <v>83</v>
      </c>
      <c r="J227" s="30">
        <v>120</v>
      </c>
      <c r="K227" s="30">
        <v>80</v>
      </c>
      <c r="L227" s="29">
        <f>IF(B227="Nữ",0,2)</f>
        <v>0</v>
      </c>
      <c r="M227" s="29">
        <f ca="1">IF(D227&lt;45,0,IF(D227&lt;=49,1,2))</f>
        <v>2</v>
      </c>
      <c r="N227" s="29">
        <f>IF(E227="Có",4,0)</f>
        <v>0</v>
      </c>
      <c r="O227" s="29">
        <f>IF(H227&lt;23,0,IF(H227&lt;27.5,3,5))</f>
        <v>3</v>
      </c>
      <c r="P227" s="29">
        <f>IF(OR(AND(B227="Nam",I227&gt;=90),AND(B227="Nữ",I227&gt;=80)),2,0)</f>
        <v>2</v>
      </c>
      <c r="Q227" s="29">
        <f>IF(OR(J227&gt;=140,K227&gt;=90),2,0)</f>
        <v>0</v>
      </c>
      <c r="R227" s="29">
        <f ca="1">SUM(L227:Q227)</f>
        <v>7</v>
      </c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5" t="s">
        <v>1393</v>
      </c>
      <c r="AE227" s="33"/>
      <c r="AF227" s="59" t="str">
        <f t="shared" si="10"/>
        <v>Không</v>
      </c>
      <c r="AG227" s="59" t="str">
        <f t="shared" si="11"/>
        <v>Không</v>
      </c>
      <c r="AH227" s="29" t="str">
        <f t="shared" ca="1" si="9"/>
        <v>Có</v>
      </c>
      <c r="AI227" s="29" t="str">
        <f ca="1">IF((R227)&gt;=6,"Có","Không")</f>
        <v>Có</v>
      </c>
      <c r="AJ227" s="29" t="str">
        <f>IF(OR(J227&gt;=140,K227&gt;=90),"Có","Không")</f>
        <v>Không</v>
      </c>
      <c r="AK227" s="5" t="s">
        <v>68</v>
      </c>
      <c r="AL227" s="32">
        <v>46081</v>
      </c>
      <c r="AM227" s="29" t="str">
        <f>"Tháng "&amp;MONTH(AL227)</f>
        <v>Tháng 2</v>
      </c>
      <c r="AN227" s="29" t="str">
        <f>LEFT(AK227,FIND(",",AK227)-1)</f>
        <v>Ấp Biển Tây B</v>
      </c>
    </row>
    <row r="228" spans="1:40" x14ac:dyDescent="0.25">
      <c r="A228" s="49" t="s">
        <v>971</v>
      </c>
      <c r="B228" s="5" t="s">
        <v>23</v>
      </c>
      <c r="C228" s="5" t="s">
        <v>47</v>
      </c>
      <c r="D228" s="29">
        <f ca="1">DATEDIF(C228,TODAY(),"Y")</f>
        <v>55</v>
      </c>
      <c r="E228" s="5" t="s">
        <v>26</v>
      </c>
      <c r="F228" s="30">
        <v>158</v>
      </c>
      <c r="G228" s="30">
        <v>58</v>
      </c>
      <c r="H228" s="31">
        <f>G228/((F228/100)*(F228/100))</f>
        <v>23.233456176894723</v>
      </c>
      <c r="I228" s="5">
        <v>70</v>
      </c>
      <c r="J228" s="30">
        <v>130</v>
      </c>
      <c r="K228" s="30">
        <v>80</v>
      </c>
      <c r="L228" s="29">
        <f>IF(B228="Nữ",0,2)</f>
        <v>0</v>
      </c>
      <c r="M228" s="29">
        <f ca="1">IF(D228&lt;45,0,IF(D228&lt;=49,1,2))</f>
        <v>2</v>
      </c>
      <c r="N228" s="29">
        <f>IF(E228="Có",4,0)</f>
        <v>0</v>
      </c>
      <c r="O228" s="29">
        <f>IF(H228&lt;23,0,IF(H228&lt;27.5,3,5))</f>
        <v>3</v>
      </c>
      <c r="P228" s="29">
        <f>IF(OR(AND(B228="Nam",I228&gt;=90),AND(B228="Nữ",I228&gt;=80)),2,0)</f>
        <v>0</v>
      </c>
      <c r="Q228" s="29">
        <f>IF(OR(J228&gt;=140,K228&gt;=90),2,0)</f>
        <v>0</v>
      </c>
      <c r="R228" s="29">
        <f ca="1">SUM(L228:Q228)</f>
        <v>5</v>
      </c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5" t="s">
        <v>1393</v>
      </c>
      <c r="AE228" s="33"/>
      <c r="AF228" s="59" t="str">
        <f t="shared" si="10"/>
        <v>Không</v>
      </c>
      <c r="AG228" s="59" t="str">
        <f t="shared" si="11"/>
        <v>Không</v>
      </c>
      <c r="AH228" s="29" t="str">
        <f t="shared" ca="1" si="9"/>
        <v>Không</v>
      </c>
      <c r="AI228" s="29" t="str">
        <f ca="1">IF((R228)&gt;=6,"Có","Không")</f>
        <v>Không</v>
      </c>
      <c r="AJ228" s="29" t="str">
        <f>IF(OR(J228&gt;=140,K228&gt;=90),"Có","Không")</f>
        <v>Không</v>
      </c>
      <c r="AK228" s="5" t="s">
        <v>298</v>
      </c>
      <c r="AL228" s="32">
        <v>46081</v>
      </c>
      <c r="AM228" s="29" t="str">
        <f>"Tháng "&amp;MONTH(AL228)</f>
        <v>Tháng 2</v>
      </c>
      <c r="AN228" s="29" t="str">
        <f>LEFT(AK228,FIND(",",AK228)-1)</f>
        <v>ấp Biển Tây A</v>
      </c>
    </row>
    <row r="229" spans="1:40" x14ac:dyDescent="0.25">
      <c r="A229" s="49" t="s">
        <v>982</v>
      </c>
      <c r="B229" s="5" t="s">
        <v>30</v>
      </c>
      <c r="C229" s="5" t="s">
        <v>127</v>
      </c>
      <c r="D229" s="29">
        <f ca="1">DATEDIF(C229,TODAY(),"Y")</f>
        <v>76</v>
      </c>
      <c r="E229" s="5" t="s">
        <v>26</v>
      </c>
      <c r="F229" s="30">
        <v>169</v>
      </c>
      <c r="G229" s="30">
        <v>68</v>
      </c>
      <c r="H229" s="31">
        <f>G229/((F229/100)*(F229/100))</f>
        <v>23.808690171912751</v>
      </c>
      <c r="I229" s="5">
        <v>81</v>
      </c>
      <c r="J229" s="30">
        <v>120</v>
      </c>
      <c r="K229" s="30">
        <v>80</v>
      </c>
      <c r="L229" s="29">
        <f>IF(B229="Nữ",0,2)</f>
        <v>2</v>
      </c>
      <c r="M229" s="29">
        <f ca="1">IF(D229&lt;45,0,IF(D229&lt;=49,1,2))</f>
        <v>2</v>
      </c>
      <c r="N229" s="29">
        <f>IF(E229="Có",4,0)</f>
        <v>0</v>
      </c>
      <c r="O229" s="29">
        <f>IF(H229&lt;23,0,IF(H229&lt;27.5,3,5))</f>
        <v>3</v>
      </c>
      <c r="P229" s="29">
        <f>IF(OR(AND(B229="Nam",I229&gt;=90),AND(B229="Nữ",I229&gt;=80)),2,0)</f>
        <v>0</v>
      </c>
      <c r="Q229" s="29">
        <f>IF(OR(J229&gt;=140,K229&gt;=90),2,0)</f>
        <v>0</v>
      </c>
      <c r="R229" s="29">
        <f ca="1">SUM(L229:Q229)</f>
        <v>7</v>
      </c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5" t="s">
        <v>1393</v>
      </c>
      <c r="AE229" s="33"/>
      <c r="AF229" s="59" t="str">
        <f t="shared" si="10"/>
        <v>Không</v>
      </c>
      <c r="AG229" s="59" t="str">
        <f t="shared" si="11"/>
        <v>Không</v>
      </c>
      <c r="AH229" s="29" t="str">
        <f t="shared" ca="1" si="9"/>
        <v>Có</v>
      </c>
      <c r="AI229" s="29" t="str">
        <f ca="1">IF((R229)&gt;=6,"Có","Không")</f>
        <v>Có</v>
      </c>
      <c r="AJ229" s="29" t="str">
        <f>IF(OR(J229&gt;=140,K229&gt;=90),"Có","Không")</f>
        <v>Không</v>
      </c>
      <c r="AK229" s="5" t="s">
        <v>51</v>
      </c>
      <c r="AL229" s="32">
        <v>46081</v>
      </c>
      <c r="AM229" s="29" t="str">
        <f>"Tháng "&amp;MONTH(AL229)</f>
        <v>Tháng 2</v>
      </c>
      <c r="AN229" s="29" t="str">
        <f>LEFT(AK229,FIND(",",AK229)-1)</f>
        <v>Phường Hiệp Thành</v>
      </c>
    </row>
    <row r="230" spans="1:40" x14ac:dyDescent="0.25">
      <c r="A230" s="49" t="s">
        <v>983</v>
      </c>
      <c r="B230" s="5" t="s">
        <v>30</v>
      </c>
      <c r="C230" s="5" t="s">
        <v>42</v>
      </c>
      <c r="D230" s="29">
        <f ca="1">DATEDIF(C230,TODAY(),"Y")</f>
        <v>59</v>
      </c>
      <c r="E230" s="5" t="s">
        <v>26</v>
      </c>
      <c r="F230" s="30">
        <v>170</v>
      </c>
      <c r="G230" s="30">
        <v>92</v>
      </c>
      <c r="H230" s="31">
        <f>G230/((F230/100)*(F230/100))</f>
        <v>31.833910034602081</v>
      </c>
      <c r="I230" s="5">
        <v>95</v>
      </c>
      <c r="J230" s="30">
        <v>120</v>
      </c>
      <c r="K230" s="30">
        <v>80</v>
      </c>
      <c r="L230" s="29">
        <f>IF(B230="Nữ",0,2)</f>
        <v>2</v>
      </c>
      <c r="M230" s="29">
        <f ca="1">IF(D230&lt;45,0,IF(D230&lt;=49,1,2))</f>
        <v>2</v>
      </c>
      <c r="N230" s="29">
        <f>IF(E230="Có",4,0)</f>
        <v>0</v>
      </c>
      <c r="O230" s="29">
        <f>IF(H230&lt;23,0,IF(H230&lt;27.5,3,5))</f>
        <v>5</v>
      </c>
      <c r="P230" s="29">
        <f>IF(OR(AND(B230="Nam",I230&gt;=90),AND(B230="Nữ",I230&gt;=80)),2,0)</f>
        <v>2</v>
      </c>
      <c r="Q230" s="29">
        <f>IF(OR(J230&gt;=140,K230&gt;=90),2,0)</f>
        <v>0</v>
      </c>
      <c r="R230" s="29">
        <f ca="1">SUM(L230:Q230)</f>
        <v>11</v>
      </c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5" t="s">
        <v>1393</v>
      </c>
      <c r="AE230" s="33"/>
      <c r="AF230" s="59" t="str">
        <f t="shared" si="10"/>
        <v>Không</v>
      </c>
      <c r="AG230" s="59" t="str">
        <f t="shared" si="11"/>
        <v>Không</v>
      </c>
      <c r="AH230" s="29" t="str">
        <f t="shared" ca="1" si="9"/>
        <v>Có</v>
      </c>
      <c r="AI230" s="29" t="str">
        <f ca="1">IF((R230)&gt;=6,"Có","Không")</f>
        <v>Có</v>
      </c>
      <c r="AJ230" s="29" t="str">
        <f>IF(OR(J230&gt;=140,K230&gt;=90),"Có","Không")</f>
        <v>Không</v>
      </c>
      <c r="AK230" s="5" t="s">
        <v>575</v>
      </c>
      <c r="AL230" s="32">
        <v>46081</v>
      </c>
      <c r="AM230" s="29" t="str">
        <f>"Tháng "&amp;MONTH(AL230)</f>
        <v>Tháng 2</v>
      </c>
      <c r="AN230" s="29" t="str">
        <f>LEFT(AK230,FIND(",",AK230)-1)</f>
        <v>Giồng giữa</v>
      </c>
    </row>
    <row r="231" spans="1:40" x14ac:dyDescent="0.25">
      <c r="A231" s="49" t="s">
        <v>985</v>
      </c>
      <c r="B231" s="5" t="s">
        <v>30</v>
      </c>
      <c r="C231" s="5" t="s">
        <v>59</v>
      </c>
      <c r="D231" s="29">
        <f ca="1">DATEDIF(C231,TODAY(),"Y")</f>
        <v>74</v>
      </c>
      <c r="E231" s="5" t="s">
        <v>26</v>
      </c>
      <c r="F231" s="30">
        <v>169</v>
      </c>
      <c r="G231" s="30">
        <v>68</v>
      </c>
      <c r="H231" s="31">
        <f>G231/((F231/100)*(F231/100))</f>
        <v>23.808690171912751</v>
      </c>
      <c r="I231" s="5">
        <v>82</v>
      </c>
      <c r="J231" s="30">
        <v>150</v>
      </c>
      <c r="K231" s="30">
        <v>80</v>
      </c>
      <c r="L231" s="29">
        <f>IF(B231="Nữ",0,2)</f>
        <v>2</v>
      </c>
      <c r="M231" s="29">
        <f ca="1">IF(D231&lt;45,0,IF(D231&lt;=49,1,2))</f>
        <v>2</v>
      </c>
      <c r="N231" s="29">
        <f>IF(E231="Có",4,0)</f>
        <v>0</v>
      </c>
      <c r="O231" s="29">
        <f>IF(H231&lt;23,0,IF(H231&lt;27.5,3,5))</f>
        <v>3</v>
      </c>
      <c r="P231" s="29">
        <f>IF(OR(AND(B231="Nam",I231&gt;=90),AND(B231="Nữ",I231&gt;=80)),2,0)</f>
        <v>0</v>
      </c>
      <c r="Q231" s="29">
        <f>IF(OR(J231&gt;=140,K231&gt;=90),2,0)</f>
        <v>2</v>
      </c>
      <c r="R231" s="29">
        <f ca="1">SUM(L231:Q231)</f>
        <v>9</v>
      </c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5" t="s">
        <v>1393</v>
      </c>
      <c r="AE231" s="33"/>
      <c r="AF231" s="59" t="str">
        <f t="shared" si="10"/>
        <v>Không</v>
      </c>
      <c r="AG231" s="59" t="str">
        <f t="shared" si="11"/>
        <v>Không</v>
      </c>
      <c r="AH231" s="29" t="str">
        <f t="shared" ca="1" si="9"/>
        <v>Có</v>
      </c>
      <c r="AI231" s="29" t="str">
        <f ca="1">IF((R231)&gt;=6,"Có","Không")</f>
        <v>Có</v>
      </c>
      <c r="AJ231" s="29" t="str">
        <f>IF(OR(J231&gt;=140,K231&gt;=90),"Có","Không")</f>
        <v>Có</v>
      </c>
      <c r="AK231" s="5" t="s">
        <v>51</v>
      </c>
      <c r="AL231" s="32">
        <v>46081</v>
      </c>
      <c r="AM231" s="29" t="str">
        <f>"Tháng "&amp;MONTH(AL231)</f>
        <v>Tháng 2</v>
      </c>
      <c r="AN231" s="29" t="str">
        <f>LEFT(AK231,FIND(",",AK231)-1)</f>
        <v>Phường Hiệp Thành</v>
      </c>
    </row>
    <row r="232" spans="1:40" x14ac:dyDescent="0.25">
      <c r="A232" s="49" t="s">
        <v>986</v>
      </c>
      <c r="B232" s="5" t="s">
        <v>30</v>
      </c>
      <c r="C232" s="5" t="s">
        <v>133</v>
      </c>
      <c r="D232" s="29">
        <f ca="1">DATEDIF(C232,TODAY(),"Y")</f>
        <v>56</v>
      </c>
      <c r="E232" s="5" t="s">
        <v>26</v>
      </c>
      <c r="F232" s="30">
        <v>169</v>
      </c>
      <c r="G232" s="30">
        <v>68</v>
      </c>
      <c r="H232" s="31">
        <f>G232/((F232/100)*(F232/100))</f>
        <v>23.808690171912751</v>
      </c>
      <c r="I232" s="5">
        <v>90</v>
      </c>
      <c r="J232" s="30">
        <v>120</v>
      </c>
      <c r="K232" s="30">
        <v>80</v>
      </c>
      <c r="L232" s="29">
        <f>IF(B232="Nữ",0,2)</f>
        <v>2</v>
      </c>
      <c r="M232" s="29">
        <f ca="1">IF(D232&lt;45,0,IF(D232&lt;=49,1,2))</f>
        <v>2</v>
      </c>
      <c r="N232" s="29">
        <f>IF(E232="Có",4,0)</f>
        <v>0</v>
      </c>
      <c r="O232" s="29">
        <f>IF(H232&lt;23,0,IF(H232&lt;27.5,3,5))</f>
        <v>3</v>
      </c>
      <c r="P232" s="29">
        <f>IF(OR(AND(B232="Nam",I232&gt;=90),AND(B232="Nữ",I232&gt;=80)),2,0)</f>
        <v>2</v>
      </c>
      <c r="Q232" s="29">
        <f>IF(OR(J232&gt;=140,K232&gt;=90),2,0)</f>
        <v>0</v>
      </c>
      <c r="R232" s="29">
        <f ca="1">SUM(L232:Q232)</f>
        <v>9</v>
      </c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5" t="s">
        <v>1393</v>
      </c>
      <c r="AE232" s="33"/>
      <c r="AF232" s="59" t="str">
        <f t="shared" si="10"/>
        <v>Không</v>
      </c>
      <c r="AG232" s="59" t="str">
        <f t="shared" si="11"/>
        <v>Không</v>
      </c>
      <c r="AH232" s="29" t="str">
        <f t="shared" ca="1" si="9"/>
        <v>Có</v>
      </c>
      <c r="AI232" s="29" t="str">
        <f ca="1">IF((R232)&gt;=6,"Có","Không")</f>
        <v>Có</v>
      </c>
      <c r="AJ232" s="29" t="str">
        <f>IF(OR(J232&gt;=140,K232&gt;=90),"Có","Không")</f>
        <v>Không</v>
      </c>
      <c r="AK232" s="5" t="s">
        <v>32</v>
      </c>
      <c r="AL232" s="32">
        <v>46081</v>
      </c>
      <c r="AM232" s="29" t="str">
        <f>"Tháng "&amp;MONTH(AL232)</f>
        <v>Tháng 2</v>
      </c>
      <c r="AN232" s="29" t="str">
        <f>LEFT(AK232,FIND(",",AK232)-1)</f>
        <v>Ấp Giồng Giữa B</v>
      </c>
    </row>
    <row r="233" spans="1:40" x14ac:dyDescent="0.25">
      <c r="A233" s="49" t="s">
        <v>1010</v>
      </c>
      <c r="B233" s="5" t="s">
        <v>30</v>
      </c>
      <c r="C233" s="5" t="s">
        <v>341</v>
      </c>
      <c r="D233" s="29">
        <f ca="1">DATEDIF(C233,TODAY(),"Y")</f>
        <v>51</v>
      </c>
      <c r="E233" s="5" t="s">
        <v>26</v>
      </c>
      <c r="F233" s="30">
        <v>169</v>
      </c>
      <c r="G233" s="30">
        <v>68</v>
      </c>
      <c r="H233" s="31">
        <f>G233/((F233/100)*(F233/100))</f>
        <v>23.808690171912751</v>
      </c>
      <c r="I233" s="5">
        <v>75</v>
      </c>
      <c r="J233" s="30">
        <v>120</v>
      </c>
      <c r="K233" s="30">
        <v>80</v>
      </c>
      <c r="L233" s="29">
        <f>IF(B233="Nữ",0,2)</f>
        <v>2</v>
      </c>
      <c r="M233" s="29">
        <f ca="1">IF(D233&lt;45,0,IF(D233&lt;=49,1,2))</f>
        <v>2</v>
      </c>
      <c r="N233" s="29">
        <f>IF(E233="Có",4,0)</f>
        <v>0</v>
      </c>
      <c r="O233" s="29">
        <f>IF(H233&lt;23,0,IF(H233&lt;27.5,3,5))</f>
        <v>3</v>
      </c>
      <c r="P233" s="29">
        <f>IF(OR(AND(B233="Nam",I233&gt;=90),AND(B233="Nữ",I233&gt;=80)),2,0)</f>
        <v>0</v>
      </c>
      <c r="Q233" s="29">
        <f>IF(OR(J233&gt;=140,K233&gt;=90),2,0)</f>
        <v>0</v>
      </c>
      <c r="R233" s="29">
        <f ca="1">SUM(L233:Q233)</f>
        <v>7</v>
      </c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5" t="s">
        <v>1393</v>
      </c>
      <c r="AE233" s="33"/>
      <c r="AF233" s="59" t="str">
        <f t="shared" si="10"/>
        <v>Không</v>
      </c>
      <c r="AG233" s="59" t="str">
        <f t="shared" si="11"/>
        <v>Không</v>
      </c>
      <c r="AH233" s="29" t="str">
        <f t="shared" ca="1" si="9"/>
        <v>Có</v>
      </c>
      <c r="AI233" s="29" t="str">
        <f ca="1">IF((R233)&gt;=6,"Có","Không")</f>
        <v>Có</v>
      </c>
      <c r="AJ233" s="29" t="str">
        <f>IF(OR(J233&gt;=140,K233&gt;=90),"Có","Không")</f>
        <v>Không</v>
      </c>
      <c r="AK233" s="5" t="s">
        <v>51</v>
      </c>
      <c r="AL233" s="32">
        <v>46081</v>
      </c>
      <c r="AM233" s="29" t="str">
        <f>"Tháng "&amp;MONTH(AL233)</f>
        <v>Tháng 2</v>
      </c>
      <c r="AN233" s="29" t="str">
        <f>LEFT(AK233,FIND(",",AK233)-1)</f>
        <v>Phường Hiệp Thành</v>
      </c>
    </row>
    <row r="234" spans="1:40" x14ac:dyDescent="0.25">
      <c r="A234" s="49" t="s">
        <v>1011</v>
      </c>
      <c r="B234" s="5" t="s">
        <v>30</v>
      </c>
      <c r="C234" s="5" t="s">
        <v>67</v>
      </c>
      <c r="D234" s="29">
        <f ca="1">DATEDIF(C234,TODAY(),"Y")</f>
        <v>48</v>
      </c>
      <c r="E234" s="5" t="s">
        <v>26</v>
      </c>
      <c r="F234" s="30">
        <v>167</v>
      </c>
      <c r="G234" s="30">
        <v>60</v>
      </c>
      <c r="H234" s="31">
        <f>G234/((F234/100)*(F234/100))</f>
        <v>21.513858510523864</v>
      </c>
      <c r="I234" s="5">
        <v>94</v>
      </c>
      <c r="J234" s="30">
        <v>110</v>
      </c>
      <c r="K234" s="30">
        <v>70</v>
      </c>
      <c r="L234" s="29">
        <f>IF(B234="Nữ",0,2)</f>
        <v>2</v>
      </c>
      <c r="M234" s="29">
        <f ca="1">IF(D234&lt;45,0,IF(D234&lt;=49,1,2))</f>
        <v>1</v>
      </c>
      <c r="N234" s="29">
        <f>IF(E234="Có",4,0)</f>
        <v>0</v>
      </c>
      <c r="O234" s="29">
        <f>IF(H234&lt;23,0,IF(H234&lt;27.5,3,5))</f>
        <v>0</v>
      </c>
      <c r="P234" s="29">
        <f>IF(OR(AND(B234="Nam",I234&gt;=90),AND(B234="Nữ",I234&gt;=80)),2,0)</f>
        <v>2</v>
      </c>
      <c r="Q234" s="29">
        <f>IF(OR(J234&gt;=140,K234&gt;=90),2,0)</f>
        <v>0</v>
      </c>
      <c r="R234" s="29">
        <f ca="1">SUM(L234:Q234)</f>
        <v>5</v>
      </c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5" t="s">
        <v>1393</v>
      </c>
      <c r="AE234" s="33"/>
      <c r="AF234" s="59" t="str">
        <f t="shared" si="10"/>
        <v>Không</v>
      </c>
      <c r="AG234" s="59" t="str">
        <f t="shared" si="11"/>
        <v>Không</v>
      </c>
      <c r="AH234" s="29" t="str">
        <f t="shared" ca="1" si="9"/>
        <v>Không</v>
      </c>
      <c r="AI234" s="29" t="str">
        <f ca="1">IF((R234)&gt;=6,"Có","Không")</f>
        <v>Không</v>
      </c>
      <c r="AJ234" s="29" t="str">
        <f>IF(OR(J234&gt;=140,K234&gt;=90),"Có","Không")</f>
        <v>Không</v>
      </c>
      <c r="AK234" s="5" t="s">
        <v>1012</v>
      </c>
      <c r="AL234" s="32">
        <v>46081</v>
      </c>
      <c r="AM234" s="29" t="str">
        <f>"Tháng "&amp;MONTH(AL234)</f>
        <v>Tháng 2</v>
      </c>
      <c r="AN234" s="29" t="str">
        <f>LEFT(AK234,FIND(",",AK234)-1)</f>
        <v>Ấp Tân Long</v>
      </c>
    </row>
    <row r="235" spans="1:40" x14ac:dyDescent="0.25">
      <c r="A235" s="49" t="s">
        <v>1013</v>
      </c>
      <c r="B235" s="5" t="s">
        <v>23</v>
      </c>
      <c r="C235" s="5" t="s">
        <v>155</v>
      </c>
      <c r="D235" s="29">
        <f ca="1">DATEDIF(C235,TODAY(),"Y")</f>
        <v>53</v>
      </c>
      <c r="E235" s="5" t="s">
        <v>26</v>
      </c>
      <c r="F235" s="30">
        <v>158</v>
      </c>
      <c r="G235" s="30">
        <v>58</v>
      </c>
      <c r="H235" s="31">
        <f>G235/((F235/100)*(F235/100))</f>
        <v>23.233456176894723</v>
      </c>
      <c r="I235" s="5">
        <v>83</v>
      </c>
      <c r="J235" s="30">
        <v>140</v>
      </c>
      <c r="K235" s="30">
        <v>80</v>
      </c>
      <c r="L235" s="29">
        <f>IF(B235="Nữ",0,2)</f>
        <v>0</v>
      </c>
      <c r="M235" s="29">
        <f ca="1">IF(D235&lt;45,0,IF(D235&lt;=49,1,2))</f>
        <v>2</v>
      </c>
      <c r="N235" s="29">
        <f>IF(E235="Có",4,0)</f>
        <v>0</v>
      </c>
      <c r="O235" s="29">
        <f>IF(H235&lt;23,0,IF(H235&lt;27.5,3,5))</f>
        <v>3</v>
      </c>
      <c r="P235" s="29">
        <f>IF(OR(AND(B235="Nam",I235&gt;=90),AND(B235="Nữ",I235&gt;=80)),2,0)</f>
        <v>2</v>
      </c>
      <c r="Q235" s="29">
        <f>IF(OR(J235&gt;=140,K235&gt;=90),2,0)</f>
        <v>2</v>
      </c>
      <c r="R235" s="29">
        <f ca="1">SUM(L235:Q235)</f>
        <v>9</v>
      </c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5" t="s">
        <v>1393</v>
      </c>
      <c r="AE235" s="33"/>
      <c r="AF235" s="59" t="str">
        <f t="shared" si="10"/>
        <v>Không</v>
      </c>
      <c r="AG235" s="59" t="str">
        <f t="shared" si="11"/>
        <v>Không</v>
      </c>
      <c r="AH235" s="29" t="str">
        <f t="shared" ca="1" si="9"/>
        <v>Có</v>
      </c>
      <c r="AI235" s="29" t="str">
        <f ca="1">IF((R235)&gt;=6,"Có","Không")</f>
        <v>Có</v>
      </c>
      <c r="AJ235" s="29" t="str">
        <f>IF(OR(J235&gt;=140,K235&gt;=90),"Có","Không")</f>
        <v>Có</v>
      </c>
      <c r="AK235" s="5" t="s">
        <v>32</v>
      </c>
      <c r="AL235" s="32">
        <v>46081</v>
      </c>
      <c r="AM235" s="29" t="str">
        <f>"Tháng "&amp;MONTH(AL235)</f>
        <v>Tháng 2</v>
      </c>
      <c r="AN235" s="29" t="str">
        <f>LEFT(AK235,FIND(",",AK235)-1)</f>
        <v>Ấp Giồng Giữa B</v>
      </c>
    </row>
    <row r="236" spans="1:40" x14ac:dyDescent="0.25">
      <c r="A236" s="49" t="s">
        <v>1014</v>
      </c>
      <c r="B236" s="5" t="s">
        <v>30</v>
      </c>
      <c r="C236" s="5" t="s">
        <v>62</v>
      </c>
      <c r="D236" s="29">
        <f ca="1">DATEDIF(C236,TODAY(),"Y")</f>
        <v>64</v>
      </c>
      <c r="E236" s="5" t="s">
        <v>26</v>
      </c>
      <c r="F236" s="30">
        <v>169</v>
      </c>
      <c r="G236" s="30">
        <v>69</v>
      </c>
      <c r="H236" s="31">
        <f>G236/((F236/100)*(F236/100))</f>
        <v>24.158817968558527</v>
      </c>
      <c r="I236" s="5">
        <v>83</v>
      </c>
      <c r="J236" s="30">
        <v>140</v>
      </c>
      <c r="K236" s="30">
        <v>80</v>
      </c>
      <c r="L236" s="29">
        <f>IF(B236="Nữ",0,2)</f>
        <v>2</v>
      </c>
      <c r="M236" s="29">
        <f ca="1">IF(D236&lt;45,0,IF(D236&lt;=49,1,2))</f>
        <v>2</v>
      </c>
      <c r="N236" s="29">
        <f>IF(E236="Có",4,0)</f>
        <v>0</v>
      </c>
      <c r="O236" s="29">
        <f>IF(H236&lt;23,0,IF(H236&lt;27.5,3,5))</f>
        <v>3</v>
      </c>
      <c r="P236" s="29">
        <f>IF(OR(AND(B236="Nam",I236&gt;=90),AND(B236="Nữ",I236&gt;=80)),2,0)</f>
        <v>0</v>
      </c>
      <c r="Q236" s="29">
        <f>IF(OR(J236&gt;=140,K236&gt;=90),2,0)</f>
        <v>2</v>
      </c>
      <c r="R236" s="29">
        <f ca="1">SUM(L236:Q236)</f>
        <v>9</v>
      </c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5" t="s">
        <v>1393</v>
      </c>
      <c r="AE236" s="33"/>
      <c r="AF236" s="59" t="str">
        <f t="shared" si="10"/>
        <v>Không</v>
      </c>
      <c r="AG236" s="59" t="str">
        <f t="shared" si="11"/>
        <v>Không</v>
      </c>
      <c r="AH236" s="29" t="str">
        <f t="shared" ca="1" si="9"/>
        <v>Có</v>
      </c>
      <c r="AI236" s="29" t="str">
        <f ca="1">IF((R236)&gt;=6,"Có","Không")</f>
        <v>Có</v>
      </c>
      <c r="AJ236" s="29" t="str">
        <f>IF(OR(J236&gt;=140,K236&gt;=90),"Có","Không")</f>
        <v>Có</v>
      </c>
      <c r="AK236" s="5" t="s">
        <v>65</v>
      </c>
      <c r="AL236" s="32">
        <v>46081</v>
      </c>
      <c r="AM236" s="29" t="str">
        <f>"Tháng "&amp;MONTH(AL236)</f>
        <v>Tháng 2</v>
      </c>
      <c r="AN236" s="29" t="str">
        <f>LEFT(AK236,FIND(",",AK236)-1)</f>
        <v>Biển Tây B</v>
      </c>
    </row>
    <row r="237" spans="1:40" x14ac:dyDescent="0.25">
      <c r="A237" s="49" t="s">
        <v>1022</v>
      </c>
      <c r="B237" s="5" t="s">
        <v>30</v>
      </c>
      <c r="C237" s="5" t="s">
        <v>93</v>
      </c>
      <c r="D237" s="29">
        <f ca="1">DATEDIF(C237,TODAY(),"Y")</f>
        <v>66</v>
      </c>
      <c r="E237" s="5" t="s">
        <v>25</v>
      </c>
      <c r="F237" s="30">
        <v>169</v>
      </c>
      <c r="G237" s="30">
        <v>68</v>
      </c>
      <c r="H237" s="31">
        <f>G237/((F237/100)*(F237/100))</f>
        <v>23.808690171912751</v>
      </c>
      <c r="I237" s="5">
        <v>75</v>
      </c>
      <c r="J237" s="30">
        <v>150</v>
      </c>
      <c r="K237" s="30">
        <v>80</v>
      </c>
      <c r="L237" s="29">
        <f>IF(B237="Nữ",0,2)</f>
        <v>2</v>
      </c>
      <c r="M237" s="29">
        <f ca="1">IF(D237&lt;45,0,IF(D237&lt;=49,1,2))</f>
        <v>2</v>
      </c>
      <c r="N237" s="29">
        <f>IF(E237="Có",4,0)</f>
        <v>4</v>
      </c>
      <c r="O237" s="29">
        <f>IF(H237&lt;23,0,IF(H237&lt;27.5,3,5))</f>
        <v>3</v>
      </c>
      <c r="P237" s="29">
        <f>IF(OR(AND(B237="Nam",I237&gt;=90),AND(B237="Nữ",I237&gt;=80)),2,0)</f>
        <v>0</v>
      </c>
      <c r="Q237" s="29">
        <f>IF(OR(J237&gt;=140,K237&gt;=90),2,0)</f>
        <v>2</v>
      </c>
      <c r="R237" s="29">
        <f ca="1">SUM(L237:Q237)</f>
        <v>13</v>
      </c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5" t="s">
        <v>1393</v>
      </c>
      <c r="AE237" s="33"/>
      <c r="AF237" s="59" t="str">
        <f t="shared" si="10"/>
        <v>Không</v>
      </c>
      <c r="AG237" s="59" t="str">
        <f t="shared" si="11"/>
        <v>Không</v>
      </c>
      <c r="AH237" s="29" t="str">
        <f t="shared" ca="1" si="9"/>
        <v>Có</v>
      </c>
      <c r="AI237" s="29" t="str">
        <f ca="1">IF((R237)&gt;=6,"Có","Không")</f>
        <v>Có</v>
      </c>
      <c r="AJ237" s="29" t="str">
        <f>IF(OR(J237&gt;=140,K237&gt;=90),"Có","Không")</f>
        <v>Có</v>
      </c>
      <c r="AK237" s="5" t="s">
        <v>1023</v>
      </c>
      <c r="AL237" s="32">
        <v>46081</v>
      </c>
      <c r="AM237" s="29" t="str">
        <f>"Tháng "&amp;MONTH(AL237)</f>
        <v>Tháng 2</v>
      </c>
      <c r="AN237" s="29" t="str">
        <f>LEFT(AK237,FIND(",",AK237)-1)</f>
        <v>Ấp Công Điền</v>
      </c>
    </row>
    <row r="238" spans="1:40" x14ac:dyDescent="0.25">
      <c r="A238" s="49" t="s">
        <v>1024</v>
      </c>
      <c r="B238" s="5" t="s">
        <v>23</v>
      </c>
      <c r="C238" s="5" t="s">
        <v>110</v>
      </c>
      <c r="D238" s="29">
        <f ca="1">DATEDIF(C238,TODAY(),"Y")</f>
        <v>62</v>
      </c>
      <c r="E238" s="5" t="s">
        <v>26</v>
      </c>
      <c r="F238" s="30">
        <v>158</v>
      </c>
      <c r="G238" s="30">
        <v>60</v>
      </c>
      <c r="H238" s="31">
        <f>G238/((F238/100)*(F238/100))</f>
        <v>24.034609838166958</v>
      </c>
      <c r="I238" s="5">
        <v>72</v>
      </c>
      <c r="J238" s="30">
        <v>120</v>
      </c>
      <c r="K238" s="30">
        <v>70</v>
      </c>
      <c r="L238" s="29">
        <f>IF(B238="Nữ",0,2)</f>
        <v>0</v>
      </c>
      <c r="M238" s="29">
        <f ca="1">IF(D238&lt;45,0,IF(D238&lt;=49,1,2))</f>
        <v>2</v>
      </c>
      <c r="N238" s="29">
        <f>IF(E238="Có",4,0)</f>
        <v>0</v>
      </c>
      <c r="O238" s="29">
        <f>IF(H238&lt;23,0,IF(H238&lt;27.5,3,5))</f>
        <v>3</v>
      </c>
      <c r="P238" s="29">
        <f>IF(OR(AND(B238="Nam",I238&gt;=90),AND(B238="Nữ",I238&gt;=80)),2,0)</f>
        <v>0</v>
      </c>
      <c r="Q238" s="29">
        <f>IF(OR(J238&gt;=140,K238&gt;=90),2,0)</f>
        <v>0</v>
      </c>
      <c r="R238" s="29">
        <f ca="1">SUM(L238:Q238)</f>
        <v>5</v>
      </c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5" t="s">
        <v>1393</v>
      </c>
      <c r="AE238" s="33"/>
      <c r="AF238" s="59" t="str">
        <f t="shared" si="10"/>
        <v>Không</v>
      </c>
      <c r="AG238" s="59" t="str">
        <f t="shared" si="11"/>
        <v>Không</v>
      </c>
      <c r="AH238" s="29" t="str">
        <f t="shared" ca="1" si="9"/>
        <v>Không</v>
      </c>
      <c r="AI238" s="29" t="str">
        <f ca="1">IF((R238)&gt;=6,"Có","Không")</f>
        <v>Không</v>
      </c>
      <c r="AJ238" s="29" t="str">
        <f>IF(OR(J238&gt;=140,K238&gt;=90),"Có","Không")</f>
        <v>Không</v>
      </c>
      <c r="AK238" s="5" t="s">
        <v>122</v>
      </c>
      <c r="AL238" s="32">
        <v>46081</v>
      </c>
      <c r="AM238" s="29" t="str">
        <f>"Tháng "&amp;MONTH(AL238)</f>
        <v>Tháng 2</v>
      </c>
      <c r="AN238" s="29" t="str">
        <f>LEFT(AK238,FIND(",",AK238)-1)</f>
        <v>Giồng Nhãn</v>
      </c>
    </row>
    <row r="239" spans="1:40" x14ac:dyDescent="0.25">
      <c r="A239" s="49" t="s">
        <v>1025</v>
      </c>
      <c r="B239" s="5" t="s">
        <v>30</v>
      </c>
      <c r="C239" s="5" t="s">
        <v>797</v>
      </c>
      <c r="D239" s="29">
        <f ca="1">DATEDIF(C239,TODAY(),"Y")</f>
        <v>85</v>
      </c>
      <c r="E239" s="5" t="s">
        <v>26</v>
      </c>
      <c r="F239" s="30">
        <v>169</v>
      </c>
      <c r="G239" s="30">
        <v>68</v>
      </c>
      <c r="H239" s="31">
        <f>G239/((F239/100)*(F239/100))</f>
        <v>23.808690171912751</v>
      </c>
      <c r="I239" s="5">
        <v>95</v>
      </c>
      <c r="J239" s="30">
        <v>140</v>
      </c>
      <c r="K239" s="30">
        <v>80</v>
      </c>
      <c r="L239" s="29">
        <f>IF(B239="Nữ",0,2)</f>
        <v>2</v>
      </c>
      <c r="M239" s="29">
        <f ca="1">IF(D239&lt;45,0,IF(D239&lt;=49,1,2))</f>
        <v>2</v>
      </c>
      <c r="N239" s="29">
        <f>IF(E239="Có",4,0)</f>
        <v>0</v>
      </c>
      <c r="O239" s="29">
        <f>IF(H239&lt;23,0,IF(H239&lt;27.5,3,5))</f>
        <v>3</v>
      </c>
      <c r="P239" s="29">
        <f>IF(OR(AND(B239="Nam",I239&gt;=90),AND(B239="Nữ",I239&gt;=80)),2,0)</f>
        <v>2</v>
      </c>
      <c r="Q239" s="29">
        <f>IF(OR(J239&gt;=140,K239&gt;=90),2,0)</f>
        <v>2</v>
      </c>
      <c r="R239" s="29">
        <f ca="1">SUM(L239:Q239)</f>
        <v>11</v>
      </c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5" t="s">
        <v>1393</v>
      </c>
      <c r="AE239" s="33"/>
      <c r="AF239" s="59" t="str">
        <f t="shared" si="10"/>
        <v>Không</v>
      </c>
      <c r="AG239" s="59" t="str">
        <f t="shared" si="11"/>
        <v>Không</v>
      </c>
      <c r="AH239" s="29" t="str">
        <f t="shared" ca="1" si="9"/>
        <v>Có</v>
      </c>
      <c r="AI239" s="29" t="str">
        <f ca="1">IF((R239)&gt;=6,"Có","Không")</f>
        <v>Có</v>
      </c>
      <c r="AJ239" s="29" t="str">
        <f>IF(OR(J239&gt;=140,K239&gt;=90),"Có","Không")</f>
        <v>Có</v>
      </c>
      <c r="AK239" s="5" t="s">
        <v>51</v>
      </c>
      <c r="AL239" s="32">
        <v>46081</v>
      </c>
      <c r="AM239" s="29" t="str">
        <f>"Tháng "&amp;MONTH(AL239)</f>
        <v>Tháng 2</v>
      </c>
      <c r="AN239" s="29" t="str">
        <f>LEFT(AK239,FIND(",",AK239)-1)</f>
        <v>Phường Hiệp Thành</v>
      </c>
    </row>
    <row r="240" spans="1:40" x14ac:dyDescent="0.25">
      <c r="A240" s="49" t="s">
        <v>1026</v>
      </c>
      <c r="B240" s="5" t="s">
        <v>23</v>
      </c>
      <c r="C240" s="5" t="s">
        <v>394</v>
      </c>
      <c r="D240" s="29">
        <f ca="1">DATEDIF(C240,TODAY(),"Y")</f>
        <v>45</v>
      </c>
      <c r="E240" s="5" t="s">
        <v>26</v>
      </c>
      <c r="F240" s="30">
        <v>158</v>
      </c>
      <c r="G240" s="30">
        <v>60</v>
      </c>
      <c r="H240" s="31">
        <f>G240/((F240/100)*(F240/100))</f>
        <v>24.034609838166958</v>
      </c>
      <c r="I240" s="5">
        <v>87</v>
      </c>
      <c r="J240" s="30">
        <v>120</v>
      </c>
      <c r="K240" s="30">
        <v>70</v>
      </c>
      <c r="L240" s="29">
        <f>IF(B240="Nữ",0,2)</f>
        <v>0</v>
      </c>
      <c r="M240" s="29">
        <f ca="1">IF(D240&lt;45,0,IF(D240&lt;=49,1,2))</f>
        <v>1</v>
      </c>
      <c r="N240" s="29">
        <f>IF(E240="Có",4,0)</f>
        <v>0</v>
      </c>
      <c r="O240" s="29">
        <f>IF(H240&lt;23,0,IF(H240&lt;27.5,3,5))</f>
        <v>3</v>
      </c>
      <c r="P240" s="29">
        <f>IF(OR(AND(B240="Nam",I240&gt;=90),AND(B240="Nữ",I240&gt;=80)),2,0)</f>
        <v>2</v>
      </c>
      <c r="Q240" s="29">
        <f>IF(OR(J240&gt;=140,K240&gt;=90),2,0)</f>
        <v>0</v>
      </c>
      <c r="R240" s="29">
        <f ca="1">SUM(L240:Q240)</f>
        <v>6</v>
      </c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5" t="s">
        <v>1393</v>
      </c>
      <c r="AE240" s="33"/>
      <c r="AF240" s="59" t="str">
        <f t="shared" si="10"/>
        <v>Không</v>
      </c>
      <c r="AG240" s="59" t="str">
        <f t="shared" si="11"/>
        <v>Không</v>
      </c>
      <c r="AH240" s="29" t="str">
        <f t="shared" ca="1" si="9"/>
        <v>Có</v>
      </c>
      <c r="AI240" s="29" t="str">
        <f ca="1">IF((R240)&gt;=6,"Có","Không")</f>
        <v>Có</v>
      </c>
      <c r="AJ240" s="29" t="str">
        <f>IF(OR(J240&gt;=140,K240&gt;=90),"Có","Không")</f>
        <v>Không</v>
      </c>
      <c r="AK240" s="5" t="s">
        <v>51</v>
      </c>
      <c r="AL240" s="32">
        <v>46081</v>
      </c>
      <c r="AM240" s="29" t="str">
        <f>"Tháng "&amp;MONTH(AL240)</f>
        <v>Tháng 2</v>
      </c>
      <c r="AN240" s="29" t="str">
        <f>LEFT(AK240,FIND(",",AK240)-1)</f>
        <v>Phường Hiệp Thành</v>
      </c>
    </row>
    <row r="241" spans="1:40" x14ac:dyDescent="0.25">
      <c r="A241" s="50" t="s">
        <v>1060</v>
      </c>
      <c r="B241" s="20" t="s">
        <v>23</v>
      </c>
      <c r="C241" s="35">
        <v>23012</v>
      </c>
      <c r="D241" s="29">
        <f ca="1">DATEDIF(C241,TODAY(),"Y")</f>
        <v>63</v>
      </c>
      <c r="E241" s="5" t="s">
        <v>25</v>
      </c>
      <c r="F241" s="30">
        <v>160</v>
      </c>
      <c r="G241" s="30">
        <v>49</v>
      </c>
      <c r="H241" s="31">
        <f>G241/((F241/100)*(F241/100))</f>
        <v>19.140624999999996</v>
      </c>
      <c r="I241" s="5">
        <v>86</v>
      </c>
      <c r="J241" s="30">
        <v>120</v>
      </c>
      <c r="K241" s="30">
        <v>80</v>
      </c>
      <c r="L241" s="29">
        <f>IF(B241="Nữ",0,2)</f>
        <v>0</v>
      </c>
      <c r="M241" s="29">
        <f ca="1">IF(D241&lt;45,0,IF(D241&lt;=49,1,2))</f>
        <v>2</v>
      </c>
      <c r="N241" s="29">
        <f>IF(E241="Có",4,0)</f>
        <v>4</v>
      </c>
      <c r="O241" s="29">
        <f>IF(H241&lt;23,0,IF(H241&lt;27.5,3,5))</f>
        <v>0</v>
      </c>
      <c r="P241" s="29">
        <f>IF(OR(AND(B241="Nam",I241&gt;=90),AND(B241="Nữ",I241&gt;=80)),2,0)</f>
        <v>2</v>
      </c>
      <c r="Q241" s="29">
        <f>IF(OR(J241&gt;=140,K241&gt;=90),2,0)</f>
        <v>0</v>
      </c>
      <c r="R241" s="29">
        <f ca="1">SUM(L241:Q241)</f>
        <v>8</v>
      </c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5" t="s">
        <v>1393</v>
      </c>
      <c r="AE241" s="33"/>
      <c r="AF241" s="59" t="str">
        <f t="shared" si="10"/>
        <v>Không</v>
      </c>
      <c r="AG241" s="59" t="str">
        <f t="shared" si="11"/>
        <v>Không</v>
      </c>
      <c r="AH241" s="29" t="str">
        <f t="shared" ca="1" si="9"/>
        <v>Có</v>
      </c>
      <c r="AI241" s="29" t="str">
        <f ca="1">IF((R241)&gt;=6,"Có","Không")</f>
        <v>Có</v>
      </c>
      <c r="AJ241" s="29" t="str">
        <f>IF(OR(J241&gt;=140,K241&gt;=90),"Có","Không")</f>
        <v>Không</v>
      </c>
      <c r="AK241" s="5" t="s">
        <v>51</v>
      </c>
      <c r="AL241" s="32">
        <v>46081</v>
      </c>
      <c r="AM241" s="29" t="str">
        <f>"Tháng "&amp;MONTH(AL241)</f>
        <v>Tháng 2</v>
      </c>
      <c r="AN241" s="69" t="s">
        <v>1376</v>
      </c>
    </row>
    <row r="242" spans="1:40" x14ac:dyDescent="0.25">
      <c r="A242" s="50" t="s">
        <v>1061</v>
      </c>
      <c r="B242" s="20" t="s">
        <v>23</v>
      </c>
      <c r="C242" s="35">
        <v>23377</v>
      </c>
      <c r="D242" s="29">
        <f ca="1">DATEDIF(C242,TODAY(),"Y")</f>
        <v>62</v>
      </c>
      <c r="E242" s="5" t="s">
        <v>25</v>
      </c>
      <c r="F242" s="30">
        <v>158</v>
      </c>
      <c r="G242" s="30">
        <v>58</v>
      </c>
      <c r="H242" s="31">
        <f>G242/((F242/100)*(F242/100))</f>
        <v>23.233456176894723</v>
      </c>
      <c r="I242" s="5">
        <v>65</v>
      </c>
      <c r="J242" s="30">
        <v>130</v>
      </c>
      <c r="K242" s="30">
        <v>80</v>
      </c>
      <c r="L242" s="29">
        <f>IF(B242="Nữ",0,2)</f>
        <v>0</v>
      </c>
      <c r="M242" s="29">
        <f ca="1">IF(D242&lt;45,0,IF(D242&lt;=49,1,2))</f>
        <v>2</v>
      </c>
      <c r="N242" s="29">
        <f>IF(E242="Có",4,0)</f>
        <v>4</v>
      </c>
      <c r="O242" s="29">
        <f>IF(H242&lt;23,0,IF(H242&lt;27.5,3,5))</f>
        <v>3</v>
      </c>
      <c r="P242" s="29">
        <f>IF(OR(AND(B242="Nam",I242&gt;=90),AND(B242="Nữ",I242&gt;=80)),2,0)</f>
        <v>0</v>
      </c>
      <c r="Q242" s="29">
        <f>IF(OR(J242&gt;=140,K242&gt;=90),2,0)</f>
        <v>0</v>
      </c>
      <c r="R242" s="29">
        <f ca="1">SUM(L242:Q242)</f>
        <v>9</v>
      </c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5" t="s">
        <v>1393</v>
      </c>
      <c r="AE242" s="33"/>
      <c r="AF242" s="59" t="str">
        <f t="shared" si="10"/>
        <v>Không</v>
      </c>
      <c r="AG242" s="59" t="str">
        <f t="shared" si="11"/>
        <v>Không</v>
      </c>
      <c r="AH242" s="29" t="str">
        <f t="shared" ca="1" si="9"/>
        <v>Có</v>
      </c>
      <c r="AI242" s="29" t="str">
        <f ca="1">IF((R242)&gt;=6,"Có","Không")</f>
        <v>Có</v>
      </c>
      <c r="AJ242" s="29" t="str">
        <f>IF(OR(J242&gt;=140,K242&gt;=90),"Có","Không")</f>
        <v>Không</v>
      </c>
      <c r="AK242" s="5" t="s">
        <v>51</v>
      </c>
      <c r="AL242" s="32">
        <v>46081</v>
      </c>
      <c r="AM242" s="29" t="str">
        <f>"Tháng "&amp;MONTH(AL242)</f>
        <v>Tháng 2</v>
      </c>
      <c r="AN242" s="69" t="s">
        <v>1376</v>
      </c>
    </row>
    <row r="243" spans="1:40" x14ac:dyDescent="0.25">
      <c r="A243" s="50" t="s">
        <v>1066</v>
      </c>
      <c r="B243" s="20" t="s">
        <v>30</v>
      </c>
      <c r="C243" s="35">
        <v>19725</v>
      </c>
      <c r="D243" s="29">
        <f ca="1">DATEDIF(C243,TODAY(),"Y")</f>
        <v>72</v>
      </c>
      <c r="E243" s="5" t="s">
        <v>25</v>
      </c>
      <c r="F243" s="30">
        <v>158</v>
      </c>
      <c r="G243" s="30">
        <v>58</v>
      </c>
      <c r="H243" s="31">
        <f>G243/((F243/100)*(F243/100))</f>
        <v>23.233456176894723</v>
      </c>
      <c r="I243" s="5">
        <v>85</v>
      </c>
      <c r="J243" s="30">
        <v>120</v>
      </c>
      <c r="K243" s="30">
        <v>80</v>
      </c>
      <c r="L243" s="29">
        <f>IF(B243="Nữ",0,2)</f>
        <v>2</v>
      </c>
      <c r="M243" s="29">
        <f ca="1">IF(D243&lt;45,0,IF(D243&lt;=49,1,2))</f>
        <v>2</v>
      </c>
      <c r="N243" s="29">
        <f>IF(E243="Có",4,0)</f>
        <v>4</v>
      </c>
      <c r="O243" s="29">
        <f>IF(H243&lt;23,0,IF(H243&lt;27.5,3,5))</f>
        <v>3</v>
      </c>
      <c r="P243" s="29">
        <f>IF(OR(AND(B243="Nam",I243&gt;=90),AND(B243="Nữ",I243&gt;=80)),2,0)</f>
        <v>0</v>
      </c>
      <c r="Q243" s="29">
        <f>IF(OR(J243&gt;=140,K243&gt;=90),2,0)</f>
        <v>0</v>
      </c>
      <c r="R243" s="29">
        <f ca="1">SUM(L243:Q243)</f>
        <v>11</v>
      </c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5" t="s">
        <v>1393</v>
      </c>
      <c r="AE243" s="33"/>
      <c r="AF243" s="59" t="str">
        <f t="shared" si="10"/>
        <v>Không</v>
      </c>
      <c r="AG243" s="59" t="str">
        <f t="shared" si="11"/>
        <v>Không</v>
      </c>
      <c r="AH243" s="29" t="str">
        <f t="shared" ca="1" si="9"/>
        <v>Có</v>
      </c>
      <c r="AI243" s="29" t="str">
        <f ca="1">IF((R243)&gt;=6,"Có","Không")</f>
        <v>Có</v>
      </c>
      <c r="AJ243" s="29" t="str">
        <f>IF(OR(J243&gt;=140,K243&gt;=90),"Có","Không")</f>
        <v>Không</v>
      </c>
      <c r="AK243" s="5" t="s">
        <v>51</v>
      </c>
      <c r="AL243" s="32">
        <v>46081</v>
      </c>
      <c r="AM243" s="29" t="str">
        <f>"Tháng "&amp;MONTH(AL243)</f>
        <v>Tháng 2</v>
      </c>
      <c r="AN243" s="69" t="s">
        <v>1376</v>
      </c>
    </row>
    <row r="244" spans="1:40" x14ac:dyDescent="0.25">
      <c r="A244" s="50" t="s">
        <v>1068</v>
      </c>
      <c r="B244" s="20" t="s">
        <v>23</v>
      </c>
      <c r="C244" s="35">
        <v>17899</v>
      </c>
      <c r="D244" s="29">
        <f ca="1">DATEDIF(C244,TODAY(),"Y")</f>
        <v>77</v>
      </c>
      <c r="E244" s="5" t="s">
        <v>26</v>
      </c>
      <c r="F244" s="30">
        <v>162</v>
      </c>
      <c r="G244" s="30">
        <v>64</v>
      </c>
      <c r="H244" s="31">
        <f>G244/((F244/100)*(F244/100))</f>
        <v>24.386526444139609</v>
      </c>
      <c r="I244" s="5">
        <v>67</v>
      </c>
      <c r="J244" s="30">
        <v>140</v>
      </c>
      <c r="K244" s="30">
        <v>80</v>
      </c>
      <c r="L244" s="29">
        <f>IF(B244="Nữ",0,2)</f>
        <v>0</v>
      </c>
      <c r="M244" s="29">
        <f ca="1">IF(D244&lt;45,0,IF(D244&lt;=49,1,2))</f>
        <v>2</v>
      </c>
      <c r="N244" s="29">
        <f>IF(E244="Có",4,0)</f>
        <v>0</v>
      </c>
      <c r="O244" s="29">
        <f>IF(H244&lt;23,0,IF(H244&lt;27.5,3,5))</f>
        <v>3</v>
      </c>
      <c r="P244" s="29">
        <f>IF(OR(AND(B244="Nam",I244&gt;=90),AND(B244="Nữ",I244&gt;=80)),2,0)</f>
        <v>0</v>
      </c>
      <c r="Q244" s="29">
        <f>IF(OR(J244&gt;=140,K244&gt;=90),2,0)</f>
        <v>2</v>
      </c>
      <c r="R244" s="29">
        <f ca="1">SUM(L244:Q244)</f>
        <v>7</v>
      </c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5" t="s">
        <v>1393</v>
      </c>
      <c r="AE244" s="33"/>
      <c r="AF244" s="59" t="str">
        <f t="shared" si="10"/>
        <v>Không</v>
      </c>
      <c r="AG244" s="59" t="str">
        <f t="shared" si="11"/>
        <v>Không</v>
      </c>
      <c r="AH244" s="29" t="str">
        <f t="shared" ca="1" si="9"/>
        <v>Có</v>
      </c>
      <c r="AI244" s="29" t="str">
        <f ca="1">IF((R244)&gt;=6,"Có","Không")</f>
        <v>Có</v>
      </c>
      <c r="AJ244" s="29" t="str">
        <f>IF(OR(J244&gt;=140,K244&gt;=90),"Có","Không")</f>
        <v>Có</v>
      </c>
      <c r="AK244" s="5" t="s">
        <v>51</v>
      </c>
      <c r="AL244" s="32">
        <v>46081</v>
      </c>
      <c r="AM244" s="29" t="str">
        <f>"Tháng "&amp;MONTH(AL244)</f>
        <v>Tháng 2</v>
      </c>
      <c r="AN244" s="69" t="s">
        <v>1376</v>
      </c>
    </row>
    <row r="245" spans="1:40" x14ac:dyDescent="0.25">
      <c r="A245" s="50" t="s">
        <v>1069</v>
      </c>
      <c r="B245" s="20" t="s">
        <v>23</v>
      </c>
      <c r="C245" s="35">
        <v>20821</v>
      </c>
      <c r="D245" s="29">
        <f ca="1">DATEDIF(C245,TODAY(),"Y")</f>
        <v>69</v>
      </c>
      <c r="E245" s="5" t="s">
        <v>26</v>
      </c>
      <c r="F245" s="30">
        <v>158</v>
      </c>
      <c r="G245" s="30">
        <v>58</v>
      </c>
      <c r="H245" s="31">
        <f>G245/((F245/100)*(F245/100))</f>
        <v>23.233456176894723</v>
      </c>
      <c r="I245" s="5">
        <v>72</v>
      </c>
      <c r="J245" s="30">
        <v>120</v>
      </c>
      <c r="K245" s="30">
        <v>80</v>
      </c>
      <c r="L245" s="29">
        <f>IF(B245="Nữ",0,2)</f>
        <v>0</v>
      </c>
      <c r="M245" s="29">
        <f ca="1">IF(D245&lt;45,0,IF(D245&lt;=49,1,2))</f>
        <v>2</v>
      </c>
      <c r="N245" s="29">
        <f>IF(E245="Có",4,0)</f>
        <v>0</v>
      </c>
      <c r="O245" s="29">
        <f>IF(H245&lt;23,0,IF(H245&lt;27.5,3,5))</f>
        <v>3</v>
      </c>
      <c r="P245" s="29">
        <f>IF(OR(AND(B245="Nam",I245&gt;=90),AND(B245="Nữ",I245&gt;=80)),2,0)</f>
        <v>0</v>
      </c>
      <c r="Q245" s="29">
        <f>IF(OR(J245&gt;=140,K245&gt;=90),2,0)</f>
        <v>0</v>
      </c>
      <c r="R245" s="29">
        <f ca="1">SUM(L245:Q245)</f>
        <v>5</v>
      </c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5" t="s">
        <v>1393</v>
      </c>
      <c r="AE245" s="33"/>
      <c r="AF245" s="59" t="str">
        <f t="shared" si="10"/>
        <v>Không</v>
      </c>
      <c r="AG245" s="59" t="str">
        <f t="shared" si="11"/>
        <v>Không</v>
      </c>
      <c r="AH245" s="29" t="str">
        <f t="shared" ca="1" si="9"/>
        <v>Không</v>
      </c>
      <c r="AI245" s="29" t="str">
        <f ca="1">IF((R245)&gt;=6,"Có","Không")</f>
        <v>Không</v>
      </c>
      <c r="AJ245" s="29" t="str">
        <f>IF(OR(J245&gt;=140,K245&gt;=90),"Có","Không")</f>
        <v>Không</v>
      </c>
      <c r="AK245" s="5" t="s">
        <v>51</v>
      </c>
      <c r="AL245" s="32">
        <v>46081</v>
      </c>
      <c r="AM245" s="29" t="str">
        <f>"Tháng "&amp;MONTH(AL245)</f>
        <v>Tháng 2</v>
      </c>
      <c r="AN245" s="69" t="s">
        <v>1376</v>
      </c>
    </row>
    <row r="246" spans="1:40" x14ac:dyDescent="0.25">
      <c r="A246" s="50" t="s">
        <v>1071</v>
      </c>
      <c r="B246" s="20" t="s">
        <v>23</v>
      </c>
      <c r="C246" s="35">
        <v>22647</v>
      </c>
      <c r="D246" s="29">
        <f ca="1">DATEDIF(C246,TODAY(),"Y")</f>
        <v>64</v>
      </c>
      <c r="E246" s="5" t="s">
        <v>26</v>
      </c>
      <c r="F246" s="30">
        <v>160</v>
      </c>
      <c r="G246" s="30">
        <v>49</v>
      </c>
      <c r="H246" s="31">
        <f>G246/((F246/100)*(F246/100))</f>
        <v>19.140624999999996</v>
      </c>
      <c r="I246" s="5">
        <v>96</v>
      </c>
      <c r="J246" s="30">
        <v>130</v>
      </c>
      <c r="K246" s="30">
        <v>80</v>
      </c>
      <c r="L246" s="29">
        <f>IF(B246="Nữ",0,2)</f>
        <v>0</v>
      </c>
      <c r="M246" s="29">
        <f ca="1">IF(D246&lt;45,0,IF(D246&lt;=49,1,2))</f>
        <v>2</v>
      </c>
      <c r="N246" s="29">
        <f>IF(E246="Có",4,0)</f>
        <v>0</v>
      </c>
      <c r="O246" s="29">
        <f>IF(H246&lt;23,0,IF(H246&lt;27.5,3,5))</f>
        <v>0</v>
      </c>
      <c r="P246" s="29">
        <f>IF(OR(AND(B246="Nam",I246&gt;=90),AND(B246="Nữ",I246&gt;=80)),2,0)</f>
        <v>2</v>
      </c>
      <c r="Q246" s="29">
        <f>IF(OR(J246&gt;=140,K246&gt;=90),2,0)</f>
        <v>0</v>
      </c>
      <c r="R246" s="29">
        <f ca="1">SUM(L246:Q246)</f>
        <v>4</v>
      </c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5" t="s">
        <v>1393</v>
      </c>
      <c r="AE246" s="33"/>
      <c r="AF246" s="59" t="str">
        <f t="shared" si="10"/>
        <v>Không</v>
      </c>
      <c r="AG246" s="59" t="str">
        <f t="shared" si="11"/>
        <v>Không</v>
      </c>
      <c r="AH246" s="29" t="str">
        <f t="shared" ca="1" si="9"/>
        <v>Không</v>
      </c>
      <c r="AI246" s="29" t="str">
        <f ca="1">IF((R246)&gt;=6,"Có","Không")</f>
        <v>Không</v>
      </c>
      <c r="AJ246" s="29" t="str">
        <f>IF(OR(J246&gt;=140,K246&gt;=90),"Có","Không")</f>
        <v>Không</v>
      </c>
      <c r="AK246" s="5" t="s">
        <v>51</v>
      </c>
      <c r="AL246" s="32">
        <v>46081</v>
      </c>
      <c r="AM246" s="29" t="str">
        <f>"Tháng "&amp;MONTH(AL246)</f>
        <v>Tháng 2</v>
      </c>
      <c r="AN246" s="69" t="s">
        <v>1376</v>
      </c>
    </row>
    <row r="247" spans="1:40" x14ac:dyDescent="0.25">
      <c r="A247" s="50" t="s">
        <v>1073</v>
      </c>
      <c r="B247" s="20" t="s">
        <v>30</v>
      </c>
      <c r="C247" s="35">
        <v>23377</v>
      </c>
      <c r="D247" s="29">
        <f ca="1">DATEDIF(C247,TODAY(),"Y")</f>
        <v>62</v>
      </c>
      <c r="E247" s="5" t="s">
        <v>25</v>
      </c>
      <c r="F247" s="30">
        <v>158</v>
      </c>
      <c r="G247" s="30">
        <v>58</v>
      </c>
      <c r="H247" s="31">
        <f>G247/((F247/100)*(F247/100))</f>
        <v>23.233456176894723</v>
      </c>
      <c r="I247" s="5">
        <v>86</v>
      </c>
      <c r="J247" s="30">
        <v>130</v>
      </c>
      <c r="K247" s="30">
        <v>80</v>
      </c>
      <c r="L247" s="29">
        <f>IF(B247="Nữ",0,2)</f>
        <v>2</v>
      </c>
      <c r="M247" s="29">
        <f ca="1">IF(D247&lt;45,0,IF(D247&lt;=49,1,2))</f>
        <v>2</v>
      </c>
      <c r="N247" s="29">
        <f>IF(E247="Có",4,0)</f>
        <v>4</v>
      </c>
      <c r="O247" s="29">
        <f>IF(H247&lt;23,0,IF(H247&lt;27.5,3,5))</f>
        <v>3</v>
      </c>
      <c r="P247" s="29">
        <f>IF(OR(AND(B247="Nam",I247&gt;=90),AND(B247="Nữ",I247&gt;=80)),2,0)</f>
        <v>0</v>
      </c>
      <c r="Q247" s="29">
        <f>IF(OR(J247&gt;=140,K247&gt;=90),2,0)</f>
        <v>0</v>
      </c>
      <c r="R247" s="29">
        <f ca="1">SUM(L247:Q247)</f>
        <v>11</v>
      </c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5" t="s">
        <v>1393</v>
      </c>
      <c r="AE247" s="33"/>
      <c r="AF247" s="59" t="str">
        <f t="shared" si="10"/>
        <v>Không</v>
      </c>
      <c r="AG247" s="59" t="str">
        <f t="shared" si="11"/>
        <v>Không</v>
      </c>
      <c r="AH247" s="29" t="str">
        <f t="shared" ca="1" si="9"/>
        <v>Có</v>
      </c>
      <c r="AI247" s="29" t="str">
        <f ca="1">IF((R247)&gt;=6,"Có","Không")</f>
        <v>Có</v>
      </c>
      <c r="AJ247" s="29" t="str">
        <f>IF(OR(J247&gt;=140,K247&gt;=90),"Có","Không")</f>
        <v>Không</v>
      </c>
      <c r="AK247" s="5" t="s">
        <v>51</v>
      </c>
      <c r="AL247" s="32">
        <v>46081</v>
      </c>
      <c r="AM247" s="29" t="str">
        <f>"Tháng "&amp;MONTH(AL247)</f>
        <v>Tháng 2</v>
      </c>
      <c r="AN247" s="69" t="s">
        <v>1376</v>
      </c>
    </row>
    <row r="248" spans="1:40" x14ac:dyDescent="0.25">
      <c r="A248" s="50" t="s">
        <v>1031</v>
      </c>
      <c r="B248" s="20" t="s">
        <v>23</v>
      </c>
      <c r="C248" s="35">
        <v>26299</v>
      </c>
      <c r="D248" s="29">
        <f ca="1">DATEDIF(C248,TODAY(),"Y")</f>
        <v>54</v>
      </c>
      <c r="E248" s="5" t="s">
        <v>25</v>
      </c>
      <c r="F248" s="30">
        <v>158</v>
      </c>
      <c r="G248" s="30">
        <v>58</v>
      </c>
      <c r="H248" s="31">
        <f>G248/((F248/100)*(F248/100))</f>
        <v>23.233456176894723</v>
      </c>
      <c r="I248" s="5">
        <v>88</v>
      </c>
      <c r="J248" s="30">
        <v>140</v>
      </c>
      <c r="K248" s="30">
        <v>80</v>
      </c>
      <c r="L248" s="29">
        <f>IF(B248="Nữ",0,2)</f>
        <v>0</v>
      </c>
      <c r="M248" s="29">
        <f ca="1">IF(D248&lt;45,0,IF(D248&lt;=49,1,2))</f>
        <v>2</v>
      </c>
      <c r="N248" s="29">
        <f>IF(E248="Có",4,0)</f>
        <v>4</v>
      </c>
      <c r="O248" s="29">
        <f>IF(H248&lt;23,0,IF(H248&lt;27.5,3,5))</f>
        <v>3</v>
      </c>
      <c r="P248" s="29">
        <f>IF(OR(AND(B248="Nam",I248&gt;=90),AND(B248="Nữ",I248&gt;=80)),2,0)</f>
        <v>2</v>
      </c>
      <c r="Q248" s="29">
        <f>IF(OR(J248&gt;=140,K248&gt;=90),2,0)</f>
        <v>2</v>
      </c>
      <c r="R248" s="29">
        <f ca="1">SUM(L248:Q248)</f>
        <v>13</v>
      </c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5" t="s">
        <v>1393</v>
      </c>
      <c r="AE248" s="33"/>
      <c r="AF248" s="59" t="str">
        <f t="shared" si="10"/>
        <v>Không</v>
      </c>
      <c r="AG248" s="59" t="str">
        <f t="shared" si="11"/>
        <v>Không</v>
      </c>
      <c r="AH248" s="29" t="str">
        <f t="shared" ca="1" si="9"/>
        <v>Có</v>
      </c>
      <c r="AI248" s="29" t="str">
        <f ca="1">IF((R248)&gt;=6,"Có","Không")</f>
        <v>Có</v>
      </c>
      <c r="AJ248" s="29" t="str">
        <f>IF(OR(J248&gt;=140,K248&gt;=90),"Có","Không")</f>
        <v>Có</v>
      </c>
      <c r="AK248" s="5" t="s">
        <v>51</v>
      </c>
      <c r="AL248" s="32">
        <v>46081</v>
      </c>
      <c r="AM248" s="29" t="str">
        <f>"Tháng "&amp;MONTH(AL248)</f>
        <v>Tháng 2</v>
      </c>
      <c r="AN248" s="69" t="s">
        <v>1376</v>
      </c>
    </row>
    <row r="249" spans="1:40" x14ac:dyDescent="0.25">
      <c r="A249" s="50" t="s">
        <v>1080</v>
      </c>
      <c r="B249" s="20" t="s">
        <v>30</v>
      </c>
      <c r="C249" s="35">
        <v>22282</v>
      </c>
      <c r="D249" s="29">
        <f ca="1">DATEDIF(C249,TODAY(),"Y")</f>
        <v>65</v>
      </c>
      <c r="E249" s="5" t="s">
        <v>26</v>
      </c>
      <c r="F249" s="30">
        <v>156</v>
      </c>
      <c r="G249" s="30">
        <v>53</v>
      </c>
      <c r="H249" s="31">
        <f>G249/((F249/100)*(F249/100))</f>
        <v>21.7784352399737</v>
      </c>
      <c r="I249" s="5">
        <v>80</v>
      </c>
      <c r="J249" s="30">
        <v>120</v>
      </c>
      <c r="K249" s="30">
        <v>80</v>
      </c>
      <c r="L249" s="29">
        <f>IF(B249="Nữ",0,2)</f>
        <v>2</v>
      </c>
      <c r="M249" s="29">
        <f ca="1">IF(D249&lt;45,0,IF(D249&lt;=49,1,2))</f>
        <v>2</v>
      </c>
      <c r="N249" s="29">
        <f>IF(E249="Có",4,0)</f>
        <v>0</v>
      </c>
      <c r="O249" s="29">
        <f>IF(H249&lt;23,0,IF(H249&lt;27.5,3,5))</f>
        <v>0</v>
      </c>
      <c r="P249" s="29">
        <f>IF(OR(AND(B249="Nam",I249&gt;=90),AND(B249="Nữ",I249&gt;=80)),2,0)</f>
        <v>0</v>
      </c>
      <c r="Q249" s="29">
        <f>IF(OR(J249&gt;=140,K249&gt;=90),2,0)</f>
        <v>0</v>
      </c>
      <c r="R249" s="29">
        <f ca="1">SUM(L249:Q249)</f>
        <v>4</v>
      </c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5" t="s">
        <v>1393</v>
      </c>
      <c r="AE249" s="33"/>
      <c r="AF249" s="59" t="str">
        <f t="shared" si="10"/>
        <v>Không</v>
      </c>
      <c r="AG249" s="59" t="str">
        <f t="shared" si="11"/>
        <v>Không</v>
      </c>
      <c r="AH249" s="29" t="str">
        <f t="shared" ca="1" si="9"/>
        <v>Không</v>
      </c>
      <c r="AI249" s="29" t="str">
        <f ca="1">IF((R249)&gt;=6,"Có","Không")</f>
        <v>Không</v>
      </c>
      <c r="AJ249" s="29" t="str">
        <f>IF(OR(J249&gt;=140,K249&gt;=90),"Có","Không")</f>
        <v>Không</v>
      </c>
      <c r="AK249" s="5" t="s">
        <v>51</v>
      </c>
      <c r="AL249" s="32">
        <v>46081</v>
      </c>
      <c r="AM249" s="29" t="str">
        <f>"Tháng "&amp;MONTH(AL249)</f>
        <v>Tháng 2</v>
      </c>
      <c r="AN249" s="69" t="s">
        <v>1376</v>
      </c>
    </row>
    <row r="250" spans="1:40" x14ac:dyDescent="0.25">
      <c r="A250" s="50" t="s">
        <v>143</v>
      </c>
      <c r="B250" s="20" t="s">
        <v>23</v>
      </c>
      <c r="C250" s="35">
        <v>22647</v>
      </c>
      <c r="D250" s="29">
        <f ca="1">DATEDIF(C250,TODAY(),"Y")</f>
        <v>64</v>
      </c>
      <c r="E250" s="5" t="s">
        <v>26</v>
      </c>
      <c r="F250" s="30">
        <v>156</v>
      </c>
      <c r="G250" s="30">
        <v>53</v>
      </c>
      <c r="H250" s="31">
        <f>G250/((F250/100)*(F250/100))</f>
        <v>21.7784352399737</v>
      </c>
      <c r="I250" s="5">
        <v>96</v>
      </c>
      <c r="J250" s="30">
        <v>130</v>
      </c>
      <c r="K250" s="30">
        <v>80</v>
      </c>
      <c r="L250" s="29">
        <f>IF(B250="Nữ",0,2)</f>
        <v>0</v>
      </c>
      <c r="M250" s="29">
        <f ca="1">IF(D250&lt;45,0,IF(D250&lt;=49,1,2))</f>
        <v>2</v>
      </c>
      <c r="N250" s="29">
        <f>IF(E250="Có",4,0)</f>
        <v>0</v>
      </c>
      <c r="O250" s="29">
        <f>IF(H250&lt;23,0,IF(H250&lt;27.5,3,5))</f>
        <v>0</v>
      </c>
      <c r="P250" s="29">
        <f>IF(OR(AND(B250="Nam",I250&gt;=90),AND(B250="Nữ",I250&gt;=80)),2,0)</f>
        <v>2</v>
      </c>
      <c r="Q250" s="29">
        <f>IF(OR(J250&gt;=140,K250&gt;=90),2,0)</f>
        <v>0</v>
      </c>
      <c r="R250" s="29">
        <f ca="1">SUM(L250:Q250)</f>
        <v>4</v>
      </c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5" t="s">
        <v>1393</v>
      </c>
      <c r="AE250" s="33"/>
      <c r="AF250" s="59" t="str">
        <f t="shared" si="10"/>
        <v>Không</v>
      </c>
      <c r="AG250" s="59" t="str">
        <f t="shared" si="11"/>
        <v>Không</v>
      </c>
      <c r="AH250" s="29" t="str">
        <f t="shared" ca="1" si="9"/>
        <v>Không</v>
      </c>
      <c r="AI250" s="29" t="str">
        <f ca="1">IF((R250)&gt;=6,"Có","Không")</f>
        <v>Không</v>
      </c>
      <c r="AJ250" s="29" t="str">
        <f>IF(OR(J250&gt;=140,K250&gt;=90),"Có","Không")</f>
        <v>Không</v>
      </c>
      <c r="AK250" s="5" t="s">
        <v>51</v>
      </c>
      <c r="AL250" s="32">
        <v>46081</v>
      </c>
      <c r="AM250" s="29" t="str">
        <f>"Tháng "&amp;MONTH(AL250)</f>
        <v>Tháng 2</v>
      </c>
      <c r="AN250" s="69" t="s">
        <v>1376</v>
      </c>
    </row>
    <row r="251" spans="1:40" x14ac:dyDescent="0.25">
      <c r="A251" s="50" t="s">
        <v>1085</v>
      </c>
      <c r="B251" s="20" t="s">
        <v>23</v>
      </c>
      <c r="C251" s="35">
        <v>24473</v>
      </c>
      <c r="D251" s="29">
        <f ca="1">DATEDIF(C251,TODAY(),"Y")</f>
        <v>59</v>
      </c>
      <c r="E251" s="5" t="s">
        <v>26</v>
      </c>
      <c r="F251" s="30">
        <v>158</v>
      </c>
      <c r="G251" s="30">
        <v>58</v>
      </c>
      <c r="H251" s="31">
        <f>G251/((F251/100)*(F251/100))</f>
        <v>23.233456176894723</v>
      </c>
      <c r="I251" s="5">
        <v>99</v>
      </c>
      <c r="J251" s="30">
        <v>130</v>
      </c>
      <c r="K251" s="30">
        <v>80</v>
      </c>
      <c r="L251" s="29">
        <f>IF(B251="Nữ",0,2)</f>
        <v>0</v>
      </c>
      <c r="M251" s="29">
        <f ca="1">IF(D251&lt;45,0,IF(D251&lt;=49,1,2))</f>
        <v>2</v>
      </c>
      <c r="N251" s="29">
        <f>IF(E251="Có",4,0)</f>
        <v>0</v>
      </c>
      <c r="O251" s="29">
        <f>IF(H251&lt;23,0,IF(H251&lt;27.5,3,5))</f>
        <v>3</v>
      </c>
      <c r="P251" s="29">
        <f>IF(OR(AND(B251="Nam",I251&gt;=90),AND(B251="Nữ",I251&gt;=80)),2,0)</f>
        <v>2</v>
      </c>
      <c r="Q251" s="29">
        <f>IF(OR(J251&gt;=140,K251&gt;=90),2,0)</f>
        <v>0</v>
      </c>
      <c r="R251" s="29">
        <f ca="1">SUM(L251:Q251)</f>
        <v>7</v>
      </c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5" t="s">
        <v>1393</v>
      </c>
      <c r="AE251" s="33"/>
      <c r="AF251" s="59" t="str">
        <f t="shared" si="10"/>
        <v>Không</v>
      </c>
      <c r="AG251" s="59" t="str">
        <f t="shared" si="11"/>
        <v>Không</v>
      </c>
      <c r="AH251" s="29" t="str">
        <f t="shared" ca="1" si="9"/>
        <v>Có</v>
      </c>
      <c r="AI251" s="29" t="str">
        <f ca="1">IF((R251)&gt;=6,"Có","Không")</f>
        <v>Có</v>
      </c>
      <c r="AJ251" s="29" t="str">
        <f>IF(OR(J251&gt;=140,K251&gt;=90),"Có","Không")</f>
        <v>Không</v>
      </c>
      <c r="AK251" s="5" t="s">
        <v>51</v>
      </c>
      <c r="AL251" s="32">
        <v>46081</v>
      </c>
      <c r="AM251" s="29" t="str">
        <f>"Tháng "&amp;MONTH(AL251)</f>
        <v>Tháng 2</v>
      </c>
      <c r="AN251" s="69" t="s">
        <v>1376</v>
      </c>
    </row>
    <row r="252" spans="1:40" x14ac:dyDescent="0.25">
      <c r="A252" s="50" t="s">
        <v>1086</v>
      </c>
      <c r="B252" s="20" t="s">
        <v>30</v>
      </c>
      <c r="C252" s="35">
        <v>25934</v>
      </c>
      <c r="D252" s="29">
        <f ca="1">DATEDIF(C252,TODAY(),"Y")</f>
        <v>55</v>
      </c>
      <c r="E252" s="5" t="s">
        <v>26</v>
      </c>
      <c r="F252" s="30">
        <v>158</v>
      </c>
      <c r="G252" s="30">
        <v>58</v>
      </c>
      <c r="H252" s="31">
        <f>G252/((F252/100)*(F252/100))</f>
        <v>23.233456176894723</v>
      </c>
      <c r="I252" s="5">
        <v>66</v>
      </c>
      <c r="J252" s="30">
        <v>120</v>
      </c>
      <c r="K252" s="30">
        <v>80</v>
      </c>
      <c r="L252" s="29">
        <f>IF(B252="Nữ",0,2)</f>
        <v>2</v>
      </c>
      <c r="M252" s="29">
        <f ca="1">IF(D252&lt;45,0,IF(D252&lt;=49,1,2))</f>
        <v>2</v>
      </c>
      <c r="N252" s="29">
        <f>IF(E252="Có",4,0)</f>
        <v>0</v>
      </c>
      <c r="O252" s="29">
        <f>IF(H252&lt;23,0,IF(H252&lt;27.5,3,5))</f>
        <v>3</v>
      </c>
      <c r="P252" s="29">
        <f>IF(OR(AND(B252="Nam",I252&gt;=90),AND(B252="Nữ",I252&gt;=80)),2,0)</f>
        <v>0</v>
      </c>
      <c r="Q252" s="29">
        <f>IF(OR(J252&gt;=140,K252&gt;=90),2,0)</f>
        <v>0</v>
      </c>
      <c r="R252" s="29">
        <f ca="1">SUM(L252:Q252)</f>
        <v>7</v>
      </c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5" t="s">
        <v>1393</v>
      </c>
      <c r="AE252" s="33"/>
      <c r="AF252" s="59" t="str">
        <f t="shared" si="10"/>
        <v>Không</v>
      </c>
      <c r="AG252" s="59" t="str">
        <f t="shared" si="11"/>
        <v>Không</v>
      </c>
      <c r="AH252" s="29" t="str">
        <f t="shared" ca="1" si="9"/>
        <v>Có</v>
      </c>
      <c r="AI252" s="29" t="str">
        <f ca="1">IF((R252)&gt;=6,"Có","Không")</f>
        <v>Có</v>
      </c>
      <c r="AJ252" s="29" t="str">
        <f>IF(OR(J252&gt;=140,K252&gt;=90),"Có","Không")</f>
        <v>Không</v>
      </c>
      <c r="AK252" s="5" t="s">
        <v>51</v>
      </c>
      <c r="AL252" s="32">
        <v>46081</v>
      </c>
      <c r="AM252" s="29" t="str">
        <f>"Tháng "&amp;MONTH(AL252)</f>
        <v>Tháng 2</v>
      </c>
      <c r="AN252" s="69" t="s">
        <v>1376</v>
      </c>
    </row>
    <row r="253" spans="1:40" x14ac:dyDescent="0.25">
      <c r="A253" s="50" t="s">
        <v>1087</v>
      </c>
      <c r="B253" s="20" t="s">
        <v>23</v>
      </c>
      <c r="C253" s="35">
        <v>22282</v>
      </c>
      <c r="D253" s="29">
        <f ca="1">DATEDIF(C253,TODAY(),"Y")</f>
        <v>65</v>
      </c>
      <c r="E253" s="5" t="s">
        <v>26</v>
      </c>
      <c r="F253" s="30">
        <v>158</v>
      </c>
      <c r="G253" s="30">
        <v>58</v>
      </c>
      <c r="H253" s="31">
        <f>G253/((F253/100)*(F253/100))</f>
        <v>23.233456176894723</v>
      </c>
      <c r="I253" s="5">
        <v>87</v>
      </c>
      <c r="J253" s="30">
        <v>120</v>
      </c>
      <c r="K253" s="30">
        <v>80</v>
      </c>
      <c r="L253" s="29">
        <f>IF(B253="Nữ",0,2)</f>
        <v>0</v>
      </c>
      <c r="M253" s="29">
        <f ca="1">IF(D253&lt;45,0,IF(D253&lt;=49,1,2))</f>
        <v>2</v>
      </c>
      <c r="N253" s="29">
        <f>IF(E253="Có",4,0)</f>
        <v>0</v>
      </c>
      <c r="O253" s="29">
        <f>IF(H253&lt;23,0,IF(H253&lt;27.5,3,5))</f>
        <v>3</v>
      </c>
      <c r="P253" s="29">
        <f>IF(OR(AND(B253="Nam",I253&gt;=90),AND(B253="Nữ",I253&gt;=80)),2,0)</f>
        <v>2</v>
      </c>
      <c r="Q253" s="29">
        <f>IF(OR(J253&gt;=140,K253&gt;=90),2,0)</f>
        <v>0</v>
      </c>
      <c r="R253" s="29">
        <f ca="1">SUM(L253:Q253)</f>
        <v>7</v>
      </c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5" t="s">
        <v>1393</v>
      </c>
      <c r="AE253" s="33"/>
      <c r="AF253" s="59" t="str">
        <f t="shared" si="10"/>
        <v>Không</v>
      </c>
      <c r="AG253" s="59" t="str">
        <f t="shared" si="11"/>
        <v>Không</v>
      </c>
      <c r="AH253" s="29" t="str">
        <f t="shared" ca="1" si="9"/>
        <v>Có</v>
      </c>
      <c r="AI253" s="29" t="str">
        <f ca="1">IF((R253)&gt;=6,"Có","Không")</f>
        <v>Có</v>
      </c>
      <c r="AJ253" s="29" t="str">
        <f>IF(OR(J253&gt;=140,K253&gt;=90),"Có","Không")</f>
        <v>Không</v>
      </c>
      <c r="AK253" s="5" t="s">
        <v>51</v>
      </c>
      <c r="AL253" s="32">
        <v>46081</v>
      </c>
      <c r="AM253" s="29" t="str">
        <f>"Tháng "&amp;MONTH(AL253)</f>
        <v>Tháng 2</v>
      </c>
      <c r="AN253" s="69" t="s">
        <v>1376</v>
      </c>
    </row>
    <row r="254" spans="1:40" x14ac:dyDescent="0.25">
      <c r="A254" s="50" t="s">
        <v>1088</v>
      </c>
      <c r="B254" s="20" t="s">
        <v>23</v>
      </c>
      <c r="C254" s="35">
        <v>25569</v>
      </c>
      <c r="D254" s="29">
        <f ca="1">DATEDIF(C254,TODAY(),"Y")</f>
        <v>56</v>
      </c>
      <c r="E254" s="5" t="s">
        <v>26</v>
      </c>
      <c r="F254" s="30">
        <v>158</v>
      </c>
      <c r="G254" s="30">
        <v>68</v>
      </c>
      <c r="H254" s="31">
        <f>G254/((F254/100)*(F254/100))</f>
        <v>27.239224483255885</v>
      </c>
      <c r="I254" s="5">
        <v>92</v>
      </c>
      <c r="J254" s="30">
        <v>160</v>
      </c>
      <c r="K254" s="30">
        <v>80</v>
      </c>
      <c r="L254" s="29">
        <f>IF(B254="Nữ",0,2)</f>
        <v>0</v>
      </c>
      <c r="M254" s="29">
        <f ca="1">IF(D254&lt;45,0,IF(D254&lt;=49,1,2))</f>
        <v>2</v>
      </c>
      <c r="N254" s="29">
        <f>IF(E254="Có",4,0)</f>
        <v>0</v>
      </c>
      <c r="O254" s="29">
        <f>IF(H254&lt;23,0,IF(H254&lt;27.5,3,5))</f>
        <v>3</v>
      </c>
      <c r="P254" s="29">
        <f>IF(OR(AND(B254="Nam",I254&gt;=90),AND(B254="Nữ",I254&gt;=80)),2,0)</f>
        <v>2</v>
      </c>
      <c r="Q254" s="29">
        <f>IF(OR(J254&gt;=140,K254&gt;=90),2,0)</f>
        <v>2</v>
      </c>
      <c r="R254" s="29">
        <f ca="1">SUM(L254:Q254)</f>
        <v>9</v>
      </c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5" t="s">
        <v>1393</v>
      </c>
      <c r="AE254" s="33"/>
      <c r="AF254" s="59" t="str">
        <f t="shared" si="10"/>
        <v>Không</v>
      </c>
      <c r="AG254" s="59" t="str">
        <f t="shared" si="11"/>
        <v>Không</v>
      </c>
      <c r="AH254" s="29" t="str">
        <f t="shared" ca="1" si="9"/>
        <v>Có</v>
      </c>
      <c r="AI254" s="29" t="str">
        <f ca="1">IF((R254)&gt;=6,"Có","Không")</f>
        <v>Có</v>
      </c>
      <c r="AJ254" s="29" t="str">
        <f>IF(OR(J254&gt;=140,K254&gt;=90),"Có","Không")</f>
        <v>Có</v>
      </c>
      <c r="AK254" s="5" t="s">
        <v>51</v>
      </c>
      <c r="AL254" s="32">
        <v>46081</v>
      </c>
      <c r="AM254" s="29" t="str">
        <f>"Tháng "&amp;MONTH(AL254)</f>
        <v>Tháng 2</v>
      </c>
      <c r="AN254" s="69" t="s">
        <v>1376</v>
      </c>
    </row>
    <row r="255" spans="1:40" x14ac:dyDescent="0.25">
      <c r="A255" s="50" t="s">
        <v>845</v>
      </c>
      <c r="B255" s="20" t="s">
        <v>30</v>
      </c>
      <c r="C255" s="35">
        <v>26299</v>
      </c>
      <c r="D255" s="29">
        <f ca="1">DATEDIF(C255,TODAY(),"Y")</f>
        <v>54</v>
      </c>
      <c r="E255" s="5" t="s">
        <v>26</v>
      </c>
      <c r="F255" s="30">
        <v>169</v>
      </c>
      <c r="G255" s="30">
        <v>68</v>
      </c>
      <c r="H255" s="31">
        <f>G255/((F255/100)*(F255/100))</f>
        <v>23.808690171912751</v>
      </c>
      <c r="I255" s="5">
        <v>95</v>
      </c>
      <c r="J255" s="30">
        <v>120</v>
      </c>
      <c r="K255" s="30">
        <v>80</v>
      </c>
      <c r="L255" s="29">
        <f>IF(B255="Nữ",0,2)</f>
        <v>2</v>
      </c>
      <c r="M255" s="29">
        <f ca="1">IF(D255&lt;45,0,IF(D255&lt;=49,1,2))</f>
        <v>2</v>
      </c>
      <c r="N255" s="29">
        <f>IF(E255="Có",4,0)</f>
        <v>0</v>
      </c>
      <c r="O255" s="29">
        <f>IF(H255&lt;23,0,IF(H255&lt;27.5,3,5))</f>
        <v>3</v>
      </c>
      <c r="P255" s="29">
        <f>IF(OR(AND(B255="Nam",I255&gt;=90),AND(B255="Nữ",I255&gt;=80)),2,0)</f>
        <v>2</v>
      </c>
      <c r="Q255" s="29">
        <f>IF(OR(J255&gt;=140,K255&gt;=90),2,0)</f>
        <v>0</v>
      </c>
      <c r="R255" s="29">
        <f ca="1">SUM(L255:Q255)</f>
        <v>9</v>
      </c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5" t="s">
        <v>1393</v>
      </c>
      <c r="AE255" s="33"/>
      <c r="AF255" s="59" t="str">
        <f t="shared" si="10"/>
        <v>Không</v>
      </c>
      <c r="AG255" s="59" t="str">
        <f t="shared" si="11"/>
        <v>Không</v>
      </c>
      <c r="AH255" s="29" t="str">
        <f t="shared" ca="1" si="9"/>
        <v>Có</v>
      </c>
      <c r="AI255" s="29" t="str">
        <f ca="1">IF((R255)&gt;=6,"Có","Không")</f>
        <v>Có</v>
      </c>
      <c r="AJ255" s="29" t="str">
        <f>IF(OR(J255&gt;=140,K255&gt;=90),"Có","Không")</f>
        <v>Không</v>
      </c>
      <c r="AK255" s="5" t="s">
        <v>51</v>
      </c>
      <c r="AL255" s="32">
        <v>46081</v>
      </c>
      <c r="AM255" s="29" t="str">
        <f>"Tháng "&amp;MONTH(AL255)</f>
        <v>Tháng 2</v>
      </c>
      <c r="AN255" s="69" t="s">
        <v>1376</v>
      </c>
    </row>
    <row r="256" spans="1:40" x14ac:dyDescent="0.25">
      <c r="A256" s="50" t="s">
        <v>61</v>
      </c>
      <c r="B256" s="20" t="s">
        <v>30</v>
      </c>
      <c r="C256" s="35">
        <v>23743</v>
      </c>
      <c r="D256" s="29">
        <f ca="1">DATEDIF(C256,TODAY(),"Y")</f>
        <v>61</v>
      </c>
      <c r="E256" s="5" t="s">
        <v>26</v>
      </c>
      <c r="F256" s="30">
        <v>165</v>
      </c>
      <c r="G256" s="30">
        <v>100</v>
      </c>
      <c r="H256" s="31">
        <f>G256/((F256/100)*(F256/100))</f>
        <v>36.730945821854917</v>
      </c>
      <c r="I256" s="5">
        <v>75</v>
      </c>
      <c r="J256" s="30">
        <v>120</v>
      </c>
      <c r="K256" s="30">
        <v>80</v>
      </c>
      <c r="L256" s="29">
        <f>IF(B256="Nữ",0,2)</f>
        <v>2</v>
      </c>
      <c r="M256" s="29">
        <f ca="1">IF(D256&lt;45,0,IF(D256&lt;=49,1,2))</f>
        <v>2</v>
      </c>
      <c r="N256" s="29">
        <f>IF(E256="Có",4,0)</f>
        <v>0</v>
      </c>
      <c r="O256" s="29">
        <f>IF(H256&lt;23,0,IF(H256&lt;27.5,3,5))</f>
        <v>5</v>
      </c>
      <c r="P256" s="29">
        <f>IF(OR(AND(B256="Nam",I256&gt;=90),AND(B256="Nữ",I256&gt;=80)),2,0)</f>
        <v>0</v>
      </c>
      <c r="Q256" s="29">
        <f>IF(OR(J256&gt;=140,K256&gt;=90),2,0)</f>
        <v>0</v>
      </c>
      <c r="R256" s="29">
        <f ca="1">SUM(L256:Q256)</f>
        <v>9</v>
      </c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5" t="s">
        <v>1393</v>
      </c>
      <c r="AE256" s="33"/>
      <c r="AF256" s="59" t="str">
        <f t="shared" si="10"/>
        <v>Không</v>
      </c>
      <c r="AG256" s="59" t="str">
        <f t="shared" si="11"/>
        <v>Không</v>
      </c>
      <c r="AH256" s="29" t="str">
        <f t="shared" ca="1" si="9"/>
        <v>Có</v>
      </c>
      <c r="AI256" s="29" t="str">
        <f ca="1">IF((R256)&gt;=6,"Có","Không")</f>
        <v>Có</v>
      </c>
      <c r="AJ256" s="29" t="str">
        <f>IF(OR(J256&gt;=140,K256&gt;=90),"Có","Không")</f>
        <v>Không</v>
      </c>
      <c r="AK256" s="5" t="s">
        <v>51</v>
      </c>
      <c r="AL256" s="32">
        <v>46081</v>
      </c>
      <c r="AM256" s="29" t="str">
        <f>"Tháng "&amp;MONTH(AL256)</f>
        <v>Tháng 2</v>
      </c>
      <c r="AN256" s="69" t="s">
        <v>1376</v>
      </c>
    </row>
    <row r="257" spans="1:40" x14ac:dyDescent="0.25">
      <c r="A257" s="50" t="s">
        <v>1090</v>
      </c>
      <c r="B257" s="20" t="s">
        <v>23</v>
      </c>
      <c r="C257" s="35">
        <v>24108</v>
      </c>
      <c r="D257" s="29">
        <f ca="1">DATEDIF(C257,TODAY(),"Y")</f>
        <v>60</v>
      </c>
      <c r="E257" s="5" t="s">
        <v>26</v>
      </c>
      <c r="F257" s="30">
        <v>169</v>
      </c>
      <c r="G257" s="30">
        <v>68</v>
      </c>
      <c r="H257" s="31">
        <f>G257/((F257/100)*(F257/100))</f>
        <v>23.808690171912751</v>
      </c>
      <c r="I257" s="5">
        <v>88</v>
      </c>
      <c r="J257" s="30">
        <v>120</v>
      </c>
      <c r="K257" s="30">
        <v>80</v>
      </c>
      <c r="L257" s="29">
        <f>IF(B257="Nữ",0,2)</f>
        <v>0</v>
      </c>
      <c r="M257" s="29">
        <f ca="1">IF(D257&lt;45,0,IF(D257&lt;=49,1,2))</f>
        <v>2</v>
      </c>
      <c r="N257" s="29">
        <f>IF(E257="Có",4,0)</f>
        <v>0</v>
      </c>
      <c r="O257" s="29">
        <f>IF(H257&lt;23,0,IF(H257&lt;27.5,3,5))</f>
        <v>3</v>
      </c>
      <c r="P257" s="29">
        <f>IF(OR(AND(B257="Nam",I257&gt;=90),AND(B257="Nữ",I257&gt;=80)),2,0)</f>
        <v>2</v>
      </c>
      <c r="Q257" s="29">
        <f>IF(OR(J257&gt;=140,K257&gt;=90),2,0)</f>
        <v>0</v>
      </c>
      <c r="R257" s="29">
        <f ca="1">SUM(L257:Q257)</f>
        <v>7</v>
      </c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5" t="s">
        <v>1393</v>
      </c>
      <c r="AE257" s="33"/>
      <c r="AF257" s="59" t="str">
        <f t="shared" si="10"/>
        <v>Không</v>
      </c>
      <c r="AG257" s="59" t="str">
        <f t="shared" si="11"/>
        <v>Không</v>
      </c>
      <c r="AH257" s="29" t="str">
        <f t="shared" ca="1" si="9"/>
        <v>Có</v>
      </c>
      <c r="AI257" s="29" t="str">
        <f ca="1">IF((R257)&gt;=6,"Có","Không")</f>
        <v>Có</v>
      </c>
      <c r="AJ257" s="29" t="str">
        <f>IF(OR(J257&gt;=140,K257&gt;=90),"Có","Không")</f>
        <v>Không</v>
      </c>
      <c r="AK257" s="5" t="s">
        <v>51</v>
      </c>
      <c r="AL257" s="32">
        <v>46081</v>
      </c>
      <c r="AM257" s="29" t="str">
        <f>"Tháng "&amp;MONTH(AL257)</f>
        <v>Tháng 2</v>
      </c>
      <c r="AN257" s="69" t="s">
        <v>1376</v>
      </c>
    </row>
    <row r="258" spans="1:40" x14ac:dyDescent="0.25">
      <c r="A258" s="50" t="s">
        <v>668</v>
      </c>
      <c r="B258" s="20" t="s">
        <v>30</v>
      </c>
      <c r="C258" s="35">
        <v>22647</v>
      </c>
      <c r="D258" s="29">
        <f ca="1">DATEDIF(C258,TODAY(),"Y")</f>
        <v>64</v>
      </c>
      <c r="E258" s="5" t="s">
        <v>26</v>
      </c>
      <c r="F258" s="30">
        <v>169</v>
      </c>
      <c r="G258" s="30">
        <v>68</v>
      </c>
      <c r="H258" s="31">
        <f>G258/((F258/100)*(F258/100))</f>
        <v>23.808690171912751</v>
      </c>
      <c r="I258" s="5">
        <v>65</v>
      </c>
      <c r="J258" s="30">
        <v>120</v>
      </c>
      <c r="K258" s="30">
        <v>80</v>
      </c>
      <c r="L258" s="29">
        <f>IF(B258="Nữ",0,2)</f>
        <v>2</v>
      </c>
      <c r="M258" s="29">
        <f ca="1">IF(D258&lt;45,0,IF(D258&lt;=49,1,2))</f>
        <v>2</v>
      </c>
      <c r="N258" s="29">
        <f>IF(E258="Có",4,0)</f>
        <v>0</v>
      </c>
      <c r="O258" s="29">
        <f>IF(H258&lt;23,0,IF(H258&lt;27.5,3,5))</f>
        <v>3</v>
      </c>
      <c r="P258" s="29">
        <f>IF(OR(AND(B258="Nam",I258&gt;=90),AND(B258="Nữ",I258&gt;=80)),2,0)</f>
        <v>0</v>
      </c>
      <c r="Q258" s="29">
        <f>IF(OR(J258&gt;=140,K258&gt;=90),2,0)</f>
        <v>0</v>
      </c>
      <c r="R258" s="29">
        <f ca="1">SUM(L258:Q258)</f>
        <v>7</v>
      </c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5" t="s">
        <v>1393</v>
      </c>
      <c r="AE258" s="33"/>
      <c r="AF258" s="59" t="str">
        <f t="shared" si="10"/>
        <v>Không</v>
      </c>
      <c r="AG258" s="59" t="str">
        <f t="shared" si="11"/>
        <v>Không</v>
      </c>
      <c r="AH258" s="29" t="str">
        <f t="shared" ca="1" si="9"/>
        <v>Có</v>
      </c>
      <c r="AI258" s="29" t="str">
        <f ca="1">IF((R258)&gt;=6,"Có","Không")</f>
        <v>Có</v>
      </c>
      <c r="AJ258" s="29" t="str">
        <f>IF(OR(J258&gt;=140,K258&gt;=90),"Có","Không")</f>
        <v>Không</v>
      </c>
      <c r="AK258" s="5" t="s">
        <v>51</v>
      </c>
      <c r="AL258" s="32">
        <v>46081</v>
      </c>
      <c r="AM258" s="29" t="str">
        <f>"Tháng "&amp;MONTH(AL258)</f>
        <v>Tháng 2</v>
      </c>
      <c r="AN258" s="69" t="s">
        <v>1376</v>
      </c>
    </row>
    <row r="259" spans="1:40" x14ac:dyDescent="0.25">
      <c r="A259" s="50" t="s">
        <v>1096</v>
      </c>
      <c r="B259" s="20" t="s">
        <v>30</v>
      </c>
      <c r="C259" s="35">
        <v>16438</v>
      </c>
      <c r="D259" s="29">
        <f ca="1">DATEDIF(C259,TODAY(),"Y")</f>
        <v>81</v>
      </c>
      <c r="E259" s="5" t="s">
        <v>26</v>
      </c>
      <c r="F259" s="30">
        <v>158</v>
      </c>
      <c r="G259" s="30">
        <v>58</v>
      </c>
      <c r="H259" s="31">
        <f>G259/((F259/100)*(F259/100))</f>
        <v>23.233456176894723</v>
      </c>
      <c r="I259" s="5">
        <v>83</v>
      </c>
      <c r="J259" s="30">
        <v>120</v>
      </c>
      <c r="K259" s="30">
        <v>80</v>
      </c>
      <c r="L259" s="29">
        <f>IF(B259="Nữ",0,2)</f>
        <v>2</v>
      </c>
      <c r="M259" s="29">
        <f ca="1">IF(D259&lt;45,0,IF(D259&lt;=49,1,2))</f>
        <v>2</v>
      </c>
      <c r="N259" s="29">
        <f>IF(E259="Có",4,0)</f>
        <v>0</v>
      </c>
      <c r="O259" s="29">
        <f>IF(H259&lt;23,0,IF(H259&lt;27.5,3,5))</f>
        <v>3</v>
      </c>
      <c r="P259" s="29">
        <f>IF(OR(AND(B259="Nam",I259&gt;=90),AND(B259="Nữ",I259&gt;=80)),2,0)</f>
        <v>0</v>
      </c>
      <c r="Q259" s="29">
        <f>IF(OR(J259&gt;=140,K259&gt;=90),2,0)</f>
        <v>0</v>
      </c>
      <c r="R259" s="29">
        <f ca="1">SUM(L259:Q259)</f>
        <v>7</v>
      </c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5" t="s">
        <v>1393</v>
      </c>
      <c r="AE259" s="33"/>
      <c r="AF259" s="59" t="str">
        <f t="shared" si="10"/>
        <v>Không</v>
      </c>
      <c r="AG259" s="59" t="str">
        <f t="shared" si="11"/>
        <v>Không</v>
      </c>
      <c r="AH259" s="29" t="str">
        <f t="shared" ca="1" si="9"/>
        <v>Có</v>
      </c>
      <c r="AI259" s="29" t="str">
        <f ca="1">IF((R259)&gt;=6,"Có","Không")</f>
        <v>Có</v>
      </c>
      <c r="AJ259" s="29" t="str">
        <f>IF(OR(J259&gt;=140,K259&gt;=90),"Có","Không")</f>
        <v>Không</v>
      </c>
      <c r="AK259" s="5" t="s">
        <v>51</v>
      </c>
      <c r="AL259" s="32">
        <v>46081</v>
      </c>
      <c r="AM259" s="29" t="str">
        <f>"Tháng "&amp;MONTH(AL259)</f>
        <v>Tháng 2</v>
      </c>
      <c r="AN259" s="69" t="s">
        <v>1376</v>
      </c>
    </row>
    <row r="260" spans="1:40" x14ac:dyDescent="0.25">
      <c r="A260" s="50" t="s">
        <v>175</v>
      </c>
      <c r="B260" s="20" t="s">
        <v>23</v>
      </c>
      <c r="C260" s="35">
        <v>21551</v>
      </c>
      <c r="D260" s="29">
        <f ca="1">DATEDIF(C260,TODAY(),"Y")</f>
        <v>67</v>
      </c>
      <c r="E260" s="5" t="s">
        <v>26</v>
      </c>
      <c r="F260" s="30">
        <v>156</v>
      </c>
      <c r="G260" s="30">
        <v>53</v>
      </c>
      <c r="H260" s="31">
        <f>G260/((F260/100)*(F260/100))</f>
        <v>21.7784352399737</v>
      </c>
      <c r="I260" s="5">
        <v>86</v>
      </c>
      <c r="J260" s="30">
        <v>120</v>
      </c>
      <c r="K260" s="30">
        <v>80</v>
      </c>
      <c r="L260" s="29">
        <f>IF(B260="Nữ",0,2)</f>
        <v>0</v>
      </c>
      <c r="M260" s="29">
        <f ca="1">IF(D260&lt;45,0,IF(D260&lt;=49,1,2))</f>
        <v>2</v>
      </c>
      <c r="N260" s="29">
        <f>IF(E260="Có",4,0)</f>
        <v>0</v>
      </c>
      <c r="O260" s="29">
        <f>IF(H260&lt;23,0,IF(H260&lt;27.5,3,5))</f>
        <v>0</v>
      </c>
      <c r="P260" s="29">
        <f>IF(OR(AND(B260="Nam",I260&gt;=90),AND(B260="Nữ",I260&gt;=80)),2,0)</f>
        <v>2</v>
      </c>
      <c r="Q260" s="29">
        <f>IF(OR(J260&gt;=140,K260&gt;=90),2,0)</f>
        <v>0</v>
      </c>
      <c r="R260" s="29">
        <f ca="1">SUM(L260:Q260)</f>
        <v>4</v>
      </c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5" t="s">
        <v>1393</v>
      </c>
      <c r="AE260" s="33"/>
      <c r="AF260" s="59" t="str">
        <f t="shared" si="10"/>
        <v>Không</v>
      </c>
      <c r="AG260" s="59" t="str">
        <f t="shared" si="11"/>
        <v>Không</v>
      </c>
      <c r="AH260" s="29" t="str">
        <f t="shared" ref="AH260:AH323" ca="1" si="12">IF((R260)&gt;=6,"Có","Không")</f>
        <v>Không</v>
      </c>
      <c r="AI260" s="29" t="str">
        <f ca="1">IF((R260)&gt;=6,"Có","Không")</f>
        <v>Không</v>
      </c>
      <c r="AJ260" s="29" t="str">
        <f>IF(OR(J260&gt;=140,K260&gt;=90),"Có","Không")</f>
        <v>Không</v>
      </c>
      <c r="AK260" s="5" t="s">
        <v>51</v>
      </c>
      <c r="AL260" s="32">
        <v>46081</v>
      </c>
      <c r="AM260" s="29" t="str">
        <f>"Tháng "&amp;MONTH(AL260)</f>
        <v>Tháng 2</v>
      </c>
      <c r="AN260" s="69" t="s">
        <v>1376</v>
      </c>
    </row>
    <row r="261" spans="1:40" x14ac:dyDescent="0.25">
      <c r="A261" s="50" t="s">
        <v>1098</v>
      </c>
      <c r="B261" s="20" t="s">
        <v>23</v>
      </c>
      <c r="C261" s="35">
        <v>33970</v>
      </c>
      <c r="D261" s="29">
        <f ca="1">DATEDIF(C261,TODAY(),"Y")</f>
        <v>33</v>
      </c>
      <c r="E261" s="5" t="s">
        <v>26</v>
      </c>
      <c r="F261" s="30">
        <v>160</v>
      </c>
      <c r="G261" s="30">
        <v>49</v>
      </c>
      <c r="H261" s="31">
        <f>G261/((F261/100)*(F261/100))</f>
        <v>19.140624999999996</v>
      </c>
      <c r="I261" s="5">
        <v>68</v>
      </c>
      <c r="J261" s="30">
        <v>150</v>
      </c>
      <c r="K261" s="30">
        <v>80</v>
      </c>
      <c r="L261" s="29">
        <f>IF(B261="Nữ",0,2)</f>
        <v>0</v>
      </c>
      <c r="M261" s="29">
        <f ca="1">IF(D261&lt;45,0,IF(D261&lt;=49,1,2))</f>
        <v>0</v>
      </c>
      <c r="N261" s="29">
        <f>IF(E261="Có",4,0)</f>
        <v>0</v>
      </c>
      <c r="O261" s="29">
        <f>IF(H261&lt;23,0,IF(H261&lt;27.5,3,5))</f>
        <v>0</v>
      </c>
      <c r="P261" s="29">
        <f>IF(OR(AND(B261="Nam",I261&gt;=90),AND(B261="Nữ",I261&gt;=80)),2,0)</f>
        <v>0</v>
      </c>
      <c r="Q261" s="29">
        <f>IF(OR(J261&gt;=140,K261&gt;=90),2,0)</f>
        <v>2</v>
      </c>
      <c r="R261" s="29">
        <f ca="1">SUM(L261:Q261)</f>
        <v>2</v>
      </c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5" t="s">
        <v>1393</v>
      </c>
      <c r="AE261" s="33"/>
      <c r="AF261" s="59" t="str">
        <f t="shared" ref="AF261:AF324" si="13">IF(COUNTIF(S261:Z261,"X")&gt;=2,"Có","Không")</f>
        <v>Không</v>
      </c>
      <c r="AG261" s="59" t="str">
        <f t="shared" ref="AG261:AG324" si="14">IF(COUNTIF(AA261:AE261,"X")&gt;=3,"Có","Không")</f>
        <v>Không</v>
      </c>
      <c r="AH261" s="29" t="str">
        <f t="shared" ca="1" si="12"/>
        <v>Không</v>
      </c>
      <c r="AI261" s="29" t="str">
        <f ca="1">IF((R261)&gt;=6,"Có","Không")</f>
        <v>Không</v>
      </c>
      <c r="AJ261" s="29" t="str">
        <f>IF(OR(J261&gt;=140,K261&gt;=90),"Có","Không")</f>
        <v>Có</v>
      </c>
      <c r="AK261" s="5" t="s">
        <v>51</v>
      </c>
      <c r="AL261" s="32">
        <v>46081</v>
      </c>
      <c r="AM261" s="29" t="str">
        <f>"Tháng "&amp;MONTH(AL261)</f>
        <v>Tháng 2</v>
      </c>
      <c r="AN261" s="69" t="s">
        <v>1376</v>
      </c>
    </row>
    <row r="262" spans="1:40" x14ac:dyDescent="0.25">
      <c r="A262" s="50" t="s">
        <v>570</v>
      </c>
      <c r="B262" s="20" t="s">
        <v>23</v>
      </c>
      <c r="C262" s="35">
        <v>24473</v>
      </c>
      <c r="D262" s="29">
        <f ca="1">DATEDIF(C262,TODAY(),"Y")</f>
        <v>59</v>
      </c>
      <c r="E262" s="5" t="s">
        <v>26</v>
      </c>
      <c r="F262" s="30">
        <v>159</v>
      </c>
      <c r="G262" s="30">
        <v>70</v>
      </c>
      <c r="H262" s="31">
        <f>G262/((F262/100)*(F262/100))</f>
        <v>27.688778133776353</v>
      </c>
      <c r="I262" s="5">
        <v>100</v>
      </c>
      <c r="J262" s="30">
        <v>120</v>
      </c>
      <c r="K262" s="30">
        <v>80</v>
      </c>
      <c r="L262" s="29">
        <f>IF(B262="Nữ",0,2)</f>
        <v>0</v>
      </c>
      <c r="M262" s="29">
        <f ca="1">IF(D262&lt;45,0,IF(D262&lt;=49,1,2))</f>
        <v>2</v>
      </c>
      <c r="N262" s="29">
        <f>IF(E262="Có",4,0)</f>
        <v>0</v>
      </c>
      <c r="O262" s="29">
        <f>IF(H262&lt;23,0,IF(H262&lt;27.5,3,5))</f>
        <v>5</v>
      </c>
      <c r="P262" s="29">
        <f>IF(OR(AND(B262="Nam",I262&gt;=90),AND(B262="Nữ",I262&gt;=80)),2,0)</f>
        <v>2</v>
      </c>
      <c r="Q262" s="29">
        <f>IF(OR(J262&gt;=140,K262&gt;=90),2,0)</f>
        <v>0</v>
      </c>
      <c r="R262" s="29">
        <f ca="1">SUM(L262:Q262)</f>
        <v>9</v>
      </c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5" t="s">
        <v>1393</v>
      </c>
      <c r="AE262" s="33"/>
      <c r="AF262" s="59" t="str">
        <f t="shared" si="13"/>
        <v>Không</v>
      </c>
      <c r="AG262" s="59" t="str">
        <f t="shared" si="14"/>
        <v>Không</v>
      </c>
      <c r="AH262" s="29" t="str">
        <f t="shared" ca="1" si="12"/>
        <v>Có</v>
      </c>
      <c r="AI262" s="29" t="str">
        <f ca="1">IF((R262)&gt;=6,"Có","Không")</f>
        <v>Có</v>
      </c>
      <c r="AJ262" s="29" t="str">
        <f>IF(OR(J262&gt;=140,K262&gt;=90),"Có","Không")</f>
        <v>Không</v>
      </c>
      <c r="AK262" s="5" t="s">
        <v>51</v>
      </c>
      <c r="AL262" s="32">
        <v>46081</v>
      </c>
      <c r="AM262" s="29" t="str">
        <f>"Tháng "&amp;MONTH(AL262)</f>
        <v>Tháng 2</v>
      </c>
      <c r="AN262" s="69" t="s">
        <v>1376</v>
      </c>
    </row>
    <row r="263" spans="1:40" x14ac:dyDescent="0.25">
      <c r="A263" s="50" t="s">
        <v>993</v>
      </c>
      <c r="B263" s="20" t="s">
        <v>30</v>
      </c>
      <c r="C263" s="35">
        <v>25569</v>
      </c>
      <c r="D263" s="29">
        <f ca="1">DATEDIF(C263,TODAY(),"Y")</f>
        <v>56</v>
      </c>
      <c r="E263" s="5" t="s">
        <v>26</v>
      </c>
      <c r="F263" s="30">
        <v>158</v>
      </c>
      <c r="G263" s="30">
        <v>58</v>
      </c>
      <c r="H263" s="31">
        <f>G263/((F263/100)*(F263/100))</f>
        <v>23.233456176894723</v>
      </c>
      <c r="I263" s="5">
        <v>72</v>
      </c>
      <c r="J263" s="30">
        <v>140</v>
      </c>
      <c r="K263" s="30">
        <v>80</v>
      </c>
      <c r="L263" s="29">
        <f>IF(B263="Nữ",0,2)</f>
        <v>2</v>
      </c>
      <c r="M263" s="29">
        <f ca="1">IF(D263&lt;45,0,IF(D263&lt;=49,1,2))</f>
        <v>2</v>
      </c>
      <c r="N263" s="29">
        <f>IF(E263="Có",4,0)</f>
        <v>0</v>
      </c>
      <c r="O263" s="29">
        <f>IF(H263&lt;23,0,IF(H263&lt;27.5,3,5))</f>
        <v>3</v>
      </c>
      <c r="P263" s="29">
        <f>IF(OR(AND(B263="Nam",I263&gt;=90),AND(B263="Nữ",I263&gt;=80)),2,0)</f>
        <v>0</v>
      </c>
      <c r="Q263" s="29">
        <f>IF(OR(J263&gt;=140,K263&gt;=90),2,0)</f>
        <v>2</v>
      </c>
      <c r="R263" s="29">
        <f ca="1">SUM(L263:Q263)</f>
        <v>9</v>
      </c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5" t="s">
        <v>1393</v>
      </c>
      <c r="AE263" s="33"/>
      <c r="AF263" s="59" t="str">
        <f t="shared" si="13"/>
        <v>Không</v>
      </c>
      <c r="AG263" s="59" t="str">
        <f t="shared" si="14"/>
        <v>Không</v>
      </c>
      <c r="AH263" s="29" t="str">
        <f t="shared" ca="1" si="12"/>
        <v>Có</v>
      </c>
      <c r="AI263" s="29" t="str">
        <f ca="1">IF((R263)&gt;=6,"Có","Không")</f>
        <v>Có</v>
      </c>
      <c r="AJ263" s="29" t="str">
        <f>IF(OR(J263&gt;=140,K263&gt;=90),"Có","Không")</f>
        <v>Có</v>
      </c>
      <c r="AK263" s="5" t="s">
        <v>51</v>
      </c>
      <c r="AL263" s="32">
        <v>46081</v>
      </c>
      <c r="AM263" s="29" t="str">
        <f>"Tháng "&amp;MONTH(AL263)</f>
        <v>Tháng 2</v>
      </c>
      <c r="AN263" s="69" t="s">
        <v>1376</v>
      </c>
    </row>
    <row r="264" spans="1:40" x14ac:dyDescent="0.25">
      <c r="A264" s="50" t="s">
        <v>1103</v>
      </c>
      <c r="B264" s="20" t="s">
        <v>23</v>
      </c>
      <c r="C264" s="35">
        <v>27030</v>
      </c>
      <c r="D264" s="29">
        <f ca="1">DATEDIF(C264,TODAY(),"Y")</f>
        <v>52</v>
      </c>
      <c r="E264" s="5" t="s">
        <v>26</v>
      </c>
      <c r="F264" s="30">
        <v>160</v>
      </c>
      <c r="G264" s="30">
        <v>70</v>
      </c>
      <c r="H264" s="31">
        <f>G264/((F264/100)*(F264/100))</f>
        <v>27.343749999999996</v>
      </c>
      <c r="I264" s="5">
        <v>74</v>
      </c>
      <c r="J264" s="30">
        <v>120</v>
      </c>
      <c r="K264" s="30">
        <v>80</v>
      </c>
      <c r="L264" s="29">
        <f>IF(B264="Nữ",0,2)</f>
        <v>0</v>
      </c>
      <c r="M264" s="29">
        <f ca="1">IF(D264&lt;45,0,IF(D264&lt;=49,1,2))</f>
        <v>2</v>
      </c>
      <c r="N264" s="29">
        <f>IF(E264="Có",4,0)</f>
        <v>0</v>
      </c>
      <c r="O264" s="29">
        <f>IF(H264&lt;23,0,IF(H264&lt;27.5,3,5))</f>
        <v>3</v>
      </c>
      <c r="P264" s="29">
        <f>IF(OR(AND(B264="Nam",I264&gt;=90),AND(B264="Nữ",I264&gt;=80)),2,0)</f>
        <v>0</v>
      </c>
      <c r="Q264" s="29">
        <f>IF(OR(J264&gt;=140,K264&gt;=90),2,0)</f>
        <v>0</v>
      </c>
      <c r="R264" s="29">
        <f ca="1">SUM(L264:Q264)</f>
        <v>5</v>
      </c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5" t="s">
        <v>1393</v>
      </c>
      <c r="AE264" s="33"/>
      <c r="AF264" s="59" t="str">
        <f t="shared" si="13"/>
        <v>Không</v>
      </c>
      <c r="AG264" s="59" t="str">
        <f t="shared" si="14"/>
        <v>Không</v>
      </c>
      <c r="AH264" s="29" t="str">
        <f t="shared" ca="1" si="12"/>
        <v>Không</v>
      </c>
      <c r="AI264" s="29" t="str">
        <f ca="1">IF((R264)&gt;=6,"Có","Không")</f>
        <v>Không</v>
      </c>
      <c r="AJ264" s="29" t="str">
        <f>IF(OR(J264&gt;=140,K264&gt;=90),"Có","Không")</f>
        <v>Không</v>
      </c>
      <c r="AK264" s="5" t="s">
        <v>51</v>
      </c>
      <c r="AL264" s="32">
        <v>46081</v>
      </c>
      <c r="AM264" s="29" t="str">
        <f>"Tháng "&amp;MONTH(AL264)</f>
        <v>Tháng 2</v>
      </c>
      <c r="AN264" s="69" t="s">
        <v>1376</v>
      </c>
    </row>
    <row r="265" spans="1:40" x14ac:dyDescent="0.25">
      <c r="A265" s="50" t="s">
        <v>510</v>
      </c>
      <c r="B265" s="20" t="s">
        <v>30</v>
      </c>
      <c r="C265" s="35">
        <v>18994</v>
      </c>
      <c r="D265" s="29">
        <f ca="1">DATEDIF(C265,TODAY(),"Y")</f>
        <v>74</v>
      </c>
      <c r="E265" s="5" t="s">
        <v>25</v>
      </c>
      <c r="F265" s="30">
        <v>156</v>
      </c>
      <c r="G265" s="30">
        <v>53</v>
      </c>
      <c r="H265" s="31">
        <f>G265/((F265/100)*(F265/100))</f>
        <v>21.7784352399737</v>
      </c>
      <c r="I265" s="5">
        <v>88</v>
      </c>
      <c r="J265" s="30">
        <v>140</v>
      </c>
      <c r="K265" s="30">
        <v>80</v>
      </c>
      <c r="L265" s="29">
        <f>IF(B265="Nữ",0,2)</f>
        <v>2</v>
      </c>
      <c r="M265" s="29">
        <f ca="1">IF(D265&lt;45,0,IF(D265&lt;=49,1,2))</f>
        <v>2</v>
      </c>
      <c r="N265" s="29">
        <f>IF(E265="Có",4,0)</f>
        <v>4</v>
      </c>
      <c r="O265" s="29">
        <f>IF(H265&lt;23,0,IF(H265&lt;27.5,3,5))</f>
        <v>0</v>
      </c>
      <c r="P265" s="29">
        <f>IF(OR(AND(B265="Nam",I265&gt;=90),AND(B265="Nữ",I265&gt;=80)),2,0)</f>
        <v>0</v>
      </c>
      <c r="Q265" s="29">
        <f>IF(OR(J265&gt;=140,K265&gt;=90),2,0)</f>
        <v>2</v>
      </c>
      <c r="R265" s="29">
        <f ca="1">SUM(L265:Q265)</f>
        <v>10</v>
      </c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5" t="s">
        <v>1393</v>
      </c>
      <c r="AE265" s="33"/>
      <c r="AF265" s="59" t="str">
        <f t="shared" si="13"/>
        <v>Không</v>
      </c>
      <c r="AG265" s="59" t="str">
        <f t="shared" si="14"/>
        <v>Không</v>
      </c>
      <c r="AH265" s="29" t="str">
        <f t="shared" ca="1" si="12"/>
        <v>Có</v>
      </c>
      <c r="AI265" s="29" t="str">
        <f ca="1">IF((R265)&gt;=6,"Có","Không")</f>
        <v>Có</v>
      </c>
      <c r="AJ265" s="29" t="str">
        <f>IF(OR(J265&gt;=140,K265&gt;=90),"Có","Không")</f>
        <v>Có</v>
      </c>
      <c r="AK265" s="5" t="s">
        <v>51</v>
      </c>
      <c r="AL265" s="32">
        <v>46081</v>
      </c>
      <c r="AM265" s="29" t="str">
        <f>"Tháng "&amp;MONTH(AL265)</f>
        <v>Tháng 2</v>
      </c>
      <c r="AN265" s="69" t="s">
        <v>1376</v>
      </c>
    </row>
    <row r="266" spans="1:40" x14ac:dyDescent="0.25">
      <c r="A266" s="50" t="s">
        <v>1105</v>
      </c>
      <c r="B266" s="20" t="s">
        <v>23</v>
      </c>
      <c r="C266" s="35">
        <v>25204</v>
      </c>
      <c r="D266" s="29">
        <f ca="1">DATEDIF(C266,TODAY(),"Y")</f>
        <v>57</v>
      </c>
      <c r="E266" s="5" t="s">
        <v>26</v>
      </c>
      <c r="F266" s="30">
        <v>160</v>
      </c>
      <c r="G266" s="30">
        <v>48</v>
      </c>
      <c r="H266" s="31">
        <f>G266/((F266/100)*(F266/100))</f>
        <v>18.749999999999996</v>
      </c>
      <c r="I266" s="5">
        <v>65</v>
      </c>
      <c r="J266" s="30">
        <v>120</v>
      </c>
      <c r="K266" s="30">
        <v>80</v>
      </c>
      <c r="L266" s="29">
        <f>IF(B266="Nữ",0,2)</f>
        <v>0</v>
      </c>
      <c r="M266" s="29">
        <f ca="1">IF(D266&lt;45,0,IF(D266&lt;=49,1,2))</f>
        <v>2</v>
      </c>
      <c r="N266" s="29">
        <f>IF(E266="Có",4,0)</f>
        <v>0</v>
      </c>
      <c r="O266" s="29">
        <f>IF(H266&lt;23,0,IF(H266&lt;27.5,3,5))</f>
        <v>0</v>
      </c>
      <c r="P266" s="29">
        <f>IF(OR(AND(B266="Nam",I266&gt;=90),AND(B266="Nữ",I266&gt;=80)),2,0)</f>
        <v>0</v>
      </c>
      <c r="Q266" s="29">
        <f>IF(OR(J266&gt;=140,K266&gt;=90),2,0)</f>
        <v>0</v>
      </c>
      <c r="R266" s="29">
        <f ca="1">SUM(L266:Q266)</f>
        <v>2</v>
      </c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5" t="s">
        <v>1393</v>
      </c>
      <c r="AE266" s="33"/>
      <c r="AF266" s="59" t="str">
        <f t="shared" si="13"/>
        <v>Không</v>
      </c>
      <c r="AG266" s="59" t="str">
        <f t="shared" si="14"/>
        <v>Không</v>
      </c>
      <c r="AH266" s="29" t="str">
        <f t="shared" ca="1" si="12"/>
        <v>Không</v>
      </c>
      <c r="AI266" s="29" t="str">
        <f ca="1">IF((R266)&gt;=6,"Có","Không")</f>
        <v>Không</v>
      </c>
      <c r="AJ266" s="29" t="str">
        <f>IF(OR(J266&gt;=140,K266&gt;=90),"Có","Không")</f>
        <v>Không</v>
      </c>
      <c r="AK266" s="5" t="s">
        <v>51</v>
      </c>
      <c r="AL266" s="32">
        <v>46081</v>
      </c>
      <c r="AM266" s="29" t="str">
        <f>"Tháng "&amp;MONTH(AL266)</f>
        <v>Tháng 2</v>
      </c>
      <c r="AN266" s="69" t="s">
        <v>1376</v>
      </c>
    </row>
    <row r="267" spans="1:40" x14ac:dyDescent="0.25">
      <c r="A267" s="50" t="s">
        <v>1110</v>
      </c>
      <c r="B267" s="20" t="s">
        <v>23</v>
      </c>
      <c r="C267" s="35">
        <v>27030</v>
      </c>
      <c r="D267" s="29">
        <f ca="1">DATEDIF(C267,TODAY(),"Y")</f>
        <v>52</v>
      </c>
      <c r="E267" s="5" t="s">
        <v>26</v>
      </c>
      <c r="F267" s="30">
        <v>160</v>
      </c>
      <c r="G267" s="30">
        <v>52</v>
      </c>
      <c r="H267" s="31">
        <f>G267/((F267/100)*(F267/100))</f>
        <v>20.312499999999996</v>
      </c>
      <c r="I267" s="5">
        <v>74</v>
      </c>
      <c r="J267" s="30">
        <v>120</v>
      </c>
      <c r="K267" s="30">
        <v>80</v>
      </c>
      <c r="L267" s="29">
        <f>IF(B267="Nữ",0,2)</f>
        <v>0</v>
      </c>
      <c r="M267" s="29">
        <f ca="1">IF(D267&lt;45,0,IF(D267&lt;=49,1,2))</f>
        <v>2</v>
      </c>
      <c r="N267" s="29">
        <f>IF(E267="Có",4,0)</f>
        <v>0</v>
      </c>
      <c r="O267" s="29">
        <f>IF(H267&lt;23,0,IF(H267&lt;27.5,3,5))</f>
        <v>0</v>
      </c>
      <c r="P267" s="29">
        <f>IF(OR(AND(B267="Nam",I267&gt;=90),AND(B267="Nữ",I267&gt;=80)),2,0)</f>
        <v>0</v>
      </c>
      <c r="Q267" s="29">
        <f>IF(OR(J267&gt;=140,K267&gt;=90),2,0)</f>
        <v>0</v>
      </c>
      <c r="R267" s="29">
        <f ca="1">SUM(L267:Q267)</f>
        <v>2</v>
      </c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5" t="s">
        <v>1393</v>
      </c>
      <c r="AE267" s="33"/>
      <c r="AF267" s="59" t="str">
        <f t="shared" si="13"/>
        <v>Không</v>
      </c>
      <c r="AG267" s="59" t="str">
        <f t="shared" si="14"/>
        <v>Không</v>
      </c>
      <c r="AH267" s="29" t="str">
        <f t="shared" ca="1" si="12"/>
        <v>Không</v>
      </c>
      <c r="AI267" s="29" t="str">
        <f ca="1">IF((R267)&gt;=6,"Có","Không")</f>
        <v>Không</v>
      </c>
      <c r="AJ267" s="29" t="str">
        <f>IF(OR(J267&gt;=140,K267&gt;=90),"Có","Không")</f>
        <v>Không</v>
      </c>
      <c r="AK267" s="5" t="s">
        <v>51</v>
      </c>
      <c r="AL267" s="32">
        <v>46081</v>
      </c>
      <c r="AM267" s="29" t="str">
        <f>"Tháng "&amp;MONTH(AL267)</f>
        <v>Tháng 2</v>
      </c>
      <c r="AN267" s="69" t="s">
        <v>1376</v>
      </c>
    </row>
    <row r="268" spans="1:40" x14ac:dyDescent="0.25">
      <c r="A268" s="50" t="s">
        <v>1112</v>
      </c>
      <c r="B268" s="20" t="s">
        <v>23</v>
      </c>
      <c r="C268" s="35">
        <v>19725</v>
      </c>
      <c r="D268" s="29">
        <f ca="1">DATEDIF(C268,TODAY(),"Y")</f>
        <v>72</v>
      </c>
      <c r="E268" s="5" t="s">
        <v>26</v>
      </c>
      <c r="F268" s="30">
        <v>158</v>
      </c>
      <c r="G268" s="30">
        <v>58</v>
      </c>
      <c r="H268" s="31">
        <f>G268/((F268/100)*(F268/100))</f>
        <v>23.233456176894723</v>
      </c>
      <c r="I268" s="5">
        <v>91</v>
      </c>
      <c r="J268" s="30">
        <v>120</v>
      </c>
      <c r="K268" s="30">
        <v>80</v>
      </c>
      <c r="L268" s="29">
        <f>IF(B268="Nữ",0,2)</f>
        <v>0</v>
      </c>
      <c r="M268" s="29">
        <f ca="1">IF(D268&lt;45,0,IF(D268&lt;=49,1,2))</f>
        <v>2</v>
      </c>
      <c r="N268" s="29">
        <f>IF(E268="Có",4,0)</f>
        <v>0</v>
      </c>
      <c r="O268" s="29">
        <f>IF(H268&lt;23,0,IF(H268&lt;27.5,3,5))</f>
        <v>3</v>
      </c>
      <c r="P268" s="29">
        <f>IF(OR(AND(B268="Nam",I268&gt;=90),AND(B268="Nữ",I268&gt;=80)),2,0)</f>
        <v>2</v>
      </c>
      <c r="Q268" s="29">
        <f>IF(OR(J268&gt;=140,K268&gt;=90),2,0)</f>
        <v>0</v>
      </c>
      <c r="R268" s="29">
        <f ca="1">SUM(L268:Q268)</f>
        <v>7</v>
      </c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5" t="s">
        <v>1393</v>
      </c>
      <c r="AE268" s="33"/>
      <c r="AF268" s="59" t="str">
        <f t="shared" si="13"/>
        <v>Không</v>
      </c>
      <c r="AG268" s="59" t="str">
        <f t="shared" si="14"/>
        <v>Không</v>
      </c>
      <c r="AH268" s="29" t="str">
        <f t="shared" ca="1" si="12"/>
        <v>Có</v>
      </c>
      <c r="AI268" s="29" t="str">
        <f ca="1">IF((R268)&gt;=6,"Có","Không")</f>
        <v>Có</v>
      </c>
      <c r="AJ268" s="29" t="str">
        <f>IF(OR(J268&gt;=140,K268&gt;=90),"Có","Không")</f>
        <v>Không</v>
      </c>
      <c r="AK268" s="5" t="s">
        <v>51</v>
      </c>
      <c r="AL268" s="32">
        <v>46081</v>
      </c>
      <c r="AM268" s="29" t="str">
        <f>"Tháng "&amp;MONTH(AL268)</f>
        <v>Tháng 2</v>
      </c>
      <c r="AN268" s="69" t="s">
        <v>1376</v>
      </c>
    </row>
    <row r="269" spans="1:40" x14ac:dyDescent="0.25">
      <c r="A269" s="50" t="s">
        <v>1115</v>
      </c>
      <c r="B269" s="20" t="s">
        <v>23</v>
      </c>
      <c r="C269" s="35">
        <v>21186</v>
      </c>
      <c r="D269" s="29">
        <f ca="1">DATEDIF(C269,TODAY(),"Y")</f>
        <v>68</v>
      </c>
      <c r="E269" s="5" t="s">
        <v>26</v>
      </c>
      <c r="F269" s="30">
        <v>160</v>
      </c>
      <c r="G269" s="30">
        <v>55</v>
      </c>
      <c r="H269" s="31">
        <f>G269/((F269/100)*(F269/100))</f>
        <v>21.484374999999996</v>
      </c>
      <c r="I269" s="5">
        <v>95</v>
      </c>
      <c r="J269" s="30">
        <v>130</v>
      </c>
      <c r="K269" s="30">
        <v>80</v>
      </c>
      <c r="L269" s="29">
        <f>IF(B269="Nữ",0,2)</f>
        <v>0</v>
      </c>
      <c r="M269" s="29">
        <f ca="1">IF(D269&lt;45,0,IF(D269&lt;=49,1,2))</f>
        <v>2</v>
      </c>
      <c r="N269" s="29">
        <f>IF(E269="Có",4,0)</f>
        <v>0</v>
      </c>
      <c r="O269" s="29">
        <f>IF(H269&lt;23,0,IF(H269&lt;27.5,3,5))</f>
        <v>0</v>
      </c>
      <c r="P269" s="29">
        <f>IF(OR(AND(B269="Nam",I269&gt;=90),AND(B269="Nữ",I269&gt;=80)),2,0)</f>
        <v>2</v>
      </c>
      <c r="Q269" s="29">
        <f>IF(OR(J269&gt;=140,K269&gt;=90),2,0)</f>
        <v>0</v>
      </c>
      <c r="R269" s="29">
        <f ca="1">SUM(L269:Q269)</f>
        <v>4</v>
      </c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5" t="s">
        <v>1393</v>
      </c>
      <c r="AE269" s="33"/>
      <c r="AF269" s="59" t="str">
        <f t="shared" si="13"/>
        <v>Không</v>
      </c>
      <c r="AG269" s="59" t="str">
        <f t="shared" si="14"/>
        <v>Không</v>
      </c>
      <c r="AH269" s="29" t="str">
        <f t="shared" ca="1" si="12"/>
        <v>Không</v>
      </c>
      <c r="AI269" s="29" t="str">
        <f ca="1">IF((R269)&gt;=6,"Có","Không")</f>
        <v>Không</v>
      </c>
      <c r="AJ269" s="29" t="str">
        <f>IF(OR(J269&gt;=140,K269&gt;=90),"Có","Không")</f>
        <v>Không</v>
      </c>
      <c r="AK269" s="5" t="s">
        <v>51</v>
      </c>
      <c r="AL269" s="32">
        <v>46081</v>
      </c>
      <c r="AM269" s="29" t="str">
        <f>"Tháng "&amp;MONTH(AL269)</f>
        <v>Tháng 2</v>
      </c>
      <c r="AN269" s="69" t="s">
        <v>1376</v>
      </c>
    </row>
    <row r="270" spans="1:40" x14ac:dyDescent="0.25">
      <c r="A270" s="50" t="s">
        <v>1121</v>
      </c>
      <c r="B270" s="20" t="s">
        <v>23</v>
      </c>
      <c r="C270" s="35">
        <v>23377</v>
      </c>
      <c r="D270" s="29">
        <f ca="1">DATEDIF(C270,TODAY(),"Y")</f>
        <v>62</v>
      </c>
      <c r="E270" s="5" t="s">
        <v>26</v>
      </c>
      <c r="F270" s="30">
        <v>160</v>
      </c>
      <c r="G270" s="30">
        <v>67</v>
      </c>
      <c r="H270" s="31">
        <f>G270/((F270/100)*(F270/100))</f>
        <v>26.171874999999996</v>
      </c>
      <c r="I270" s="5">
        <v>74</v>
      </c>
      <c r="J270" s="30">
        <v>120</v>
      </c>
      <c r="K270" s="30">
        <v>80</v>
      </c>
      <c r="L270" s="29">
        <f>IF(B270="Nữ",0,2)</f>
        <v>0</v>
      </c>
      <c r="M270" s="29">
        <f ca="1">IF(D270&lt;45,0,IF(D270&lt;=49,1,2))</f>
        <v>2</v>
      </c>
      <c r="N270" s="29">
        <f>IF(E270="Có",4,0)</f>
        <v>0</v>
      </c>
      <c r="O270" s="29">
        <f>IF(H270&lt;23,0,IF(H270&lt;27.5,3,5))</f>
        <v>3</v>
      </c>
      <c r="P270" s="29">
        <f>IF(OR(AND(B270="Nam",I270&gt;=90),AND(B270="Nữ",I270&gt;=80)),2,0)</f>
        <v>0</v>
      </c>
      <c r="Q270" s="29">
        <f>IF(OR(J270&gt;=140,K270&gt;=90),2,0)</f>
        <v>0</v>
      </c>
      <c r="R270" s="29">
        <f ca="1">SUM(L270:Q270)</f>
        <v>5</v>
      </c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5" t="s">
        <v>1393</v>
      </c>
      <c r="AE270" s="33"/>
      <c r="AF270" s="59" t="str">
        <f t="shared" si="13"/>
        <v>Không</v>
      </c>
      <c r="AG270" s="59" t="str">
        <f t="shared" si="14"/>
        <v>Không</v>
      </c>
      <c r="AH270" s="29" t="str">
        <f t="shared" ca="1" si="12"/>
        <v>Không</v>
      </c>
      <c r="AI270" s="29" t="str">
        <f ca="1">IF((R270)&gt;=6,"Có","Không")</f>
        <v>Không</v>
      </c>
      <c r="AJ270" s="29" t="str">
        <f>IF(OR(J270&gt;=140,K270&gt;=90),"Có","Không")</f>
        <v>Không</v>
      </c>
      <c r="AK270" s="5" t="s">
        <v>51</v>
      </c>
      <c r="AL270" s="32">
        <v>46081</v>
      </c>
      <c r="AM270" s="29" t="str">
        <f>"Tháng "&amp;MONTH(AL270)</f>
        <v>Tháng 2</v>
      </c>
      <c r="AN270" s="69" t="s">
        <v>1376</v>
      </c>
    </row>
    <row r="271" spans="1:40" x14ac:dyDescent="0.25">
      <c r="A271" s="50" t="s">
        <v>1123</v>
      </c>
      <c r="B271" s="20" t="s">
        <v>23</v>
      </c>
      <c r="C271" s="35">
        <v>32874</v>
      </c>
      <c r="D271" s="29">
        <f ca="1">DATEDIF(C271,TODAY(),"Y")</f>
        <v>36</v>
      </c>
      <c r="E271" s="5" t="s">
        <v>26</v>
      </c>
      <c r="F271" s="30">
        <v>169</v>
      </c>
      <c r="G271" s="30">
        <v>78</v>
      </c>
      <c r="H271" s="31">
        <f>G271/((F271/100)*(F271/100))</f>
        <v>27.309968138370508</v>
      </c>
      <c r="I271" s="5">
        <v>82</v>
      </c>
      <c r="J271" s="30">
        <v>170</v>
      </c>
      <c r="K271" s="30">
        <v>80</v>
      </c>
      <c r="L271" s="29">
        <f>IF(B271="Nữ",0,2)</f>
        <v>0</v>
      </c>
      <c r="M271" s="29">
        <f ca="1">IF(D271&lt;45,0,IF(D271&lt;=49,1,2))</f>
        <v>0</v>
      </c>
      <c r="N271" s="29">
        <f>IF(E271="Có",4,0)</f>
        <v>0</v>
      </c>
      <c r="O271" s="29">
        <f>IF(H271&lt;23,0,IF(H271&lt;27.5,3,5))</f>
        <v>3</v>
      </c>
      <c r="P271" s="29">
        <f>IF(OR(AND(B271="Nam",I271&gt;=90),AND(B271="Nữ",I271&gt;=80)),2,0)</f>
        <v>2</v>
      </c>
      <c r="Q271" s="29">
        <f>IF(OR(J271&gt;=140,K271&gt;=90),2,0)</f>
        <v>2</v>
      </c>
      <c r="R271" s="29">
        <f ca="1">SUM(L271:Q271)</f>
        <v>7</v>
      </c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5" t="s">
        <v>1393</v>
      </c>
      <c r="AE271" s="33"/>
      <c r="AF271" s="59" t="str">
        <f t="shared" si="13"/>
        <v>Không</v>
      </c>
      <c r="AG271" s="59" t="str">
        <f t="shared" si="14"/>
        <v>Không</v>
      </c>
      <c r="AH271" s="29" t="str">
        <f t="shared" ca="1" si="12"/>
        <v>Có</v>
      </c>
      <c r="AI271" s="29" t="str">
        <f ca="1">IF((R271)&gt;=6,"Có","Không")</f>
        <v>Có</v>
      </c>
      <c r="AJ271" s="29" t="str">
        <f>IF(OR(J271&gt;=140,K271&gt;=90),"Có","Không")</f>
        <v>Có</v>
      </c>
      <c r="AK271" s="5" t="s">
        <v>51</v>
      </c>
      <c r="AL271" s="32">
        <v>46081</v>
      </c>
      <c r="AM271" s="29" t="str">
        <f>"Tháng "&amp;MONTH(AL271)</f>
        <v>Tháng 2</v>
      </c>
      <c r="AN271" s="69" t="s">
        <v>1376</v>
      </c>
    </row>
    <row r="272" spans="1:40" x14ac:dyDescent="0.25">
      <c r="A272" s="50" t="s">
        <v>1124</v>
      </c>
      <c r="B272" s="20" t="s">
        <v>23</v>
      </c>
      <c r="C272" s="35">
        <v>21186</v>
      </c>
      <c r="D272" s="29">
        <f ca="1">DATEDIF(C272,TODAY(),"Y")</f>
        <v>68</v>
      </c>
      <c r="E272" s="5" t="s">
        <v>26</v>
      </c>
      <c r="F272" s="30">
        <v>169</v>
      </c>
      <c r="G272" s="30">
        <v>68</v>
      </c>
      <c r="H272" s="31">
        <f>G272/((F272/100)*(F272/100))</f>
        <v>23.808690171912751</v>
      </c>
      <c r="I272" s="5">
        <v>76</v>
      </c>
      <c r="J272" s="30">
        <v>140</v>
      </c>
      <c r="K272" s="30">
        <v>80</v>
      </c>
      <c r="L272" s="29">
        <f>IF(B272="Nữ",0,2)</f>
        <v>0</v>
      </c>
      <c r="M272" s="29">
        <f ca="1">IF(D272&lt;45,0,IF(D272&lt;=49,1,2))</f>
        <v>2</v>
      </c>
      <c r="N272" s="29">
        <f>IF(E272="Có",4,0)</f>
        <v>0</v>
      </c>
      <c r="O272" s="29">
        <f>IF(H272&lt;23,0,IF(H272&lt;27.5,3,5))</f>
        <v>3</v>
      </c>
      <c r="P272" s="29">
        <f>IF(OR(AND(B272="Nam",I272&gt;=90),AND(B272="Nữ",I272&gt;=80)),2,0)</f>
        <v>0</v>
      </c>
      <c r="Q272" s="29">
        <f>IF(OR(J272&gt;=140,K272&gt;=90),2,0)</f>
        <v>2</v>
      </c>
      <c r="R272" s="29">
        <f ca="1">SUM(L272:Q272)</f>
        <v>7</v>
      </c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5" t="s">
        <v>1393</v>
      </c>
      <c r="AE272" s="33"/>
      <c r="AF272" s="59" t="str">
        <f t="shared" si="13"/>
        <v>Không</v>
      </c>
      <c r="AG272" s="59" t="str">
        <f t="shared" si="14"/>
        <v>Không</v>
      </c>
      <c r="AH272" s="29" t="str">
        <f t="shared" ca="1" si="12"/>
        <v>Có</v>
      </c>
      <c r="AI272" s="29" t="str">
        <f ca="1">IF((R272)&gt;=6,"Có","Không")</f>
        <v>Có</v>
      </c>
      <c r="AJ272" s="29" t="str">
        <f>IF(OR(J272&gt;=140,K272&gt;=90),"Có","Không")</f>
        <v>Có</v>
      </c>
      <c r="AK272" s="5" t="s">
        <v>51</v>
      </c>
      <c r="AL272" s="32">
        <v>46081</v>
      </c>
      <c r="AM272" s="29" t="str">
        <f>"Tháng "&amp;MONTH(AL272)</f>
        <v>Tháng 2</v>
      </c>
      <c r="AN272" s="69" t="s">
        <v>1376</v>
      </c>
    </row>
    <row r="273" spans="1:40" x14ac:dyDescent="0.25">
      <c r="A273" s="50" t="s">
        <v>451</v>
      </c>
      <c r="B273" s="20" t="s">
        <v>23</v>
      </c>
      <c r="C273" s="35">
        <v>29221</v>
      </c>
      <c r="D273" s="29">
        <f ca="1">DATEDIF(C273,TODAY(),"Y")</f>
        <v>46</v>
      </c>
      <c r="E273" s="5" t="s">
        <v>26</v>
      </c>
      <c r="F273" s="30">
        <v>158</v>
      </c>
      <c r="G273" s="30">
        <v>58</v>
      </c>
      <c r="H273" s="31">
        <f>G273/((F273/100)*(F273/100))</f>
        <v>23.233456176894723</v>
      </c>
      <c r="I273" s="5">
        <v>66</v>
      </c>
      <c r="J273" s="30">
        <v>120</v>
      </c>
      <c r="K273" s="30">
        <v>80</v>
      </c>
      <c r="L273" s="29">
        <f>IF(B273="Nữ",0,2)</f>
        <v>0</v>
      </c>
      <c r="M273" s="29">
        <f ca="1">IF(D273&lt;45,0,IF(D273&lt;=49,1,2))</f>
        <v>1</v>
      </c>
      <c r="N273" s="29">
        <f>IF(E273="Có",4,0)</f>
        <v>0</v>
      </c>
      <c r="O273" s="29">
        <f>IF(H273&lt;23,0,IF(H273&lt;27.5,3,5))</f>
        <v>3</v>
      </c>
      <c r="P273" s="29">
        <f>IF(OR(AND(B273="Nam",I273&gt;=90),AND(B273="Nữ",I273&gt;=80)),2,0)</f>
        <v>0</v>
      </c>
      <c r="Q273" s="29">
        <f>IF(OR(J273&gt;=140,K273&gt;=90),2,0)</f>
        <v>0</v>
      </c>
      <c r="R273" s="29">
        <f ca="1">SUM(L273:Q273)</f>
        <v>4</v>
      </c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5" t="s">
        <v>1393</v>
      </c>
      <c r="AE273" s="33"/>
      <c r="AF273" s="59" t="str">
        <f t="shared" si="13"/>
        <v>Không</v>
      </c>
      <c r="AG273" s="59" t="str">
        <f t="shared" si="14"/>
        <v>Không</v>
      </c>
      <c r="AH273" s="29" t="str">
        <f t="shared" ca="1" si="12"/>
        <v>Không</v>
      </c>
      <c r="AI273" s="29" t="str">
        <f ca="1">IF((R273)&gt;=6,"Có","Không")</f>
        <v>Không</v>
      </c>
      <c r="AJ273" s="29" t="str">
        <f>IF(OR(J273&gt;=140,K273&gt;=90),"Có","Không")</f>
        <v>Không</v>
      </c>
      <c r="AK273" s="5" t="s">
        <v>51</v>
      </c>
      <c r="AL273" s="32">
        <v>46081</v>
      </c>
      <c r="AM273" s="29" t="str">
        <f>"Tháng "&amp;MONTH(AL273)</f>
        <v>Tháng 2</v>
      </c>
      <c r="AN273" s="69" t="s">
        <v>1376</v>
      </c>
    </row>
    <row r="274" spans="1:40" x14ac:dyDescent="0.25">
      <c r="A274" s="51" t="s">
        <v>469</v>
      </c>
      <c r="B274" s="20" t="s">
        <v>30</v>
      </c>
      <c r="C274" s="35">
        <v>18264</v>
      </c>
      <c r="D274" s="29">
        <f ca="1">DATEDIF(C274,TODAY(),"Y")</f>
        <v>76</v>
      </c>
      <c r="E274" s="5" t="s">
        <v>26</v>
      </c>
      <c r="F274" s="30">
        <v>169</v>
      </c>
      <c r="G274" s="30">
        <v>68</v>
      </c>
      <c r="H274" s="31">
        <f>G274/((F274/100)*(F274/100))</f>
        <v>23.808690171912751</v>
      </c>
      <c r="I274" s="5">
        <v>89</v>
      </c>
      <c r="J274" s="30">
        <v>120</v>
      </c>
      <c r="K274" s="30">
        <v>80</v>
      </c>
      <c r="L274" s="29">
        <f>IF(B274="Nữ",0,2)</f>
        <v>2</v>
      </c>
      <c r="M274" s="29">
        <f ca="1">IF(D274&lt;45,0,IF(D274&lt;=49,1,2))</f>
        <v>2</v>
      </c>
      <c r="N274" s="29">
        <f>IF(E274="Có",4,0)</f>
        <v>0</v>
      </c>
      <c r="O274" s="29">
        <f>IF(H274&lt;23,0,IF(H274&lt;27.5,3,5))</f>
        <v>3</v>
      </c>
      <c r="P274" s="29">
        <f>IF(OR(AND(B274="Nam",I274&gt;=90),AND(B274="Nữ",I274&gt;=80)),2,0)</f>
        <v>0</v>
      </c>
      <c r="Q274" s="29">
        <f>IF(OR(J274&gt;=140,K274&gt;=90),2,0)</f>
        <v>0</v>
      </c>
      <c r="R274" s="29">
        <f ca="1">SUM(L274:Q274)</f>
        <v>7</v>
      </c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5" t="s">
        <v>1393</v>
      </c>
      <c r="AE274" s="33"/>
      <c r="AF274" s="59" t="str">
        <f t="shared" si="13"/>
        <v>Không</v>
      </c>
      <c r="AG274" s="59" t="str">
        <f t="shared" si="14"/>
        <v>Không</v>
      </c>
      <c r="AH274" s="29" t="str">
        <f t="shared" ca="1" si="12"/>
        <v>Có</v>
      </c>
      <c r="AI274" s="29" t="str">
        <f ca="1">IF((R274)&gt;=6,"Có","Không")</f>
        <v>Có</v>
      </c>
      <c r="AJ274" s="29" t="str">
        <f>IF(OR(J274&gt;=140,K274&gt;=90),"Có","Không")</f>
        <v>Không</v>
      </c>
      <c r="AK274" s="5" t="s">
        <v>51</v>
      </c>
      <c r="AL274" s="32">
        <v>46081</v>
      </c>
      <c r="AM274" s="29" t="str">
        <f>"Tháng "&amp;MONTH(AL274)</f>
        <v>Tháng 2</v>
      </c>
      <c r="AN274" s="69" t="s">
        <v>1376</v>
      </c>
    </row>
    <row r="275" spans="1:40" x14ac:dyDescent="0.25">
      <c r="A275" s="51" t="s">
        <v>967</v>
      </c>
      <c r="B275" s="20" t="s">
        <v>23</v>
      </c>
      <c r="C275" s="35">
        <v>21186</v>
      </c>
      <c r="D275" s="29">
        <f ca="1">DATEDIF(C275,TODAY(),"Y")</f>
        <v>68</v>
      </c>
      <c r="E275" s="5" t="s">
        <v>26</v>
      </c>
      <c r="F275" s="30">
        <v>158</v>
      </c>
      <c r="G275" s="30">
        <v>45</v>
      </c>
      <c r="H275" s="31">
        <f>G275/((F275/100)*(F275/100))</f>
        <v>18.025957378625218</v>
      </c>
      <c r="I275" s="5">
        <v>90</v>
      </c>
      <c r="J275" s="30">
        <v>120</v>
      </c>
      <c r="K275" s="30">
        <v>80</v>
      </c>
      <c r="L275" s="29">
        <f>IF(B275="Nữ",0,2)</f>
        <v>0</v>
      </c>
      <c r="M275" s="29">
        <f ca="1">IF(D275&lt;45,0,IF(D275&lt;=49,1,2))</f>
        <v>2</v>
      </c>
      <c r="N275" s="29">
        <f>IF(E275="Có",4,0)</f>
        <v>0</v>
      </c>
      <c r="O275" s="29">
        <f>IF(H275&lt;23,0,IF(H275&lt;27.5,3,5))</f>
        <v>0</v>
      </c>
      <c r="P275" s="29">
        <f>IF(OR(AND(B275="Nam",I275&gt;=90),AND(B275="Nữ",I275&gt;=80)),2,0)</f>
        <v>2</v>
      </c>
      <c r="Q275" s="29">
        <f>IF(OR(J275&gt;=140,K275&gt;=90),2,0)</f>
        <v>0</v>
      </c>
      <c r="R275" s="29">
        <f ca="1">SUM(L275:Q275)</f>
        <v>4</v>
      </c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5" t="s">
        <v>1393</v>
      </c>
      <c r="AE275" s="33"/>
      <c r="AF275" s="59" t="str">
        <f t="shared" si="13"/>
        <v>Không</v>
      </c>
      <c r="AG275" s="59" t="str">
        <f t="shared" si="14"/>
        <v>Không</v>
      </c>
      <c r="AH275" s="29" t="str">
        <f t="shared" ca="1" si="12"/>
        <v>Không</v>
      </c>
      <c r="AI275" s="29" t="str">
        <f ca="1">IF((R275)&gt;=6,"Có","Không")</f>
        <v>Không</v>
      </c>
      <c r="AJ275" s="29" t="str">
        <f>IF(OR(J275&gt;=140,K275&gt;=90),"Có","Không")</f>
        <v>Không</v>
      </c>
      <c r="AK275" s="5" t="s">
        <v>51</v>
      </c>
      <c r="AL275" s="32">
        <v>46081</v>
      </c>
      <c r="AM275" s="29" t="str">
        <f>"Tháng "&amp;MONTH(AL275)</f>
        <v>Tháng 2</v>
      </c>
      <c r="AN275" s="69" t="s">
        <v>1376</v>
      </c>
    </row>
    <row r="276" spans="1:40" x14ac:dyDescent="0.25">
      <c r="A276" s="51" t="s">
        <v>1126</v>
      </c>
      <c r="B276" s="20" t="s">
        <v>23</v>
      </c>
      <c r="C276" s="35">
        <v>18264</v>
      </c>
      <c r="D276" s="29">
        <f ca="1">DATEDIF(C276,TODAY(),"Y")</f>
        <v>76</v>
      </c>
      <c r="E276" s="5" t="s">
        <v>25</v>
      </c>
      <c r="F276" s="30">
        <v>158</v>
      </c>
      <c r="G276" s="30">
        <v>58</v>
      </c>
      <c r="H276" s="31">
        <f>G276/((F276/100)*(F276/100))</f>
        <v>23.233456176894723</v>
      </c>
      <c r="I276" s="5">
        <v>67</v>
      </c>
      <c r="J276" s="30">
        <v>120</v>
      </c>
      <c r="K276" s="30">
        <v>70</v>
      </c>
      <c r="L276" s="29">
        <f>IF(B276="Nữ",0,2)</f>
        <v>0</v>
      </c>
      <c r="M276" s="29">
        <f ca="1">IF(D276&lt;45,0,IF(D276&lt;=49,1,2))</f>
        <v>2</v>
      </c>
      <c r="N276" s="29">
        <f>IF(E276="Có",4,0)</f>
        <v>4</v>
      </c>
      <c r="O276" s="29">
        <f>IF(H276&lt;23,0,IF(H276&lt;27.5,3,5))</f>
        <v>3</v>
      </c>
      <c r="P276" s="29">
        <f>IF(OR(AND(B276="Nam",I276&gt;=90),AND(B276="Nữ",I276&gt;=80)),2,0)</f>
        <v>0</v>
      </c>
      <c r="Q276" s="29">
        <f>IF(OR(J276&gt;=140,K276&gt;=90),2,0)</f>
        <v>0</v>
      </c>
      <c r="R276" s="29">
        <f ca="1">SUM(L276:Q276)</f>
        <v>9</v>
      </c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5" t="s">
        <v>1393</v>
      </c>
      <c r="AE276" s="33"/>
      <c r="AF276" s="59" t="str">
        <f t="shared" si="13"/>
        <v>Không</v>
      </c>
      <c r="AG276" s="59" t="str">
        <f t="shared" si="14"/>
        <v>Không</v>
      </c>
      <c r="AH276" s="29" t="str">
        <f t="shared" ca="1" si="12"/>
        <v>Có</v>
      </c>
      <c r="AI276" s="29" t="str">
        <f ca="1">IF((R276)&gt;=6,"Có","Không")</f>
        <v>Có</v>
      </c>
      <c r="AJ276" s="29" t="str">
        <f>IF(OR(J276&gt;=140,K276&gt;=90),"Có","Không")</f>
        <v>Không</v>
      </c>
      <c r="AK276" s="5" t="s">
        <v>51</v>
      </c>
      <c r="AL276" s="32">
        <v>46081</v>
      </c>
      <c r="AM276" s="29" t="str">
        <f>"Tháng "&amp;MONTH(AL276)</f>
        <v>Tháng 2</v>
      </c>
      <c r="AN276" s="69" t="s">
        <v>1376</v>
      </c>
    </row>
    <row r="277" spans="1:40" x14ac:dyDescent="0.25">
      <c r="A277" s="51" t="s">
        <v>954</v>
      </c>
      <c r="B277" s="20" t="s">
        <v>30</v>
      </c>
      <c r="C277" s="35">
        <v>25569</v>
      </c>
      <c r="D277" s="29">
        <f ca="1">DATEDIF(C277,TODAY(),"Y")</f>
        <v>56</v>
      </c>
      <c r="E277" s="5" t="s">
        <v>25</v>
      </c>
      <c r="F277" s="30">
        <v>169</v>
      </c>
      <c r="G277" s="30">
        <v>68</v>
      </c>
      <c r="H277" s="31">
        <f>G277/((F277/100)*(F277/100))</f>
        <v>23.808690171912751</v>
      </c>
      <c r="I277" s="5">
        <v>85</v>
      </c>
      <c r="J277" s="30">
        <v>140</v>
      </c>
      <c r="K277" s="30">
        <v>80</v>
      </c>
      <c r="L277" s="29">
        <f>IF(B277="Nữ",0,2)</f>
        <v>2</v>
      </c>
      <c r="M277" s="29">
        <f ca="1">IF(D277&lt;45,0,IF(D277&lt;=49,1,2))</f>
        <v>2</v>
      </c>
      <c r="N277" s="29">
        <f>IF(E277="Có",4,0)</f>
        <v>4</v>
      </c>
      <c r="O277" s="29">
        <f>IF(H277&lt;23,0,IF(H277&lt;27.5,3,5))</f>
        <v>3</v>
      </c>
      <c r="P277" s="29">
        <f>IF(OR(AND(B277="Nam",I277&gt;=90),AND(B277="Nữ",I277&gt;=80)),2,0)</f>
        <v>0</v>
      </c>
      <c r="Q277" s="29">
        <f>IF(OR(J277&gt;=140,K277&gt;=90),2,0)</f>
        <v>2</v>
      </c>
      <c r="R277" s="29">
        <f ca="1">SUM(L277:Q277)</f>
        <v>13</v>
      </c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5" t="s">
        <v>1393</v>
      </c>
      <c r="AE277" s="33"/>
      <c r="AF277" s="59" t="str">
        <f t="shared" si="13"/>
        <v>Không</v>
      </c>
      <c r="AG277" s="59" t="str">
        <f t="shared" si="14"/>
        <v>Không</v>
      </c>
      <c r="AH277" s="29" t="str">
        <f t="shared" ca="1" si="12"/>
        <v>Có</v>
      </c>
      <c r="AI277" s="29" t="str">
        <f ca="1">IF((R277)&gt;=6,"Có","Không")</f>
        <v>Có</v>
      </c>
      <c r="AJ277" s="29" t="str">
        <f>IF(OR(J277&gt;=140,K277&gt;=90),"Có","Không")</f>
        <v>Có</v>
      </c>
      <c r="AK277" s="5" t="s">
        <v>51</v>
      </c>
      <c r="AL277" s="32">
        <v>46081</v>
      </c>
      <c r="AM277" s="29" t="str">
        <f>"Tháng "&amp;MONTH(AL277)</f>
        <v>Tháng 2</v>
      </c>
      <c r="AN277" s="69" t="s">
        <v>1376</v>
      </c>
    </row>
    <row r="278" spans="1:40" x14ac:dyDescent="0.25">
      <c r="A278" s="51" t="s">
        <v>1135</v>
      </c>
      <c r="B278" s="20" t="s">
        <v>23</v>
      </c>
      <c r="C278" s="35">
        <v>28126</v>
      </c>
      <c r="D278" s="29">
        <f ca="1">DATEDIF(C278,TODAY(),"Y")</f>
        <v>49</v>
      </c>
      <c r="E278" s="5" t="s">
        <v>26</v>
      </c>
      <c r="F278" s="30">
        <v>168</v>
      </c>
      <c r="G278" s="30">
        <v>62</v>
      </c>
      <c r="H278" s="31">
        <f>G278/((F278/100)*(F278/100))</f>
        <v>21.9671201814059</v>
      </c>
      <c r="I278" s="5">
        <v>82</v>
      </c>
      <c r="J278" s="30">
        <v>140</v>
      </c>
      <c r="K278" s="30">
        <v>90</v>
      </c>
      <c r="L278" s="29">
        <f>IF(B278="Nữ",0,2)</f>
        <v>0</v>
      </c>
      <c r="M278" s="29">
        <f ca="1">IF(D278&lt;45,0,IF(D278&lt;=49,1,2))</f>
        <v>1</v>
      </c>
      <c r="N278" s="29">
        <f>IF(E278="Có",4,0)</f>
        <v>0</v>
      </c>
      <c r="O278" s="29">
        <f>IF(H278&lt;23,0,IF(H278&lt;27.5,3,5))</f>
        <v>0</v>
      </c>
      <c r="P278" s="29">
        <f>IF(OR(AND(B278="Nam",I278&gt;=90),AND(B278="Nữ",I278&gt;=80)),2,0)</f>
        <v>2</v>
      </c>
      <c r="Q278" s="29">
        <f>IF(OR(J278&gt;=140,K278&gt;=90),2,0)</f>
        <v>2</v>
      </c>
      <c r="R278" s="29">
        <f ca="1">SUM(L278:Q278)</f>
        <v>5</v>
      </c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5" t="s">
        <v>1393</v>
      </c>
      <c r="AE278" s="33"/>
      <c r="AF278" s="59" t="str">
        <f t="shared" si="13"/>
        <v>Không</v>
      </c>
      <c r="AG278" s="59" t="str">
        <f t="shared" si="14"/>
        <v>Không</v>
      </c>
      <c r="AH278" s="29" t="str">
        <f t="shared" ca="1" si="12"/>
        <v>Không</v>
      </c>
      <c r="AI278" s="29" t="str">
        <f ca="1">IF((R278)&gt;=6,"Có","Không")</f>
        <v>Không</v>
      </c>
      <c r="AJ278" s="29" t="str">
        <f>IF(OR(J278&gt;=140,K278&gt;=90),"Có","Không")</f>
        <v>Có</v>
      </c>
      <c r="AK278" s="5" t="s">
        <v>51</v>
      </c>
      <c r="AL278" s="32">
        <v>46081</v>
      </c>
      <c r="AM278" s="29" t="str">
        <f>"Tháng "&amp;MONTH(AL278)</f>
        <v>Tháng 2</v>
      </c>
      <c r="AN278" s="69" t="s">
        <v>1376</v>
      </c>
    </row>
    <row r="279" spans="1:40" x14ac:dyDescent="0.25">
      <c r="A279" s="51" t="s">
        <v>224</v>
      </c>
      <c r="B279" s="20" t="s">
        <v>23</v>
      </c>
      <c r="C279" s="35">
        <v>21551</v>
      </c>
      <c r="D279" s="29">
        <f ca="1">DATEDIF(C279,TODAY(),"Y")</f>
        <v>67</v>
      </c>
      <c r="E279" s="5" t="s">
        <v>26</v>
      </c>
      <c r="F279" s="30">
        <v>158</v>
      </c>
      <c r="G279" s="30">
        <v>58</v>
      </c>
      <c r="H279" s="31">
        <f>G279/((F279/100)*(F279/100))</f>
        <v>23.233456176894723</v>
      </c>
      <c r="I279" s="5">
        <v>65</v>
      </c>
      <c r="J279" s="30">
        <v>120</v>
      </c>
      <c r="K279" s="30">
        <v>80</v>
      </c>
      <c r="L279" s="29">
        <f>IF(B279="Nữ",0,2)</f>
        <v>0</v>
      </c>
      <c r="M279" s="29">
        <f ca="1">IF(D279&lt;45,0,IF(D279&lt;=49,1,2))</f>
        <v>2</v>
      </c>
      <c r="N279" s="29">
        <f>IF(E279="Có",4,0)</f>
        <v>0</v>
      </c>
      <c r="O279" s="29">
        <f>IF(H279&lt;23,0,IF(H279&lt;27.5,3,5))</f>
        <v>3</v>
      </c>
      <c r="P279" s="29">
        <f>IF(OR(AND(B279="Nam",I279&gt;=90),AND(B279="Nữ",I279&gt;=80)),2,0)</f>
        <v>0</v>
      </c>
      <c r="Q279" s="29">
        <f>IF(OR(J279&gt;=140,K279&gt;=90),2,0)</f>
        <v>0</v>
      </c>
      <c r="R279" s="29">
        <f ca="1">SUM(L279:Q279)</f>
        <v>5</v>
      </c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5" t="s">
        <v>1393</v>
      </c>
      <c r="AE279" s="33"/>
      <c r="AF279" s="59" t="str">
        <f t="shared" si="13"/>
        <v>Không</v>
      </c>
      <c r="AG279" s="59" t="str">
        <f t="shared" si="14"/>
        <v>Không</v>
      </c>
      <c r="AH279" s="29" t="str">
        <f t="shared" ca="1" si="12"/>
        <v>Không</v>
      </c>
      <c r="AI279" s="29" t="str">
        <f ca="1">IF((R279)&gt;=6,"Có","Không")</f>
        <v>Không</v>
      </c>
      <c r="AJ279" s="29" t="str">
        <f>IF(OR(J279&gt;=140,K279&gt;=90),"Có","Không")</f>
        <v>Không</v>
      </c>
      <c r="AK279" s="5" t="s">
        <v>51</v>
      </c>
      <c r="AL279" s="32">
        <v>46081</v>
      </c>
      <c r="AM279" s="29" t="str">
        <f>"Tháng "&amp;MONTH(AL279)</f>
        <v>Tháng 2</v>
      </c>
      <c r="AN279" s="69" t="s">
        <v>1376</v>
      </c>
    </row>
    <row r="280" spans="1:40" x14ac:dyDescent="0.25">
      <c r="A280" s="51" t="s">
        <v>240</v>
      </c>
      <c r="B280" s="20" t="s">
        <v>30</v>
      </c>
      <c r="C280" s="35">
        <v>23377</v>
      </c>
      <c r="D280" s="29">
        <f ca="1">DATEDIF(C280,TODAY(),"Y")</f>
        <v>62</v>
      </c>
      <c r="E280" s="5" t="s">
        <v>26</v>
      </c>
      <c r="F280" s="30">
        <v>162</v>
      </c>
      <c r="G280" s="30">
        <v>56</v>
      </c>
      <c r="H280" s="31">
        <f>G280/((F280/100)*(F280/100))</f>
        <v>21.338210638622158</v>
      </c>
      <c r="I280" s="5">
        <v>85</v>
      </c>
      <c r="J280" s="30">
        <v>120</v>
      </c>
      <c r="K280" s="30" t="s">
        <v>27</v>
      </c>
      <c r="L280" s="29">
        <f>IF(B280="Nữ",0,2)</f>
        <v>2</v>
      </c>
      <c r="M280" s="29">
        <f ca="1">IF(D280&lt;45,0,IF(D280&lt;=49,1,2))</f>
        <v>2</v>
      </c>
      <c r="N280" s="29">
        <f>IF(E280="Có",4,0)</f>
        <v>0</v>
      </c>
      <c r="O280" s="29">
        <f>IF(H280&lt;23,0,IF(H280&lt;27.5,3,5))</f>
        <v>0</v>
      </c>
      <c r="P280" s="29">
        <f>IF(OR(AND(B280="Nam",I280&gt;=90),AND(B280="Nữ",I280&gt;=80)),2,0)</f>
        <v>0</v>
      </c>
      <c r="Q280" s="29">
        <f>IF(OR(J280&gt;=140,K280&gt;=90),2,0)</f>
        <v>2</v>
      </c>
      <c r="R280" s="29">
        <f ca="1">SUM(L280:Q280)</f>
        <v>6</v>
      </c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5" t="s">
        <v>1393</v>
      </c>
      <c r="AE280" s="33"/>
      <c r="AF280" s="59" t="str">
        <f t="shared" si="13"/>
        <v>Không</v>
      </c>
      <c r="AG280" s="59" t="str">
        <f t="shared" si="14"/>
        <v>Không</v>
      </c>
      <c r="AH280" s="29" t="str">
        <f t="shared" ca="1" si="12"/>
        <v>Có</v>
      </c>
      <c r="AI280" s="29" t="str">
        <f ca="1">IF((R280)&gt;=6,"Có","Không")</f>
        <v>Có</v>
      </c>
      <c r="AJ280" s="29" t="str">
        <f>IF(OR(J280&gt;=140,K280&gt;=90),"Có","Không")</f>
        <v>Có</v>
      </c>
      <c r="AK280" s="5" t="s">
        <v>51</v>
      </c>
      <c r="AL280" s="32">
        <v>46081</v>
      </c>
      <c r="AM280" s="29" t="str">
        <f>"Tháng "&amp;MONTH(AL280)</f>
        <v>Tháng 2</v>
      </c>
      <c r="AN280" s="69" t="s">
        <v>1376</v>
      </c>
    </row>
    <row r="281" spans="1:40" x14ac:dyDescent="0.25">
      <c r="A281" s="51" t="s">
        <v>722</v>
      </c>
      <c r="B281" s="20" t="s">
        <v>30</v>
      </c>
      <c r="C281" s="35">
        <v>24838</v>
      </c>
      <c r="D281" s="29">
        <f ca="1">DATEDIF(C281,TODAY(),"Y")</f>
        <v>58</v>
      </c>
      <c r="E281" s="5" t="s">
        <v>25</v>
      </c>
      <c r="F281" s="30">
        <v>158</v>
      </c>
      <c r="G281" s="30">
        <v>58</v>
      </c>
      <c r="H281" s="31">
        <f>G281/((F281/100)*(F281/100))</f>
        <v>23.233456176894723</v>
      </c>
      <c r="I281" s="5">
        <v>84</v>
      </c>
      <c r="J281" s="30">
        <v>120</v>
      </c>
      <c r="K281" s="30">
        <v>80</v>
      </c>
      <c r="L281" s="29">
        <f>IF(B281="Nữ",0,2)</f>
        <v>2</v>
      </c>
      <c r="M281" s="29">
        <f ca="1">IF(D281&lt;45,0,IF(D281&lt;=49,1,2))</f>
        <v>2</v>
      </c>
      <c r="N281" s="29">
        <f>IF(E281="Có",4,0)</f>
        <v>4</v>
      </c>
      <c r="O281" s="29">
        <f>IF(H281&lt;23,0,IF(H281&lt;27.5,3,5))</f>
        <v>3</v>
      </c>
      <c r="P281" s="29">
        <f>IF(OR(AND(B281="Nam",I281&gt;=90),AND(B281="Nữ",I281&gt;=80)),2,0)</f>
        <v>0</v>
      </c>
      <c r="Q281" s="29">
        <f>IF(OR(J281&gt;=140,K281&gt;=90),2,0)</f>
        <v>0</v>
      </c>
      <c r="R281" s="29">
        <f ca="1">SUM(L281:Q281)</f>
        <v>11</v>
      </c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5" t="s">
        <v>1393</v>
      </c>
      <c r="AE281" s="33"/>
      <c r="AF281" s="59" t="str">
        <f t="shared" si="13"/>
        <v>Không</v>
      </c>
      <c r="AG281" s="59" t="str">
        <f t="shared" si="14"/>
        <v>Không</v>
      </c>
      <c r="AH281" s="29" t="str">
        <f t="shared" ca="1" si="12"/>
        <v>Có</v>
      </c>
      <c r="AI281" s="29" t="str">
        <f ca="1">IF((R281)&gt;=6,"Có","Không")</f>
        <v>Có</v>
      </c>
      <c r="AJ281" s="29" t="str">
        <f>IF(OR(J281&gt;=140,K281&gt;=90),"Có","Không")</f>
        <v>Không</v>
      </c>
      <c r="AK281" s="5" t="s">
        <v>51</v>
      </c>
      <c r="AL281" s="32">
        <v>46081</v>
      </c>
      <c r="AM281" s="29" t="str">
        <f>"Tháng "&amp;MONTH(AL281)</f>
        <v>Tháng 2</v>
      </c>
      <c r="AN281" s="69" t="s">
        <v>1376</v>
      </c>
    </row>
    <row r="282" spans="1:40" x14ac:dyDescent="0.25">
      <c r="A282" s="51" t="s">
        <v>430</v>
      </c>
      <c r="B282" s="20" t="s">
        <v>30</v>
      </c>
      <c r="C282" s="35">
        <v>20090</v>
      </c>
      <c r="D282" s="29">
        <f ca="1">DATEDIF(C282,TODAY(),"Y")</f>
        <v>71</v>
      </c>
      <c r="E282" s="5" t="s">
        <v>26</v>
      </c>
      <c r="F282" s="30">
        <v>175</v>
      </c>
      <c r="G282" s="30">
        <v>80</v>
      </c>
      <c r="H282" s="31">
        <f>G282/((F282/100)*(F282/100))</f>
        <v>26.122448979591837</v>
      </c>
      <c r="I282" s="5">
        <v>81</v>
      </c>
      <c r="J282" s="30">
        <v>150</v>
      </c>
      <c r="K282" s="30">
        <v>80</v>
      </c>
      <c r="L282" s="29">
        <f>IF(B282="Nữ",0,2)</f>
        <v>2</v>
      </c>
      <c r="M282" s="29">
        <f ca="1">IF(D282&lt;45,0,IF(D282&lt;=49,1,2))</f>
        <v>2</v>
      </c>
      <c r="N282" s="29">
        <f>IF(E282="Có",4,0)</f>
        <v>0</v>
      </c>
      <c r="O282" s="29">
        <f>IF(H282&lt;23,0,IF(H282&lt;27.5,3,5))</f>
        <v>3</v>
      </c>
      <c r="P282" s="29">
        <f>IF(OR(AND(B282="Nam",I282&gt;=90),AND(B282="Nữ",I282&gt;=80)),2,0)</f>
        <v>0</v>
      </c>
      <c r="Q282" s="29">
        <f>IF(OR(J282&gt;=140,K282&gt;=90),2,0)</f>
        <v>2</v>
      </c>
      <c r="R282" s="29">
        <f ca="1">SUM(L282:Q282)</f>
        <v>9</v>
      </c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5" t="s">
        <v>1393</v>
      </c>
      <c r="AE282" s="33"/>
      <c r="AF282" s="59" t="str">
        <f t="shared" si="13"/>
        <v>Không</v>
      </c>
      <c r="AG282" s="59" t="str">
        <f t="shared" si="14"/>
        <v>Không</v>
      </c>
      <c r="AH282" s="29" t="str">
        <f t="shared" ca="1" si="12"/>
        <v>Có</v>
      </c>
      <c r="AI282" s="29" t="str">
        <f ca="1">IF((R282)&gt;=6,"Có","Không")</f>
        <v>Có</v>
      </c>
      <c r="AJ282" s="29" t="str">
        <f>IF(OR(J282&gt;=140,K282&gt;=90),"Có","Không")</f>
        <v>Có</v>
      </c>
      <c r="AK282" s="5" t="s">
        <v>51</v>
      </c>
      <c r="AL282" s="32">
        <v>46081</v>
      </c>
      <c r="AM282" s="29" t="str">
        <f>"Tháng "&amp;MONTH(AL282)</f>
        <v>Tháng 2</v>
      </c>
      <c r="AN282" s="69" t="s">
        <v>1376</v>
      </c>
    </row>
    <row r="283" spans="1:40" x14ac:dyDescent="0.25">
      <c r="A283" s="51" t="s">
        <v>136</v>
      </c>
      <c r="B283" s="20" t="s">
        <v>30</v>
      </c>
      <c r="C283" s="35">
        <v>25204</v>
      </c>
      <c r="D283" s="29">
        <f ca="1">DATEDIF(C283,TODAY(),"Y")</f>
        <v>57</v>
      </c>
      <c r="E283" s="5" t="s">
        <v>26</v>
      </c>
      <c r="F283" s="30">
        <v>147</v>
      </c>
      <c r="G283" s="30">
        <v>47</v>
      </c>
      <c r="H283" s="31">
        <f>G283/((F283/100)*(F283/100))</f>
        <v>21.750196677310381</v>
      </c>
      <c r="I283" s="5">
        <v>76</v>
      </c>
      <c r="J283" s="30">
        <v>120</v>
      </c>
      <c r="K283" s="30">
        <v>80</v>
      </c>
      <c r="L283" s="29">
        <f>IF(B283="Nữ",0,2)</f>
        <v>2</v>
      </c>
      <c r="M283" s="29">
        <f ca="1">IF(D283&lt;45,0,IF(D283&lt;=49,1,2))</f>
        <v>2</v>
      </c>
      <c r="N283" s="29">
        <f>IF(E283="Có",4,0)</f>
        <v>0</v>
      </c>
      <c r="O283" s="29">
        <f>IF(H283&lt;23,0,IF(H283&lt;27.5,3,5))</f>
        <v>0</v>
      </c>
      <c r="P283" s="29">
        <f>IF(OR(AND(B283="Nam",I283&gt;=90),AND(B283="Nữ",I283&gt;=80)),2,0)</f>
        <v>0</v>
      </c>
      <c r="Q283" s="29">
        <f>IF(OR(J283&gt;=140,K283&gt;=90),2,0)</f>
        <v>0</v>
      </c>
      <c r="R283" s="29">
        <f ca="1">SUM(L283:Q283)</f>
        <v>4</v>
      </c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5" t="s">
        <v>1393</v>
      </c>
      <c r="AE283" s="33"/>
      <c r="AF283" s="59" t="str">
        <f t="shared" si="13"/>
        <v>Không</v>
      </c>
      <c r="AG283" s="59" t="str">
        <f t="shared" si="14"/>
        <v>Không</v>
      </c>
      <c r="AH283" s="29" t="str">
        <f t="shared" ca="1" si="12"/>
        <v>Không</v>
      </c>
      <c r="AI283" s="29" t="str">
        <f ca="1">IF((R283)&gt;=6,"Có","Không")</f>
        <v>Không</v>
      </c>
      <c r="AJ283" s="29" t="str">
        <f>IF(OR(J283&gt;=140,K283&gt;=90),"Có","Không")</f>
        <v>Không</v>
      </c>
      <c r="AK283" s="5" t="s">
        <v>51</v>
      </c>
      <c r="AL283" s="32">
        <v>46081</v>
      </c>
      <c r="AM283" s="29" t="str">
        <f>"Tháng "&amp;MONTH(AL283)</f>
        <v>Tháng 2</v>
      </c>
      <c r="AN283" s="69" t="s">
        <v>1376</v>
      </c>
    </row>
    <row r="284" spans="1:40" x14ac:dyDescent="0.25">
      <c r="A284" s="51" t="s">
        <v>888</v>
      </c>
      <c r="B284" s="20" t="s">
        <v>30</v>
      </c>
      <c r="C284" s="35">
        <v>19360</v>
      </c>
      <c r="D284" s="29">
        <f ca="1">DATEDIF(C284,TODAY(),"Y")</f>
        <v>73</v>
      </c>
      <c r="E284" s="5" t="s">
        <v>25</v>
      </c>
      <c r="F284" s="30">
        <v>169</v>
      </c>
      <c r="G284" s="30">
        <v>68</v>
      </c>
      <c r="H284" s="31">
        <f>G284/((F284/100)*(F284/100))</f>
        <v>23.808690171912751</v>
      </c>
      <c r="I284" s="5">
        <v>86</v>
      </c>
      <c r="J284" s="30">
        <v>140</v>
      </c>
      <c r="K284" s="30">
        <v>80</v>
      </c>
      <c r="L284" s="29">
        <f>IF(B284="Nữ",0,2)</f>
        <v>2</v>
      </c>
      <c r="M284" s="29">
        <f ca="1">IF(D284&lt;45,0,IF(D284&lt;=49,1,2))</f>
        <v>2</v>
      </c>
      <c r="N284" s="29">
        <f>IF(E284="Có",4,0)</f>
        <v>4</v>
      </c>
      <c r="O284" s="29">
        <f>IF(H284&lt;23,0,IF(H284&lt;27.5,3,5))</f>
        <v>3</v>
      </c>
      <c r="P284" s="29">
        <f>IF(OR(AND(B284="Nam",I284&gt;=90),AND(B284="Nữ",I284&gt;=80)),2,0)</f>
        <v>0</v>
      </c>
      <c r="Q284" s="29">
        <f>IF(OR(J284&gt;=140,K284&gt;=90),2,0)</f>
        <v>2</v>
      </c>
      <c r="R284" s="29">
        <f ca="1">SUM(L284:Q284)</f>
        <v>13</v>
      </c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5" t="s">
        <v>1393</v>
      </c>
      <c r="AE284" s="33"/>
      <c r="AF284" s="59" t="str">
        <f t="shared" si="13"/>
        <v>Không</v>
      </c>
      <c r="AG284" s="59" t="str">
        <f t="shared" si="14"/>
        <v>Không</v>
      </c>
      <c r="AH284" s="29" t="str">
        <f t="shared" ca="1" si="12"/>
        <v>Có</v>
      </c>
      <c r="AI284" s="29" t="str">
        <f ca="1">IF((R284)&gt;=6,"Có","Không")</f>
        <v>Có</v>
      </c>
      <c r="AJ284" s="29" t="str">
        <f>IF(OR(J284&gt;=140,K284&gt;=90),"Có","Không")</f>
        <v>Có</v>
      </c>
      <c r="AK284" s="5" t="s">
        <v>51</v>
      </c>
      <c r="AL284" s="32">
        <v>46081</v>
      </c>
      <c r="AM284" s="29" t="str">
        <f>"Tháng "&amp;MONTH(AL284)</f>
        <v>Tháng 2</v>
      </c>
      <c r="AN284" s="69" t="s">
        <v>1376</v>
      </c>
    </row>
    <row r="285" spans="1:40" x14ac:dyDescent="0.25">
      <c r="A285" s="51" t="s">
        <v>1141</v>
      </c>
      <c r="B285" s="20" t="s">
        <v>23</v>
      </c>
      <c r="C285" s="35">
        <v>21551</v>
      </c>
      <c r="D285" s="29">
        <f ca="1">DATEDIF(C285,TODAY(),"Y")</f>
        <v>67</v>
      </c>
      <c r="E285" s="5" t="s">
        <v>26</v>
      </c>
      <c r="F285" s="30">
        <v>160</v>
      </c>
      <c r="G285" s="30">
        <v>55</v>
      </c>
      <c r="H285" s="31">
        <f>G285/((F285/100)*(F285/100))</f>
        <v>21.484374999999996</v>
      </c>
      <c r="I285" s="5">
        <v>68</v>
      </c>
      <c r="J285" s="30">
        <v>150</v>
      </c>
      <c r="K285" s="30">
        <v>80</v>
      </c>
      <c r="L285" s="29">
        <f>IF(B285="Nữ",0,2)</f>
        <v>0</v>
      </c>
      <c r="M285" s="29">
        <f ca="1">IF(D285&lt;45,0,IF(D285&lt;=49,1,2))</f>
        <v>2</v>
      </c>
      <c r="N285" s="29">
        <f>IF(E285="Có",4,0)</f>
        <v>0</v>
      </c>
      <c r="O285" s="29">
        <f>IF(H285&lt;23,0,IF(H285&lt;27.5,3,5))</f>
        <v>0</v>
      </c>
      <c r="P285" s="29">
        <f>IF(OR(AND(B285="Nam",I285&gt;=90),AND(B285="Nữ",I285&gt;=80)),2,0)</f>
        <v>0</v>
      </c>
      <c r="Q285" s="29">
        <f>IF(OR(J285&gt;=140,K285&gt;=90),2,0)</f>
        <v>2</v>
      </c>
      <c r="R285" s="29">
        <f ca="1">SUM(L285:Q285)</f>
        <v>4</v>
      </c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5" t="s">
        <v>1393</v>
      </c>
      <c r="AE285" s="33"/>
      <c r="AF285" s="59" t="str">
        <f t="shared" si="13"/>
        <v>Không</v>
      </c>
      <c r="AG285" s="59" t="str">
        <f t="shared" si="14"/>
        <v>Không</v>
      </c>
      <c r="AH285" s="29" t="str">
        <f t="shared" ca="1" si="12"/>
        <v>Không</v>
      </c>
      <c r="AI285" s="29" t="str">
        <f ca="1">IF((R285)&gt;=6,"Có","Không")</f>
        <v>Không</v>
      </c>
      <c r="AJ285" s="29" t="str">
        <f>IF(OR(J285&gt;=140,K285&gt;=90),"Có","Không")</f>
        <v>Có</v>
      </c>
      <c r="AK285" s="5" t="s">
        <v>51</v>
      </c>
      <c r="AL285" s="32">
        <v>46081</v>
      </c>
      <c r="AM285" s="29" t="str">
        <f>"Tháng "&amp;MONTH(AL285)</f>
        <v>Tháng 2</v>
      </c>
      <c r="AN285" s="69" t="s">
        <v>1376</v>
      </c>
    </row>
    <row r="286" spans="1:40" x14ac:dyDescent="0.25">
      <c r="A286" s="51" t="s">
        <v>1143</v>
      </c>
      <c r="B286" s="20" t="s">
        <v>23</v>
      </c>
      <c r="C286" s="35">
        <v>25934</v>
      </c>
      <c r="D286" s="29">
        <f ca="1">DATEDIF(C286,TODAY(),"Y")</f>
        <v>55</v>
      </c>
      <c r="E286" s="5" t="s">
        <v>26</v>
      </c>
      <c r="F286" s="30">
        <v>158</v>
      </c>
      <c r="G286" s="30">
        <v>58</v>
      </c>
      <c r="H286" s="31">
        <f>G286/((F286/100)*(F286/100))</f>
        <v>23.233456176894723</v>
      </c>
      <c r="I286" s="5">
        <v>73</v>
      </c>
      <c r="J286" s="30">
        <v>120</v>
      </c>
      <c r="K286" s="30">
        <v>80</v>
      </c>
      <c r="L286" s="29">
        <f>IF(B286="Nữ",0,2)</f>
        <v>0</v>
      </c>
      <c r="M286" s="29">
        <f ca="1">IF(D286&lt;45,0,IF(D286&lt;=49,1,2))</f>
        <v>2</v>
      </c>
      <c r="N286" s="29">
        <f>IF(E286="Có",4,0)</f>
        <v>0</v>
      </c>
      <c r="O286" s="29">
        <f>IF(H286&lt;23,0,IF(H286&lt;27.5,3,5))</f>
        <v>3</v>
      </c>
      <c r="P286" s="29">
        <f>IF(OR(AND(B286="Nam",I286&gt;=90),AND(B286="Nữ",I286&gt;=80)),2,0)</f>
        <v>0</v>
      </c>
      <c r="Q286" s="29">
        <f>IF(OR(J286&gt;=140,K286&gt;=90),2,0)</f>
        <v>0</v>
      </c>
      <c r="R286" s="29">
        <f ca="1">SUM(L286:Q286)</f>
        <v>5</v>
      </c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5" t="s">
        <v>1393</v>
      </c>
      <c r="AE286" s="33"/>
      <c r="AF286" s="59" t="str">
        <f t="shared" si="13"/>
        <v>Không</v>
      </c>
      <c r="AG286" s="59" t="str">
        <f t="shared" si="14"/>
        <v>Không</v>
      </c>
      <c r="AH286" s="29" t="str">
        <f t="shared" ca="1" si="12"/>
        <v>Không</v>
      </c>
      <c r="AI286" s="29" t="str">
        <f ca="1">IF((R286)&gt;=6,"Có","Không")</f>
        <v>Không</v>
      </c>
      <c r="AJ286" s="29" t="str">
        <f>IF(OR(J286&gt;=140,K286&gt;=90),"Có","Không")</f>
        <v>Không</v>
      </c>
      <c r="AK286" s="5" t="s">
        <v>51</v>
      </c>
      <c r="AL286" s="32">
        <v>46081</v>
      </c>
      <c r="AM286" s="29" t="str">
        <f>"Tháng "&amp;MONTH(AL286)</f>
        <v>Tháng 2</v>
      </c>
      <c r="AN286" s="69" t="s">
        <v>1376</v>
      </c>
    </row>
    <row r="287" spans="1:40" x14ac:dyDescent="0.25">
      <c r="A287" s="51" t="s">
        <v>455</v>
      </c>
      <c r="B287" s="20" t="s">
        <v>30</v>
      </c>
      <c r="C287" s="35">
        <v>21551</v>
      </c>
      <c r="D287" s="29">
        <f ca="1">DATEDIF(C287,TODAY(),"Y")</f>
        <v>67</v>
      </c>
      <c r="E287" s="5" t="s">
        <v>25</v>
      </c>
      <c r="F287" s="30">
        <v>158</v>
      </c>
      <c r="G287" s="30">
        <v>58</v>
      </c>
      <c r="H287" s="31">
        <f>G287/((F287/100)*(F287/100))</f>
        <v>23.233456176894723</v>
      </c>
      <c r="I287" s="5">
        <v>79</v>
      </c>
      <c r="J287" s="30">
        <v>150</v>
      </c>
      <c r="K287" s="30">
        <v>80</v>
      </c>
      <c r="L287" s="29">
        <f>IF(B287="Nữ",0,2)</f>
        <v>2</v>
      </c>
      <c r="M287" s="29">
        <f ca="1">IF(D287&lt;45,0,IF(D287&lt;=49,1,2))</f>
        <v>2</v>
      </c>
      <c r="N287" s="29">
        <f>IF(E287="Có",4,0)</f>
        <v>4</v>
      </c>
      <c r="O287" s="29">
        <f>IF(H287&lt;23,0,IF(H287&lt;27.5,3,5))</f>
        <v>3</v>
      </c>
      <c r="P287" s="29">
        <f>IF(OR(AND(B287="Nam",I287&gt;=90),AND(B287="Nữ",I287&gt;=80)),2,0)</f>
        <v>0</v>
      </c>
      <c r="Q287" s="29">
        <f>IF(OR(J287&gt;=140,K287&gt;=90),2,0)</f>
        <v>2</v>
      </c>
      <c r="R287" s="29">
        <f ca="1">SUM(L287:Q287)</f>
        <v>13</v>
      </c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5" t="s">
        <v>1393</v>
      </c>
      <c r="AE287" s="33"/>
      <c r="AF287" s="59" t="str">
        <f t="shared" si="13"/>
        <v>Không</v>
      </c>
      <c r="AG287" s="59" t="str">
        <f t="shared" si="14"/>
        <v>Không</v>
      </c>
      <c r="AH287" s="29" t="str">
        <f t="shared" ca="1" si="12"/>
        <v>Có</v>
      </c>
      <c r="AI287" s="29" t="str">
        <f ca="1">IF((R287)&gt;=6,"Có","Không")</f>
        <v>Có</v>
      </c>
      <c r="AJ287" s="29" t="str">
        <f>IF(OR(J287&gt;=140,K287&gt;=90),"Có","Không")</f>
        <v>Có</v>
      </c>
      <c r="AK287" s="5" t="s">
        <v>51</v>
      </c>
      <c r="AL287" s="32">
        <v>46081</v>
      </c>
      <c r="AM287" s="29" t="str">
        <f>"Tháng "&amp;MONTH(AL287)</f>
        <v>Tháng 2</v>
      </c>
      <c r="AN287" s="69" t="s">
        <v>1376</v>
      </c>
    </row>
    <row r="288" spans="1:40" x14ac:dyDescent="0.25">
      <c r="A288" s="51" t="s">
        <v>1146</v>
      </c>
      <c r="B288" s="20" t="s">
        <v>30</v>
      </c>
      <c r="C288" s="35">
        <v>13150</v>
      </c>
      <c r="D288" s="29">
        <f ca="1">DATEDIF(C288,TODAY(),"Y")</f>
        <v>90</v>
      </c>
      <c r="E288" s="5" t="s">
        <v>26</v>
      </c>
      <c r="F288" s="30">
        <v>158</v>
      </c>
      <c r="G288" s="30">
        <v>58</v>
      </c>
      <c r="H288" s="31">
        <f>G288/((F288/100)*(F288/100))</f>
        <v>23.233456176894723</v>
      </c>
      <c r="I288" s="5">
        <v>83</v>
      </c>
      <c r="J288" s="30">
        <v>120</v>
      </c>
      <c r="K288" s="30">
        <v>80</v>
      </c>
      <c r="L288" s="29">
        <f>IF(B288="Nữ",0,2)</f>
        <v>2</v>
      </c>
      <c r="M288" s="29">
        <f ca="1">IF(D288&lt;45,0,IF(D288&lt;=49,1,2))</f>
        <v>2</v>
      </c>
      <c r="N288" s="29">
        <f>IF(E288="Có",4,0)</f>
        <v>0</v>
      </c>
      <c r="O288" s="29">
        <f>IF(H288&lt;23,0,IF(H288&lt;27.5,3,5))</f>
        <v>3</v>
      </c>
      <c r="P288" s="29">
        <f>IF(OR(AND(B288="Nam",I288&gt;=90),AND(B288="Nữ",I288&gt;=80)),2,0)</f>
        <v>0</v>
      </c>
      <c r="Q288" s="29">
        <f>IF(OR(J288&gt;=140,K288&gt;=90),2,0)</f>
        <v>0</v>
      </c>
      <c r="R288" s="29">
        <f ca="1">SUM(L288:Q288)</f>
        <v>7</v>
      </c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5" t="s">
        <v>1393</v>
      </c>
      <c r="AE288" s="33"/>
      <c r="AF288" s="59" t="str">
        <f t="shared" si="13"/>
        <v>Không</v>
      </c>
      <c r="AG288" s="59" t="str">
        <f t="shared" si="14"/>
        <v>Không</v>
      </c>
      <c r="AH288" s="29" t="str">
        <f t="shared" ca="1" si="12"/>
        <v>Có</v>
      </c>
      <c r="AI288" s="29" t="str">
        <f ca="1">IF((R288)&gt;=6,"Có","Không")</f>
        <v>Có</v>
      </c>
      <c r="AJ288" s="29" t="str">
        <f>IF(OR(J288&gt;=140,K288&gt;=90),"Có","Không")</f>
        <v>Không</v>
      </c>
      <c r="AK288" s="5" t="s">
        <v>51</v>
      </c>
      <c r="AL288" s="32">
        <v>46081</v>
      </c>
      <c r="AM288" s="29" t="str">
        <f>"Tháng "&amp;MONTH(AL288)</f>
        <v>Tháng 2</v>
      </c>
      <c r="AN288" s="69" t="s">
        <v>1376</v>
      </c>
    </row>
    <row r="289" spans="1:40" x14ac:dyDescent="0.25">
      <c r="A289" s="51" t="s">
        <v>1148</v>
      </c>
      <c r="B289" s="20" t="s">
        <v>30</v>
      </c>
      <c r="C289" s="35">
        <v>18994</v>
      </c>
      <c r="D289" s="29">
        <f ca="1">DATEDIF(C289,TODAY(),"Y")</f>
        <v>74</v>
      </c>
      <c r="E289" s="5" t="s">
        <v>26</v>
      </c>
      <c r="F289" s="30">
        <v>169</v>
      </c>
      <c r="G289" s="30">
        <v>69</v>
      </c>
      <c r="H289" s="31">
        <f>G289/((F289/100)*(F289/100))</f>
        <v>24.158817968558527</v>
      </c>
      <c r="I289" s="5">
        <v>80</v>
      </c>
      <c r="J289" s="30">
        <v>120</v>
      </c>
      <c r="K289" s="30">
        <v>80</v>
      </c>
      <c r="L289" s="29">
        <f>IF(B289="Nữ",0,2)</f>
        <v>2</v>
      </c>
      <c r="M289" s="29">
        <f ca="1">IF(D289&lt;45,0,IF(D289&lt;=49,1,2))</f>
        <v>2</v>
      </c>
      <c r="N289" s="29">
        <f>IF(E289="Có",4,0)</f>
        <v>0</v>
      </c>
      <c r="O289" s="29">
        <f>IF(H289&lt;23,0,IF(H289&lt;27.5,3,5))</f>
        <v>3</v>
      </c>
      <c r="P289" s="29">
        <f>IF(OR(AND(B289="Nam",I289&gt;=90),AND(B289="Nữ",I289&gt;=80)),2,0)</f>
        <v>0</v>
      </c>
      <c r="Q289" s="29">
        <f>IF(OR(J289&gt;=140,K289&gt;=90),2,0)</f>
        <v>0</v>
      </c>
      <c r="R289" s="29">
        <f ca="1">SUM(L289:Q289)</f>
        <v>7</v>
      </c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5" t="s">
        <v>1393</v>
      </c>
      <c r="AE289" s="33"/>
      <c r="AF289" s="59" t="str">
        <f t="shared" si="13"/>
        <v>Không</v>
      </c>
      <c r="AG289" s="59" t="str">
        <f t="shared" si="14"/>
        <v>Không</v>
      </c>
      <c r="AH289" s="29" t="str">
        <f t="shared" ca="1" si="12"/>
        <v>Có</v>
      </c>
      <c r="AI289" s="29" t="str">
        <f ca="1">IF((R289)&gt;=6,"Có","Không")</f>
        <v>Có</v>
      </c>
      <c r="AJ289" s="29" t="str">
        <f>IF(OR(J289&gt;=140,K289&gt;=90),"Có","Không")</f>
        <v>Không</v>
      </c>
      <c r="AK289" s="5" t="s">
        <v>51</v>
      </c>
      <c r="AL289" s="32">
        <v>46081</v>
      </c>
      <c r="AM289" s="29" t="str">
        <f>"Tháng "&amp;MONTH(AL289)</f>
        <v>Tháng 2</v>
      </c>
      <c r="AN289" s="69" t="s">
        <v>1376</v>
      </c>
    </row>
    <row r="290" spans="1:40" x14ac:dyDescent="0.25">
      <c r="A290" s="51" t="s">
        <v>1149</v>
      </c>
      <c r="B290" s="20" t="s">
        <v>30</v>
      </c>
      <c r="C290" s="35">
        <v>15707</v>
      </c>
      <c r="D290" s="29">
        <f ca="1">DATEDIF(C290,TODAY(),"Y")</f>
        <v>83</v>
      </c>
      <c r="E290" s="5" t="s">
        <v>26</v>
      </c>
      <c r="F290" s="30">
        <v>167</v>
      </c>
      <c r="G290" s="30">
        <v>70</v>
      </c>
      <c r="H290" s="31">
        <f>G290/((F290/100)*(F290/100))</f>
        <v>25.099501595611173</v>
      </c>
      <c r="I290" s="5">
        <v>86</v>
      </c>
      <c r="J290" s="30">
        <v>140</v>
      </c>
      <c r="K290" s="30">
        <v>80</v>
      </c>
      <c r="L290" s="29">
        <f>IF(B290="Nữ",0,2)</f>
        <v>2</v>
      </c>
      <c r="M290" s="29">
        <f ca="1">IF(D290&lt;45,0,IF(D290&lt;=49,1,2))</f>
        <v>2</v>
      </c>
      <c r="N290" s="29">
        <f>IF(E290="Có",4,0)</f>
        <v>0</v>
      </c>
      <c r="O290" s="29">
        <f>IF(H290&lt;23,0,IF(H290&lt;27.5,3,5))</f>
        <v>3</v>
      </c>
      <c r="P290" s="29">
        <f>IF(OR(AND(B290="Nam",I290&gt;=90),AND(B290="Nữ",I290&gt;=80)),2,0)</f>
        <v>0</v>
      </c>
      <c r="Q290" s="29">
        <f>IF(OR(J290&gt;=140,K290&gt;=90),2,0)</f>
        <v>2</v>
      </c>
      <c r="R290" s="29">
        <f ca="1">SUM(L290:Q290)</f>
        <v>9</v>
      </c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5" t="s">
        <v>1393</v>
      </c>
      <c r="AE290" s="33"/>
      <c r="AF290" s="59" t="str">
        <f t="shared" si="13"/>
        <v>Không</v>
      </c>
      <c r="AG290" s="59" t="str">
        <f t="shared" si="14"/>
        <v>Không</v>
      </c>
      <c r="AH290" s="29" t="str">
        <f t="shared" ca="1" si="12"/>
        <v>Có</v>
      </c>
      <c r="AI290" s="29" t="str">
        <f ca="1">IF((R290)&gt;=6,"Có","Không")</f>
        <v>Có</v>
      </c>
      <c r="AJ290" s="29" t="str">
        <f>IF(OR(J290&gt;=140,K290&gt;=90),"Có","Không")</f>
        <v>Có</v>
      </c>
      <c r="AK290" s="5" t="s">
        <v>51</v>
      </c>
      <c r="AL290" s="32">
        <v>46081</v>
      </c>
      <c r="AM290" s="29" t="str">
        <f>"Tháng "&amp;MONTH(AL290)</f>
        <v>Tháng 2</v>
      </c>
      <c r="AN290" s="69" t="s">
        <v>1376</v>
      </c>
    </row>
    <row r="291" spans="1:40" x14ac:dyDescent="0.25">
      <c r="A291" s="51" t="s">
        <v>1151</v>
      </c>
      <c r="B291" s="20" t="s">
        <v>23</v>
      </c>
      <c r="C291" s="35">
        <v>23377</v>
      </c>
      <c r="D291" s="29">
        <f ca="1">DATEDIF(C291,TODAY(),"Y")</f>
        <v>62</v>
      </c>
      <c r="E291" s="5" t="s">
        <v>26</v>
      </c>
      <c r="F291" s="30">
        <v>158</v>
      </c>
      <c r="G291" s="30">
        <v>58</v>
      </c>
      <c r="H291" s="31">
        <f>G291/((F291/100)*(F291/100))</f>
        <v>23.233456176894723</v>
      </c>
      <c r="I291" s="5">
        <v>65</v>
      </c>
      <c r="J291" s="30">
        <v>120</v>
      </c>
      <c r="K291" s="30">
        <v>70</v>
      </c>
      <c r="L291" s="29">
        <f>IF(B291="Nữ",0,2)</f>
        <v>0</v>
      </c>
      <c r="M291" s="29">
        <f ca="1">IF(D291&lt;45,0,IF(D291&lt;=49,1,2))</f>
        <v>2</v>
      </c>
      <c r="N291" s="29">
        <f>IF(E291="Có",4,0)</f>
        <v>0</v>
      </c>
      <c r="O291" s="29">
        <f>IF(H291&lt;23,0,IF(H291&lt;27.5,3,5))</f>
        <v>3</v>
      </c>
      <c r="P291" s="29">
        <f>IF(OR(AND(B291="Nam",I291&gt;=90),AND(B291="Nữ",I291&gt;=80)),2,0)</f>
        <v>0</v>
      </c>
      <c r="Q291" s="29">
        <f>IF(OR(J291&gt;=140,K291&gt;=90),2,0)</f>
        <v>0</v>
      </c>
      <c r="R291" s="29">
        <f ca="1">SUM(L291:Q291)</f>
        <v>5</v>
      </c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5" t="s">
        <v>1393</v>
      </c>
      <c r="AE291" s="33"/>
      <c r="AF291" s="59" t="str">
        <f t="shared" si="13"/>
        <v>Không</v>
      </c>
      <c r="AG291" s="59" t="str">
        <f t="shared" si="14"/>
        <v>Không</v>
      </c>
      <c r="AH291" s="29" t="str">
        <f t="shared" ca="1" si="12"/>
        <v>Không</v>
      </c>
      <c r="AI291" s="29" t="str">
        <f ca="1">IF((R291)&gt;=6,"Có","Không")</f>
        <v>Không</v>
      </c>
      <c r="AJ291" s="29" t="str">
        <f>IF(OR(J291&gt;=140,K291&gt;=90),"Có","Không")</f>
        <v>Không</v>
      </c>
      <c r="AK291" s="5" t="s">
        <v>51</v>
      </c>
      <c r="AL291" s="32">
        <v>46081</v>
      </c>
      <c r="AM291" s="29" t="str">
        <f>"Tháng "&amp;MONTH(AL291)</f>
        <v>Tháng 2</v>
      </c>
      <c r="AN291" s="69" t="s">
        <v>1376</v>
      </c>
    </row>
    <row r="292" spans="1:40" x14ac:dyDescent="0.25">
      <c r="A292" s="51" t="s">
        <v>858</v>
      </c>
      <c r="B292" s="20" t="s">
        <v>30</v>
      </c>
      <c r="C292" s="35">
        <v>20455</v>
      </c>
      <c r="D292" s="29">
        <f ca="1">DATEDIF(C292,TODAY(),"Y")</f>
        <v>70</v>
      </c>
      <c r="E292" s="5" t="s">
        <v>26</v>
      </c>
      <c r="F292" s="30">
        <v>158</v>
      </c>
      <c r="G292" s="30">
        <v>54</v>
      </c>
      <c r="H292" s="31">
        <f>G292/((F292/100)*(F292/100))</f>
        <v>21.631148854350261</v>
      </c>
      <c r="I292" s="5">
        <v>72</v>
      </c>
      <c r="J292" s="30">
        <v>130</v>
      </c>
      <c r="K292" s="30">
        <v>80</v>
      </c>
      <c r="L292" s="29">
        <f>IF(B292="Nữ",0,2)</f>
        <v>2</v>
      </c>
      <c r="M292" s="29">
        <f ca="1">IF(D292&lt;45,0,IF(D292&lt;=49,1,2))</f>
        <v>2</v>
      </c>
      <c r="N292" s="29">
        <f>IF(E292="Có",4,0)</f>
        <v>0</v>
      </c>
      <c r="O292" s="29">
        <f>IF(H292&lt;23,0,IF(H292&lt;27.5,3,5))</f>
        <v>0</v>
      </c>
      <c r="P292" s="29">
        <f>IF(OR(AND(B292="Nam",I292&gt;=90),AND(B292="Nữ",I292&gt;=80)),2,0)</f>
        <v>0</v>
      </c>
      <c r="Q292" s="29">
        <f>IF(OR(J292&gt;=140,K292&gt;=90),2,0)</f>
        <v>0</v>
      </c>
      <c r="R292" s="29">
        <f ca="1">SUM(L292:Q292)</f>
        <v>4</v>
      </c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5" t="s">
        <v>1393</v>
      </c>
      <c r="AE292" s="33"/>
      <c r="AF292" s="59" t="str">
        <f t="shared" si="13"/>
        <v>Không</v>
      </c>
      <c r="AG292" s="59" t="str">
        <f t="shared" si="14"/>
        <v>Không</v>
      </c>
      <c r="AH292" s="29" t="str">
        <f t="shared" ca="1" si="12"/>
        <v>Không</v>
      </c>
      <c r="AI292" s="29" t="str">
        <f ca="1">IF((R292)&gt;=6,"Có","Không")</f>
        <v>Không</v>
      </c>
      <c r="AJ292" s="29" t="str">
        <f>IF(OR(J292&gt;=140,K292&gt;=90),"Có","Không")</f>
        <v>Không</v>
      </c>
      <c r="AK292" s="5" t="s">
        <v>51</v>
      </c>
      <c r="AL292" s="32">
        <v>46081</v>
      </c>
      <c r="AM292" s="29" t="str">
        <f>"Tháng "&amp;MONTH(AL292)</f>
        <v>Tháng 2</v>
      </c>
      <c r="AN292" s="69" t="s">
        <v>1376</v>
      </c>
    </row>
    <row r="293" spans="1:40" x14ac:dyDescent="0.25">
      <c r="A293" s="51" t="s">
        <v>1157</v>
      </c>
      <c r="B293" s="20" t="s">
        <v>23</v>
      </c>
      <c r="C293" s="35">
        <v>21186</v>
      </c>
      <c r="D293" s="29">
        <f ca="1">DATEDIF(C293,TODAY(),"Y")</f>
        <v>68</v>
      </c>
      <c r="E293" s="5" t="s">
        <v>26</v>
      </c>
      <c r="F293" s="30">
        <v>170</v>
      </c>
      <c r="G293" s="30">
        <v>68</v>
      </c>
      <c r="H293" s="31">
        <f>G293/((F293/100)*(F293/100))</f>
        <v>23.529411764705884</v>
      </c>
      <c r="I293" s="5">
        <v>90</v>
      </c>
      <c r="J293" s="30">
        <v>120</v>
      </c>
      <c r="K293" s="30">
        <v>80</v>
      </c>
      <c r="L293" s="29">
        <f>IF(B293="Nữ",0,2)</f>
        <v>0</v>
      </c>
      <c r="M293" s="29">
        <f ca="1">IF(D293&lt;45,0,IF(D293&lt;=49,1,2))</f>
        <v>2</v>
      </c>
      <c r="N293" s="29">
        <f>IF(E293="Có",4,0)</f>
        <v>0</v>
      </c>
      <c r="O293" s="29">
        <f>IF(H293&lt;23,0,IF(H293&lt;27.5,3,5))</f>
        <v>3</v>
      </c>
      <c r="P293" s="29">
        <f>IF(OR(AND(B293="Nam",I293&gt;=90),AND(B293="Nữ",I293&gt;=80)),2,0)</f>
        <v>2</v>
      </c>
      <c r="Q293" s="29">
        <f>IF(OR(J293&gt;=140,K293&gt;=90),2,0)</f>
        <v>0</v>
      </c>
      <c r="R293" s="29">
        <f ca="1">SUM(L293:Q293)</f>
        <v>7</v>
      </c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5" t="s">
        <v>1393</v>
      </c>
      <c r="AE293" s="33"/>
      <c r="AF293" s="59" t="str">
        <f t="shared" si="13"/>
        <v>Không</v>
      </c>
      <c r="AG293" s="59" t="str">
        <f t="shared" si="14"/>
        <v>Không</v>
      </c>
      <c r="AH293" s="29" t="str">
        <f t="shared" ca="1" si="12"/>
        <v>Có</v>
      </c>
      <c r="AI293" s="29" t="str">
        <f ca="1">IF((R293)&gt;=6,"Có","Không")</f>
        <v>Có</v>
      </c>
      <c r="AJ293" s="29" t="str">
        <f>IF(OR(J293&gt;=140,K293&gt;=90),"Có","Không")</f>
        <v>Không</v>
      </c>
      <c r="AK293" s="5" t="s">
        <v>51</v>
      </c>
      <c r="AL293" s="32">
        <v>46081</v>
      </c>
      <c r="AM293" s="29" t="str">
        <f>"Tháng "&amp;MONTH(AL293)</f>
        <v>Tháng 2</v>
      </c>
      <c r="AN293" s="69" t="s">
        <v>1376</v>
      </c>
    </row>
    <row r="294" spans="1:40" x14ac:dyDescent="0.25">
      <c r="A294" s="51" t="s">
        <v>1166</v>
      </c>
      <c r="B294" s="20" t="s">
        <v>30</v>
      </c>
      <c r="C294" s="35">
        <v>15342</v>
      </c>
      <c r="D294" s="29">
        <f ca="1">DATEDIF(C294,TODAY(),"Y")</f>
        <v>84</v>
      </c>
      <c r="E294" s="5" t="s">
        <v>26</v>
      </c>
      <c r="F294" s="30">
        <v>158</v>
      </c>
      <c r="G294" s="30">
        <v>58</v>
      </c>
      <c r="H294" s="31">
        <f>G294/((F294/100)*(F294/100))</f>
        <v>23.233456176894723</v>
      </c>
      <c r="I294" s="5">
        <v>86</v>
      </c>
      <c r="J294" s="30">
        <v>130</v>
      </c>
      <c r="K294" s="30">
        <v>80</v>
      </c>
      <c r="L294" s="29">
        <f>IF(B294="Nữ",0,2)</f>
        <v>2</v>
      </c>
      <c r="M294" s="29">
        <f ca="1">IF(D294&lt;45,0,IF(D294&lt;=49,1,2))</f>
        <v>2</v>
      </c>
      <c r="N294" s="29">
        <f>IF(E294="Có",4,0)</f>
        <v>0</v>
      </c>
      <c r="O294" s="29">
        <f>IF(H294&lt;23,0,IF(H294&lt;27.5,3,5))</f>
        <v>3</v>
      </c>
      <c r="P294" s="29">
        <f>IF(OR(AND(B294="Nam",I294&gt;=90),AND(B294="Nữ",I294&gt;=80)),2,0)</f>
        <v>0</v>
      </c>
      <c r="Q294" s="29">
        <f>IF(OR(J294&gt;=140,K294&gt;=90),2,0)</f>
        <v>0</v>
      </c>
      <c r="R294" s="29">
        <f ca="1">SUM(L294:Q294)</f>
        <v>7</v>
      </c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5" t="s">
        <v>1393</v>
      </c>
      <c r="AE294" s="33"/>
      <c r="AF294" s="59" t="str">
        <f t="shared" si="13"/>
        <v>Không</v>
      </c>
      <c r="AG294" s="59" t="str">
        <f t="shared" si="14"/>
        <v>Không</v>
      </c>
      <c r="AH294" s="29" t="str">
        <f t="shared" ca="1" si="12"/>
        <v>Có</v>
      </c>
      <c r="AI294" s="29" t="str">
        <f ca="1">IF((R294)&gt;=6,"Có","Không")</f>
        <v>Có</v>
      </c>
      <c r="AJ294" s="29" t="str">
        <f>IF(OR(J294&gt;=140,K294&gt;=90),"Có","Không")</f>
        <v>Không</v>
      </c>
      <c r="AK294" s="5" t="s">
        <v>51</v>
      </c>
      <c r="AL294" s="32">
        <v>46081</v>
      </c>
      <c r="AM294" s="29" t="str">
        <f>"Tháng "&amp;MONTH(AL294)</f>
        <v>Tháng 2</v>
      </c>
      <c r="AN294" s="69" t="s">
        <v>1376</v>
      </c>
    </row>
    <row r="295" spans="1:40" x14ac:dyDescent="0.25">
      <c r="A295" s="51" t="s">
        <v>1169</v>
      </c>
      <c r="B295" s="20" t="s">
        <v>30</v>
      </c>
      <c r="C295" s="35">
        <v>13881</v>
      </c>
      <c r="D295" s="29">
        <f ca="1">DATEDIF(C295,TODAY(),"Y")</f>
        <v>88</v>
      </c>
      <c r="E295" s="5" t="s">
        <v>26</v>
      </c>
      <c r="F295" s="30">
        <v>169</v>
      </c>
      <c r="G295" s="30">
        <v>68</v>
      </c>
      <c r="H295" s="31">
        <f>G295/((F295/100)*(F295/100))</f>
        <v>23.808690171912751</v>
      </c>
      <c r="I295" s="5">
        <v>89</v>
      </c>
      <c r="J295" s="30">
        <v>130</v>
      </c>
      <c r="K295" s="30">
        <v>80</v>
      </c>
      <c r="L295" s="29">
        <f>IF(B295="Nữ",0,2)</f>
        <v>2</v>
      </c>
      <c r="M295" s="29">
        <f ca="1">IF(D295&lt;45,0,IF(D295&lt;=49,1,2))</f>
        <v>2</v>
      </c>
      <c r="N295" s="29">
        <f>IF(E295="Có",4,0)</f>
        <v>0</v>
      </c>
      <c r="O295" s="29">
        <f>IF(H295&lt;23,0,IF(H295&lt;27.5,3,5))</f>
        <v>3</v>
      </c>
      <c r="P295" s="29">
        <f>IF(OR(AND(B295="Nam",I295&gt;=90),AND(B295="Nữ",I295&gt;=80)),2,0)</f>
        <v>0</v>
      </c>
      <c r="Q295" s="29">
        <f>IF(OR(J295&gt;=140,K295&gt;=90),2,0)</f>
        <v>0</v>
      </c>
      <c r="R295" s="29">
        <f ca="1">SUM(L295:Q295)</f>
        <v>7</v>
      </c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5" t="s">
        <v>1393</v>
      </c>
      <c r="AE295" s="33"/>
      <c r="AF295" s="59" t="str">
        <f t="shared" si="13"/>
        <v>Không</v>
      </c>
      <c r="AG295" s="59" t="str">
        <f t="shared" si="14"/>
        <v>Không</v>
      </c>
      <c r="AH295" s="29" t="str">
        <f t="shared" ca="1" si="12"/>
        <v>Có</v>
      </c>
      <c r="AI295" s="29" t="str">
        <f ca="1">IF((R295)&gt;=6,"Có","Không")</f>
        <v>Có</v>
      </c>
      <c r="AJ295" s="29" t="str">
        <f>IF(OR(J295&gt;=140,K295&gt;=90),"Có","Không")</f>
        <v>Không</v>
      </c>
      <c r="AK295" s="5" t="s">
        <v>51</v>
      </c>
      <c r="AL295" s="32">
        <v>46081</v>
      </c>
      <c r="AM295" s="29" t="str">
        <f>"Tháng "&amp;MONTH(AL295)</f>
        <v>Tháng 2</v>
      </c>
      <c r="AN295" s="69" t="s">
        <v>1376</v>
      </c>
    </row>
    <row r="296" spans="1:40" x14ac:dyDescent="0.25">
      <c r="A296" s="51" t="s">
        <v>1171</v>
      </c>
      <c r="B296" s="20" t="s">
        <v>30</v>
      </c>
      <c r="C296" s="35">
        <v>15707</v>
      </c>
      <c r="D296" s="29">
        <f ca="1">DATEDIF(C296,TODAY(),"Y")</f>
        <v>83</v>
      </c>
      <c r="E296" s="5" t="s">
        <v>26</v>
      </c>
      <c r="F296" s="30">
        <v>158</v>
      </c>
      <c r="G296" s="30">
        <v>58</v>
      </c>
      <c r="H296" s="31">
        <f>G296/((F296/100)*(F296/100))</f>
        <v>23.233456176894723</v>
      </c>
      <c r="I296" s="5">
        <v>87</v>
      </c>
      <c r="J296" s="30">
        <v>140</v>
      </c>
      <c r="K296" s="30">
        <v>80</v>
      </c>
      <c r="L296" s="29">
        <f>IF(B296="Nữ",0,2)</f>
        <v>2</v>
      </c>
      <c r="M296" s="29">
        <f ca="1">IF(D296&lt;45,0,IF(D296&lt;=49,1,2))</f>
        <v>2</v>
      </c>
      <c r="N296" s="29">
        <f>IF(E296="Có",4,0)</f>
        <v>0</v>
      </c>
      <c r="O296" s="29">
        <f>IF(H296&lt;23,0,IF(H296&lt;27.5,3,5))</f>
        <v>3</v>
      </c>
      <c r="P296" s="29">
        <f>IF(OR(AND(B296="Nam",I296&gt;=90),AND(B296="Nữ",I296&gt;=80)),2,0)</f>
        <v>0</v>
      </c>
      <c r="Q296" s="29">
        <f>IF(OR(J296&gt;=140,K296&gt;=90),2,0)</f>
        <v>2</v>
      </c>
      <c r="R296" s="29">
        <f ca="1">SUM(L296:Q296)</f>
        <v>9</v>
      </c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5" t="s">
        <v>1393</v>
      </c>
      <c r="AE296" s="33"/>
      <c r="AF296" s="59" t="str">
        <f t="shared" si="13"/>
        <v>Không</v>
      </c>
      <c r="AG296" s="59" t="str">
        <f t="shared" si="14"/>
        <v>Không</v>
      </c>
      <c r="AH296" s="29" t="str">
        <f t="shared" ca="1" si="12"/>
        <v>Có</v>
      </c>
      <c r="AI296" s="29" t="str">
        <f ca="1">IF((R296)&gt;=6,"Có","Không")</f>
        <v>Có</v>
      </c>
      <c r="AJ296" s="29" t="str">
        <f>IF(OR(J296&gt;=140,K296&gt;=90),"Có","Không")</f>
        <v>Có</v>
      </c>
      <c r="AK296" s="5" t="s">
        <v>51</v>
      </c>
      <c r="AL296" s="32">
        <v>46081</v>
      </c>
      <c r="AM296" s="29" t="str">
        <f>"Tháng "&amp;MONTH(AL296)</f>
        <v>Tháng 2</v>
      </c>
      <c r="AN296" s="69" t="s">
        <v>1376</v>
      </c>
    </row>
    <row r="297" spans="1:40" x14ac:dyDescent="0.25">
      <c r="A297" s="52" t="s">
        <v>1175</v>
      </c>
      <c r="B297" s="20" t="s">
        <v>30</v>
      </c>
      <c r="C297" s="35">
        <v>21186</v>
      </c>
      <c r="D297" s="29">
        <f ca="1">DATEDIF(C297,TODAY(),"Y")</f>
        <v>68</v>
      </c>
      <c r="E297" s="5" t="s">
        <v>25</v>
      </c>
      <c r="F297" s="30">
        <v>169</v>
      </c>
      <c r="G297" s="30">
        <v>68</v>
      </c>
      <c r="H297" s="31">
        <f>G297/((F297/100)*(F297/100))</f>
        <v>23.808690171912751</v>
      </c>
      <c r="I297" s="5">
        <v>83</v>
      </c>
      <c r="J297" s="30">
        <v>120</v>
      </c>
      <c r="K297" s="30">
        <v>80</v>
      </c>
      <c r="L297" s="29">
        <f>IF(B297="Nữ",0,2)</f>
        <v>2</v>
      </c>
      <c r="M297" s="29">
        <f ca="1">IF(D297&lt;45,0,IF(D297&lt;=49,1,2))</f>
        <v>2</v>
      </c>
      <c r="N297" s="29">
        <f>IF(E297="Có",4,0)</f>
        <v>4</v>
      </c>
      <c r="O297" s="29">
        <f>IF(H297&lt;23,0,IF(H297&lt;27.5,3,5))</f>
        <v>3</v>
      </c>
      <c r="P297" s="29">
        <f>IF(OR(AND(B297="Nam",I297&gt;=90),AND(B297="Nữ",I297&gt;=80)),2,0)</f>
        <v>0</v>
      </c>
      <c r="Q297" s="29">
        <f>IF(OR(J297&gt;=140,K297&gt;=90),2,0)</f>
        <v>0</v>
      </c>
      <c r="R297" s="29">
        <f ca="1">SUM(L297:Q297)</f>
        <v>11</v>
      </c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5" t="s">
        <v>1393</v>
      </c>
      <c r="AE297" s="33"/>
      <c r="AF297" s="59" t="str">
        <f t="shared" si="13"/>
        <v>Không</v>
      </c>
      <c r="AG297" s="59" t="str">
        <f t="shared" si="14"/>
        <v>Không</v>
      </c>
      <c r="AH297" s="29" t="str">
        <f t="shared" ca="1" si="12"/>
        <v>Có</v>
      </c>
      <c r="AI297" s="29" t="str">
        <f ca="1">IF((R297)&gt;=6,"Có","Không")</f>
        <v>Có</v>
      </c>
      <c r="AJ297" s="29" t="str">
        <f>IF(OR(J297&gt;=140,K297&gt;=90),"Có","Không")</f>
        <v>Không</v>
      </c>
      <c r="AK297" s="5" t="s">
        <v>51</v>
      </c>
      <c r="AL297" s="32">
        <v>46081</v>
      </c>
      <c r="AM297" s="29" t="str">
        <f>"Tháng "&amp;MONTH(AL297)</f>
        <v>Tháng 2</v>
      </c>
      <c r="AN297" s="69" t="s">
        <v>1376</v>
      </c>
    </row>
    <row r="298" spans="1:40" x14ac:dyDescent="0.25">
      <c r="A298" s="52" t="s">
        <v>1177</v>
      </c>
      <c r="B298" s="20" t="s">
        <v>23</v>
      </c>
      <c r="C298" s="35">
        <v>20455</v>
      </c>
      <c r="D298" s="29">
        <f ca="1">DATEDIF(C298,TODAY(),"Y")</f>
        <v>70</v>
      </c>
      <c r="E298" s="5" t="s">
        <v>26</v>
      </c>
      <c r="F298" s="30">
        <v>168</v>
      </c>
      <c r="G298" s="30">
        <v>62</v>
      </c>
      <c r="H298" s="31">
        <f>G298/((F298/100)*(F298/100))</f>
        <v>21.9671201814059</v>
      </c>
      <c r="I298" s="5">
        <v>65</v>
      </c>
      <c r="J298" s="30">
        <v>120</v>
      </c>
      <c r="K298" s="30">
        <v>80</v>
      </c>
      <c r="L298" s="29">
        <f>IF(B298="Nữ",0,2)</f>
        <v>0</v>
      </c>
      <c r="M298" s="29">
        <f ca="1">IF(D298&lt;45,0,IF(D298&lt;=49,1,2))</f>
        <v>2</v>
      </c>
      <c r="N298" s="29">
        <f>IF(E298="Có",4,0)</f>
        <v>0</v>
      </c>
      <c r="O298" s="29">
        <f>IF(H298&lt;23,0,IF(H298&lt;27.5,3,5))</f>
        <v>0</v>
      </c>
      <c r="P298" s="29">
        <f>IF(OR(AND(B298="Nam",I298&gt;=90),AND(B298="Nữ",I298&gt;=80)),2,0)</f>
        <v>0</v>
      </c>
      <c r="Q298" s="29">
        <f>IF(OR(J298&gt;=140,K298&gt;=90),2,0)</f>
        <v>0</v>
      </c>
      <c r="R298" s="29">
        <f ca="1">SUM(L298:Q298)</f>
        <v>2</v>
      </c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5" t="s">
        <v>1393</v>
      </c>
      <c r="AE298" s="33"/>
      <c r="AF298" s="59" t="str">
        <f t="shared" si="13"/>
        <v>Không</v>
      </c>
      <c r="AG298" s="59" t="str">
        <f t="shared" si="14"/>
        <v>Không</v>
      </c>
      <c r="AH298" s="29" t="str">
        <f t="shared" ca="1" si="12"/>
        <v>Không</v>
      </c>
      <c r="AI298" s="29" t="str">
        <f ca="1">IF((R298)&gt;=6,"Có","Không")</f>
        <v>Không</v>
      </c>
      <c r="AJ298" s="29" t="str">
        <f>IF(OR(J298&gt;=140,K298&gt;=90),"Có","Không")</f>
        <v>Không</v>
      </c>
      <c r="AK298" s="5" t="s">
        <v>51</v>
      </c>
      <c r="AL298" s="32">
        <v>46081</v>
      </c>
      <c r="AM298" s="29" t="str">
        <f>"Tháng "&amp;MONTH(AL298)</f>
        <v>Tháng 2</v>
      </c>
      <c r="AN298" s="69" t="s">
        <v>1376</v>
      </c>
    </row>
    <row r="299" spans="1:40" x14ac:dyDescent="0.25">
      <c r="A299" s="52" t="s">
        <v>1178</v>
      </c>
      <c r="B299" s="20" t="s">
        <v>30</v>
      </c>
      <c r="C299" s="35">
        <v>21186</v>
      </c>
      <c r="D299" s="29">
        <f ca="1">DATEDIF(C299,TODAY(),"Y")</f>
        <v>68</v>
      </c>
      <c r="E299" s="5" t="s">
        <v>26</v>
      </c>
      <c r="F299" s="30">
        <v>158</v>
      </c>
      <c r="G299" s="30">
        <v>58</v>
      </c>
      <c r="H299" s="31">
        <f>G299/((F299/100)*(F299/100))</f>
        <v>23.233456176894723</v>
      </c>
      <c r="I299" s="5">
        <v>100</v>
      </c>
      <c r="J299" s="30">
        <v>120</v>
      </c>
      <c r="K299" s="30">
        <v>80</v>
      </c>
      <c r="L299" s="29">
        <f>IF(B299="Nữ",0,2)</f>
        <v>2</v>
      </c>
      <c r="M299" s="29">
        <f ca="1">IF(D299&lt;45,0,IF(D299&lt;=49,1,2))</f>
        <v>2</v>
      </c>
      <c r="N299" s="29">
        <f>IF(E299="Có",4,0)</f>
        <v>0</v>
      </c>
      <c r="O299" s="29">
        <f>IF(H299&lt;23,0,IF(H299&lt;27.5,3,5))</f>
        <v>3</v>
      </c>
      <c r="P299" s="29">
        <f>IF(OR(AND(B299="Nam",I299&gt;=90),AND(B299="Nữ",I299&gt;=80)),2,0)</f>
        <v>2</v>
      </c>
      <c r="Q299" s="29">
        <f>IF(OR(J299&gt;=140,K299&gt;=90),2,0)</f>
        <v>0</v>
      </c>
      <c r="R299" s="29">
        <f ca="1">SUM(L299:Q299)</f>
        <v>9</v>
      </c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5" t="s">
        <v>1393</v>
      </c>
      <c r="AE299" s="33"/>
      <c r="AF299" s="59" t="str">
        <f t="shared" si="13"/>
        <v>Không</v>
      </c>
      <c r="AG299" s="59" t="str">
        <f t="shared" si="14"/>
        <v>Không</v>
      </c>
      <c r="AH299" s="29" t="str">
        <f t="shared" ca="1" si="12"/>
        <v>Có</v>
      </c>
      <c r="AI299" s="29" t="str">
        <f ca="1">IF((R299)&gt;=6,"Có","Không")</f>
        <v>Có</v>
      </c>
      <c r="AJ299" s="29" t="str">
        <f>IF(OR(J299&gt;=140,K299&gt;=90),"Có","Không")</f>
        <v>Không</v>
      </c>
      <c r="AK299" s="5" t="s">
        <v>51</v>
      </c>
      <c r="AL299" s="32">
        <v>46081</v>
      </c>
      <c r="AM299" s="29" t="str">
        <f>"Tháng "&amp;MONTH(AL299)</f>
        <v>Tháng 2</v>
      </c>
      <c r="AN299" s="69" t="s">
        <v>1376</v>
      </c>
    </row>
    <row r="300" spans="1:40" x14ac:dyDescent="0.25">
      <c r="A300" s="52" t="s">
        <v>1179</v>
      </c>
      <c r="B300" s="20" t="s">
        <v>23</v>
      </c>
      <c r="C300" s="35">
        <v>27395</v>
      </c>
      <c r="D300" s="29">
        <f ca="1">DATEDIF(C300,TODAY(),"Y")</f>
        <v>51</v>
      </c>
      <c r="E300" s="5" t="s">
        <v>26</v>
      </c>
      <c r="F300" s="30">
        <v>169</v>
      </c>
      <c r="G300" s="30">
        <v>68</v>
      </c>
      <c r="H300" s="31">
        <f>G300/((F300/100)*(F300/100))</f>
        <v>23.808690171912751</v>
      </c>
      <c r="I300" s="5">
        <v>96</v>
      </c>
      <c r="J300" s="30">
        <v>130</v>
      </c>
      <c r="K300" s="30">
        <v>80</v>
      </c>
      <c r="L300" s="29">
        <f>IF(B300="Nữ",0,2)</f>
        <v>0</v>
      </c>
      <c r="M300" s="29">
        <f ca="1">IF(D300&lt;45,0,IF(D300&lt;=49,1,2))</f>
        <v>2</v>
      </c>
      <c r="N300" s="29">
        <f>IF(E300="Có",4,0)</f>
        <v>0</v>
      </c>
      <c r="O300" s="29">
        <f>IF(H300&lt;23,0,IF(H300&lt;27.5,3,5))</f>
        <v>3</v>
      </c>
      <c r="P300" s="29">
        <f>IF(OR(AND(B300="Nam",I300&gt;=90),AND(B300="Nữ",I300&gt;=80)),2,0)</f>
        <v>2</v>
      </c>
      <c r="Q300" s="29">
        <f>IF(OR(J300&gt;=140,K300&gt;=90),2,0)</f>
        <v>0</v>
      </c>
      <c r="R300" s="29">
        <f ca="1">SUM(L300:Q300)</f>
        <v>7</v>
      </c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5" t="s">
        <v>1393</v>
      </c>
      <c r="AE300" s="33"/>
      <c r="AF300" s="59" t="str">
        <f t="shared" si="13"/>
        <v>Không</v>
      </c>
      <c r="AG300" s="59" t="str">
        <f t="shared" si="14"/>
        <v>Không</v>
      </c>
      <c r="AH300" s="29" t="str">
        <f t="shared" ca="1" si="12"/>
        <v>Có</v>
      </c>
      <c r="AI300" s="29" t="str">
        <f ca="1">IF((R300)&gt;=6,"Có","Không")</f>
        <v>Có</v>
      </c>
      <c r="AJ300" s="29" t="str">
        <f>IF(OR(J300&gt;=140,K300&gt;=90),"Có","Không")</f>
        <v>Không</v>
      </c>
      <c r="AK300" s="5" t="s">
        <v>51</v>
      </c>
      <c r="AL300" s="32">
        <v>46081</v>
      </c>
      <c r="AM300" s="29" t="str">
        <f>"Tháng "&amp;MONTH(AL300)</f>
        <v>Tháng 2</v>
      </c>
      <c r="AN300" s="69" t="s">
        <v>1376</v>
      </c>
    </row>
    <row r="301" spans="1:40" x14ac:dyDescent="0.25">
      <c r="A301" s="52" t="s">
        <v>1182</v>
      </c>
      <c r="B301" s="20" t="s">
        <v>30</v>
      </c>
      <c r="C301" s="35">
        <v>21186</v>
      </c>
      <c r="D301" s="29">
        <f ca="1">DATEDIF(C301,TODAY(),"Y")</f>
        <v>68</v>
      </c>
      <c r="E301" s="5" t="s">
        <v>26</v>
      </c>
      <c r="F301" s="30">
        <v>150</v>
      </c>
      <c r="G301" s="30">
        <v>53</v>
      </c>
      <c r="H301" s="31">
        <f>G301/((F301/100)*(F301/100))</f>
        <v>23.555555555555557</v>
      </c>
      <c r="I301" s="5">
        <v>76</v>
      </c>
      <c r="J301" s="30">
        <v>140</v>
      </c>
      <c r="K301" s="30">
        <v>80</v>
      </c>
      <c r="L301" s="29">
        <f>IF(B301="Nữ",0,2)</f>
        <v>2</v>
      </c>
      <c r="M301" s="29">
        <f ca="1">IF(D301&lt;45,0,IF(D301&lt;=49,1,2))</f>
        <v>2</v>
      </c>
      <c r="N301" s="29">
        <f>IF(E301="Có",4,0)</f>
        <v>0</v>
      </c>
      <c r="O301" s="29">
        <f>IF(H301&lt;23,0,IF(H301&lt;27.5,3,5))</f>
        <v>3</v>
      </c>
      <c r="P301" s="29">
        <f>IF(OR(AND(B301="Nam",I301&gt;=90),AND(B301="Nữ",I301&gt;=80)),2,0)</f>
        <v>0</v>
      </c>
      <c r="Q301" s="29">
        <f>IF(OR(J301&gt;=140,K301&gt;=90),2,0)</f>
        <v>2</v>
      </c>
      <c r="R301" s="29">
        <f ca="1">SUM(L301:Q301)</f>
        <v>9</v>
      </c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5" t="s">
        <v>1393</v>
      </c>
      <c r="AE301" s="33"/>
      <c r="AF301" s="59" t="str">
        <f t="shared" si="13"/>
        <v>Không</v>
      </c>
      <c r="AG301" s="59" t="str">
        <f t="shared" si="14"/>
        <v>Không</v>
      </c>
      <c r="AH301" s="29" t="str">
        <f t="shared" ca="1" si="12"/>
        <v>Có</v>
      </c>
      <c r="AI301" s="29" t="str">
        <f ca="1">IF((R301)&gt;=6,"Có","Không")</f>
        <v>Có</v>
      </c>
      <c r="AJ301" s="29" t="str">
        <f>IF(OR(J301&gt;=140,K301&gt;=90),"Có","Không")</f>
        <v>Có</v>
      </c>
      <c r="AK301" s="5" t="s">
        <v>51</v>
      </c>
      <c r="AL301" s="32">
        <v>46081</v>
      </c>
      <c r="AM301" s="29" t="str">
        <f>"Tháng "&amp;MONTH(AL301)</f>
        <v>Tháng 2</v>
      </c>
      <c r="AN301" s="69" t="s">
        <v>1376</v>
      </c>
    </row>
    <row r="302" spans="1:40" x14ac:dyDescent="0.25">
      <c r="A302" s="52" t="s">
        <v>1191</v>
      </c>
      <c r="B302" s="21" t="s">
        <v>30</v>
      </c>
      <c r="C302" s="35">
        <v>19360</v>
      </c>
      <c r="D302" s="29">
        <f ca="1">DATEDIF(C302,TODAY(),"Y")</f>
        <v>73</v>
      </c>
      <c r="E302" s="5" t="s">
        <v>25</v>
      </c>
      <c r="F302" s="30">
        <v>158</v>
      </c>
      <c r="G302" s="30">
        <v>58</v>
      </c>
      <c r="H302" s="31">
        <f>G302/((F302/100)*(F302/100))</f>
        <v>23.233456176894723</v>
      </c>
      <c r="I302" s="5">
        <v>78</v>
      </c>
      <c r="J302" s="30">
        <v>130</v>
      </c>
      <c r="K302" s="30">
        <v>80</v>
      </c>
      <c r="L302" s="29">
        <f>IF(B302="Nữ",0,2)</f>
        <v>2</v>
      </c>
      <c r="M302" s="29">
        <f ca="1">IF(D302&lt;45,0,IF(D302&lt;=49,1,2))</f>
        <v>2</v>
      </c>
      <c r="N302" s="29">
        <f>IF(E302="Có",4,0)</f>
        <v>4</v>
      </c>
      <c r="O302" s="29">
        <f>IF(H302&lt;23,0,IF(H302&lt;27.5,3,5))</f>
        <v>3</v>
      </c>
      <c r="P302" s="29">
        <f>IF(OR(AND(B302="Nam",I302&gt;=90),AND(B302="Nữ",I302&gt;=80)),2,0)</f>
        <v>0</v>
      </c>
      <c r="Q302" s="29">
        <f>IF(OR(J302&gt;=140,K302&gt;=90),2,0)</f>
        <v>0</v>
      </c>
      <c r="R302" s="29">
        <f ca="1">SUM(L302:Q302)</f>
        <v>11</v>
      </c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5" t="s">
        <v>1393</v>
      </c>
      <c r="AE302" s="33"/>
      <c r="AF302" s="59" t="str">
        <f t="shared" si="13"/>
        <v>Không</v>
      </c>
      <c r="AG302" s="59" t="str">
        <f t="shared" si="14"/>
        <v>Không</v>
      </c>
      <c r="AH302" s="29" t="str">
        <f t="shared" ca="1" si="12"/>
        <v>Có</v>
      </c>
      <c r="AI302" s="29" t="str">
        <f ca="1">IF((R302)&gt;=6,"Có","Không")</f>
        <v>Có</v>
      </c>
      <c r="AJ302" s="29" t="str">
        <f>IF(OR(J302&gt;=140,K302&gt;=90),"Có","Không")</f>
        <v>Không</v>
      </c>
      <c r="AK302" s="5" t="s">
        <v>51</v>
      </c>
      <c r="AL302" s="32">
        <v>46081</v>
      </c>
      <c r="AM302" s="29" t="str">
        <f>"Tháng "&amp;MONTH(AL302)</f>
        <v>Tháng 2</v>
      </c>
      <c r="AN302" s="69" t="s">
        <v>1376</v>
      </c>
    </row>
    <row r="303" spans="1:40" x14ac:dyDescent="0.25">
      <c r="A303" s="52" t="s">
        <v>1197</v>
      </c>
      <c r="B303" s="21" t="s">
        <v>23</v>
      </c>
      <c r="C303" s="35">
        <v>21916</v>
      </c>
      <c r="D303" s="29">
        <f ca="1">DATEDIF(C303,TODAY(),"Y")</f>
        <v>66</v>
      </c>
      <c r="E303" s="5" t="s">
        <v>25</v>
      </c>
      <c r="F303" s="30">
        <v>158</v>
      </c>
      <c r="G303" s="30">
        <v>58</v>
      </c>
      <c r="H303" s="31">
        <f>G303/((F303/100)*(F303/100))</f>
        <v>23.233456176894723</v>
      </c>
      <c r="I303" s="5">
        <v>88</v>
      </c>
      <c r="J303" s="30">
        <v>120</v>
      </c>
      <c r="K303" s="30">
        <v>80</v>
      </c>
      <c r="L303" s="29">
        <f>IF(B303="Nữ",0,2)</f>
        <v>0</v>
      </c>
      <c r="M303" s="29">
        <f ca="1">IF(D303&lt;45,0,IF(D303&lt;=49,1,2))</f>
        <v>2</v>
      </c>
      <c r="N303" s="29">
        <f>IF(E303="Có",4,0)</f>
        <v>4</v>
      </c>
      <c r="O303" s="29">
        <f>IF(H303&lt;23,0,IF(H303&lt;27.5,3,5))</f>
        <v>3</v>
      </c>
      <c r="P303" s="29">
        <f>IF(OR(AND(B303="Nam",I303&gt;=90),AND(B303="Nữ",I303&gt;=80)),2,0)</f>
        <v>2</v>
      </c>
      <c r="Q303" s="29">
        <f>IF(OR(J303&gt;=140,K303&gt;=90),2,0)</f>
        <v>0</v>
      </c>
      <c r="R303" s="29">
        <f ca="1">SUM(L303:Q303)</f>
        <v>11</v>
      </c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5" t="s">
        <v>1393</v>
      </c>
      <c r="AE303" s="33"/>
      <c r="AF303" s="59" t="str">
        <f t="shared" si="13"/>
        <v>Không</v>
      </c>
      <c r="AG303" s="59" t="str">
        <f t="shared" si="14"/>
        <v>Không</v>
      </c>
      <c r="AH303" s="29" t="str">
        <f t="shared" ca="1" si="12"/>
        <v>Có</v>
      </c>
      <c r="AI303" s="29" t="str">
        <f ca="1">IF((R303)&gt;=6,"Có","Không")</f>
        <v>Có</v>
      </c>
      <c r="AJ303" s="29" t="str">
        <f>IF(OR(J303&gt;=140,K303&gt;=90),"Có","Không")</f>
        <v>Không</v>
      </c>
      <c r="AK303" s="5" t="s">
        <v>51</v>
      </c>
      <c r="AL303" s="32">
        <v>46081</v>
      </c>
      <c r="AM303" s="29" t="str">
        <f>"Tháng "&amp;MONTH(AL303)</f>
        <v>Tháng 2</v>
      </c>
      <c r="AN303" s="69" t="s">
        <v>1376</v>
      </c>
    </row>
    <row r="304" spans="1:40" x14ac:dyDescent="0.25">
      <c r="A304" s="52" t="s">
        <v>1199</v>
      </c>
      <c r="B304" s="21" t="s">
        <v>23</v>
      </c>
      <c r="C304" s="35">
        <v>24108</v>
      </c>
      <c r="D304" s="29">
        <f ca="1">DATEDIF(C304,TODAY(),"Y")</f>
        <v>60</v>
      </c>
      <c r="E304" s="5" t="s">
        <v>26</v>
      </c>
      <c r="F304" s="30">
        <v>158</v>
      </c>
      <c r="G304" s="30">
        <v>58</v>
      </c>
      <c r="H304" s="31">
        <f>G304/((F304/100)*(F304/100))</f>
        <v>23.233456176894723</v>
      </c>
      <c r="I304" s="5">
        <v>89</v>
      </c>
      <c r="J304" s="30">
        <v>150</v>
      </c>
      <c r="K304" s="30">
        <v>80</v>
      </c>
      <c r="L304" s="29">
        <f>IF(B304="Nữ",0,2)</f>
        <v>0</v>
      </c>
      <c r="M304" s="29">
        <f ca="1">IF(D304&lt;45,0,IF(D304&lt;=49,1,2))</f>
        <v>2</v>
      </c>
      <c r="N304" s="29">
        <f>IF(E304="Có",4,0)</f>
        <v>0</v>
      </c>
      <c r="O304" s="29">
        <f>IF(H304&lt;23,0,IF(H304&lt;27.5,3,5))</f>
        <v>3</v>
      </c>
      <c r="P304" s="29">
        <f>IF(OR(AND(B304="Nam",I304&gt;=90),AND(B304="Nữ",I304&gt;=80)),2,0)</f>
        <v>2</v>
      </c>
      <c r="Q304" s="29">
        <f>IF(OR(J304&gt;=140,K304&gt;=90),2,0)</f>
        <v>2</v>
      </c>
      <c r="R304" s="29">
        <f ca="1">SUM(L304:Q304)</f>
        <v>9</v>
      </c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5" t="s">
        <v>1393</v>
      </c>
      <c r="AE304" s="33"/>
      <c r="AF304" s="59" t="str">
        <f t="shared" si="13"/>
        <v>Không</v>
      </c>
      <c r="AG304" s="59" t="str">
        <f t="shared" si="14"/>
        <v>Không</v>
      </c>
      <c r="AH304" s="29" t="str">
        <f t="shared" ca="1" si="12"/>
        <v>Có</v>
      </c>
      <c r="AI304" s="29" t="str">
        <f ca="1">IF((R304)&gt;=6,"Có","Không")</f>
        <v>Có</v>
      </c>
      <c r="AJ304" s="29" t="str">
        <f>IF(OR(J304&gt;=140,K304&gt;=90),"Có","Không")</f>
        <v>Có</v>
      </c>
      <c r="AK304" s="5" t="s">
        <v>51</v>
      </c>
      <c r="AL304" s="32">
        <v>46081</v>
      </c>
      <c r="AM304" s="29" t="str">
        <f>"Tháng "&amp;MONTH(AL304)</f>
        <v>Tháng 2</v>
      </c>
      <c r="AN304" s="69" t="s">
        <v>1376</v>
      </c>
    </row>
    <row r="305" spans="1:40" x14ac:dyDescent="0.25">
      <c r="A305" s="52" t="s">
        <v>200</v>
      </c>
      <c r="B305" s="21" t="s">
        <v>23</v>
      </c>
      <c r="C305" s="35">
        <v>18994</v>
      </c>
      <c r="D305" s="29">
        <f ca="1">DATEDIF(C305,TODAY(),"Y")</f>
        <v>74</v>
      </c>
      <c r="E305" s="5" t="s">
        <v>26</v>
      </c>
      <c r="F305" s="30">
        <v>158</v>
      </c>
      <c r="G305" s="30">
        <v>58</v>
      </c>
      <c r="H305" s="31">
        <f>G305/((F305/100)*(F305/100))</f>
        <v>23.233456176894723</v>
      </c>
      <c r="I305" s="5">
        <v>100</v>
      </c>
      <c r="J305" s="30">
        <v>130</v>
      </c>
      <c r="K305" s="30">
        <v>80</v>
      </c>
      <c r="L305" s="29">
        <f>IF(B305="Nữ",0,2)</f>
        <v>0</v>
      </c>
      <c r="M305" s="29">
        <f ca="1">IF(D305&lt;45,0,IF(D305&lt;=49,1,2))</f>
        <v>2</v>
      </c>
      <c r="N305" s="29">
        <f>IF(E305="Có",4,0)</f>
        <v>0</v>
      </c>
      <c r="O305" s="29">
        <f>IF(H305&lt;23,0,IF(H305&lt;27.5,3,5))</f>
        <v>3</v>
      </c>
      <c r="P305" s="29">
        <f>IF(OR(AND(B305="Nam",I305&gt;=90),AND(B305="Nữ",I305&gt;=80)),2,0)</f>
        <v>2</v>
      </c>
      <c r="Q305" s="29">
        <f>IF(OR(J305&gt;=140,K305&gt;=90),2,0)</f>
        <v>0</v>
      </c>
      <c r="R305" s="29">
        <f ca="1">SUM(L305:Q305)</f>
        <v>7</v>
      </c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5" t="s">
        <v>1393</v>
      </c>
      <c r="AE305" s="33"/>
      <c r="AF305" s="59" t="str">
        <f t="shared" si="13"/>
        <v>Không</v>
      </c>
      <c r="AG305" s="59" t="str">
        <f t="shared" si="14"/>
        <v>Không</v>
      </c>
      <c r="AH305" s="29" t="str">
        <f t="shared" ca="1" si="12"/>
        <v>Có</v>
      </c>
      <c r="AI305" s="29" t="str">
        <f ca="1">IF((R305)&gt;=6,"Có","Không")</f>
        <v>Có</v>
      </c>
      <c r="AJ305" s="29" t="str">
        <f>IF(OR(J305&gt;=140,K305&gt;=90),"Có","Không")</f>
        <v>Không</v>
      </c>
      <c r="AK305" s="5" t="s">
        <v>51</v>
      </c>
      <c r="AL305" s="32">
        <v>46081</v>
      </c>
      <c r="AM305" s="29" t="str">
        <f>"Tháng "&amp;MONTH(AL305)</f>
        <v>Tháng 2</v>
      </c>
      <c r="AN305" s="69" t="s">
        <v>1376</v>
      </c>
    </row>
    <row r="306" spans="1:40" x14ac:dyDescent="0.25">
      <c r="A306" s="52" t="s">
        <v>1204</v>
      </c>
      <c r="B306" s="21" t="s">
        <v>23</v>
      </c>
      <c r="C306" s="35">
        <v>22647</v>
      </c>
      <c r="D306" s="29">
        <f ca="1">DATEDIF(C306,TODAY(),"Y")</f>
        <v>64</v>
      </c>
      <c r="E306" s="5" t="s">
        <v>25</v>
      </c>
      <c r="F306" s="30">
        <v>169</v>
      </c>
      <c r="G306" s="30">
        <v>68</v>
      </c>
      <c r="H306" s="31">
        <f>G306/((F306/100)*(F306/100))</f>
        <v>23.808690171912751</v>
      </c>
      <c r="I306" s="5">
        <v>98</v>
      </c>
      <c r="J306" s="30">
        <v>130</v>
      </c>
      <c r="K306" s="30">
        <v>80</v>
      </c>
      <c r="L306" s="29">
        <f>IF(B306="Nữ",0,2)</f>
        <v>0</v>
      </c>
      <c r="M306" s="29">
        <f ca="1">IF(D306&lt;45,0,IF(D306&lt;=49,1,2))</f>
        <v>2</v>
      </c>
      <c r="N306" s="29">
        <f>IF(E306="Có",4,0)</f>
        <v>4</v>
      </c>
      <c r="O306" s="29">
        <f>IF(H306&lt;23,0,IF(H306&lt;27.5,3,5))</f>
        <v>3</v>
      </c>
      <c r="P306" s="29">
        <f>IF(OR(AND(B306="Nam",I306&gt;=90),AND(B306="Nữ",I306&gt;=80)),2,0)</f>
        <v>2</v>
      </c>
      <c r="Q306" s="29">
        <f>IF(OR(J306&gt;=140,K306&gt;=90),2,0)</f>
        <v>0</v>
      </c>
      <c r="R306" s="29">
        <f ca="1">SUM(L306:Q306)</f>
        <v>11</v>
      </c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5" t="s">
        <v>1393</v>
      </c>
      <c r="AE306" s="33"/>
      <c r="AF306" s="59" t="str">
        <f t="shared" si="13"/>
        <v>Không</v>
      </c>
      <c r="AG306" s="59" t="str">
        <f t="shared" si="14"/>
        <v>Không</v>
      </c>
      <c r="AH306" s="29" t="str">
        <f t="shared" ca="1" si="12"/>
        <v>Có</v>
      </c>
      <c r="AI306" s="29" t="str">
        <f ca="1">IF((R306)&gt;=6,"Có","Không")</f>
        <v>Có</v>
      </c>
      <c r="AJ306" s="29" t="str">
        <f>IF(OR(J306&gt;=140,K306&gt;=90),"Có","Không")</f>
        <v>Không</v>
      </c>
      <c r="AK306" s="5" t="s">
        <v>51</v>
      </c>
      <c r="AL306" s="32">
        <v>46081</v>
      </c>
      <c r="AM306" s="29" t="str">
        <f>"Tháng "&amp;MONTH(AL306)</f>
        <v>Tháng 2</v>
      </c>
      <c r="AN306" s="69" t="s">
        <v>1376</v>
      </c>
    </row>
    <row r="307" spans="1:40" x14ac:dyDescent="0.25">
      <c r="A307" s="52" t="s">
        <v>1205</v>
      </c>
      <c r="B307" s="21" t="s">
        <v>23</v>
      </c>
      <c r="C307" s="35">
        <v>20821</v>
      </c>
      <c r="D307" s="29">
        <f ca="1">DATEDIF(C307,TODAY(),"Y")</f>
        <v>69</v>
      </c>
      <c r="E307" s="5" t="s">
        <v>26</v>
      </c>
      <c r="F307" s="30">
        <v>160</v>
      </c>
      <c r="G307" s="30">
        <v>50</v>
      </c>
      <c r="H307" s="31">
        <f>G307/((F307/100)*(F307/100))</f>
        <v>19.531249999999996</v>
      </c>
      <c r="I307" s="5">
        <v>65</v>
      </c>
      <c r="J307" s="30">
        <v>120</v>
      </c>
      <c r="K307" s="30">
        <v>80</v>
      </c>
      <c r="L307" s="29">
        <f>IF(B307="Nữ",0,2)</f>
        <v>0</v>
      </c>
      <c r="M307" s="29">
        <f ca="1">IF(D307&lt;45,0,IF(D307&lt;=49,1,2))</f>
        <v>2</v>
      </c>
      <c r="N307" s="29">
        <f>IF(E307="Có",4,0)</f>
        <v>0</v>
      </c>
      <c r="O307" s="29">
        <f>IF(H307&lt;23,0,IF(H307&lt;27.5,3,5))</f>
        <v>0</v>
      </c>
      <c r="P307" s="29">
        <f>IF(OR(AND(B307="Nam",I307&gt;=90),AND(B307="Nữ",I307&gt;=80)),2,0)</f>
        <v>0</v>
      </c>
      <c r="Q307" s="29">
        <f>IF(OR(J307&gt;=140,K307&gt;=90),2,0)</f>
        <v>0</v>
      </c>
      <c r="R307" s="29">
        <f ca="1">SUM(L307:Q307)</f>
        <v>2</v>
      </c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5" t="s">
        <v>1393</v>
      </c>
      <c r="AE307" s="33"/>
      <c r="AF307" s="59" t="str">
        <f t="shared" si="13"/>
        <v>Không</v>
      </c>
      <c r="AG307" s="59" t="str">
        <f t="shared" si="14"/>
        <v>Không</v>
      </c>
      <c r="AH307" s="29" t="str">
        <f t="shared" ca="1" si="12"/>
        <v>Không</v>
      </c>
      <c r="AI307" s="29" t="str">
        <f ca="1">IF((R307)&gt;=6,"Có","Không")</f>
        <v>Không</v>
      </c>
      <c r="AJ307" s="29" t="str">
        <f>IF(OR(J307&gt;=140,K307&gt;=90),"Có","Không")</f>
        <v>Không</v>
      </c>
      <c r="AK307" s="5" t="s">
        <v>51</v>
      </c>
      <c r="AL307" s="32">
        <v>46081</v>
      </c>
      <c r="AM307" s="29" t="str">
        <f>"Tháng "&amp;MONTH(AL307)</f>
        <v>Tháng 2</v>
      </c>
      <c r="AN307" s="69" t="s">
        <v>1376</v>
      </c>
    </row>
    <row r="308" spans="1:40" x14ac:dyDescent="0.25">
      <c r="A308" s="52" t="s">
        <v>1210</v>
      </c>
      <c r="B308" s="21" t="s">
        <v>30</v>
      </c>
      <c r="C308" s="35">
        <v>27760</v>
      </c>
      <c r="D308" s="29">
        <f ca="1">DATEDIF(C308,TODAY(),"Y")</f>
        <v>50</v>
      </c>
      <c r="E308" s="5" t="s">
        <v>26</v>
      </c>
      <c r="F308" s="30">
        <v>169</v>
      </c>
      <c r="G308" s="30">
        <v>68</v>
      </c>
      <c r="H308" s="31">
        <f>G308/((F308/100)*(F308/100))</f>
        <v>23.808690171912751</v>
      </c>
      <c r="I308" s="5">
        <v>76</v>
      </c>
      <c r="J308" s="30">
        <v>160</v>
      </c>
      <c r="K308" s="30">
        <v>80</v>
      </c>
      <c r="L308" s="29">
        <f>IF(B308="Nữ",0,2)</f>
        <v>2</v>
      </c>
      <c r="M308" s="29">
        <f ca="1">IF(D308&lt;45,0,IF(D308&lt;=49,1,2))</f>
        <v>2</v>
      </c>
      <c r="N308" s="29">
        <f>IF(E308="Có",4,0)</f>
        <v>0</v>
      </c>
      <c r="O308" s="29">
        <f>IF(H308&lt;23,0,IF(H308&lt;27.5,3,5))</f>
        <v>3</v>
      </c>
      <c r="P308" s="29">
        <f>IF(OR(AND(B308="Nam",I308&gt;=90),AND(B308="Nữ",I308&gt;=80)),2,0)</f>
        <v>0</v>
      </c>
      <c r="Q308" s="29">
        <f>IF(OR(J308&gt;=140,K308&gt;=90),2,0)</f>
        <v>2</v>
      </c>
      <c r="R308" s="29">
        <f ca="1">SUM(L308:Q308)</f>
        <v>9</v>
      </c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5" t="s">
        <v>1393</v>
      </c>
      <c r="AE308" s="33"/>
      <c r="AF308" s="59" t="str">
        <f t="shared" si="13"/>
        <v>Không</v>
      </c>
      <c r="AG308" s="59" t="str">
        <f t="shared" si="14"/>
        <v>Không</v>
      </c>
      <c r="AH308" s="29" t="str">
        <f t="shared" ca="1" si="12"/>
        <v>Có</v>
      </c>
      <c r="AI308" s="29" t="str">
        <f ca="1">IF((R308)&gt;=6,"Có","Không")</f>
        <v>Có</v>
      </c>
      <c r="AJ308" s="29" t="str">
        <f>IF(OR(J308&gt;=140,K308&gt;=90),"Có","Không")</f>
        <v>Có</v>
      </c>
      <c r="AK308" s="5" t="s">
        <v>51</v>
      </c>
      <c r="AL308" s="32">
        <v>46081</v>
      </c>
      <c r="AM308" s="29" t="str">
        <f>"Tháng "&amp;MONTH(AL308)</f>
        <v>Tháng 2</v>
      </c>
      <c r="AN308" s="69" t="s">
        <v>1376</v>
      </c>
    </row>
    <row r="309" spans="1:40" x14ac:dyDescent="0.25">
      <c r="A309" s="52" t="s">
        <v>1223</v>
      </c>
      <c r="B309" s="20" t="s">
        <v>30</v>
      </c>
      <c r="C309" s="35">
        <v>18994</v>
      </c>
      <c r="D309" s="29">
        <f ca="1">DATEDIF(C309,TODAY(),"Y")</f>
        <v>74</v>
      </c>
      <c r="E309" s="5" t="s">
        <v>26</v>
      </c>
      <c r="F309" s="30">
        <v>158</v>
      </c>
      <c r="G309" s="30">
        <v>58</v>
      </c>
      <c r="H309" s="31">
        <f>G309/((F309/100)*(F309/100))</f>
        <v>23.233456176894723</v>
      </c>
      <c r="I309" s="5">
        <v>71</v>
      </c>
      <c r="J309" s="30">
        <v>150</v>
      </c>
      <c r="K309" s="30">
        <v>80</v>
      </c>
      <c r="L309" s="29">
        <f>IF(B309="Nữ",0,2)</f>
        <v>2</v>
      </c>
      <c r="M309" s="29">
        <f ca="1">IF(D309&lt;45,0,IF(D309&lt;=49,1,2))</f>
        <v>2</v>
      </c>
      <c r="N309" s="29">
        <f>IF(E309="Có",4,0)</f>
        <v>0</v>
      </c>
      <c r="O309" s="29">
        <f>IF(H309&lt;23,0,IF(H309&lt;27.5,3,5))</f>
        <v>3</v>
      </c>
      <c r="P309" s="29">
        <f>IF(OR(AND(B309="Nam",I309&gt;=90),AND(B309="Nữ",I309&gt;=80)),2,0)</f>
        <v>0</v>
      </c>
      <c r="Q309" s="29">
        <f>IF(OR(J309&gt;=140,K309&gt;=90),2,0)</f>
        <v>2</v>
      </c>
      <c r="R309" s="29">
        <f ca="1">SUM(L309:Q309)</f>
        <v>9</v>
      </c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5" t="s">
        <v>1393</v>
      </c>
      <c r="AE309" s="33"/>
      <c r="AF309" s="59" t="str">
        <f t="shared" si="13"/>
        <v>Không</v>
      </c>
      <c r="AG309" s="59" t="str">
        <f t="shared" si="14"/>
        <v>Không</v>
      </c>
      <c r="AH309" s="29" t="str">
        <f t="shared" ca="1" si="12"/>
        <v>Có</v>
      </c>
      <c r="AI309" s="29" t="str">
        <f ca="1">IF((R309)&gt;=6,"Có","Không")</f>
        <v>Có</v>
      </c>
      <c r="AJ309" s="29" t="str">
        <f>IF(OR(J309&gt;=140,K309&gt;=90),"Có","Không")</f>
        <v>Có</v>
      </c>
      <c r="AK309" s="5" t="s">
        <v>51</v>
      </c>
      <c r="AL309" s="32">
        <v>46081</v>
      </c>
      <c r="AM309" s="29" t="str">
        <f>"Tháng "&amp;MONTH(AL309)</f>
        <v>Tháng 2</v>
      </c>
      <c r="AN309" s="69" t="s">
        <v>1376</v>
      </c>
    </row>
    <row r="310" spans="1:40" x14ac:dyDescent="0.25">
      <c r="A310" s="52" t="s">
        <v>521</v>
      </c>
      <c r="B310" s="21" t="s">
        <v>23</v>
      </c>
      <c r="C310" s="35">
        <v>25934</v>
      </c>
      <c r="D310" s="29">
        <f ca="1">DATEDIF(C310,TODAY(),"Y")</f>
        <v>55</v>
      </c>
      <c r="E310" s="5" t="s">
        <v>26</v>
      </c>
      <c r="F310" s="30">
        <v>158</v>
      </c>
      <c r="G310" s="30">
        <v>58</v>
      </c>
      <c r="H310" s="31">
        <f>G310/((F310/100)*(F310/100))</f>
        <v>23.233456176894723</v>
      </c>
      <c r="I310" s="5">
        <v>99</v>
      </c>
      <c r="J310" s="30">
        <v>130</v>
      </c>
      <c r="K310" s="30">
        <v>80</v>
      </c>
      <c r="L310" s="29">
        <f>IF(B310="Nữ",0,2)</f>
        <v>0</v>
      </c>
      <c r="M310" s="29">
        <f ca="1">IF(D310&lt;45,0,IF(D310&lt;=49,1,2))</f>
        <v>2</v>
      </c>
      <c r="N310" s="29">
        <f>IF(E310="Có",4,0)</f>
        <v>0</v>
      </c>
      <c r="O310" s="29">
        <f>IF(H310&lt;23,0,IF(H310&lt;27.5,3,5))</f>
        <v>3</v>
      </c>
      <c r="P310" s="29">
        <f>IF(OR(AND(B310="Nam",I310&gt;=90),AND(B310="Nữ",I310&gt;=80)),2,0)</f>
        <v>2</v>
      </c>
      <c r="Q310" s="29">
        <f>IF(OR(J310&gt;=140,K310&gt;=90),2,0)</f>
        <v>0</v>
      </c>
      <c r="R310" s="29">
        <f ca="1">SUM(L310:Q310)</f>
        <v>7</v>
      </c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5" t="s">
        <v>1393</v>
      </c>
      <c r="AE310" s="33"/>
      <c r="AF310" s="59" t="str">
        <f t="shared" si="13"/>
        <v>Không</v>
      </c>
      <c r="AG310" s="59" t="str">
        <f t="shared" si="14"/>
        <v>Không</v>
      </c>
      <c r="AH310" s="29" t="str">
        <f t="shared" ca="1" si="12"/>
        <v>Có</v>
      </c>
      <c r="AI310" s="29" t="str">
        <f ca="1">IF((R310)&gt;=6,"Có","Không")</f>
        <v>Có</v>
      </c>
      <c r="AJ310" s="29" t="str">
        <f>IF(OR(J310&gt;=140,K310&gt;=90),"Có","Không")</f>
        <v>Không</v>
      </c>
      <c r="AK310" s="5" t="s">
        <v>51</v>
      </c>
      <c r="AL310" s="32">
        <v>46081</v>
      </c>
      <c r="AM310" s="29" t="str">
        <f>"Tháng "&amp;MONTH(AL310)</f>
        <v>Tháng 2</v>
      </c>
      <c r="AN310" s="69" t="s">
        <v>1376</v>
      </c>
    </row>
    <row r="311" spans="1:40" x14ac:dyDescent="0.25">
      <c r="A311" s="52" t="s">
        <v>1226</v>
      </c>
      <c r="B311" s="21" t="s">
        <v>23</v>
      </c>
      <c r="C311" s="35">
        <v>19360</v>
      </c>
      <c r="D311" s="29">
        <f ca="1">DATEDIF(C311,TODAY(),"Y")</f>
        <v>73</v>
      </c>
      <c r="E311" s="5" t="s">
        <v>26</v>
      </c>
      <c r="F311" s="30">
        <v>158</v>
      </c>
      <c r="G311" s="30">
        <v>58</v>
      </c>
      <c r="H311" s="31">
        <f>G311/((F311/100)*(F311/100))</f>
        <v>23.233456176894723</v>
      </c>
      <c r="I311" s="5">
        <v>88</v>
      </c>
      <c r="J311" s="30">
        <v>120</v>
      </c>
      <c r="K311" s="30">
        <v>70</v>
      </c>
      <c r="L311" s="29">
        <f>IF(B311="Nữ",0,2)</f>
        <v>0</v>
      </c>
      <c r="M311" s="29">
        <f ca="1">IF(D311&lt;45,0,IF(D311&lt;=49,1,2))</f>
        <v>2</v>
      </c>
      <c r="N311" s="29">
        <f>IF(E311="Có",4,0)</f>
        <v>0</v>
      </c>
      <c r="O311" s="29">
        <f>IF(H311&lt;23,0,IF(H311&lt;27.5,3,5))</f>
        <v>3</v>
      </c>
      <c r="P311" s="29">
        <f>IF(OR(AND(B311="Nam",I311&gt;=90),AND(B311="Nữ",I311&gt;=80)),2,0)</f>
        <v>2</v>
      </c>
      <c r="Q311" s="29">
        <f>IF(OR(J311&gt;=140,K311&gt;=90),2,0)</f>
        <v>0</v>
      </c>
      <c r="R311" s="29">
        <f ca="1">SUM(L311:Q311)</f>
        <v>7</v>
      </c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5" t="s">
        <v>1393</v>
      </c>
      <c r="AE311" s="33"/>
      <c r="AF311" s="59" t="str">
        <f t="shared" si="13"/>
        <v>Không</v>
      </c>
      <c r="AG311" s="59" t="str">
        <f t="shared" si="14"/>
        <v>Không</v>
      </c>
      <c r="AH311" s="29" t="str">
        <f t="shared" ca="1" si="12"/>
        <v>Có</v>
      </c>
      <c r="AI311" s="29" t="str">
        <f ca="1">IF((R311)&gt;=6,"Có","Không")</f>
        <v>Có</v>
      </c>
      <c r="AJ311" s="29" t="str">
        <f>IF(OR(J311&gt;=140,K311&gt;=90),"Có","Không")</f>
        <v>Không</v>
      </c>
      <c r="AK311" s="5" t="s">
        <v>51</v>
      </c>
      <c r="AL311" s="32">
        <v>46081</v>
      </c>
      <c r="AM311" s="29" t="str">
        <f>"Tháng "&amp;MONTH(AL311)</f>
        <v>Tháng 2</v>
      </c>
      <c r="AN311" s="69" t="s">
        <v>1376</v>
      </c>
    </row>
    <row r="312" spans="1:40" x14ac:dyDescent="0.25">
      <c r="A312" s="52" t="s">
        <v>1231</v>
      </c>
      <c r="B312" s="21" t="s">
        <v>30</v>
      </c>
      <c r="C312" s="35">
        <v>18994</v>
      </c>
      <c r="D312" s="29">
        <f ca="1">DATEDIF(C312,TODAY(),"Y")</f>
        <v>74</v>
      </c>
      <c r="E312" s="5" t="s">
        <v>26</v>
      </c>
      <c r="F312" s="30">
        <v>158</v>
      </c>
      <c r="G312" s="30">
        <v>58</v>
      </c>
      <c r="H312" s="31">
        <f>G312/((F312/100)*(F312/100))</f>
        <v>23.233456176894723</v>
      </c>
      <c r="I312" s="5">
        <v>90</v>
      </c>
      <c r="J312" s="30">
        <v>120</v>
      </c>
      <c r="K312" s="30">
        <v>80</v>
      </c>
      <c r="L312" s="29">
        <f>IF(B312="Nữ",0,2)</f>
        <v>2</v>
      </c>
      <c r="M312" s="29">
        <f ca="1">IF(D312&lt;45,0,IF(D312&lt;=49,1,2))</f>
        <v>2</v>
      </c>
      <c r="N312" s="29">
        <f>IF(E312="Có",4,0)</f>
        <v>0</v>
      </c>
      <c r="O312" s="29">
        <f>IF(H312&lt;23,0,IF(H312&lt;27.5,3,5))</f>
        <v>3</v>
      </c>
      <c r="P312" s="29">
        <f>IF(OR(AND(B312="Nam",I312&gt;=90),AND(B312="Nữ",I312&gt;=80)),2,0)</f>
        <v>2</v>
      </c>
      <c r="Q312" s="29">
        <f>IF(OR(J312&gt;=140,K312&gt;=90),2,0)</f>
        <v>0</v>
      </c>
      <c r="R312" s="29">
        <f ca="1">SUM(L312:Q312)</f>
        <v>9</v>
      </c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5" t="s">
        <v>1393</v>
      </c>
      <c r="AE312" s="33"/>
      <c r="AF312" s="59" t="str">
        <f t="shared" si="13"/>
        <v>Không</v>
      </c>
      <c r="AG312" s="59" t="str">
        <f t="shared" si="14"/>
        <v>Không</v>
      </c>
      <c r="AH312" s="29" t="str">
        <f t="shared" ca="1" si="12"/>
        <v>Có</v>
      </c>
      <c r="AI312" s="29" t="str">
        <f ca="1">IF((R312)&gt;=6,"Có","Không")</f>
        <v>Có</v>
      </c>
      <c r="AJ312" s="29" t="str">
        <f>IF(OR(J312&gt;=140,K312&gt;=90),"Có","Không")</f>
        <v>Không</v>
      </c>
      <c r="AK312" s="5" t="s">
        <v>51</v>
      </c>
      <c r="AL312" s="32">
        <v>46081</v>
      </c>
      <c r="AM312" s="29" t="str">
        <f>"Tháng "&amp;MONTH(AL312)</f>
        <v>Tháng 2</v>
      </c>
      <c r="AN312" s="69" t="s">
        <v>1376</v>
      </c>
    </row>
    <row r="313" spans="1:40" x14ac:dyDescent="0.25">
      <c r="A313" s="52" t="s">
        <v>1041</v>
      </c>
      <c r="B313" s="20" t="s">
        <v>23</v>
      </c>
      <c r="C313" s="35">
        <v>20090</v>
      </c>
      <c r="D313" s="29">
        <f ca="1">DATEDIF(C313,TODAY(),"Y")</f>
        <v>71</v>
      </c>
      <c r="E313" s="5" t="s">
        <v>25</v>
      </c>
      <c r="F313" s="30">
        <v>166</v>
      </c>
      <c r="G313" s="30">
        <v>50</v>
      </c>
      <c r="H313" s="31">
        <f>G313/((F313/100)*(F313/100))</f>
        <v>18.144868631151112</v>
      </c>
      <c r="I313" s="5">
        <v>76</v>
      </c>
      <c r="J313" s="30">
        <v>120</v>
      </c>
      <c r="K313" s="30">
        <v>80</v>
      </c>
      <c r="L313" s="29">
        <f>IF(B313="Nữ",0,2)</f>
        <v>0</v>
      </c>
      <c r="M313" s="29">
        <f ca="1">IF(D313&lt;45,0,IF(D313&lt;=49,1,2))</f>
        <v>2</v>
      </c>
      <c r="N313" s="29">
        <f>IF(E313="Có",4,0)</f>
        <v>4</v>
      </c>
      <c r="O313" s="29">
        <f>IF(H313&lt;23,0,IF(H313&lt;27.5,3,5))</f>
        <v>0</v>
      </c>
      <c r="P313" s="29">
        <f>IF(OR(AND(B313="Nam",I313&gt;=90),AND(B313="Nữ",I313&gt;=80)),2,0)</f>
        <v>0</v>
      </c>
      <c r="Q313" s="29">
        <f>IF(OR(J313&gt;=140,K313&gt;=90),2,0)</f>
        <v>0</v>
      </c>
      <c r="R313" s="29">
        <f ca="1">SUM(L313:Q313)</f>
        <v>6</v>
      </c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5" t="s">
        <v>1393</v>
      </c>
      <c r="AE313" s="33"/>
      <c r="AF313" s="59" t="str">
        <f t="shared" si="13"/>
        <v>Không</v>
      </c>
      <c r="AG313" s="59" t="str">
        <f t="shared" si="14"/>
        <v>Không</v>
      </c>
      <c r="AH313" s="29" t="str">
        <f t="shared" ca="1" si="12"/>
        <v>Có</v>
      </c>
      <c r="AI313" s="29" t="str">
        <f ca="1">IF((R313)&gt;=6,"Có","Không")</f>
        <v>Có</v>
      </c>
      <c r="AJ313" s="29" t="str">
        <f>IF(OR(J313&gt;=140,K313&gt;=90),"Có","Không")</f>
        <v>Không</v>
      </c>
      <c r="AK313" s="5" t="s">
        <v>51</v>
      </c>
      <c r="AL313" s="32">
        <v>46081</v>
      </c>
      <c r="AM313" s="29" t="str">
        <f>"Tháng "&amp;MONTH(AL313)</f>
        <v>Tháng 2</v>
      </c>
      <c r="AN313" s="69" t="s">
        <v>1376</v>
      </c>
    </row>
    <row r="314" spans="1:40" x14ac:dyDescent="0.25">
      <c r="A314" s="52" t="s">
        <v>1239</v>
      </c>
      <c r="B314" s="21" t="s">
        <v>30</v>
      </c>
      <c r="C314" s="35">
        <v>18994</v>
      </c>
      <c r="D314" s="29">
        <f ca="1">DATEDIF(C314,TODAY(),"Y")</f>
        <v>74</v>
      </c>
      <c r="E314" s="5" t="s">
        <v>26</v>
      </c>
      <c r="F314" s="30">
        <v>160</v>
      </c>
      <c r="G314" s="30">
        <v>64</v>
      </c>
      <c r="H314" s="31">
        <f>G314/((F314/100)*(F314/100))</f>
        <v>24.999999999999996</v>
      </c>
      <c r="I314" s="5">
        <v>95</v>
      </c>
      <c r="J314" s="30">
        <v>140</v>
      </c>
      <c r="K314" s="30">
        <v>80</v>
      </c>
      <c r="L314" s="29">
        <f>IF(B314="Nữ",0,2)</f>
        <v>2</v>
      </c>
      <c r="M314" s="29">
        <f ca="1">IF(D314&lt;45,0,IF(D314&lt;=49,1,2))</f>
        <v>2</v>
      </c>
      <c r="N314" s="29">
        <f>IF(E314="Có",4,0)</f>
        <v>0</v>
      </c>
      <c r="O314" s="29">
        <f>IF(H314&lt;23,0,IF(H314&lt;27.5,3,5))</f>
        <v>3</v>
      </c>
      <c r="P314" s="29">
        <f>IF(OR(AND(B314="Nam",I314&gt;=90),AND(B314="Nữ",I314&gt;=80)),2,0)</f>
        <v>2</v>
      </c>
      <c r="Q314" s="29">
        <f>IF(OR(J314&gt;=140,K314&gt;=90),2,0)</f>
        <v>2</v>
      </c>
      <c r="R314" s="29">
        <f ca="1">SUM(L314:Q314)</f>
        <v>11</v>
      </c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5" t="s">
        <v>1393</v>
      </c>
      <c r="AE314" s="33"/>
      <c r="AF314" s="59" t="str">
        <f t="shared" si="13"/>
        <v>Không</v>
      </c>
      <c r="AG314" s="59" t="str">
        <f t="shared" si="14"/>
        <v>Không</v>
      </c>
      <c r="AH314" s="29" t="str">
        <f t="shared" ca="1" si="12"/>
        <v>Có</v>
      </c>
      <c r="AI314" s="29" t="str">
        <f ca="1">IF((R314)&gt;=6,"Có","Không")</f>
        <v>Có</v>
      </c>
      <c r="AJ314" s="29" t="str">
        <f>IF(OR(J314&gt;=140,K314&gt;=90),"Có","Không")</f>
        <v>Có</v>
      </c>
      <c r="AK314" s="5" t="s">
        <v>51</v>
      </c>
      <c r="AL314" s="32">
        <v>46081</v>
      </c>
      <c r="AM314" s="29" t="str">
        <f>"Tháng "&amp;MONTH(AL314)</f>
        <v>Tháng 2</v>
      </c>
      <c r="AN314" s="69" t="s">
        <v>1376</v>
      </c>
    </row>
    <row r="315" spans="1:40" x14ac:dyDescent="0.25">
      <c r="A315" s="52" t="s">
        <v>1244</v>
      </c>
      <c r="B315" s="21" t="s">
        <v>30</v>
      </c>
      <c r="C315" s="35">
        <v>26299</v>
      </c>
      <c r="D315" s="29">
        <f ca="1">DATEDIF(C315,TODAY(),"Y")</f>
        <v>54</v>
      </c>
      <c r="E315" s="5" t="s">
        <v>26</v>
      </c>
      <c r="F315" s="30">
        <v>158</v>
      </c>
      <c r="G315" s="30">
        <v>58</v>
      </c>
      <c r="H315" s="31">
        <f>G315/((F315/100)*(F315/100))</f>
        <v>23.233456176894723</v>
      </c>
      <c r="I315" s="5">
        <v>88</v>
      </c>
      <c r="J315" s="30">
        <v>120</v>
      </c>
      <c r="K315" s="30">
        <v>80</v>
      </c>
      <c r="L315" s="29">
        <f>IF(B315="Nữ",0,2)</f>
        <v>2</v>
      </c>
      <c r="M315" s="29">
        <f ca="1">IF(D315&lt;45,0,IF(D315&lt;=49,1,2))</f>
        <v>2</v>
      </c>
      <c r="N315" s="29">
        <f>IF(E315="Có",4,0)</f>
        <v>0</v>
      </c>
      <c r="O315" s="29">
        <f>IF(H315&lt;23,0,IF(H315&lt;27.5,3,5))</f>
        <v>3</v>
      </c>
      <c r="P315" s="29">
        <f>IF(OR(AND(B315="Nam",I315&gt;=90),AND(B315="Nữ",I315&gt;=80)),2,0)</f>
        <v>0</v>
      </c>
      <c r="Q315" s="29">
        <f>IF(OR(J315&gt;=140,K315&gt;=90),2,0)</f>
        <v>0</v>
      </c>
      <c r="R315" s="29">
        <f ca="1">SUM(L315:Q315)</f>
        <v>7</v>
      </c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5" t="s">
        <v>1393</v>
      </c>
      <c r="AE315" s="33"/>
      <c r="AF315" s="59" t="str">
        <f t="shared" si="13"/>
        <v>Không</v>
      </c>
      <c r="AG315" s="59" t="str">
        <f t="shared" si="14"/>
        <v>Không</v>
      </c>
      <c r="AH315" s="29" t="str">
        <f t="shared" ca="1" si="12"/>
        <v>Có</v>
      </c>
      <c r="AI315" s="29" t="str">
        <f ca="1">IF((R315)&gt;=6,"Có","Không")</f>
        <v>Có</v>
      </c>
      <c r="AJ315" s="29" t="str">
        <f>IF(OR(J315&gt;=140,K315&gt;=90),"Có","Không")</f>
        <v>Không</v>
      </c>
      <c r="AK315" s="5" t="s">
        <v>51</v>
      </c>
      <c r="AL315" s="32">
        <v>46081</v>
      </c>
      <c r="AM315" s="29" t="str">
        <f>"Tháng "&amp;MONTH(AL315)</f>
        <v>Tháng 2</v>
      </c>
      <c r="AN315" s="69" t="s">
        <v>1376</v>
      </c>
    </row>
    <row r="316" spans="1:40" x14ac:dyDescent="0.25">
      <c r="A316" s="52" t="s">
        <v>1247</v>
      </c>
      <c r="B316" s="21" t="s">
        <v>30</v>
      </c>
      <c r="C316" s="35">
        <v>25204</v>
      </c>
      <c r="D316" s="29">
        <f ca="1">DATEDIF(C316,TODAY(),"Y")</f>
        <v>57</v>
      </c>
      <c r="E316" s="5" t="s">
        <v>26</v>
      </c>
      <c r="F316" s="30">
        <v>169</v>
      </c>
      <c r="G316" s="30">
        <v>68</v>
      </c>
      <c r="H316" s="31">
        <f>G316/((F316/100)*(F316/100))</f>
        <v>23.808690171912751</v>
      </c>
      <c r="I316" s="5">
        <v>70</v>
      </c>
      <c r="J316" s="30">
        <v>120</v>
      </c>
      <c r="K316" s="30">
        <v>80</v>
      </c>
      <c r="L316" s="29">
        <f>IF(B316="Nữ",0,2)</f>
        <v>2</v>
      </c>
      <c r="M316" s="29">
        <f ca="1">IF(D316&lt;45,0,IF(D316&lt;=49,1,2))</f>
        <v>2</v>
      </c>
      <c r="N316" s="29">
        <f>IF(E316="Có",4,0)</f>
        <v>0</v>
      </c>
      <c r="O316" s="29">
        <f>IF(H316&lt;23,0,IF(H316&lt;27.5,3,5))</f>
        <v>3</v>
      </c>
      <c r="P316" s="29">
        <f>IF(OR(AND(B316="Nam",I316&gt;=90),AND(B316="Nữ",I316&gt;=80)),2,0)</f>
        <v>0</v>
      </c>
      <c r="Q316" s="29">
        <f>IF(OR(J316&gt;=140,K316&gt;=90),2,0)</f>
        <v>0</v>
      </c>
      <c r="R316" s="29">
        <f ca="1">SUM(L316:Q316)</f>
        <v>7</v>
      </c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5" t="s">
        <v>1393</v>
      </c>
      <c r="AE316" s="33"/>
      <c r="AF316" s="59" t="str">
        <f t="shared" si="13"/>
        <v>Không</v>
      </c>
      <c r="AG316" s="59" t="str">
        <f t="shared" si="14"/>
        <v>Không</v>
      </c>
      <c r="AH316" s="29" t="str">
        <f t="shared" ca="1" si="12"/>
        <v>Có</v>
      </c>
      <c r="AI316" s="29" t="str">
        <f ca="1">IF((R316)&gt;=6,"Có","Không")</f>
        <v>Có</v>
      </c>
      <c r="AJ316" s="29" t="str">
        <f>IF(OR(J316&gt;=140,K316&gt;=90),"Có","Không")</f>
        <v>Không</v>
      </c>
      <c r="AK316" s="5" t="s">
        <v>51</v>
      </c>
      <c r="AL316" s="32">
        <v>46081</v>
      </c>
      <c r="AM316" s="29" t="str">
        <f>"Tháng "&amp;MONTH(AL316)</f>
        <v>Tháng 2</v>
      </c>
      <c r="AN316" s="69" t="s">
        <v>1376</v>
      </c>
    </row>
    <row r="317" spans="1:40" x14ac:dyDescent="0.25">
      <c r="A317" s="52" t="s">
        <v>287</v>
      </c>
      <c r="B317" s="20" t="s">
        <v>23</v>
      </c>
      <c r="C317" s="35">
        <v>26299</v>
      </c>
      <c r="D317" s="29">
        <f ca="1">DATEDIF(C317,TODAY(),"Y")</f>
        <v>54</v>
      </c>
      <c r="E317" s="5" t="s">
        <v>26</v>
      </c>
      <c r="F317" s="30">
        <v>169</v>
      </c>
      <c r="G317" s="30">
        <v>69</v>
      </c>
      <c r="H317" s="31">
        <f>G317/((F317/100)*(F317/100))</f>
        <v>24.158817968558527</v>
      </c>
      <c r="I317" s="5">
        <v>74</v>
      </c>
      <c r="J317" s="30">
        <v>140</v>
      </c>
      <c r="K317" s="30">
        <v>80</v>
      </c>
      <c r="L317" s="29">
        <f>IF(B317="Nữ",0,2)</f>
        <v>0</v>
      </c>
      <c r="M317" s="29">
        <f ca="1">IF(D317&lt;45,0,IF(D317&lt;=49,1,2))</f>
        <v>2</v>
      </c>
      <c r="N317" s="29">
        <f>IF(E317="Có",4,0)</f>
        <v>0</v>
      </c>
      <c r="O317" s="29">
        <f>IF(H317&lt;23,0,IF(H317&lt;27.5,3,5))</f>
        <v>3</v>
      </c>
      <c r="P317" s="29">
        <f>IF(OR(AND(B317="Nam",I317&gt;=90),AND(B317="Nữ",I317&gt;=80)),2,0)</f>
        <v>0</v>
      </c>
      <c r="Q317" s="29">
        <f>IF(OR(J317&gt;=140,K317&gt;=90),2,0)</f>
        <v>2</v>
      </c>
      <c r="R317" s="29">
        <f ca="1">SUM(L317:Q317)</f>
        <v>7</v>
      </c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5" t="s">
        <v>1393</v>
      </c>
      <c r="AE317" s="33"/>
      <c r="AF317" s="59" t="str">
        <f t="shared" si="13"/>
        <v>Không</v>
      </c>
      <c r="AG317" s="59" t="str">
        <f t="shared" si="14"/>
        <v>Không</v>
      </c>
      <c r="AH317" s="29" t="str">
        <f t="shared" ca="1" si="12"/>
        <v>Có</v>
      </c>
      <c r="AI317" s="29" t="str">
        <f ca="1">IF((R317)&gt;=6,"Có","Không")</f>
        <v>Có</v>
      </c>
      <c r="AJ317" s="29" t="str">
        <f>IF(OR(J317&gt;=140,K317&gt;=90),"Có","Không")</f>
        <v>Có</v>
      </c>
      <c r="AK317" s="5" t="s">
        <v>51</v>
      </c>
      <c r="AL317" s="32">
        <v>46081</v>
      </c>
      <c r="AM317" s="29" t="str">
        <f>"Tháng "&amp;MONTH(AL317)</f>
        <v>Tháng 2</v>
      </c>
      <c r="AN317" s="69" t="s">
        <v>1376</v>
      </c>
    </row>
    <row r="318" spans="1:40" x14ac:dyDescent="0.25">
      <c r="A318" s="52" t="s">
        <v>1250</v>
      </c>
      <c r="B318" s="20" t="s">
        <v>23</v>
      </c>
      <c r="C318" s="35">
        <v>17533</v>
      </c>
      <c r="D318" s="29">
        <f ca="1">DATEDIF(C318,TODAY(),"Y")</f>
        <v>78</v>
      </c>
      <c r="E318" s="5" t="s">
        <v>25</v>
      </c>
      <c r="F318" s="30">
        <v>158</v>
      </c>
      <c r="G318" s="30">
        <v>58</v>
      </c>
      <c r="H318" s="31">
        <f>G318/((F318/100)*(F318/100))</f>
        <v>23.233456176894723</v>
      </c>
      <c r="I318" s="5">
        <v>84</v>
      </c>
      <c r="J318" s="30">
        <v>120</v>
      </c>
      <c r="K318" s="30">
        <v>70</v>
      </c>
      <c r="L318" s="29">
        <f>IF(B318="Nữ",0,2)</f>
        <v>0</v>
      </c>
      <c r="M318" s="29">
        <f ca="1">IF(D318&lt;45,0,IF(D318&lt;=49,1,2))</f>
        <v>2</v>
      </c>
      <c r="N318" s="29">
        <f>IF(E318="Có",4,0)</f>
        <v>4</v>
      </c>
      <c r="O318" s="29">
        <f>IF(H318&lt;23,0,IF(H318&lt;27.5,3,5))</f>
        <v>3</v>
      </c>
      <c r="P318" s="29">
        <f>IF(OR(AND(B318="Nam",I318&gt;=90),AND(B318="Nữ",I318&gt;=80)),2,0)</f>
        <v>2</v>
      </c>
      <c r="Q318" s="29">
        <f>IF(OR(J318&gt;=140,K318&gt;=90),2,0)</f>
        <v>0</v>
      </c>
      <c r="R318" s="29">
        <f ca="1">SUM(L318:Q318)</f>
        <v>11</v>
      </c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5" t="s">
        <v>1393</v>
      </c>
      <c r="AE318" s="33"/>
      <c r="AF318" s="59" t="str">
        <f t="shared" si="13"/>
        <v>Không</v>
      </c>
      <c r="AG318" s="59" t="str">
        <f t="shared" si="14"/>
        <v>Không</v>
      </c>
      <c r="AH318" s="29" t="str">
        <f t="shared" ca="1" si="12"/>
        <v>Có</v>
      </c>
      <c r="AI318" s="29" t="str">
        <f ca="1">IF((R318)&gt;=6,"Có","Không")</f>
        <v>Có</v>
      </c>
      <c r="AJ318" s="29" t="str">
        <f>IF(OR(J318&gt;=140,K318&gt;=90),"Có","Không")</f>
        <v>Không</v>
      </c>
      <c r="AK318" s="5" t="s">
        <v>51</v>
      </c>
      <c r="AL318" s="32">
        <v>46081</v>
      </c>
      <c r="AM318" s="29" t="str">
        <f>"Tháng "&amp;MONTH(AL318)</f>
        <v>Tháng 2</v>
      </c>
      <c r="AN318" s="69" t="s">
        <v>1376</v>
      </c>
    </row>
    <row r="319" spans="1:40" x14ac:dyDescent="0.25">
      <c r="A319" s="52" t="s">
        <v>1272</v>
      </c>
      <c r="B319" s="20" t="s">
        <v>30</v>
      </c>
      <c r="C319" s="35">
        <v>20821</v>
      </c>
      <c r="D319" s="29">
        <f ca="1">DATEDIF(C319,TODAY(),"Y")</f>
        <v>69</v>
      </c>
      <c r="E319" s="5" t="s">
        <v>26</v>
      </c>
      <c r="F319" s="30">
        <v>158</v>
      </c>
      <c r="G319" s="30">
        <v>58</v>
      </c>
      <c r="H319" s="31">
        <f>G319/((F319/100)*(F319/100))</f>
        <v>23.233456176894723</v>
      </c>
      <c r="I319" s="5">
        <v>85</v>
      </c>
      <c r="J319" s="30">
        <v>110</v>
      </c>
      <c r="K319" s="30">
        <v>70</v>
      </c>
      <c r="L319" s="29">
        <f>IF(B319="Nữ",0,2)</f>
        <v>2</v>
      </c>
      <c r="M319" s="29">
        <f ca="1">IF(D319&lt;45,0,IF(D319&lt;=49,1,2))</f>
        <v>2</v>
      </c>
      <c r="N319" s="29">
        <f>IF(E319="Có",4,0)</f>
        <v>0</v>
      </c>
      <c r="O319" s="29">
        <f>IF(H319&lt;23,0,IF(H319&lt;27.5,3,5))</f>
        <v>3</v>
      </c>
      <c r="P319" s="29">
        <f>IF(OR(AND(B319="Nam",I319&gt;=90),AND(B319="Nữ",I319&gt;=80)),2,0)</f>
        <v>0</v>
      </c>
      <c r="Q319" s="29">
        <f>IF(OR(J319&gt;=140,K319&gt;=90),2,0)</f>
        <v>0</v>
      </c>
      <c r="R319" s="29">
        <f ca="1">SUM(L319:Q319)</f>
        <v>7</v>
      </c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5" t="s">
        <v>1393</v>
      </c>
      <c r="AE319" s="33"/>
      <c r="AF319" s="59" t="str">
        <f t="shared" si="13"/>
        <v>Không</v>
      </c>
      <c r="AG319" s="59" t="str">
        <f t="shared" si="14"/>
        <v>Không</v>
      </c>
      <c r="AH319" s="29" t="str">
        <f t="shared" ca="1" si="12"/>
        <v>Có</v>
      </c>
      <c r="AI319" s="29" t="str">
        <f ca="1">IF((R319)&gt;=6,"Có","Không")</f>
        <v>Có</v>
      </c>
      <c r="AJ319" s="29" t="str">
        <f>IF(OR(J319&gt;=140,K319&gt;=90),"Có","Không")</f>
        <v>Không</v>
      </c>
      <c r="AK319" s="5" t="s">
        <v>51</v>
      </c>
      <c r="AL319" s="32">
        <v>46081</v>
      </c>
      <c r="AM319" s="29" t="str">
        <f>"Tháng "&amp;MONTH(AL319)</f>
        <v>Tháng 2</v>
      </c>
      <c r="AN319" s="69" t="s">
        <v>1376</v>
      </c>
    </row>
    <row r="320" spans="1:40" x14ac:dyDescent="0.25">
      <c r="A320" s="52" t="s">
        <v>280</v>
      </c>
      <c r="B320" s="20" t="s">
        <v>30</v>
      </c>
      <c r="C320" s="35">
        <v>19360</v>
      </c>
      <c r="D320" s="29">
        <f ca="1">DATEDIF(C320,TODAY(),"Y")</f>
        <v>73</v>
      </c>
      <c r="E320" s="5" t="s">
        <v>26</v>
      </c>
      <c r="F320" s="30">
        <v>166</v>
      </c>
      <c r="G320" s="30">
        <v>50</v>
      </c>
      <c r="H320" s="31">
        <f>G320/((F320/100)*(F320/100))</f>
        <v>18.144868631151112</v>
      </c>
      <c r="I320" s="5">
        <v>79</v>
      </c>
      <c r="J320" s="30">
        <v>140</v>
      </c>
      <c r="K320" s="30">
        <v>80</v>
      </c>
      <c r="L320" s="29">
        <f>IF(B320="Nữ",0,2)</f>
        <v>2</v>
      </c>
      <c r="M320" s="29">
        <f ca="1">IF(D320&lt;45,0,IF(D320&lt;=49,1,2))</f>
        <v>2</v>
      </c>
      <c r="N320" s="29">
        <f>IF(E320="Có",4,0)</f>
        <v>0</v>
      </c>
      <c r="O320" s="29">
        <f>IF(H320&lt;23,0,IF(H320&lt;27.5,3,5))</f>
        <v>0</v>
      </c>
      <c r="P320" s="29">
        <f>IF(OR(AND(B320="Nam",I320&gt;=90),AND(B320="Nữ",I320&gt;=80)),2,0)</f>
        <v>0</v>
      </c>
      <c r="Q320" s="29">
        <f>IF(OR(J320&gt;=140,K320&gt;=90),2,0)</f>
        <v>2</v>
      </c>
      <c r="R320" s="29">
        <f ca="1">SUM(L320:Q320)</f>
        <v>6</v>
      </c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5" t="s">
        <v>1393</v>
      </c>
      <c r="AE320" s="33"/>
      <c r="AF320" s="59" t="str">
        <f t="shared" si="13"/>
        <v>Không</v>
      </c>
      <c r="AG320" s="59" t="str">
        <f t="shared" si="14"/>
        <v>Không</v>
      </c>
      <c r="AH320" s="29" t="str">
        <f t="shared" ca="1" si="12"/>
        <v>Có</v>
      </c>
      <c r="AI320" s="29" t="str">
        <f ca="1">IF((R320)&gt;=6,"Có","Không")</f>
        <v>Có</v>
      </c>
      <c r="AJ320" s="29" t="str">
        <f>IF(OR(J320&gt;=140,K320&gt;=90),"Có","Không")</f>
        <v>Có</v>
      </c>
      <c r="AK320" s="5" t="s">
        <v>51</v>
      </c>
      <c r="AL320" s="32">
        <v>46081</v>
      </c>
      <c r="AM320" s="29" t="str">
        <f>"Tháng "&amp;MONTH(AL320)</f>
        <v>Tháng 2</v>
      </c>
      <c r="AN320" s="69" t="s">
        <v>1376</v>
      </c>
    </row>
    <row r="321" spans="1:40" x14ac:dyDescent="0.25">
      <c r="A321" s="52" t="s">
        <v>1284</v>
      </c>
      <c r="B321" s="21" t="s">
        <v>23</v>
      </c>
      <c r="C321" s="35">
        <v>25569</v>
      </c>
      <c r="D321" s="29">
        <f ca="1">DATEDIF(C321,TODAY(),"Y")</f>
        <v>56</v>
      </c>
      <c r="E321" s="5" t="s">
        <v>26</v>
      </c>
      <c r="F321" s="30">
        <v>158</v>
      </c>
      <c r="G321" s="30">
        <v>58</v>
      </c>
      <c r="H321" s="31">
        <f>G321/((F321/100)*(F321/100))</f>
        <v>23.233456176894723</v>
      </c>
      <c r="I321" s="5">
        <v>67</v>
      </c>
      <c r="J321" s="30">
        <v>100</v>
      </c>
      <c r="K321" s="30">
        <v>60</v>
      </c>
      <c r="L321" s="29">
        <f>IF(B321="Nữ",0,2)</f>
        <v>0</v>
      </c>
      <c r="M321" s="29">
        <f ca="1">IF(D321&lt;45,0,IF(D321&lt;=49,1,2))</f>
        <v>2</v>
      </c>
      <c r="N321" s="29">
        <f>IF(E321="Có",4,0)</f>
        <v>0</v>
      </c>
      <c r="O321" s="29">
        <f>IF(H321&lt;23,0,IF(H321&lt;27.5,3,5))</f>
        <v>3</v>
      </c>
      <c r="P321" s="29">
        <f>IF(OR(AND(B321="Nam",I321&gt;=90),AND(B321="Nữ",I321&gt;=80)),2,0)</f>
        <v>0</v>
      </c>
      <c r="Q321" s="29">
        <f>IF(OR(J321&gt;=140,K321&gt;=90),2,0)</f>
        <v>0</v>
      </c>
      <c r="R321" s="29">
        <f ca="1">SUM(L321:Q321)</f>
        <v>5</v>
      </c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5" t="s">
        <v>1393</v>
      </c>
      <c r="AE321" s="33"/>
      <c r="AF321" s="59" t="str">
        <f t="shared" si="13"/>
        <v>Không</v>
      </c>
      <c r="AG321" s="59" t="str">
        <f t="shared" si="14"/>
        <v>Không</v>
      </c>
      <c r="AH321" s="29" t="str">
        <f t="shared" ca="1" si="12"/>
        <v>Không</v>
      </c>
      <c r="AI321" s="29" t="str">
        <f ca="1">IF((R321)&gt;=6,"Có","Không")</f>
        <v>Không</v>
      </c>
      <c r="AJ321" s="29" t="str">
        <f>IF(OR(J321&gt;=140,K321&gt;=90),"Có","Không")</f>
        <v>Không</v>
      </c>
      <c r="AK321" s="5" t="s">
        <v>51</v>
      </c>
      <c r="AL321" s="32">
        <v>46081</v>
      </c>
      <c r="AM321" s="29" t="str">
        <f>"Tháng "&amp;MONTH(AL321)</f>
        <v>Tháng 2</v>
      </c>
      <c r="AN321" s="69" t="s">
        <v>1376</v>
      </c>
    </row>
    <row r="322" spans="1:40" x14ac:dyDescent="0.25">
      <c r="A322" s="51" t="s">
        <v>829</v>
      </c>
      <c r="B322" s="20" t="s">
        <v>30</v>
      </c>
      <c r="C322" s="35">
        <v>26299</v>
      </c>
      <c r="D322" s="29">
        <f ca="1">DATEDIF(C322,TODAY(),"Y")</f>
        <v>54</v>
      </c>
      <c r="E322" s="5" t="s">
        <v>26</v>
      </c>
      <c r="F322" s="30">
        <v>158</v>
      </c>
      <c r="G322" s="30">
        <v>58</v>
      </c>
      <c r="H322" s="31">
        <f>G322/((F322/100)*(F322/100))</f>
        <v>23.233456176894723</v>
      </c>
      <c r="I322" s="5">
        <v>85</v>
      </c>
      <c r="J322" s="30">
        <v>120</v>
      </c>
      <c r="K322" s="30">
        <v>80</v>
      </c>
      <c r="L322" s="29">
        <f>IF(B322="Nữ",0,2)</f>
        <v>2</v>
      </c>
      <c r="M322" s="29">
        <f ca="1">IF(D322&lt;45,0,IF(D322&lt;=49,1,2))</f>
        <v>2</v>
      </c>
      <c r="N322" s="29">
        <f>IF(E322="Có",4,0)</f>
        <v>0</v>
      </c>
      <c r="O322" s="29">
        <f>IF(H322&lt;23,0,IF(H322&lt;27.5,3,5))</f>
        <v>3</v>
      </c>
      <c r="P322" s="29">
        <f>IF(OR(AND(B322="Nam",I322&gt;=90),AND(B322="Nữ",I322&gt;=80)),2,0)</f>
        <v>0</v>
      </c>
      <c r="Q322" s="29">
        <f>IF(OR(J322&gt;=140,K322&gt;=90),2,0)</f>
        <v>0</v>
      </c>
      <c r="R322" s="29">
        <f ca="1">SUM(L322:Q322)</f>
        <v>7</v>
      </c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5" t="s">
        <v>1393</v>
      </c>
      <c r="AE322" s="33"/>
      <c r="AF322" s="59" t="str">
        <f t="shared" si="13"/>
        <v>Không</v>
      </c>
      <c r="AG322" s="59" t="str">
        <f t="shared" si="14"/>
        <v>Không</v>
      </c>
      <c r="AH322" s="29" t="str">
        <f t="shared" ca="1" si="12"/>
        <v>Có</v>
      </c>
      <c r="AI322" s="29" t="str">
        <f ca="1">IF((R322)&gt;=6,"Có","Không")</f>
        <v>Có</v>
      </c>
      <c r="AJ322" s="29" t="str">
        <f>IF(OR(J322&gt;=140,K322&gt;=90),"Có","Không")</f>
        <v>Không</v>
      </c>
      <c r="AK322" s="5" t="s">
        <v>51</v>
      </c>
      <c r="AL322" s="32">
        <v>46081</v>
      </c>
      <c r="AM322" s="29" t="str">
        <f>"Tháng "&amp;MONTH(AL322)</f>
        <v>Tháng 2</v>
      </c>
      <c r="AN322" s="69" t="s">
        <v>1376</v>
      </c>
    </row>
    <row r="323" spans="1:40" x14ac:dyDescent="0.25">
      <c r="A323" s="51" t="s">
        <v>615</v>
      </c>
      <c r="B323" s="20" t="s">
        <v>23</v>
      </c>
      <c r="C323" s="35">
        <v>23743</v>
      </c>
      <c r="D323" s="29">
        <f ca="1">DATEDIF(C323,TODAY(),"Y")</f>
        <v>61</v>
      </c>
      <c r="E323" s="5" t="s">
        <v>25</v>
      </c>
      <c r="F323" s="30">
        <v>169</v>
      </c>
      <c r="G323" s="30">
        <v>68</v>
      </c>
      <c r="H323" s="31">
        <f>G323/((F323/100)*(F323/100))</f>
        <v>23.808690171912751</v>
      </c>
      <c r="I323" s="5">
        <v>68</v>
      </c>
      <c r="J323" s="30">
        <v>140</v>
      </c>
      <c r="K323" s="30">
        <v>80</v>
      </c>
      <c r="L323" s="29">
        <f>IF(B323="Nữ",0,2)</f>
        <v>0</v>
      </c>
      <c r="M323" s="29">
        <f ca="1">IF(D323&lt;45,0,IF(D323&lt;=49,1,2))</f>
        <v>2</v>
      </c>
      <c r="N323" s="29">
        <f>IF(E323="Có",4,0)</f>
        <v>4</v>
      </c>
      <c r="O323" s="29">
        <f>IF(H323&lt;23,0,IF(H323&lt;27.5,3,5))</f>
        <v>3</v>
      </c>
      <c r="P323" s="29">
        <f>IF(OR(AND(B323="Nam",I323&gt;=90),AND(B323="Nữ",I323&gt;=80)),2,0)</f>
        <v>0</v>
      </c>
      <c r="Q323" s="29">
        <f>IF(OR(J323&gt;=140,K323&gt;=90),2,0)</f>
        <v>2</v>
      </c>
      <c r="R323" s="29">
        <f ca="1">SUM(L323:Q323)</f>
        <v>11</v>
      </c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5" t="s">
        <v>1393</v>
      </c>
      <c r="AE323" s="33"/>
      <c r="AF323" s="59" t="str">
        <f t="shared" si="13"/>
        <v>Không</v>
      </c>
      <c r="AG323" s="59" t="str">
        <f t="shared" si="14"/>
        <v>Không</v>
      </c>
      <c r="AH323" s="29" t="str">
        <f t="shared" ca="1" si="12"/>
        <v>Có</v>
      </c>
      <c r="AI323" s="29" t="str">
        <f ca="1">IF((R323)&gt;=6,"Có","Không")</f>
        <v>Có</v>
      </c>
      <c r="AJ323" s="29" t="str">
        <f>IF(OR(J323&gt;=140,K323&gt;=90),"Có","Không")</f>
        <v>Có</v>
      </c>
      <c r="AK323" s="5" t="s">
        <v>51</v>
      </c>
      <c r="AL323" s="32">
        <v>46081</v>
      </c>
      <c r="AM323" s="29" t="str">
        <f>"Tháng "&amp;MONTH(AL323)</f>
        <v>Tháng 2</v>
      </c>
      <c r="AN323" s="69" t="s">
        <v>1376</v>
      </c>
    </row>
    <row r="324" spans="1:40" x14ac:dyDescent="0.25">
      <c r="A324" s="51" t="s">
        <v>118</v>
      </c>
      <c r="B324" s="20" t="s">
        <v>30</v>
      </c>
      <c r="C324" s="35">
        <v>20090</v>
      </c>
      <c r="D324" s="29">
        <f ca="1">DATEDIF(C324,TODAY(),"Y")</f>
        <v>71</v>
      </c>
      <c r="E324" s="5" t="s">
        <v>26</v>
      </c>
      <c r="F324" s="30">
        <v>160</v>
      </c>
      <c r="G324" s="30">
        <v>75</v>
      </c>
      <c r="H324" s="31">
        <f>G324/((F324/100)*(F324/100))</f>
        <v>29.296874999999993</v>
      </c>
      <c r="I324" s="5">
        <v>86</v>
      </c>
      <c r="J324" s="30">
        <v>120</v>
      </c>
      <c r="K324" s="30">
        <v>70</v>
      </c>
      <c r="L324" s="29">
        <f>IF(B324="Nữ",0,2)</f>
        <v>2</v>
      </c>
      <c r="M324" s="29">
        <f ca="1">IF(D324&lt;45,0,IF(D324&lt;=49,1,2))</f>
        <v>2</v>
      </c>
      <c r="N324" s="29">
        <f>IF(E324="Có",4,0)</f>
        <v>0</v>
      </c>
      <c r="O324" s="29">
        <f>IF(H324&lt;23,0,IF(H324&lt;27.5,3,5))</f>
        <v>5</v>
      </c>
      <c r="P324" s="29">
        <f>IF(OR(AND(B324="Nam",I324&gt;=90),AND(B324="Nữ",I324&gt;=80)),2,0)</f>
        <v>0</v>
      </c>
      <c r="Q324" s="29">
        <f>IF(OR(J324&gt;=140,K324&gt;=90),2,0)</f>
        <v>0</v>
      </c>
      <c r="R324" s="29">
        <f ca="1">SUM(L324:Q324)</f>
        <v>9</v>
      </c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5" t="s">
        <v>1393</v>
      </c>
      <c r="AE324" s="33"/>
      <c r="AF324" s="59" t="str">
        <f t="shared" si="13"/>
        <v>Không</v>
      </c>
      <c r="AG324" s="59" t="str">
        <f t="shared" si="14"/>
        <v>Không</v>
      </c>
      <c r="AH324" s="29" t="str">
        <f t="shared" ref="AH324:AH387" ca="1" si="15">IF((R324)&gt;=6,"Có","Không")</f>
        <v>Có</v>
      </c>
      <c r="AI324" s="29" t="str">
        <f ca="1">IF((R324)&gt;=6,"Có","Không")</f>
        <v>Có</v>
      </c>
      <c r="AJ324" s="29" t="str">
        <f>IF(OR(J324&gt;=140,K324&gt;=90),"Có","Không")</f>
        <v>Không</v>
      </c>
      <c r="AK324" s="5" t="s">
        <v>51</v>
      </c>
      <c r="AL324" s="32">
        <v>46081</v>
      </c>
      <c r="AM324" s="29" t="str">
        <f>"Tháng "&amp;MONTH(AL324)</f>
        <v>Tháng 2</v>
      </c>
      <c r="AN324" s="69" t="s">
        <v>1376</v>
      </c>
    </row>
    <row r="325" spans="1:40" x14ac:dyDescent="0.25">
      <c r="A325" s="51" t="s">
        <v>299</v>
      </c>
      <c r="B325" s="20" t="s">
        <v>23</v>
      </c>
      <c r="C325" s="35">
        <v>17533</v>
      </c>
      <c r="D325" s="29">
        <f ca="1">DATEDIF(C325,TODAY(),"Y")</f>
        <v>78</v>
      </c>
      <c r="E325" s="5" t="s">
        <v>26</v>
      </c>
      <c r="F325" s="30">
        <v>160</v>
      </c>
      <c r="G325" s="30">
        <v>62</v>
      </c>
      <c r="H325" s="31">
        <f>G325/((F325/100)*(F325/100))</f>
        <v>24.218749999999996</v>
      </c>
      <c r="I325" s="5">
        <v>93</v>
      </c>
      <c r="J325" s="30">
        <v>120</v>
      </c>
      <c r="K325" s="30">
        <v>70</v>
      </c>
      <c r="L325" s="29">
        <f>IF(B325="Nữ",0,2)</f>
        <v>0</v>
      </c>
      <c r="M325" s="29">
        <f ca="1">IF(D325&lt;45,0,IF(D325&lt;=49,1,2))</f>
        <v>2</v>
      </c>
      <c r="N325" s="29">
        <f>IF(E325="Có",4,0)</f>
        <v>0</v>
      </c>
      <c r="O325" s="29">
        <f>IF(H325&lt;23,0,IF(H325&lt;27.5,3,5))</f>
        <v>3</v>
      </c>
      <c r="P325" s="29">
        <f>IF(OR(AND(B325="Nam",I325&gt;=90),AND(B325="Nữ",I325&gt;=80)),2,0)</f>
        <v>2</v>
      </c>
      <c r="Q325" s="29">
        <f>IF(OR(J325&gt;=140,K325&gt;=90),2,0)</f>
        <v>0</v>
      </c>
      <c r="R325" s="29">
        <f ca="1">SUM(L325:Q325)</f>
        <v>7</v>
      </c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5" t="s">
        <v>1393</v>
      </c>
      <c r="AE325" s="33"/>
      <c r="AF325" s="59" t="str">
        <f t="shared" ref="AF325:AF388" si="16">IF(COUNTIF(S325:Z325,"X")&gt;=2,"Có","Không")</f>
        <v>Không</v>
      </c>
      <c r="AG325" s="59" t="str">
        <f t="shared" ref="AG325:AG388" si="17">IF(COUNTIF(AA325:AE325,"X")&gt;=3,"Có","Không")</f>
        <v>Không</v>
      </c>
      <c r="AH325" s="29" t="str">
        <f t="shared" ca="1" si="15"/>
        <v>Có</v>
      </c>
      <c r="AI325" s="29" t="str">
        <f ca="1">IF((R325)&gt;=6,"Có","Không")</f>
        <v>Có</v>
      </c>
      <c r="AJ325" s="29" t="str">
        <f>IF(OR(J325&gt;=140,K325&gt;=90),"Có","Không")</f>
        <v>Không</v>
      </c>
      <c r="AK325" s="5" t="s">
        <v>51</v>
      </c>
      <c r="AL325" s="32">
        <v>46081</v>
      </c>
      <c r="AM325" s="29" t="str">
        <f>"Tháng "&amp;MONTH(AL325)</f>
        <v>Tháng 2</v>
      </c>
      <c r="AN325" s="69" t="s">
        <v>1376</v>
      </c>
    </row>
    <row r="326" spans="1:40" x14ac:dyDescent="0.25">
      <c r="A326" s="51" t="s">
        <v>79</v>
      </c>
      <c r="B326" s="20" t="s">
        <v>23</v>
      </c>
      <c r="C326" s="35">
        <v>20821</v>
      </c>
      <c r="D326" s="29">
        <f ca="1">DATEDIF(C326,TODAY(),"Y")</f>
        <v>69</v>
      </c>
      <c r="E326" s="5" t="s">
        <v>26</v>
      </c>
      <c r="F326" s="30">
        <v>158</v>
      </c>
      <c r="G326" s="30">
        <v>58</v>
      </c>
      <c r="H326" s="31">
        <f>G326/((F326/100)*(F326/100))</f>
        <v>23.233456176894723</v>
      </c>
      <c r="I326" s="5">
        <v>70</v>
      </c>
      <c r="J326" s="30">
        <v>120</v>
      </c>
      <c r="K326" s="30">
        <v>70</v>
      </c>
      <c r="L326" s="29">
        <f>IF(B326="Nữ",0,2)</f>
        <v>0</v>
      </c>
      <c r="M326" s="29">
        <f ca="1">IF(D326&lt;45,0,IF(D326&lt;=49,1,2))</f>
        <v>2</v>
      </c>
      <c r="N326" s="29">
        <f>IF(E326="Có",4,0)</f>
        <v>0</v>
      </c>
      <c r="O326" s="29">
        <f>IF(H326&lt;23,0,IF(H326&lt;27.5,3,5))</f>
        <v>3</v>
      </c>
      <c r="P326" s="29">
        <f>IF(OR(AND(B326="Nam",I326&gt;=90),AND(B326="Nữ",I326&gt;=80)),2,0)</f>
        <v>0</v>
      </c>
      <c r="Q326" s="29">
        <f>IF(OR(J326&gt;=140,K326&gt;=90),2,0)</f>
        <v>0</v>
      </c>
      <c r="R326" s="29">
        <f ca="1">SUM(L326:Q326)</f>
        <v>5</v>
      </c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5" t="s">
        <v>1393</v>
      </c>
      <c r="AE326" s="33"/>
      <c r="AF326" s="59" t="str">
        <f t="shared" si="16"/>
        <v>Không</v>
      </c>
      <c r="AG326" s="59" t="str">
        <f t="shared" si="17"/>
        <v>Không</v>
      </c>
      <c r="AH326" s="29" t="str">
        <f t="shared" ca="1" si="15"/>
        <v>Không</v>
      </c>
      <c r="AI326" s="29" t="str">
        <f ca="1">IF((R326)&gt;=6,"Có","Không")</f>
        <v>Không</v>
      </c>
      <c r="AJ326" s="29" t="str">
        <f>IF(OR(J326&gt;=140,K326&gt;=90),"Có","Không")</f>
        <v>Không</v>
      </c>
      <c r="AK326" s="5" t="s">
        <v>51</v>
      </c>
      <c r="AL326" s="32">
        <v>46081</v>
      </c>
      <c r="AM326" s="29" t="str">
        <f>"Tháng "&amp;MONTH(AL326)</f>
        <v>Tháng 2</v>
      </c>
      <c r="AN326" s="69" t="s">
        <v>1376</v>
      </c>
    </row>
    <row r="327" spans="1:40" x14ac:dyDescent="0.25">
      <c r="A327" s="51" t="s">
        <v>415</v>
      </c>
      <c r="B327" s="20" t="s">
        <v>23</v>
      </c>
      <c r="C327" s="35">
        <v>19725</v>
      </c>
      <c r="D327" s="29">
        <f ca="1">DATEDIF(C327,TODAY(),"Y")</f>
        <v>72</v>
      </c>
      <c r="E327" s="5" t="s">
        <v>26</v>
      </c>
      <c r="F327" s="30">
        <v>163</v>
      </c>
      <c r="G327" s="30">
        <v>54</v>
      </c>
      <c r="H327" s="31">
        <f>G327/((F327/100)*(F327/100))</f>
        <v>20.324438255109339</v>
      </c>
      <c r="I327" s="5">
        <v>78</v>
      </c>
      <c r="J327" s="30">
        <v>100</v>
      </c>
      <c r="K327" s="30">
        <v>80</v>
      </c>
      <c r="L327" s="29">
        <f>IF(B327="Nữ",0,2)</f>
        <v>0</v>
      </c>
      <c r="M327" s="29">
        <f ca="1">IF(D327&lt;45,0,IF(D327&lt;=49,1,2))</f>
        <v>2</v>
      </c>
      <c r="N327" s="29">
        <f>IF(E327="Có",4,0)</f>
        <v>0</v>
      </c>
      <c r="O327" s="29">
        <f>IF(H327&lt;23,0,IF(H327&lt;27.5,3,5))</f>
        <v>0</v>
      </c>
      <c r="P327" s="29">
        <f>IF(OR(AND(B327="Nam",I327&gt;=90),AND(B327="Nữ",I327&gt;=80)),2,0)</f>
        <v>0</v>
      </c>
      <c r="Q327" s="29">
        <f>IF(OR(J327&gt;=140,K327&gt;=90),2,0)</f>
        <v>0</v>
      </c>
      <c r="R327" s="29">
        <f ca="1">SUM(L327:Q327)</f>
        <v>2</v>
      </c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5" t="s">
        <v>1393</v>
      </c>
      <c r="AE327" s="33"/>
      <c r="AF327" s="59" t="str">
        <f t="shared" si="16"/>
        <v>Không</v>
      </c>
      <c r="AG327" s="59" t="str">
        <f t="shared" si="17"/>
        <v>Không</v>
      </c>
      <c r="AH327" s="29" t="str">
        <f t="shared" ca="1" si="15"/>
        <v>Không</v>
      </c>
      <c r="AI327" s="29" t="str">
        <f ca="1">IF((R327)&gt;=6,"Có","Không")</f>
        <v>Không</v>
      </c>
      <c r="AJ327" s="29" t="str">
        <f>IF(OR(J327&gt;=140,K327&gt;=90),"Có","Không")</f>
        <v>Không</v>
      </c>
      <c r="AK327" s="5" t="s">
        <v>51</v>
      </c>
      <c r="AL327" s="32">
        <v>46081</v>
      </c>
      <c r="AM327" s="29" t="str">
        <f>"Tháng "&amp;MONTH(AL327)</f>
        <v>Tháng 2</v>
      </c>
      <c r="AN327" s="69" t="s">
        <v>1376</v>
      </c>
    </row>
    <row r="328" spans="1:40" x14ac:dyDescent="0.25">
      <c r="A328" s="51" t="s">
        <v>910</v>
      </c>
      <c r="B328" s="20" t="s">
        <v>30</v>
      </c>
      <c r="C328" s="35">
        <v>19725</v>
      </c>
      <c r="D328" s="29">
        <f ca="1">DATEDIF(C328,TODAY(),"Y")</f>
        <v>72</v>
      </c>
      <c r="E328" s="5" t="s">
        <v>25</v>
      </c>
      <c r="F328" s="30">
        <v>162</v>
      </c>
      <c r="G328" s="30">
        <v>64</v>
      </c>
      <c r="H328" s="31">
        <f>G328/((F328/100)*(F328/100))</f>
        <v>24.386526444139609</v>
      </c>
      <c r="I328" s="5">
        <v>99</v>
      </c>
      <c r="J328" s="30">
        <v>120</v>
      </c>
      <c r="K328" s="30">
        <v>70</v>
      </c>
      <c r="L328" s="29">
        <f>IF(B328="Nữ",0,2)</f>
        <v>2</v>
      </c>
      <c r="M328" s="29">
        <f ca="1">IF(D328&lt;45,0,IF(D328&lt;=49,1,2))</f>
        <v>2</v>
      </c>
      <c r="N328" s="29">
        <f>IF(E328="Có",4,0)</f>
        <v>4</v>
      </c>
      <c r="O328" s="29">
        <f>IF(H328&lt;23,0,IF(H328&lt;27.5,3,5))</f>
        <v>3</v>
      </c>
      <c r="P328" s="29">
        <f>IF(OR(AND(B328="Nam",I328&gt;=90),AND(B328="Nữ",I328&gt;=80)),2,0)</f>
        <v>2</v>
      </c>
      <c r="Q328" s="29">
        <f>IF(OR(J328&gt;=140,K328&gt;=90),2,0)</f>
        <v>0</v>
      </c>
      <c r="R328" s="29">
        <f ca="1">SUM(L328:Q328)</f>
        <v>13</v>
      </c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5" t="s">
        <v>1393</v>
      </c>
      <c r="AE328" s="33"/>
      <c r="AF328" s="59" t="str">
        <f t="shared" si="16"/>
        <v>Không</v>
      </c>
      <c r="AG328" s="59" t="str">
        <f t="shared" si="17"/>
        <v>Không</v>
      </c>
      <c r="AH328" s="29" t="str">
        <f t="shared" ca="1" si="15"/>
        <v>Có</v>
      </c>
      <c r="AI328" s="29" t="str">
        <f ca="1">IF((R328)&gt;=6,"Có","Không")</f>
        <v>Có</v>
      </c>
      <c r="AJ328" s="29" t="str">
        <f>IF(OR(J328&gt;=140,K328&gt;=90),"Có","Không")</f>
        <v>Không</v>
      </c>
      <c r="AK328" s="5" t="s">
        <v>51</v>
      </c>
      <c r="AL328" s="32">
        <v>46081</v>
      </c>
      <c r="AM328" s="29" t="str">
        <f>"Tháng "&amp;MONTH(AL328)</f>
        <v>Tháng 2</v>
      </c>
      <c r="AN328" s="69" t="s">
        <v>1376</v>
      </c>
    </row>
    <row r="329" spans="1:40" x14ac:dyDescent="0.25">
      <c r="A329" s="51" t="s">
        <v>220</v>
      </c>
      <c r="B329" s="20" t="s">
        <v>30</v>
      </c>
      <c r="C329" s="35">
        <v>22647</v>
      </c>
      <c r="D329" s="29">
        <f ca="1">DATEDIF(C329,TODAY(),"Y")</f>
        <v>64</v>
      </c>
      <c r="E329" s="5" t="s">
        <v>26</v>
      </c>
      <c r="F329" s="30">
        <v>158</v>
      </c>
      <c r="G329" s="30">
        <v>58</v>
      </c>
      <c r="H329" s="31">
        <f>G329/((F329/100)*(F329/100))</f>
        <v>23.233456176894723</v>
      </c>
      <c r="I329" s="5">
        <v>80</v>
      </c>
      <c r="J329" s="30">
        <v>140</v>
      </c>
      <c r="K329" s="30">
        <v>80</v>
      </c>
      <c r="L329" s="29">
        <f>IF(B329="Nữ",0,2)</f>
        <v>2</v>
      </c>
      <c r="M329" s="29">
        <f ca="1">IF(D329&lt;45,0,IF(D329&lt;=49,1,2))</f>
        <v>2</v>
      </c>
      <c r="N329" s="29">
        <f>IF(E329="Có",4,0)</f>
        <v>0</v>
      </c>
      <c r="O329" s="29">
        <f>IF(H329&lt;23,0,IF(H329&lt;27.5,3,5))</f>
        <v>3</v>
      </c>
      <c r="P329" s="29">
        <f>IF(OR(AND(B329="Nam",I329&gt;=90),AND(B329="Nữ",I329&gt;=80)),2,0)</f>
        <v>0</v>
      </c>
      <c r="Q329" s="29">
        <f>IF(OR(J329&gt;=140,K329&gt;=90),2,0)</f>
        <v>2</v>
      </c>
      <c r="R329" s="29">
        <f ca="1">SUM(L329:Q329)</f>
        <v>9</v>
      </c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5" t="s">
        <v>1393</v>
      </c>
      <c r="AE329" s="33"/>
      <c r="AF329" s="59" t="str">
        <f t="shared" si="16"/>
        <v>Không</v>
      </c>
      <c r="AG329" s="59" t="str">
        <f t="shared" si="17"/>
        <v>Không</v>
      </c>
      <c r="AH329" s="29" t="str">
        <f t="shared" ca="1" si="15"/>
        <v>Có</v>
      </c>
      <c r="AI329" s="29" t="str">
        <f ca="1">IF((R329)&gt;=6,"Có","Không")</f>
        <v>Có</v>
      </c>
      <c r="AJ329" s="29" t="str">
        <f>IF(OR(J329&gt;=140,K329&gt;=90),"Có","Không")</f>
        <v>Có</v>
      </c>
      <c r="AK329" s="5" t="s">
        <v>51</v>
      </c>
      <c r="AL329" s="32">
        <v>46081</v>
      </c>
      <c r="AM329" s="29" t="str">
        <f>"Tháng "&amp;MONTH(AL329)</f>
        <v>Tháng 2</v>
      </c>
      <c r="AN329" s="69" t="s">
        <v>1376</v>
      </c>
    </row>
    <row r="330" spans="1:40" x14ac:dyDescent="0.25">
      <c r="A330" s="51" t="s">
        <v>1319</v>
      </c>
      <c r="B330" s="20" t="s">
        <v>23</v>
      </c>
      <c r="C330" s="35">
        <v>25934</v>
      </c>
      <c r="D330" s="29">
        <f ca="1">DATEDIF(C330,TODAY(),"Y")</f>
        <v>55</v>
      </c>
      <c r="E330" s="5" t="s">
        <v>26</v>
      </c>
      <c r="F330" s="30">
        <v>160</v>
      </c>
      <c r="G330" s="30">
        <v>60</v>
      </c>
      <c r="H330" s="31">
        <f>G330/((F330/100)*(F330/100))</f>
        <v>23.437499999999996</v>
      </c>
      <c r="I330" s="5">
        <v>69</v>
      </c>
      <c r="J330" s="30">
        <v>120</v>
      </c>
      <c r="K330" s="30">
        <v>80</v>
      </c>
      <c r="L330" s="29">
        <f>IF(B330="Nữ",0,2)</f>
        <v>0</v>
      </c>
      <c r="M330" s="29">
        <f ca="1">IF(D330&lt;45,0,IF(D330&lt;=49,1,2))</f>
        <v>2</v>
      </c>
      <c r="N330" s="29">
        <f>IF(E330="Có",4,0)</f>
        <v>0</v>
      </c>
      <c r="O330" s="29">
        <f>IF(H330&lt;23,0,IF(H330&lt;27.5,3,5))</f>
        <v>3</v>
      </c>
      <c r="P330" s="29">
        <f>IF(OR(AND(B330="Nam",I330&gt;=90),AND(B330="Nữ",I330&gt;=80)),2,0)</f>
        <v>0</v>
      </c>
      <c r="Q330" s="29">
        <f>IF(OR(J330&gt;=140,K330&gt;=90),2,0)</f>
        <v>0</v>
      </c>
      <c r="R330" s="29">
        <f ca="1">SUM(L330:Q330)</f>
        <v>5</v>
      </c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5" t="s">
        <v>1393</v>
      </c>
      <c r="AE330" s="33"/>
      <c r="AF330" s="59" t="str">
        <f t="shared" si="16"/>
        <v>Không</v>
      </c>
      <c r="AG330" s="59" t="str">
        <f t="shared" si="17"/>
        <v>Không</v>
      </c>
      <c r="AH330" s="29" t="str">
        <f t="shared" ca="1" si="15"/>
        <v>Không</v>
      </c>
      <c r="AI330" s="29" t="str">
        <f ca="1">IF((R330)&gt;=6,"Có","Không")</f>
        <v>Không</v>
      </c>
      <c r="AJ330" s="29" t="str">
        <f>IF(OR(J330&gt;=140,K330&gt;=90),"Có","Không")</f>
        <v>Không</v>
      </c>
      <c r="AK330" s="5" t="s">
        <v>51</v>
      </c>
      <c r="AL330" s="32">
        <v>46081</v>
      </c>
      <c r="AM330" s="29" t="str">
        <f>"Tháng "&amp;MONTH(AL330)</f>
        <v>Tháng 2</v>
      </c>
      <c r="AN330" s="69" t="s">
        <v>1376</v>
      </c>
    </row>
    <row r="331" spans="1:40" x14ac:dyDescent="0.25">
      <c r="A331" s="51" t="s">
        <v>523</v>
      </c>
      <c r="B331" s="20" t="s">
        <v>30</v>
      </c>
      <c r="C331" s="35">
        <v>21551</v>
      </c>
      <c r="D331" s="29">
        <f ca="1">DATEDIF(C331,TODAY(),"Y")</f>
        <v>67</v>
      </c>
      <c r="E331" s="5" t="s">
        <v>26</v>
      </c>
      <c r="F331" s="30">
        <v>162</v>
      </c>
      <c r="G331" s="30">
        <v>76</v>
      </c>
      <c r="H331" s="31">
        <f>G331/((F331/100)*(F331/100))</f>
        <v>28.959000152415786</v>
      </c>
      <c r="I331" s="5">
        <v>86</v>
      </c>
      <c r="J331" s="30">
        <v>120</v>
      </c>
      <c r="K331" s="30">
        <v>80</v>
      </c>
      <c r="L331" s="29">
        <f>IF(B331="Nữ",0,2)</f>
        <v>2</v>
      </c>
      <c r="M331" s="29">
        <f ca="1">IF(D331&lt;45,0,IF(D331&lt;=49,1,2))</f>
        <v>2</v>
      </c>
      <c r="N331" s="29">
        <f>IF(E331="Có",4,0)</f>
        <v>0</v>
      </c>
      <c r="O331" s="29">
        <f>IF(H331&lt;23,0,IF(H331&lt;27.5,3,5))</f>
        <v>5</v>
      </c>
      <c r="P331" s="29">
        <f>IF(OR(AND(B331="Nam",I331&gt;=90),AND(B331="Nữ",I331&gt;=80)),2,0)</f>
        <v>0</v>
      </c>
      <c r="Q331" s="29">
        <f>IF(OR(J331&gt;=140,K331&gt;=90),2,0)</f>
        <v>0</v>
      </c>
      <c r="R331" s="29">
        <f ca="1">SUM(L331:Q331)</f>
        <v>9</v>
      </c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5" t="s">
        <v>1393</v>
      </c>
      <c r="AE331" s="33"/>
      <c r="AF331" s="59" t="str">
        <f t="shared" si="16"/>
        <v>Không</v>
      </c>
      <c r="AG331" s="59" t="str">
        <f t="shared" si="17"/>
        <v>Không</v>
      </c>
      <c r="AH331" s="29" t="str">
        <f t="shared" ca="1" si="15"/>
        <v>Có</v>
      </c>
      <c r="AI331" s="29" t="str">
        <f ca="1">IF((R331)&gt;=6,"Có","Không")</f>
        <v>Có</v>
      </c>
      <c r="AJ331" s="29" t="str">
        <f>IF(OR(J331&gt;=140,K331&gt;=90),"Có","Không")</f>
        <v>Không</v>
      </c>
      <c r="AK331" s="5" t="s">
        <v>51</v>
      </c>
      <c r="AL331" s="32">
        <v>46081</v>
      </c>
      <c r="AM331" s="29" t="str">
        <f>"Tháng "&amp;MONTH(AL331)</f>
        <v>Tháng 2</v>
      </c>
      <c r="AN331" s="69" t="s">
        <v>1376</v>
      </c>
    </row>
    <row r="332" spans="1:40" x14ac:dyDescent="0.25">
      <c r="A332" s="51" t="s">
        <v>1322</v>
      </c>
      <c r="B332" s="20" t="s">
        <v>30</v>
      </c>
      <c r="C332" s="35">
        <v>25204</v>
      </c>
      <c r="D332" s="29">
        <f ca="1">DATEDIF(C332,TODAY(),"Y")</f>
        <v>57</v>
      </c>
      <c r="E332" s="5" t="s">
        <v>26</v>
      </c>
      <c r="F332" s="30">
        <v>158</v>
      </c>
      <c r="G332" s="30">
        <v>68</v>
      </c>
      <c r="H332" s="31">
        <f>G332/((F332/100)*(F332/100))</f>
        <v>27.239224483255885</v>
      </c>
      <c r="I332" s="5">
        <v>79</v>
      </c>
      <c r="J332" s="30">
        <v>150</v>
      </c>
      <c r="K332" s="30">
        <v>80</v>
      </c>
      <c r="L332" s="29">
        <f>IF(B332="Nữ",0,2)</f>
        <v>2</v>
      </c>
      <c r="M332" s="29">
        <f ca="1">IF(D332&lt;45,0,IF(D332&lt;=49,1,2))</f>
        <v>2</v>
      </c>
      <c r="N332" s="29">
        <f>IF(E332="Có",4,0)</f>
        <v>0</v>
      </c>
      <c r="O332" s="29">
        <f>IF(H332&lt;23,0,IF(H332&lt;27.5,3,5))</f>
        <v>3</v>
      </c>
      <c r="P332" s="29">
        <f>IF(OR(AND(B332="Nam",I332&gt;=90),AND(B332="Nữ",I332&gt;=80)),2,0)</f>
        <v>0</v>
      </c>
      <c r="Q332" s="29">
        <f>IF(OR(J332&gt;=140,K332&gt;=90),2,0)</f>
        <v>2</v>
      </c>
      <c r="R332" s="29">
        <f ca="1">SUM(L332:Q332)</f>
        <v>9</v>
      </c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5" t="s">
        <v>1393</v>
      </c>
      <c r="AE332" s="33"/>
      <c r="AF332" s="59" t="str">
        <f t="shared" si="16"/>
        <v>Không</v>
      </c>
      <c r="AG332" s="59" t="str">
        <f t="shared" si="17"/>
        <v>Không</v>
      </c>
      <c r="AH332" s="29" t="str">
        <f t="shared" ca="1" si="15"/>
        <v>Có</v>
      </c>
      <c r="AI332" s="29" t="str">
        <f ca="1">IF((R332)&gt;=6,"Có","Không")</f>
        <v>Có</v>
      </c>
      <c r="AJ332" s="29" t="str">
        <f>IF(OR(J332&gt;=140,K332&gt;=90),"Có","Không")</f>
        <v>Có</v>
      </c>
      <c r="AK332" s="5" t="s">
        <v>51</v>
      </c>
      <c r="AL332" s="32">
        <v>46081</v>
      </c>
      <c r="AM332" s="29" t="str">
        <f>"Tháng "&amp;MONTH(AL332)</f>
        <v>Tháng 2</v>
      </c>
      <c r="AN332" s="69" t="s">
        <v>1376</v>
      </c>
    </row>
    <row r="333" spans="1:40" x14ac:dyDescent="0.25">
      <c r="A333" s="51" t="s">
        <v>511</v>
      </c>
      <c r="B333" s="20" t="s">
        <v>23</v>
      </c>
      <c r="C333" s="35">
        <v>21551</v>
      </c>
      <c r="D333" s="29">
        <f ca="1">DATEDIF(C333,TODAY(),"Y")</f>
        <v>67</v>
      </c>
      <c r="E333" s="5" t="s">
        <v>26</v>
      </c>
      <c r="F333" s="30">
        <v>150</v>
      </c>
      <c r="G333" s="30">
        <v>52</v>
      </c>
      <c r="H333" s="31">
        <f>G333/((F333/100)*(F333/100))</f>
        <v>23.111111111111111</v>
      </c>
      <c r="I333" s="5">
        <v>97</v>
      </c>
      <c r="J333" s="30">
        <v>120</v>
      </c>
      <c r="K333" s="30">
        <v>80</v>
      </c>
      <c r="L333" s="29">
        <f>IF(B333="Nữ",0,2)</f>
        <v>0</v>
      </c>
      <c r="M333" s="29">
        <f ca="1">IF(D333&lt;45,0,IF(D333&lt;=49,1,2))</f>
        <v>2</v>
      </c>
      <c r="N333" s="29">
        <f>IF(E333="Có",4,0)</f>
        <v>0</v>
      </c>
      <c r="O333" s="29">
        <f>IF(H333&lt;23,0,IF(H333&lt;27.5,3,5))</f>
        <v>3</v>
      </c>
      <c r="P333" s="29">
        <f>IF(OR(AND(B333="Nam",I333&gt;=90),AND(B333="Nữ",I333&gt;=80)),2,0)</f>
        <v>2</v>
      </c>
      <c r="Q333" s="29">
        <f>IF(OR(J333&gt;=140,K333&gt;=90),2,0)</f>
        <v>0</v>
      </c>
      <c r="R333" s="29">
        <f ca="1">SUM(L333:Q333)</f>
        <v>7</v>
      </c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5" t="s">
        <v>1393</v>
      </c>
      <c r="AE333" s="33"/>
      <c r="AF333" s="59" t="str">
        <f t="shared" si="16"/>
        <v>Không</v>
      </c>
      <c r="AG333" s="59" t="str">
        <f t="shared" si="17"/>
        <v>Không</v>
      </c>
      <c r="AH333" s="29" t="str">
        <f t="shared" ca="1" si="15"/>
        <v>Có</v>
      </c>
      <c r="AI333" s="29" t="str">
        <f ca="1">IF((R333)&gt;=6,"Có","Không")</f>
        <v>Có</v>
      </c>
      <c r="AJ333" s="29" t="str">
        <f>IF(OR(J333&gt;=140,K333&gt;=90),"Có","Không")</f>
        <v>Không</v>
      </c>
      <c r="AK333" s="5" t="s">
        <v>51</v>
      </c>
      <c r="AL333" s="32">
        <v>46081</v>
      </c>
      <c r="AM333" s="29" t="str">
        <f>"Tháng "&amp;MONTH(AL333)</f>
        <v>Tháng 2</v>
      </c>
      <c r="AN333" s="69" t="s">
        <v>1376</v>
      </c>
    </row>
    <row r="334" spans="1:40" x14ac:dyDescent="0.25">
      <c r="A334" s="51" t="s">
        <v>303</v>
      </c>
      <c r="B334" s="20" t="s">
        <v>23</v>
      </c>
      <c r="C334" s="35">
        <v>24108</v>
      </c>
      <c r="D334" s="29">
        <f ca="1">DATEDIF(C334,TODAY(),"Y")</f>
        <v>60</v>
      </c>
      <c r="E334" s="5" t="s">
        <v>26</v>
      </c>
      <c r="F334" s="30">
        <v>160</v>
      </c>
      <c r="G334" s="30">
        <v>55</v>
      </c>
      <c r="H334" s="31">
        <f>G334/((F334/100)*(F334/100))</f>
        <v>21.484374999999996</v>
      </c>
      <c r="I334" s="5">
        <v>98</v>
      </c>
      <c r="J334" s="30">
        <v>120</v>
      </c>
      <c r="K334" s="30">
        <v>80</v>
      </c>
      <c r="L334" s="29">
        <f>IF(B334="Nữ",0,2)</f>
        <v>0</v>
      </c>
      <c r="M334" s="29">
        <f ca="1">IF(D334&lt;45,0,IF(D334&lt;=49,1,2))</f>
        <v>2</v>
      </c>
      <c r="N334" s="29">
        <f>IF(E334="Có",4,0)</f>
        <v>0</v>
      </c>
      <c r="O334" s="29">
        <f>IF(H334&lt;23,0,IF(H334&lt;27.5,3,5))</f>
        <v>0</v>
      </c>
      <c r="P334" s="29">
        <f>IF(OR(AND(B334="Nam",I334&gt;=90),AND(B334="Nữ",I334&gt;=80)),2,0)</f>
        <v>2</v>
      </c>
      <c r="Q334" s="29">
        <f>IF(OR(J334&gt;=140,K334&gt;=90),2,0)</f>
        <v>0</v>
      </c>
      <c r="R334" s="29">
        <f ca="1">SUM(L334:Q334)</f>
        <v>4</v>
      </c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5" t="s">
        <v>1393</v>
      </c>
      <c r="AE334" s="33"/>
      <c r="AF334" s="59" t="str">
        <f t="shared" si="16"/>
        <v>Không</v>
      </c>
      <c r="AG334" s="59" t="str">
        <f t="shared" si="17"/>
        <v>Không</v>
      </c>
      <c r="AH334" s="29" t="str">
        <f t="shared" ca="1" si="15"/>
        <v>Không</v>
      </c>
      <c r="AI334" s="29" t="str">
        <f ca="1">IF((R334)&gt;=6,"Có","Không")</f>
        <v>Không</v>
      </c>
      <c r="AJ334" s="29" t="str">
        <f>IF(OR(J334&gt;=140,K334&gt;=90),"Có","Không")</f>
        <v>Không</v>
      </c>
      <c r="AK334" s="5" t="s">
        <v>51</v>
      </c>
      <c r="AL334" s="32">
        <v>46081</v>
      </c>
      <c r="AM334" s="29" t="str">
        <f>"Tháng "&amp;MONTH(AL334)</f>
        <v>Tháng 2</v>
      </c>
      <c r="AN334" s="69" t="s">
        <v>1376</v>
      </c>
    </row>
    <row r="335" spans="1:40" x14ac:dyDescent="0.25">
      <c r="A335" s="51" t="s">
        <v>589</v>
      </c>
      <c r="B335" s="20" t="s">
        <v>23</v>
      </c>
      <c r="C335" s="35">
        <v>21186</v>
      </c>
      <c r="D335" s="29">
        <f ca="1">DATEDIF(C335,TODAY(),"Y")</f>
        <v>68</v>
      </c>
      <c r="E335" s="5" t="s">
        <v>26</v>
      </c>
      <c r="F335" s="30">
        <v>158</v>
      </c>
      <c r="G335" s="30">
        <v>58</v>
      </c>
      <c r="H335" s="31">
        <f>G335/((F335/100)*(F335/100))</f>
        <v>23.233456176894723</v>
      </c>
      <c r="I335" s="5">
        <v>86</v>
      </c>
      <c r="J335" s="30">
        <v>160</v>
      </c>
      <c r="K335" s="30">
        <v>80</v>
      </c>
      <c r="L335" s="29">
        <f>IF(B335="Nữ",0,2)</f>
        <v>0</v>
      </c>
      <c r="M335" s="29">
        <f ca="1">IF(D335&lt;45,0,IF(D335&lt;=49,1,2))</f>
        <v>2</v>
      </c>
      <c r="N335" s="29">
        <f>IF(E335="Có",4,0)</f>
        <v>0</v>
      </c>
      <c r="O335" s="29">
        <f>IF(H335&lt;23,0,IF(H335&lt;27.5,3,5))</f>
        <v>3</v>
      </c>
      <c r="P335" s="29">
        <f>IF(OR(AND(B335="Nam",I335&gt;=90),AND(B335="Nữ",I335&gt;=80)),2,0)</f>
        <v>2</v>
      </c>
      <c r="Q335" s="29">
        <f>IF(OR(J335&gt;=140,K335&gt;=90),2,0)</f>
        <v>2</v>
      </c>
      <c r="R335" s="29">
        <f ca="1">SUM(L335:Q335)</f>
        <v>9</v>
      </c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5" t="s">
        <v>1393</v>
      </c>
      <c r="AE335" s="33"/>
      <c r="AF335" s="59" t="str">
        <f t="shared" si="16"/>
        <v>Không</v>
      </c>
      <c r="AG335" s="59" t="str">
        <f t="shared" si="17"/>
        <v>Không</v>
      </c>
      <c r="AH335" s="29" t="str">
        <f t="shared" ca="1" si="15"/>
        <v>Có</v>
      </c>
      <c r="AI335" s="29" t="str">
        <f ca="1">IF((R335)&gt;=6,"Có","Không")</f>
        <v>Có</v>
      </c>
      <c r="AJ335" s="29" t="str">
        <f>IF(OR(J335&gt;=140,K335&gt;=90),"Có","Không")</f>
        <v>Có</v>
      </c>
      <c r="AK335" s="5" t="s">
        <v>51</v>
      </c>
      <c r="AL335" s="32">
        <v>46081</v>
      </c>
      <c r="AM335" s="29" t="str">
        <f>"Tháng "&amp;MONTH(AL335)</f>
        <v>Tháng 2</v>
      </c>
      <c r="AN335" s="69" t="s">
        <v>1376</v>
      </c>
    </row>
    <row r="336" spans="1:40" x14ac:dyDescent="0.25">
      <c r="A336" s="51" t="s">
        <v>1326</v>
      </c>
      <c r="B336" s="20" t="s">
        <v>30</v>
      </c>
      <c r="C336" s="35">
        <v>19725</v>
      </c>
      <c r="D336" s="29">
        <f ca="1">DATEDIF(C336,TODAY(),"Y")</f>
        <v>72</v>
      </c>
      <c r="E336" s="5" t="s">
        <v>26</v>
      </c>
      <c r="F336" s="30">
        <v>155</v>
      </c>
      <c r="G336" s="30">
        <v>55</v>
      </c>
      <c r="H336" s="31">
        <f>G336/((F336/100)*(F336/100))</f>
        <v>22.892819979188342</v>
      </c>
      <c r="I336" s="5">
        <v>87</v>
      </c>
      <c r="J336" s="30">
        <v>150</v>
      </c>
      <c r="K336" s="30">
        <v>80</v>
      </c>
      <c r="L336" s="29">
        <f>IF(B336="Nữ",0,2)</f>
        <v>2</v>
      </c>
      <c r="M336" s="29">
        <f ca="1">IF(D336&lt;45,0,IF(D336&lt;=49,1,2))</f>
        <v>2</v>
      </c>
      <c r="N336" s="29">
        <f>IF(E336="Có",4,0)</f>
        <v>0</v>
      </c>
      <c r="O336" s="29">
        <f>IF(H336&lt;23,0,IF(H336&lt;27.5,3,5))</f>
        <v>0</v>
      </c>
      <c r="P336" s="29">
        <f>IF(OR(AND(B336="Nam",I336&gt;=90),AND(B336="Nữ",I336&gt;=80)),2,0)</f>
        <v>0</v>
      </c>
      <c r="Q336" s="29">
        <f>IF(OR(J336&gt;=140,K336&gt;=90),2,0)</f>
        <v>2</v>
      </c>
      <c r="R336" s="29">
        <f ca="1">SUM(L336:Q336)</f>
        <v>6</v>
      </c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5" t="s">
        <v>1393</v>
      </c>
      <c r="AE336" s="33"/>
      <c r="AF336" s="59" t="str">
        <f t="shared" si="16"/>
        <v>Không</v>
      </c>
      <c r="AG336" s="59" t="str">
        <f t="shared" si="17"/>
        <v>Không</v>
      </c>
      <c r="AH336" s="29" t="str">
        <f t="shared" ca="1" si="15"/>
        <v>Có</v>
      </c>
      <c r="AI336" s="29" t="str">
        <f ca="1">IF((R336)&gt;=6,"Có","Không")</f>
        <v>Có</v>
      </c>
      <c r="AJ336" s="29" t="str">
        <f>IF(OR(J336&gt;=140,K336&gt;=90),"Có","Không")</f>
        <v>Có</v>
      </c>
      <c r="AK336" s="5" t="s">
        <v>51</v>
      </c>
      <c r="AL336" s="32">
        <v>46081</v>
      </c>
      <c r="AM336" s="29" t="str">
        <f>"Tháng "&amp;MONTH(AL336)</f>
        <v>Tháng 2</v>
      </c>
      <c r="AN336" s="69" t="s">
        <v>1376</v>
      </c>
    </row>
    <row r="337" spans="1:40" x14ac:dyDescent="0.25">
      <c r="A337" s="51" t="s">
        <v>723</v>
      </c>
      <c r="B337" s="20" t="s">
        <v>23</v>
      </c>
      <c r="C337" s="35">
        <v>28856</v>
      </c>
      <c r="D337" s="29">
        <f ca="1">DATEDIF(C337,TODAY(),"Y")</f>
        <v>47</v>
      </c>
      <c r="E337" s="5" t="s">
        <v>26</v>
      </c>
      <c r="F337" s="30">
        <v>160</v>
      </c>
      <c r="G337" s="30">
        <v>54</v>
      </c>
      <c r="H337" s="31">
        <f>G337/((F337/100)*(F337/100))</f>
        <v>21.093749999999996</v>
      </c>
      <c r="I337" s="5">
        <v>65</v>
      </c>
      <c r="J337" s="30">
        <v>120</v>
      </c>
      <c r="K337" s="30">
        <v>80</v>
      </c>
      <c r="L337" s="29">
        <f>IF(B337="Nữ",0,2)</f>
        <v>0</v>
      </c>
      <c r="M337" s="29">
        <f ca="1">IF(D337&lt;45,0,IF(D337&lt;=49,1,2))</f>
        <v>1</v>
      </c>
      <c r="N337" s="29">
        <f>IF(E337="Có",4,0)</f>
        <v>0</v>
      </c>
      <c r="O337" s="29">
        <f>IF(H337&lt;23,0,IF(H337&lt;27.5,3,5))</f>
        <v>0</v>
      </c>
      <c r="P337" s="29">
        <f>IF(OR(AND(B337="Nam",I337&gt;=90),AND(B337="Nữ",I337&gt;=80)),2,0)</f>
        <v>0</v>
      </c>
      <c r="Q337" s="29">
        <f>IF(OR(J337&gt;=140,K337&gt;=90),2,0)</f>
        <v>0</v>
      </c>
      <c r="R337" s="29">
        <f ca="1">SUM(L337:Q337)</f>
        <v>1</v>
      </c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5" t="s">
        <v>1393</v>
      </c>
      <c r="AE337" s="33"/>
      <c r="AF337" s="59" t="str">
        <f t="shared" si="16"/>
        <v>Không</v>
      </c>
      <c r="AG337" s="59" t="str">
        <f t="shared" si="17"/>
        <v>Không</v>
      </c>
      <c r="AH337" s="29" t="str">
        <f t="shared" ca="1" si="15"/>
        <v>Không</v>
      </c>
      <c r="AI337" s="29" t="str">
        <f ca="1">IF((R337)&gt;=6,"Có","Không")</f>
        <v>Không</v>
      </c>
      <c r="AJ337" s="29" t="str">
        <f>IF(OR(J337&gt;=140,K337&gt;=90),"Có","Không")</f>
        <v>Không</v>
      </c>
      <c r="AK337" s="5" t="s">
        <v>51</v>
      </c>
      <c r="AL337" s="32">
        <v>46081</v>
      </c>
      <c r="AM337" s="29" t="str">
        <f>"Tháng "&amp;MONTH(AL337)</f>
        <v>Tháng 2</v>
      </c>
      <c r="AN337" s="69" t="s">
        <v>1376</v>
      </c>
    </row>
    <row r="338" spans="1:40" x14ac:dyDescent="0.25">
      <c r="A338" s="51" t="s">
        <v>233</v>
      </c>
      <c r="B338" s="20" t="s">
        <v>23</v>
      </c>
      <c r="C338" s="35">
        <v>23012</v>
      </c>
      <c r="D338" s="29">
        <f ca="1">DATEDIF(C338,TODAY(),"Y")</f>
        <v>63</v>
      </c>
      <c r="E338" s="5" t="s">
        <v>26</v>
      </c>
      <c r="F338" s="30">
        <v>169</v>
      </c>
      <c r="G338" s="30">
        <v>68</v>
      </c>
      <c r="H338" s="31">
        <f>G338/((F338/100)*(F338/100))</f>
        <v>23.808690171912751</v>
      </c>
      <c r="I338" s="5">
        <v>76</v>
      </c>
      <c r="J338" s="30">
        <v>160</v>
      </c>
      <c r="K338" s="30">
        <v>80</v>
      </c>
      <c r="L338" s="29">
        <f>IF(B338="Nữ",0,2)</f>
        <v>0</v>
      </c>
      <c r="M338" s="29">
        <f ca="1">IF(D338&lt;45,0,IF(D338&lt;=49,1,2))</f>
        <v>2</v>
      </c>
      <c r="N338" s="29">
        <f>IF(E338="Có",4,0)</f>
        <v>0</v>
      </c>
      <c r="O338" s="29">
        <f>IF(H338&lt;23,0,IF(H338&lt;27.5,3,5))</f>
        <v>3</v>
      </c>
      <c r="P338" s="29">
        <f>IF(OR(AND(B338="Nam",I338&gt;=90),AND(B338="Nữ",I338&gt;=80)),2,0)</f>
        <v>0</v>
      </c>
      <c r="Q338" s="29">
        <f>IF(OR(J338&gt;=140,K338&gt;=90),2,0)</f>
        <v>2</v>
      </c>
      <c r="R338" s="29">
        <f ca="1">SUM(L338:Q338)</f>
        <v>7</v>
      </c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5" t="s">
        <v>1393</v>
      </c>
      <c r="AE338" s="33"/>
      <c r="AF338" s="59" t="str">
        <f t="shared" si="16"/>
        <v>Không</v>
      </c>
      <c r="AG338" s="59" t="str">
        <f t="shared" si="17"/>
        <v>Không</v>
      </c>
      <c r="AH338" s="29" t="str">
        <f t="shared" ca="1" si="15"/>
        <v>Có</v>
      </c>
      <c r="AI338" s="29" t="str">
        <f ca="1">IF((R338)&gt;=6,"Có","Không")</f>
        <v>Có</v>
      </c>
      <c r="AJ338" s="29" t="str">
        <f>IF(OR(J338&gt;=140,K338&gt;=90),"Có","Không")</f>
        <v>Có</v>
      </c>
      <c r="AK338" s="5" t="s">
        <v>51</v>
      </c>
      <c r="AL338" s="32">
        <v>46081</v>
      </c>
      <c r="AM338" s="29" t="str">
        <f>"Tháng "&amp;MONTH(AL338)</f>
        <v>Tháng 2</v>
      </c>
      <c r="AN338" s="69" t="s">
        <v>1376</v>
      </c>
    </row>
    <row r="339" spans="1:40" x14ac:dyDescent="0.25">
      <c r="A339" s="51" t="s">
        <v>830</v>
      </c>
      <c r="B339" s="20" t="s">
        <v>23</v>
      </c>
      <c r="C339" s="35">
        <v>22647</v>
      </c>
      <c r="D339" s="29">
        <f ca="1">DATEDIF(C339,TODAY(),"Y")</f>
        <v>64</v>
      </c>
      <c r="E339" s="5" t="s">
        <v>26</v>
      </c>
      <c r="F339" s="30">
        <v>160</v>
      </c>
      <c r="G339" s="30">
        <v>67</v>
      </c>
      <c r="H339" s="31">
        <f>G339/((F339/100)*(F339/100))</f>
        <v>26.171874999999996</v>
      </c>
      <c r="I339" s="5">
        <v>91</v>
      </c>
      <c r="J339" s="30">
        <v>130</v>
      </c>
      <c r="K339" s="30">
        <v>80</v>
      </c>
      <c r="L339" s="29">
        <f>IF(B339="Nữ",0,2)</f>
        <v>0</v>
      </c>
      <c r="M339" s="29">
        <f ca="1">IF(D339&lt;45,0,IF(D339&lt;=49,1,2))</f>
        <v>2</v>
      </c>
      <c r="N339" s="29">
        <f>IF(E339="Có",4,0)</f>
        <v>0</v>
      </c>
      <c r="O339" s="29">
        <f>IF(H339&lt;23,0,IF(H339&lt;27.5,3,5))</f>
        <v>3</v>
      </c>
      <c r="P339" s="29">
        <f>IF(OR(AND(B339="Nam",I339&gt;=90),AND(B339="Nữ",I339&gt;=80)),2,0)</f>
        <v>2</v>
      </c>
      <c r="Q339" s="29">
        <f>IF(OR(J339&gt;=140,K339&gt;=90),2,0)</f>
        <v>0</v>
      </c>
      <c r="R339" s="29">
        <f ca="1">SUM(L339:Q339)</f>
        <v>7</v>
      </c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5" t="s">
        <v>1393</v>
      </c>
      <c r="AE339" s="33"/>
      <c r="AF339" s="59" t="str">
        <f t="shared" si="16"/>
        <v>Không</v>
      </c>
      <c r="AG339" s="59" t="str">
        <f t="shared" si="17"/>
        <v>Không</v>
      </c>
      <c r="AH339" s="29" t="str">
        <f t="shared" ca="1" si="15"/>
        <v>Có</v>
      </c>
      <c r="AI339" s="29" t="str">
        <f ca="1">IF((R339)&gt;=6,"Có","Không")</f>
        <v>Có</v>
      </c>
      <c r="AJ339" s="29" t="str">
        <f>IF(OR(J339&gt;=140,K339&gt;=90),"Có","Không")</f>
        <v>Không</v>
      </c>
      <c r="AK339" s="5" t="s">
        <v>51</v>
      </c>
      <c r="AL339" s="32">
        <v>46081</v>
      </c>
      <c r="AM339" s="29" t="str">
        <f>"Tháng "&amp;MONTH(AL339)</f>
        <v>Tháng 2</v>
      </c>
      <c r="AN339" s="69" t="s">
        <v>1376</v>
      </c>
    </row>
    <row r="340" spans="1:40" x14ac:dyDescent="0.25">
      <c r="A340" s="51" t="s">
        <v>39</v>
      </c>
      <c r="B340" s="20" t="s">
        <v>23</v>
      </c>
      <c r="C340" s="35">
        <v>21186</v>
      </c>
      <c r="D340" s="29">
        <f ca="1">DATEDIF(C340,TODAY(),"Y")</f>
        <v>68</v>
      </c>
      <c r="E340" s="5" t="s">
        <v>26</v>
      </c>
      <c r="F340" s="30">
        <v>156</v>
      </c>
      <c r="G340" s="30">
        <v>54</v>
      </c>
      <c r="H340" s="31">
        <f>G340/((F340/100)*(F340/100))</f>
        <v>22.189349112426033</v>
      </c>
      <c r="I340" s="5">
        <v>90</v>
      </c>
      <c r="J340" s="30">
        <v>120</v>
      </c>
      <c r="K340" s="30">
        <v>80</v>
      </c>
      <c r="L340" s="29">
        <f>IF(B340="Nữ",0,2)</f>
        <v>0</v>
      </c>
      <c r="M340" s="29">
        <f ca="1">IF(D340&lt;45,0,IF(D340&lt;=49,1,2))</f>
        <v>2</v>
      </c>
      <c r="N340" s="29">
        <f>IF(E340="Có",4,0)</f>
        <v>0</v>
      </c>
      <c r="O340" s="29">
        <f>IF(H340&lt;23,0,IF(H340&lt;27.5,3,5))</f>
        <v>0</v>
      </c>
      <c r="P340" s="29">
        <f>IF(OR(AND(B340="Nam",I340&gt;=90),AND(B340="Nữ",I340&gt;=80)),2,0)</f>
        <v>2</v>
      </c>
      <c r="Q340" s="29">
        <f>IF(OR(J340&gt;=140,K340&gt;=90),2,0)</f>
        <v>0</v>
      </c>
      <c r="R340" s="29">
        <f ca="1">SUM(L340:Q340)</f>
        <v>4</v>
      </c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5" t="s">
        <v>1393</v>
      </c>
      <c r="AE340" s="33"/>
      <c r="AF340" s="59" t="str">
        <f t="shared" si="16"/>
        <v>Không</v>
      </c>
      <c r="AG340" s="59" t="str">
        <f t="shared" si="17"/>
        <v>Không</v>
      </c>
      <c r="AH340" s="29" t="str">
        <f t="shared" ca="1" si="15"/>
        <v>Không</v>
      </c>
      <c r="AI340" s="29" t="str">
        <f ca="1">IF((R340)&gt;=6,"Có","Không")</f>
        <v>Không</v>
      </c>
      <c r="AJ340" s="29" t="str">
        <f>IF(OR(J340&gt;=140,K340&gt;=90),"Có","Không")</f>
        <v>Không</v>
      </c>
      <c r="AK340" s="5" t="s">
        <v>51</v>
      </c>
      <c r="AL340" s="32">
        <v>46081</v>
      </c>
      <c r="AM340" s="29" t="str">
        <f>"Tháng "&amp;MONTH(AL340)</f>
        <v>Tháng 2</v>
      </c>
      <c r="AN340" s="69" t="s">
        <v>1376</v>
      </c>
    </row>
    <row r="341" spans="1:40" x14ac:dyDescent="0.25">
      <c r="A341" s="51" t="s">
        <v>1329</v>
      </c>
      <c r="B341" s="20" t="s">
        <v>30</v>
      </c>
      <c r="C341" s="35">
        <v>20455</v>
      </c>
      <c r="D341" s="29">
        <f ca="1">DATEDIF(C341,TODAY(),"Y")</f>
        <v>70</v>
      </c>
      <c r="E341" s="5" t="s">
        <v>26</v>
      </c>
      <c r="F341" s="30">
        <v>158</v>
      </c>
      <c r="G341" s="30">
        <v>58</v>
      </c>
      <c r="H341" s="31">
        <f>G341/((F341/100)*(F341/100))</f>
        <v>23.233456176894723</v>
      </c>
      <c r="I341" s="5">
        <v>73</v>
      </c>
      <c r="J341" s="30">
        <v>120</v>
      </c>
      <c r="K341" s="30">
        <v>80</v>
      </c>
      <c r="L341" s="29">
        <f>IF(B341="Nữ",0,2)</f>
        <v>2</v>
      </c>
      <c r="M341" s="29">
        <f ca="1">IF(D341&lt;45,0,IF(D341&lt;=49,1,2))</f>
        <v>2</v>
      </c>
      <c r="N341" s="29">
        <f>IF(E341="Có",4,0)</f>
        <v>0</v>
      </c>
      <c r="O341" s="29">
        <f>IF(H341&lt;23,0,IF(H341&lt;27.5,3,5))</f>
        <v>3</v>
      </c>
      <c r="P341" s="29">
        <f>IF(OR(AND(B341="Nam",I341&gt;=90),AND(B341="Nữ",I341&gt;=80)),2,0)</f>
        <v>0</v>
      </c>
      <c r="Q341" s="29">
        <f>IF(OR(J341&gt;=140,K341&gt;=90),2,0)</f>
        <v>0</v>
      </c>
      <c r="R341" s="29">
        <f ca="1">SUM(L341:Q341)</f>
        <v>7</v>
      </c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5" t="s">
        <v>1393</v>
      </c>
      <c r="AE341" s="33"/>
      <c r="AF341" s="59" t="str">
        <f t="shared" si="16"/>
        <v>Không</v>
      </c>
      <c r="AG341" s="59" t="str">
        <f t="shared" si="17"/>
        <v>Không</v>
      </c>
      <c r="AH341" s="29" t="str">
        <f t="shared" ca="1" si="15"/>
        <v>Có</v>
      </c>
      <c r="AI341" s="29" t="str">
        <f ca="1">IF((R341)&gt;=6,"Có","Không")</f>
        <v>Có</v>
      </c>
      <c r="AJ341" s="29" t="str">
        <f>IF(OR(J341&gt;=140,K341&gt;=90),"Có","Không")</f>
        <v>Không</v>
      </c>
      <c r="AK341" s="5" t="s">
        <v>51</v>
      </c>
      <c r="AL341" s="32">
        <v>46081</v>
      </c>
      <c r="AM341" s="29" t="str">
        <f>"Tháng "&amp;MONTH(AL341)</f>
        <v>Tháng 2</v>
      </c>
      <c r="AN341" s="69" t="s">
        <v>1376</v>
      </c>
    </row>
    <row r="342" spans="1:40" x14ac:dyDescent="0.25">
      <c r="A342" s="51" t="s">
        <v>1331</v>
      </c>
      <c r="B342" s="20" t="s">
        <v>23</v>
      </c>
      <c r="C342" s="35">
        <v>28126</v>
      </c>
      <c r="D342" s="29">
        <f ca="1">DATEDIF(C342,TODAY(),"Y")</f>
        <v>49</v>
      </c>
      <c r="E342" s="5" t="s">
        <v>26</v>
      </c>
      <c r="F342" s="30">
        <v>169</v>
      </c>
      <c r="G342" s="30">
        <v>68</v>
      </c>
      <c r="H342" s="31">
        <f>G342/((F342/100)*(F342/100))</f>
        <v>23.808690171912751</v>
      </c>
      <c r="I342" s="5">
        <v>83</v>
      </c>
      <c r="J342" s="30">
        <v>140</v>
      </c>
      <c r="K342" s="30">
        <v>80</v>
      </c>
      <c r="L342" s="29">
        <f>IF(B342="Nữ",0,2)</f>
        <v>0</v>
      </c>
      <c r="M342" s="29">
        <f ca="1">IF(D342&lt;45,0,IF(D342&lt;=49,1,2))</f>
        <v>1</v>
      </c>
      <c r="N342" s="29">
        <f>IF(E342="Có",4,0)</f>
        <v>0</v>
      </c>
      <c r="O342" s="29">
        <f>IF(H342&lt;23,0,IF(H342&lt;27.5,3,5))</f>
        <v>3</v>
      </c>
      <c r="P342" s="29">
        <f>IF(OR(AND(B342="Nam",I342&gt;=90),AND(B342="Nữ",I342&gt;=80)),2,0)</f>
        <v>2</v>
      </c>
      <c r="Q342" s="29">
        <f>IF(OR(J342&gt;=140,K342&gt;=90),2,0)</f>
        <v>2</v>
      </c>
      <c r="R342" s="29">
        <f ca="1">SUM(L342:Q342)</f>
        <v>8</v>
      </c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5" t="s">
        <v>1393</v>
      </c>
      <c r="AE342" s="33"/>
      <c r="AF342" s="59" t="str">
        <f t="shared" si="16"/>
        <v>Không</v>
      </c>
      <c r="AG342" s="59" t="str">
        <f t="shared" si="17"/>
        <v>Không</v>
      </c>
      <c r="AH342" s="29" t="str">
        <f t="shared" ca="1" si="15"/>
        <v>Có</v>
      </c>
      <c r="AI342" s="29" t="str">
        <f ca="1">IF((R342)&gt;=6,"Có","Không")</f>
        <v>Có</v>
      </c>
      <c r="AJ342" s="29" t="str">
        <f>IF(OR(J342&gt;=140,K342&gt;=90),"Có","Không")</f>
        <v>Có</v>
      </c>
      <c r="AK342" s="5" t="s">
        <v>51</v>
      </c>
      <c r="AL342" s="32">
        <v>46081</v>
      </c>
      <c r="AM342" s="29" t="str">
        <f>"Tháng "&amp;MONTH(AL342)</f>
        <v>Tháng 2</v>
      </c>
      <c r="AN342" s="69" t="s">
        <v>1376</v>
      </c>
    </row>
    <row r="343" spans="1:40" x14ac:dyDescent="0.25">
      <c r="A343" s="52" t="s">
        <v>1337</v>
      </c>
      <c r="B343" s="20" t="s">
        <v>23</v>
      </c>
      <c r="C343" s="35">
        <v>20455</v>
      </c>
      <c r="D343" s="29">
        <f ca="1">DATEDIF(C343,TODAY(),"Y")</f>
        <v>70</v>
      </c>
      <c r="E343" s="5" t="s">
        <v>26</v>
      </c>
      <c r="F343" s="30">
        <v>158</v>
      </c>
      <c r="G343" s="30">
        <v>58</v>
      </c>
      <c r="H343" s="31">
        <f>G343/((F343/100)*(F343/100))</f>
        <v>23.233456176894723</v>
      </c>
      <c r="I343" s="5">
        <v>81</v>
      </c>
      <c r="J343" s="30">
        <v>130</v>
      </c>
      <c r="K343" s="30">
        <v>80</v>
      </c>
      <c r="L343" s="29">
        <f>IF(B343="Nữ",0,2)</f>
        <v>0</v>
      </c>
      <c r="M343" s="29">
        <f ca="1">IF(D343&lt;45,0,IF(D343&lt;=49,1,2))</f>
        <v>2</v>
      </c>
      <c r="N343" s="29">
        <f>IF(E343="Có",4,0)</f>
        <v>0</v>
      </c>
      <c r="O343" s="29">
        <f>IF(H343&lt;23,0,IF(H343&lt;27.5,3,5))</f>
        <v>3</v>
      </c>
      <c r="P343" s="29">
        <f>IF(OR(AND(B343="Nam",I343&gt;=90),AND(B343="Nữ",I343&gt;=80)),2,0)</f>
        <v>2</v>
      </c>
      <c r="Q343" s="29">
        <f>IF(OR(J343&gt;=140,K343&gt;=90),2,0)</f>
        <v>0</v>
      </c>
      <c r="R343" s="29">
        <f ca="1">SUM(L343:Q343)</f>
        <v>7</v>
      </c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5" t="s">
        <v>1393</v>
      </c>
      <c r="AE343" s="33"/>
      <c r="AF343" s="59" t="str">
        <f t="shared" si="16"/>
        <v>Không</v>
      </c>
      <c r="AG343" s="59" t="str">
        <f t="shared" si="17"/>
        <v>Không</v>
      </c>
      <c r="AH343" s="29" t="str">
        <f t="shared" ca="1" si="15"/>
        <v>Có</v>
      </c>
      <c r="AI343" s="29" t="str">
        <f ca="1">IF((R343)&gt;=6,"Có","Không")</f>
        <v>Có</v>
      </c>
      <c r="AJ343" s="29" t="str">
        <f>IF(OR(J343&gt;=140,K343&gt;=90),"Có","Không")</f>
        <v>Không</v>
      </c>
      <c r="AK343" s="5" t="s">
        <v>51</v>
      </c>
      <c r="AL343" s="32">
        <v>46081</v>
      </c>
      <c r="AM343" s="29" t="str">
        <f>"Tháng "&amp;MONTH(AL343)</f>
        <v>Tháng 2</v>
      </c>
      <c r="AN343" s="69" t="s">
        <v>1376</v>
      </c>
    </row>
    <row r="344" spans="1:40" x14ac:dyDescent="0.25">
      <c r="A344" s="52" t="s">
        <v>1340</v>
      </c>
      <c r="B344" s="20" t="s">
        <v>30</v>
      </c>
      <c r="C344" s="35">
        <v>24838</v>
      </c>
      <c r="D344" s="29">
        <f ca="1">DATEDIF(C344,TODAY(),"Y")</f>
        <v>58</v>
      </c>
      <c r="E344" s="5" t="s">
        <v>26</v>
      </c>
      <c r="F344" s="30">
        <v>168</v>
      </c>
      <c r="G344" s="30">
        <v>60</v>
      </c>
      <c r="H344" s="31">
        <f>G344/((F344/100)*(F344/100))</f>
        <v>21.258503401360546</v>
      </c>
      <c r="I344" s="5">
        <v>89</v>
      </c>
      <c r="J344" s="30">
        <v>130</v>
      </c>
      <c r="K344" s="30">
        <v>80</v>
      </c>
      <c r="L344" s="29">
        <f>IF(B344="Nữ",0,2)</f>
        <v>2</v>
      </c>
      <c r="M344" s="29">
        <f ca="1">IF(D344&lt;45,0,IF(D344&lt;=49,1,2))</f>
        <v>2</v>
      </c>
      <c r="N344" s="29">
        <f>IF(E344="Có",4,0)</f>
        <v>0</v>
      </c>
      <c r="O344" s="29">
        <f>IF(H344&lt;23,0,IF(H344&lt;27.5,3,5))</f>
        <v>0</v>
      </c>
      <c r="P344" s="29">
        <f>IF(OR(AND(B344="Nam",I344&gt;=90),AND(B344="Nữ",I344&gt;=80)),2,0)</f>
        <v>0</v>
      </c>
      <c r="Q344" s="29">
        <f>IF(OR(J344&gt;=140,K344&gt;=90),2,0)</f>
        <v>0</v>
      </c>
      <c r="R344" s="29">
        <f ca="1">SUM(L344:Q344)</f>
        <v>4</v>
      </c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5" t="s">
        <v>1393</v>
      </c>
      <c r="AE344" s="33"/>
      <c r="AF344" s="59" t="str">
        <f t="shared" si="16"/>
        <v>Không</v>
      </c>
      <c r="AG344" s="59" t="str">
        <f t="shared" si="17"/>
        <v>Không</v>
      </c>
      <c r="AH344" s="29" t="str">
        <f t="shared" ca="1" si="15"/>
        <v>Không</v>
      </c>
      <c r="AI344" s="29" t="str">
        <f ca="1">IF((R344)&gt;=6,"Có","Không")</f>
        <v>Không</v>
      </c>
      <c r="AJ344" s="29" t="str">
        <f>IF(OR(J344&gt;=140,K344&gt;=90),"Có","Không")</f>
        <v>Không</v>
      </c>
      <c r="AK344" s="5" t="s">
        <v>51</v>
      </c>
      <c r="AL344" s="32">
        <v>46081</v>
      </c>
      <c r="AM344" s="29" t="str">
        <f>"Tháng "&amp;MONTH(AL344)</f>
        <v>Tháng 2</v>
      </c>
      <c r="AN344" s="69" t="s">
        <v>1376</v>
      </c>
    </row>
    <row r="345" spans="1:40" x14ac:dyDescent="0.25">
      <c r="A345" s="52" t="s">
        <v>1345</v>
      </c>
      <c r="B345" s="20" t="s">
        <v>30</v>
      </c>
      <c r="C345" s="35">
        <v>21551</v>
      </c>
      <c r="D345" s="29">
        <f ca="1">DATEDIF(C345,TODAY(),"Y")</f>
        <v>67</v>
      </c>
      <c r="E345" s="5" t="s">
        <v>26</v>
      </c>
      <c r="F345" s="30">
        <v>169</v>
      </c>
      <c r="G345" s="30">
        <v>69</v>
      </c>
      <c r="H345" s="31">
        <f>G345/((F345/100)*(F345/100))</f>
        <v>24.158817968558527</v>
      </c>
      <c r="I345" s="5">
        <v>75</v>
      </c>
      <c r="J345" s="30">
        <v>120</v>
      </c>
      <c r="K345" s="30">
        <v>80</v>
      </c>
      <c r="L345" s="29">
        <f>IF(B345="Nữ",0,2)</f>
        <v>2</v>
      </c>
      <c r="M345" s="29">
        <f ca="1">IF(D345&lt;45,0,IF(D345&lt;=49,1,2))</f>
        <v>2</v>
      </c>
      <c r="N345" s="29">
        <f>IF(E345="Có",4,0)</f>
        <v>0</v>
      </c>
      <c r="O345" s="29">
        <f>IF(H345&lt;23,0,IF(H345&lt;27.5,3,5))</f>
        <v>3</v>
      </c>
      <c r="P345" s="29">
        <f>IF(OR(AND(B345="Nam",I345&gt;=90),AND(B345="Nữ",I345&gt;=80)),2,0)</f>
        <v>0</v>
      </c>
      <c r="Q345" s="29">
        <f>IF(OR(J345&gt;=140,K345&gt;=90),2,0)</f>
        <v>0</v>
      </c>
      <c r="R345" s="29">
        <f ca="1">SUM(L345:Q345)</f>
        <v>7</v>
      </c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5" t="s">
        <v>1393</v>
      </c>
      <c r="AE345" s="33"/>
      <c r="AF345" s="59" t="str">
        <f t="shared" si="16"/>
        <v>Không</v>
      </c>
      <c r="AG345" s="59" t="str">
        <f t="shared" si="17"/>
        <v>Không</v>
      </c>
      <c r="AH345" s="29" t="str">
        <f t="shared" ca="1" si="15"/>
        <v>Có</v>
      </c>
      <c r="AI345" s="29" t="str">
        <f ca="1">IF((R345)&gt;=6,"Có","Không")</f>
        <v>Có</v>
      </c>
      <c r="AJ345" s="29" t="str">
        <f>IF(OR(J345&gt;=140,K345&gt;=90),"Có","Không")</f>
        <v>Không</v>
      </c>
      <c r="AK345" s="5" t="s">
        <v>51</v>
      </c>
      <c r="AL345" s="32">
        <v>46081</v>
      </c>
      <c r="AM345" s="29" t="str">
        <f>"Tháng "&amp;MONTH(AL345)</f>
        <v>Tháng 2</v>
      </c>
      <c r="AN345" s="69" t="s">
        <v>1376</v>
      </c>
    </row>
    <row r="346" spans="1:40" x14ac:dyDescent="0.25">
      <c r="A346" s="52" t="s">
        <v>1346</v>
      </c>
      <c r="B346" s="20" t="s">
        <v>30</v>
      </c>
      <c r="C346" s="35">
        <v>20821</v>
      </c>
      <c r="D346" s="29">
        <f ca="1">DATEDIF(C346,TODAY(),"Y")</f>
        <v>69</v>
      </c>
      <c r="E346" s="5" t="s">
        <v>26</v>
      </c>
      <c r="F346" s="30">
        <v>158</v>
      </c>
      <c r="G346" s="30">
        <v>58</v>
      </c>
      <c r="H346" s="31">
        <f>G346/((F346/100)*(F346/100))</f>
        <v>23.233456176894723</v>
      </c>
      <c r="I346" s="5">
        <v>88</v>
      </c>
      <c r="J346" s="30">
        <v>130</v>
      </c>
      <c r="K346" s="30">
        <v>80</v>
      </c>
      <c r="L346" s="29">
        <f>IF(B346="Nữ",0,2)</f>
        <v>2</v>
      </c>
      <c r="M346" s="29">
        <f ca="1">IF(D346&lt;45,0,IF(D346&lt;=49,1,2))</f>
        <v>2</v>
      </c>
      <c r="N346" s="29">
        <f>IF(E346="Có",4,0)</f>
        <v>0</v>
      </c>
      <c r="O346" s="29">
        <f>IF(H346&lt;23,0,IF(H346&lt;27.5,3,5))</f>
        <v>3</v>
      </c>
      <c r="P346" s="29">
        <f>IF(OR(AND(B346="Nam",I346&gt;=90),AND(B346="Nữ",I346&gt;=80)),2,0)</f>
        <v>0</v>
      </c>
      <c r="Q346" s="29">
        <f>IF(OR(J346&gt;=140,K346&gt;=90),2,0)</f>
        <v>0</v>
      </c>
      <c r="R346" s="29">
        <f ca="1">SUM(L346:Q346)</f>
        <v>7</v>
      </c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5" t="s">
        <v>1393</v>
      </c>
      <c r="AE346" s="33"/>
      <c r="AF346" s="59" t="str">
        <f t="shared" si="16"/>
        <v>Không</v>
      </c>
      <c r="AG346" s="59" t="str">
        <f t="shared" si="17"/>
        <v>Không</v>
      </c>
      <c r="AH346" s="29" t="str">
        <f t="shared" ca="1" si="15"/>
        <v>Có</v>
      </c>
      <c r="AI346" s="29" t="str">
        <f ca="1">IF((R346)&gt;=6,"Có","Không")</f>
        <v>Có</v>
      </c>
      <c r="AJ346" s="29" t="str">
        <f>IF(OR(J346&gt;=140,K346&gt;=90),"Có","Không")</f>
        <v>Không</v>
      </c>
      <c r="AK346" s="5" t="s">
        <v>51</v>
      </c>
      <c r="AL346" s="32">
        <v>46081</v>
      </c>
      <c r="AM346" s="29" t="str">
        <f>"Tháng "&amp;MONTH(AL346)</f>
        <v>Tháng 2</v>
      </c>
      <c r="AN346" s="69" t="s">
        <v>1376</v>
      </c>
    </row>
    <row r="347" spans="1:40" x14ac:dyDescent="0.25">
      <c r="A347" s="53" t="s">
        <v>1355</v>
      </c>
      <c r="B347" s="20" t="s">
        <v>23</v>
      </c>
      <c r="C347" s="35">
        <v>19360</v>
      </c>
      <c r="D347" s="29">
        <f ca="1">DATEDIF(C347,TODAY(),"Y")</f>
        <v>73</v>
      </c>
      <c r="E347" s="5" t="s">
        <v>25</v>
      </c>
      <c r="F347" s="30">
        <v>169</v>
      </c>
      <c r="G347" s="30">
        <v>69</v>
      </c>
      <c r="H347" s="31">
        <f>G347/((F347/100)*(F347/100))</f>
        <v>24.158817968558527</v>
      </c>
      <c r="I347" s="5">
        <v>88</v>
      </c>
      <c r="J347" s="30">
        <v>130</v>
      </c>
      <c r="K347" s="30">
        <v>80</v>
      </c>
      <c r="L347" s="29">
        <f>IF(B347="Nữ",0,2)</f>
        <v>0</v>
      </c>
      <c r="M347" s="29">
        <f ca="1">IF(D347&lt;45,0,IF(D347&lt;=49,1,2))</f>
        <v>2</v>
      </c>
      <c r="N347" s="29">
        <f>IF(E347="Có",4,0)</f>
        <v>4</v>
      </c>
      <c r="O347" s="29">
        <f>IF(H347&lt;23,0,IF(H347&lt;27.5,3,5))</f>
        <v>3</v>
      </c>
      <c r="P347" s="29">
        <f>IF(OR(AND(B347="Nam",I347&gt;=90),AND(B347="Nữ",I347&gt;=80)),2,0)</f>
        <v>2</v>
      </c>
      <c r="Q347" s="29">
        <f>IF(OR(J347&gt;=140,K347&gt;=90),2,0)</f>
        <v>0</v>
      </c>
      <c r="R347" s="29">
        <f ca="1">SUM(L347:Q347)</f>
        <v>11</v>
      </c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5" t="s">
        <v>1393</v>
      </c>
      <c r="AE347" s="33"/>
      <c r="AF347" s="59" t="str">
        <f t="shared" si="16"/>
        <v>Không</v>
      </c>
      <c r="AG347" s="59" t="str">
        <f t="shared" si="17"/>
        <v>Không</v>
      </c>
      <c r="AH347" s="29" t="str">
        <f t="shared" ca="1" si="15"/>
        <v>Có</v>
      </c>
      <c r="AI347" s="29" t="str">
        <f ca="1">IF((R347)&gt;=6,"Có","Không")</f>
        <v>Có</v>
      </c>
      <c r="AJ347" s="29" t="str">
        <f>IF(OR(J347&gt;=140,K347&gt;=90),"Có","Không")</f>
        <v>Không</v>
      </c>
      <c r="AK347" s="5" t="s">
        <v>51</v>
      </c>
      <c r="AL347" s="32">
        <v>46081</v>
      </c>
      <c r="AM347" s="29" t="str">
        <f>"Tháng "&amp;MONTH(AL347)</f>
        <v>Tháng 2</v>
      </c>
      <c r="AN347" s="69" t="s">
        <v>1376</v>
      </c>
    </row>
    <row r="348" spans="1:40" x14ac:dyDescent="0.25">
      <c r="A348" s="53" t="s">
        <v>1359</v>
      </c>
      <c r="B348" s="20" t="s">
        <v>30</v>
      </c>
      <c r="C348" s="35">
        <v>26299</v>
      </c>
      <c r="D348" s="29">
        <f ca="1">DATEDIF(C348,TODAY(),"Y")</f>
        <v>54</v>
      </c>
      <c r="E348" s="5" t="s">
        <v>26</v>
      </c>
      <c r="F348" s="30">
        <v>158</v>
      </c>
      <c r="G348" s="30">
        <v>58</v>
      </c>
      <c r="H348" s="31">
        <f>G348/((F348/100)*(F348/100))</f>
        <v>23.233456176894723</v>
      </c>
      <c r="I348" s="5">
        <v>96</v>
      </c>
      <c r="J348" s="30">
        <v>120</v>
      </c>
      <c r="K348" s="30">
        <v>80</v>
      </c>
      <c r="L348" s="29">
        <f>IF(B348="Nữ",0,2)</f>
        <v>2</v>
      </c>
      <c r="M348" s="29">
        <f ca="1">IF(D348&lt;45,0,IF(D348&lt;=49,1,2))</f>
        <v>2</v>
      </c>
      <c r="N348" s="29">
        <f>IF(E348="Có",4,0)</f>
        <v>0</v>
      </c>
      <c r="O348" s="29">
        <f>IF(H348&lt;23,0,IF(H348&lt;27.5,3,5))</f>
        <v>3</v>
      </c>
      <c r="P348" s="29">
        <f>IF(OR(AND(B348="Nam",I348&gt;=90),AND(B348="Nữ",I348&gt;=80)),2,0)</f>
        <v>2</v>
      </c>
      <c r="Q348" s="29">
        <f>IF(OR(J348&gt;=140,K348&gt;=90),2,0)</f>
        <v>0</v>
      </c>
      <c r="R348" s="29">
        <f ca="1">SUM(L348:Q348)</f>
        <v>9</v>
      </c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5" t="s">
        <v>1393</v>
      </c>
      <c r="AE348" s="33"/>
      <c r="AF348" s="59" t="str">
        <f t="shared" si="16"/>
        <v>Không</v>
      </c>
      <c r="AG348" s="59" t="str">
        <f t="shared" si="17"/>
        <v>Không</v>
      </c>
      <c r="AH348" s="29" t="str">
        <f t="shared" ca="1" si="15"/>
        <v>Có</v>
      </c>
      <c r="AI348" s="29" t="str">
        <f ca="1">IF((R348)&gt;=6,"Có","Không")</f>
        <v>Có</v>
      </c>
      <c r="AJ348" s="29" t="str">
        <f>IF(OR(J348&gt;=140,K348&gt;=90),"Có","Không")</f>
        <v>Không</v>
      </c>
      <c r="AK348" s="5" t="s">
        <v>51</v>
      </c>
      <c r="AL348" s="32">
        <v>46081</v>
      </c>
      <c r="AM348" s="29" t="str">
        <f>"Tháng "&amp;MONTH(AL348)</f>
        <v>Tháng 2</v>
      </c>
      <c r="AN348" s="69" t="s">
        <v>1376</v>
      </c>
    </row>
    <row r="349" spans="1:40" x14ac:dyDescent="0.25">
      <c r="A349" s="53" t="s">
        <v>1368</v>
      </c>
      <c r="B349" s="22" t="s">
        <v>30</v>
      </c>
      <c r="C349" s="35">
        <v>19360</v>
      </c>
      <c r="D349" s="29">
        <f ca="1">DATEDIF(C349,TODAY(),"Y")</f>
        <v>73</v>
      </c>
      <c r="E349" s="5" t="s">
        <v>26</v>
      </c>
      <c r="F349" s="30">
        <v>158</v>
      </c>
      <c r="G349" s="30">
        <v>58</v>
      </c>
      <c r="H349" s="31">
        <f>G349/((F349/100)*(F349/100))</f>
        <v>23.233456176894723</v>
      </c>
      <c r="I349" s="5">
        <v>90</v>
      </c>
      <c r="J349" s="30">
        <v>120</v>
      </c>
      <c r="K349" s="30">
        <v>80</v>
      </c>
      <c r="L349" s="29">
        <f>IF(B349="Nữ",0,2)</f>
        <v>2</v>
      </c>
      <c r="M349" s="29">
        <f ca="1">IF(D349&lt;45,0,IF(D349&lt;=49,1,2))</f>
        <v>2</v>
      </c>
      <c r="N349" s="29">
        <f>IF(E349="Có",4,0)</f>
        <v>0</v>
      </c>
      <c r="O349" s="29">
        <f>IF(H349&lt;23,0,IF(H349&lt;27.5,3,5))</f>
        <v>3</v>
      </c>
      <c r="P349" s="29">
        <f>IF(OR(AND(B349="Nam",I349&gt;=90),AND(B349="Nữ",I349&gt;=80)),2,0)</f>
        <v>2</v>
      </c>
      <c r="Q349" s="29">
        <f>IF(OR(J349&gt;=140,K349&gt;=90),2,0)</f>
        <v>0</v>
      </c>
      <c r="R349" s="29">
        <f ca="1">SUM(L349:Q349)</f>
        <v>9</v>
      </c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5" t="s">
        <v>1393</v>
      </c>
      <c r="AE349" s="33"/>
      <c r="AF349" s="59" t="str">
        <f t="shared" si="16"/>
        <v>Không</v>
      </c>
      <c r="AG349" s="59" t="str">
        <f t="shared" si="17"/>
        <v>Không</v>
      </c>
      <c r="AH349" s="29" t="str">
        <f t="shared" ca="1" si="15"/>
        <v>Có</v>
      </c>
      <c r="AI349" s="29" t="str">
        <f ca="1">IF((R349)&gt;=6,"Có","Không")</f>
        <v>Có</v>
      </c>
      <c r="AJ349" s="29" t="str">
        <f>IF(OR(J349&gt;=140,K349&gt;=90),"Có","Không")</f>
        <v>Không</v>
      </c>
      <c r="AK349" s="5" t="s">
        <v>51</v>
      </c>
      <c r="AL349" s="32">
        <v>46081</v>
      </c>
      <c r="AM349" s="29" t="str">
        <f>"Tháng "&amp;MONTH(AL349)</f>
        <v>Tháng 2</v>
      </c>
      <c r="AN349" s="69" t="s">
        <v>1376</v>
      </c>
    </row>
    <row r="350" spans="1:40" x14ac:dyDescent="0.25">
      <c r="A350" s="53" t="s">
        <v>1369</v>
      </c>
      <c r="B350" s="22" t="s">
        <v>30</v>
      </c>
      <c r="C350" s="35">
        <v>24838</v>
      </c>
      <c r="D350" s="29">
        <f ca="1">DATEDIF(C350,TODAY(),"Y")</f>
        <v>58</v>
      </c>
      <c r="E350" s="5" t="s">
        <v>26</v>
      </c>
      <c r="F350" s="30">
        <v>168</v>
      </c>
      <c r="G350" s="30">
        <v>67</v>
      </c>
      <c r="H350" s="31">
        <f>G350/((F350/100)*(F350/100))</f>
        <v>23.738662131519277</v>
      </c>
      <c r="I350" s="5">
        <v>76</v>
      </c>
      <c r="J350" s="30">
        <v>160</v>
      </c>
      <c r="K350" s="30">
        <v>80</v>
      </c>
      <c r="L350" s="29">
        <f>IF(B350="Nữ",0,2)</f>
        <v>2</v>
      </c>
      <c r="M350" s="29">
        <f ca="1">IF(D350&lt;45,0,IF(D350&lt;=49,1,2))</f>
        <v>2</v>
      </c>
      <c r="N350" s="29">
        <f>IF(E350="Có",4,0)</f>
        <v>0</v>
      </c>
      <c r="O350" s="29">
        <f>IF(H350&lt;23,0,IF(H350&lt;27.5,3,5))</f>
        <v>3</v>
      </c>
      <c r="P350" s="29">
        <f>IF(OR(AND(B350="Nam",I350&gt;=90),AND(B350="Nữ",I350&gt;=80)),2,0)</f>
        <v>0</v>
      </c>
      <c r="Q350" s="29">
        <f>IF(OR(J350&gt;=140,K350&gt;=90),2,0)</f>
        <v>2</v>
      </c>
      <c r="R350" s="29">
        <f ca="1">SUM(L350:Q350)</f>
        <v>9</v>
      </c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5" t="s">
        <v>1393</v>
      </c>
      <c r="AE350" s="33"/>
      <c r="AF350" s="59" t="str">
        <f t="shared" si="16"/>
        <v>Không</v>
      </c>
      <c r="AG350" s="59" t="str">
        <f t="shared" si="17"/>
        <v>Không</v>
      </c>
      <c r="AH350" s="29" t="str">
        <f t="shared" ca="1" si="15"/>
        <v>Có</v>
      </c>
      <c r="AI350" s="29" t="str">
        <f ca="1">IF((R350)&gt;=6,"Có","Không")</f>
        <v>Có</v>
      </c>
      <c r="AJ350" s="29" t="str">
        <f>IF(OR(J350&gt;=140,K350&gt;=90),"Có","Không")</f>
        <v>Có</v>
      </c>
      <c r="AK350" s="5" t="s">
        <v>51</v>
      </c>
      <c r="AL350" s="32">
        <v>46081</v>
      </c>
      <c r="AM350" s="29" t="str">
        <f>"Tháng "&amp;MONTH(AL350)</f>
        <v>Tháng 2</v>
      </c>
      <c r="AN350" s="69" t="s">
        <v>1376</v>
      </c>
    </row>
    <row r="351" spans="1:40" x14ac:dyDescent="0.25">
      <c r="A351" s="54" t="s">
        <v>1379</v>
      </c>
      <c r="B351" s="15" t="s">
        <v>1373</v>
      </c>
      <c r="C351" s="35">
        <v>24473</v>
      </c>
      <c r="D351" s="29">
        <f ca="1">DATEDIF(C351,TODAY(),"Y")</f>
        <v>59</v>
      </c>
      <c r="E351" s="5" t="s">
        <v>26</v>
      </c>
      <c r="F351" s="30">
        <v>158</v>
      </c>
      <c r="G351" s="30">
        <v>58</v>
      </c>
      <c r="H351" s="31">
        <f>G351/((F351/100)*(F351/100))</f>
        <v>23.233456176894723</v>
      </c>
      <c r="I351" s="5">
        <v>72</v>
      </c>
      <c r="J351" s="30">
        <v>120</v>
      </c>
      <c r="K351" s="30">
        <v>80</v>
      </c>
      <c r="L351" s="29">
        <f>IF(B351="Nữ",0,2)</f>
        <v>0</v>
      </c>
      <c r="M351" s="29">
        <f ca="1">IF(D351&lt;45,0,IF(D351&lt;=49,1,2))</f>
        <v>2</v>
      </c>
      <c r="N351" s="29">
        <f>IF(E351="Có",4,0)</f>
        <v>0</v>
      </c>
      <c r="O351" s="29">
        <f>IF(H351&lt;23,0,IF(H351&lt;27.5,3,5))</f>
        <v>3</v>
      </c>
      <c r="P351" s="29">
        <f>IF(OR(AND(B351="Nam",I351&gt;=90),AND(B351="Nữ",I351&gt;=80)),2,0)</f>
        <v>0</v>
      </c>
      <c r="Q351" s="29">
        <f>IF(OR(J351&gt;=140,K351&gt;=90),2,0)</f>
        <v>0</v>
      </c>
      <c r="R351" s="29">
        <f ca="1">SUM(L351:Q351)</f>
        <v>5</v>
      </c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5" t="s">
        <v>1393</v>
      </c>
      <c r="AE351" s="33"/>
      <c r="AF351" s="59" t="str">
        <f t="shared" si="16"/>
        <v>Không</v>
      </c>
      <c r="AG351" s="59" t="str">
        <f t="shared" si="17"/>
        <v>Không</v>
      </c>
      <c r="AH351" s="29" t="str">
        <f t="shared" ca="1" si="15"/>
        <v>Không</v>
      </c>
      <c r="AI351" s="29" t="str">
        <f ca="1">IF((R351)&gt;=6,"Có","Không")</f>
        <v>Không</v>
      </c>
      <c r="AJ351" s="29" t="str">
        <f>IF(OR(J351&gt;=140,K351&gt;=90),"Có","Không")</f>
        <v>Không</v>
      </c>
      <c r="AK351" s="5" t="s">
        <v>51</v>
      </c>
      <c r="AL351" s="32">
        <v>46081</v>
      </c>
      <c r="AM351" s="29" t="str">
        <f>"Tháng "&amp;MONTH(AL351)</f>
        <v>Tháng 2</v>
      </c>
      <c r="AN351" s="69" t="s">
        <v>1376</v>
      </c>
    </row>
    <row r="352" spans="1:40" x14ac:dyDescent="0.25">
      <c r="A352" s="54" t="s">
        <v>1382</v>
      </c>
      <c r="B352" s="15" t="s">
        <v>1373</v>
      </c>
      <c r="C352" s="35">
        <v>23743</v>
      </c>
      <c r="D352" s="29">
        <f ca="1">DATEDIF(C352,TODAY(),"Y")</f>
        <v>61</v>
      </c>
      <c r="E352" s="5" t="s">
        <v>26</v>
      </c>
      <c r="F352" s="30">
        <v>158</v>
      </c>
      <c r="G352" s="30">
        <v>58</v>
      </c>
      <c r="H352" s="31">
        <f>G352/((F352/100)*(F352/100))</f>
        <v>23.233456176894723</v>
      </c>
      <c r="I352" s="5">
        <v>76</v>
      </c>
      <c r="J352" s="30">
        <v>120</v>
      </c>
      <c r="K352" s="30">
        <v>80</v>
      </c>
      <c r="L352" s="29">
        <f>IF(B352="Nữ",0,2)</f>
        <v>0</v>
      </c>
      <c r="M352" s="29">
        <f ca="1">IF(D352&lt;45,0,IF(D352&lt;=49,1,2))</f>
        <v>2</v>
      </c>
      <c r="N352" s="29">
        <f>IF(E352="Có",4,0)</f>
        <v>0</v>
      </c>
      <c r="O352" s="29">
        <f>IF(H352&lt;23,0,IF(H352&lt;27.5,3,5))</f>
        <v>3</v>
      </c>
      <c r="P352" s="29">
        <f>IF(OR(AND(B352="Nam",I352&gt;=90),AND(B352="Nữ",I352&gt;=80)),2,0)</f>
        <v>0</v>
      </c>
      <c r="Q352" s="29">
        <f>IF(OR(J352&gt;=140,K352&gt;=90),2,0)</f>
        <v>0</v>
      </c>
      <c r="R352" s="29">
        <f ca="1">SUM(L352:Q352)</f>
        <v>5</v>
      </c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5" t="s">
        <v>1393</v>
      </c>
      <c r="AE352" s="33"/>
      <c r="AF352" s="59" t="str">
        <f t="shared" si="16"/>
        <v>Không</v>
      </c>
      <c r="AG352" s="59" t="str">
        <f t="shared" si="17"/>
        <v>Không</v>
      </c>
      <c r="AH352" s="29" t="str">
        <f t="shared" ca="1" si="15"/>
        <v>Không</v>
      </c>
      <c r="AI352" s="29" t="str">
        <f ca="1">IF((R352)&gt;=6,"Có","Không")</f>
        <v>Không</v>
      </c>
      <c r="AJ352" s="29" t="str">
        <f>IF(OR(J352&gt;=140,K352&gt;=90),"Có","Không")</f>
        <v>Không</v>
      </c>
      <c r="AK352" s="5" t="s">
        <v>51</v>
      </c>
      <c r="AL352" s="32">
        <v>46081</v>
      </c>
      <c r="AM352" s="29" t="str">
        <f>"Tháng "&amp;MONTH(AL352)</f>
        <v>Tháng 2</v>
      </c>
      <c r="AN352" s="69" t="s">
        <v>1376</v>
      </c>
    </row>
    <row r="353" spans="1:40" x14ac:dyDescent="0.25">
      <c r="A353" s="54" t="s">
        <v>1374</v>
      </c>
      <c r="B353" s="15" t="s">
        <v>1373</v>
      </c>
      <c r="C353" s="35">
        <v>23377</v>
      </c>
      <c r="D353" s="29">
        <f ca="1">DATEDIF(C353,TODAY(),"Y")</f>
        <v>62</v>
      </c>
      <c r="E353" s="5" t="s">
        <v>25</v>
      </c>
      <c r="F353" s="30">
        <v>169</v>
      </c>
      <c r="G353" s="30">
        <v>68</v>
      </c>
      <c r="H353" s="31">
        <f>G353/((F353/100)*(F353/100))</f>
        <v>23.808690171912751</v>
      </c>
      <c r="I353" s="5">
        <v>99</v>
      </c>
      <c r="J353" s="30">
        <v>130</v>
      </c>
      <c r="K353" s="30">
        <v>80</v>
      </c>
      <c r="L353" s="29">
        <f>IF(B353="Nữ",0,2)</f>
        <v>0</v>
      </c>
      <c r="M353" s="29">
        <f ca="1">IF(D353&lt;45,0,IF(D353&lt;=49,1,2))</f>
        <v>2</v>
      </c>
      <c r="N353" s="29">
        <f>IF(E353="Có",4,0)</f>
        <v>4</v>
      </c>
      <c r="O353" s="29">
        <f>IF(H353&lt;23,0,IF(H353&lt;27.5,3,5))</f>
        <v>3</v>
      </c>
      <c r="P353" s="29">
        <f>IF(OR(AND(B353="Nam",I353&gt;=90),AND(B353="Nữ",I353&gt;=80)),2,0)</f>
        <v>2</v>
      </c>
      <c r="Q353" s="29">
        <f>IF(OR(J353&gt;=140,K353&gt;=90),2,0)</f>
        <v>0</v>
      </c>
      <c r="R353" s="29">
        <f ca="1">SUM(L353:Q353)</f>
        <v>11</v>
      </c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5" t="s">
        <v>1393</v>
      </c>
      <c r="AE353" s="33"/>
      <c r="AF353" s="59" t="str">
        <f t="shared" si="16"/>
        <v>Không</v>
      </c>
      <c r="AG353" s="59" t="str">
        <f t="shared" si="17"/>
        <v>Không</v>
      </c>
      <c r="AH353" s="29" t="str">
        <f t="shared" ca="1" si="15"/>
        <v>Có</v>
      </c>
      <c r="AI353" s="29" t="str">
        <f ca="1">IF((R353)&gt;=6,"Có","Không")</f>
        <v>Có</v>
      </c>
      <c r="AJ353" s="29" t="str">
        <f>IF(OR(J353&gt;=140,K353&gt;=90),"Có","Không")</f>
        <v>Không</v>
      </c>
      <c r="AK353" s="5" t="s">
        <v>51</v>
      </c>
      <c r="AL353" s="32">
        <v>46081</v>
      </c>
      <c r="AM353" s="29" t="str">
        <f>"Tháng "&amp;MONTH(AL353)</f>
        <v>Tháng 2</v>
      </c>
      <c r="AN353" s="69" t="s">
        <v>1376</v>
      </c>
    </row>
    <row r="354" spans="1:40" x14ac:dyDescent="0.25">
      <c r="A354" s="49" t="s">
        <v>98</v>
      </c>
      <c r="B354" s="5" t="s">
        <v>30</v>
      </c>
      <c r="C354" s="5" t="s">
        <v>84</v>
      </c>
      <c r="D354" s="29">
        <f ca="1">DATEDIF(C354,TODAY(),"Y")</f>
        <v>69</v>
      </c>
      <c r="E354" s="5" t="s">
        <v>26</v>
      </c>
      <c r="F354" s="30">
        <v>166</v>
      </c>
      <c r="G354" s="30">
        <v>58</v>
      </c>
      <c r="H354" s="31">
        <f>G354/((F354/100)*(F354/100))</f>
        <v>21.048047612135289</v>
      </c>
      <c r="I354" s="5">
        <v>89</v>
      </c>
      <c r="J354" s="30">
        <v>120</v>
      </c>
      <c r="K354" s="30">
        <v>80</v>
      </c>
      <c r="L354" s="29">
        <f>IF(B354="Nữ",0,2)</f>
        <v>2</v>
      </c>
      <c r="M354" s="29">
        <f ca="1">IF(D354&lt;45,0,IF(D354&lt;=49,1,2))</f>
        <v>2</v>
      </c>
      <c r="N354" s="29">
        <f>IF(E354="Có",4,0)</f>
        <v>0</v>
      </c>
      <c r="O354" s="29">
        <f>IF(H354&lt;23,0,IF(H354&lt;27.5,3,5))</f>
        <v>0</v>
      </c>
      <c r="P354" s="29">
        <f>IF(OR(AND(B354="Nam",I354&gt;=90),AND(B354="Nữ",I354&gt;=80)),2,0)</f>
        <v>0</v>
      </c>
      <c r="Q354" s="29">
        <f>IF(OR(J354&gt;=140,K354&gt;=90),2,0)</f>
        <v>0</v>
      </c>
      <c r="R354" s="29">
        <f ca="1">SUM(L354:Q354)</f>
        <v>4</v>
      </c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5" t="s">
        <v>1393</v>
      </c>
      <c r="AE354" s="33"/>
      <c r="AF354" s="59" t="str">
        <f t="shared" si="16"/>
        <v>Không</v>
      </c>
      <c r="AG354" s="59" t="str">
        <f t="shared" si="17"/>
        <v>Không</v>
      </c>
      <c r="AH354" s="29" t="str">
        <f t="shared" ca="1" si="15"/>
        <v>Không</v>
      </c>
      <c r="AI354" s="29" t="str">
        <f ca="1">IF((R354)&gt;=6,"Có","Không")</f>
        <v>Không</v>
      </c>
      <c r="AJ354" s="29" t="str">
        <f>IF(OR(J354&gt;=140,K354&gt;=90),"Có","Không")</f>
        <v>Không</v>
      </c>
      <c r="AK354" s="5" t="s">
        <v>99</v>
      </c>
      <c r="AL354" s="5" t="s">
        <v>100</v>
      </c>
      <c r="AM354" s="29" t="str">
        <f>"Tháng "&amp;MONTH(AL354)</f>
        <v>Tháng 3</v>
      </c>
      <c r="AN354" s="29" t="str">
        <f>LEFT(AK354,FIND(",",AK354)-1)</f>
        <v>ấp Biển tây B</v>
      </c>
    </row>
    <row r="355" spans="1:40" x14ac:dyDescent="0.25">
      <c r="A355" s="49" t="s">
        <v>131</v>
      </c>
      <c r="B355" s="5" t="s">
        <v>23</v>
      </c>
      <c r="C355" s="5" t="s">
        <v>56</v>
      </c>
      <c r="D355" s="29">
        <f ca="1">DATEDIF(C355,TODAY(),"Y")</f>
        <v>65</v>
      </c>
      <c r="E355" s="5" t="s">
        <v>26</v>
      </c>
      <c r="F355" s="30">
        <v>165</v>
      </c>
      <c r="G355" s="30">
        <v>66</v>
      </c>
      <c r="H355" s="31">
        <f>G355/((F355/100)*(F355/100))</f>
        <v>24.242424242424246</v>
      </c>
      <c r="I355" s="5">
        <v>75</v>
      </c>
      <c r="J355" s="30">
        <v>140</v>
      </c>
      <c r="K355" s="30">
        <v>80</v>
      </c>
      <c r="L355" s="29">
        <f>IF(B355="Nữ",0,2)</f>
        <v>0</v>
      </c>
      <c r="M355" s="29">
        <f ca="1">IF(D355&lt;45,0,IF(D355&lt;=49,1,2))</f>
        <v>2</v>
      </c>
      <c r="N355" s="29">
        <f>IF(E355="Có",4,0)</f>
        <v>0</v>
      </c>
      <c r="O355" s="29">
        <f>IF(H355&lt;23,0,IF(H355&lt;27.5,3,5))</f>
        <v>3</v>
      </c>
      <c r="P355" s="29">
        <f>IF(OR(AND(B355="Nam",I355&gt;=90),AND(B355="Nữ",I355&gt;=80)),2,0)</f>
        <v>0</v>
      </c>
      <c r="Q355" s="29">
        <f>IF(OR(J355&gt;=140,K355&gt;=90),2,0)</f>
        <v>2</v>
      </c>
      <c r="R355" s="29">
        <f ca="1">SUM(L355:Q355)</f>
        <v>7</v>
      </c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5" t="s">
        <v>1393</v>
      </c>
      <c r="AE355" s="33"/>
      <c r="AF355" s="59" t="str">
        <f t="shared" si="16"/>
        <v>Không</v>
      </c>
      <c r="AG355" s="59" t="str">
        <f t="shared" si="17"/>
        <v>Không</v>
      </c>
      <c r="AH355" s="29" t="str">
        <f t="shared" ca="1" si="15"/>
        <v>Có</v>
      </c>
      <c r="AI355" s="29" t="str">
        <f ca="1">IF((R355)&gt;=6,"Có","Không")</f>
        <v>Có</v>
      </c>
      <c r="AJ355" s="29" t="str">
        <f>IF(OR(J355&gt;=140,K355&gt;=90),"Có","Không")</f>
        <v>Có</v>
      </c>
      <c r="AK355" s="5" t="s">
        <v>88</v>
      </c>
      <c r="AL355" s="32">
        <v>46112</v>
      </c>
      <c r="AM355" s="29" t="str">
        <f>"Tháng "&amp;MONTH(AL355)</f>
        <v>Tháng 3</v>
      </c>
      <c r="AN355" s="29" t="str">
        <f>LEFT(AK355,FIND(",",AK355)-1)</f>
        <v>Giồng Giữa</v>
      </c>
    </row>
    <row r="356" spans="1:40" x14ac:dyDescent="0.25">
      <c r="A356" s="49" t="s">
        <v>132</v>
      </c>
      <c r="B356" s="5" t="s">
        <v>30</v>
      </c>
      <c r="C356" s="5" t="s">
        <v>133</v>
      </c>
      <c r="D356" s="29">
        <f ca="1">DATEDIF(C356,TODAY(),"Y")</f>
        <v>56</v>
      </c>
      <c r="E356" s="5" t="s">
        <v>25</v>
      </c>
      <c r="F356" s="30">
        <v>169</v>
      </c>
      <c r="G356" s="30">
        <v>68</v>
      </c>
      <c r="H356" s="31">
        <f>G356/((F356/100)*(F356/100))</f>
        <v>23.808690171912751</v>
      </c>
      <c r="I356" s="5">
        <v>88</v>
      </c>
      <c r="J356" s="30">
        <v>130</v>
      </c>
      <c r="K356" s="30">
        <v>80</v>
      </c>
      <c r="L356" s="29">
        <f>IF(B356="Nữ",0,2)</f>
        <v>2</v>
      </c>
      <c r="M356" s="29">
        <f ca="1">IF(D356&lt;45,0,IF(D356&lt;=49,1,2))</f>
        <v>2</v>
      </c>
      <c r="N356" s="29">
        <f>IF(E356="Có",4,0)</f>
        <v>4</v>
      </c>
      <c r="O356" s="29">
        <f>IF(H356&lt;23,0,IF(H356&lt;27.5,3,5))</f>
        <v>3</v>
      </c>
      <c r="P356" s="29">
        <f>IF(OR(AND(B356="Nam",I356&gt;=90),AND(B356="Nữ",I356&gt;=80)),2,0)</f>
        <v>0</v>
      </c>
      <c r="Q356" s="29">
        <f>IF(OR(J356&gt;=140,K356&gt;=90),2,0)</f>
        <v>0</v>
      </c>
      <c r="R356" s="29">
        <f ca="1">SUM(L356:Q356)</f>
        <v>11</v>
      </c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5" t="s">
        <v>1393</v>
      </c>
      <c r="AE356" s="33"/>
      <c r="AF356" s="59" t="str">
        <f t="shared" si="16"/>
        <v>Không</v>
      </c>
      <c r="AG356" s="59" t="str">
        <f t="shared" si="17"/>
        <v>Không</v>
      </c>
      <c r="AH356" s="29" t="str">
        <f t="shared" ca="1" si="15"/>
        <v>Có</v>
      </c>
      <c r="AI356" s="29" t="str">
        <f ca="1">IF((R356)&gt;=6,"Có","Không")</f>
        <v>Có</v>
      </c>
      <c r="AJ356" s="29" t="str">
        <f>IF(OR(J356&gt;=140,K356&gt;=90),"Có","Không")</f>
        <v>Không</v>
      </c>
      <c r="AK356" s="5" t="s">
        <v>51</v>
      </c>
      <c r="AL356" s="32">
        <v>46112</v>
      </c>
      <c r="AM356" s="29" t="str">
        <f>"Tháng "&amp;MONTH(AL356)</f>
        <v>Tháng 3</v>
      </c>
      <c r="AN356" s="29" t="str">
        <f>LEFT(AK356,FIND(",",AK356)-1)</f>
        <v>Phường Hiệp Thành</v>
      </c>
    </row>
    <row r="357" spans="1:40" x14ac:dyDescent="0.25">
      <c r="A357" s="49" t="s">
        <v>156</v>
      </c>
      <c r="B357" s="5" t="s">
        <v>23</v>
      </c>
      <c r="C357" s="5" t="s">
        <v>110</v>
      </c>
      <c r="D357" s="29">
        <f ca="1">DATEDIF(C357,TODAY(),"Y")</f>
        <v>62</v>
      </c>
      <c r="E357" s="5" t="s">
        <v>26</v>
      </c>
      <c r="F357" s="30">
        <v>155</v>
      </c>
      <c r="G357" s="30">
        <v>59.5</v>
      </c>
      <c r="H357" s="31">
        <f>G357/((F357/100)*(F357/100))</f>
        <v>24.765868886576481</v>
      </c>
      <c r="I357" s="5">
        <v>65</v>
      </c>
      <c r="J357" s="30">
        <v>120</v>
      </c>
      <c r="K357" s="30">
        <v>70</v>
      </c>
      <c r="L357" s="29">
        <f>IF(B357="Nữ",0,2)</f>
        <v>0</v>
      </c>
      <c r="M357" s="29">
        <f ca="1">IF(D357&lt;45,0,IF(D357&lt;=49,1,2))</f>
        <v>2</v>
      </c>
      <c r="N357" s="29">
        <f>IF(E357="Có",4,0)</f>
        <v>0</v>
      </c>
      <c r="O357" s="29">
        <f>IF(H357&lt;23,0,IF(H357&lt;27.5,3,5))</f>
        <v>3</v>
      </c>
      <c r="P357" s="29">
        <f>IF(OR(AND(B357="Nam",I357&gt;=90),AND(B357="Nữ",I357&gt;=80)),2,0)</f>
        <v>0</v>
      </c>
      <c r="Q357" s="29">
        <f>IF(OR(J357&gt;=140,K357&gt;=90),2,0)</f>
        <v>0</v>
      </c>
      <c r="R357" s="29">
        <f ca="1">SUM(L357:Q357)</f>
        <v>5</v>
      </c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5" t="s">
        <v>1393</v>
      </c>
      <c r="AE357" s="33"/>
      <c r="AF357" s="59" t="str">
        <f t="shared" si="16"/>
        <v>Không</v>
      </c>
      <c r="AG357" s="59" t="str">
        <f t="shared" si="17"/>
        <v>Không</v>
      </c>
      <c r="AH357" s="29" t="str">
        <f t="shared" ca="1" si="15"/>
        <v>Không</v>
      </c>
      <c r="AI357" s="29" t="str">
        <f ca="1">IF((R357)&gt;=6,"Có","Không")</f>
        <v>Không</v>
      </c>
      <c r="AJ357" s="29" t="str">
        <f>IF(OR(J357&gt;=140,K357&gt;=90),"Có","Không")</f>
        <v>Không</v>
      </c>
      <c r="AK357" s="5" t="s">
        <v>157</v>
      </c>
      <c r="AL357" s="32">
        <v>46112</v>
      </c>
      <c r="AM357" s="29" t="str">
        <f>"Tháng "&amp;MONTH(AL357)</f>
        <v>Tháng 3</v>
      </c>
      <c r="AN357" s="29" t="str">
        <f>LEFT(AK357,FIND(",",AK357)-1)</f>
        <v>Ấp 14</v>
      </c>
    </row>
    <row r="358" spans="1:40" x14ac:dyDescent="0.25">
      <c r="A358" s="49" t="s">
        <v>161</v>
      </c>
      <c r="B358" s="5" t="s">
        <v>30</v>
      </c>
      <c r="C358" s="5" t="s">
        <v>34</v>
      </c>
      <c r="D358" s="29">
        <f ca="1">DATEDIF(C358,TODAY(),"Y")</f>
        <v>78</v>
      </c>
      <c r="E358" s="5" t="s">
        <v>26</v>
      </c>
      <c r="F358" s="30">
        <v>170</v>
      </c>
      <c r="G358" s="30">
        <v>50</v>
      </c>
      <c r="H358" s="31">
        <f>G358/((F358/100)*(F358/100))</f>
        <v>17.301038062283737</v>
      </c>
      <c r="I358" s="5">
        <v>96</v>
      </c>
      <c r="J358" s="30">
        <v>130</v>
      </c>
      <c r="K358" s="30">
        <v>80</v>
      </c>
      <c r="L358" s="29">
        <f>IF(B358="Nữ",0,2)</f>
        <v>2</v>
      </c>
      <c r="M358" s="29">
        <f ca="1">IF(D358&lt;45,0,IF(D358&lt;=49,1,2))</f>
        <v>2</v>
      </c>
      <c r="N358" s="29">
        <f>IF(E358="Có",4,0)</f>
        <v>0</v>
      </c>
      <c r="O358" s="29">
        <f>IF(H358&lt;23,0,IF(H358&lt;27.5,3,5))</f>
        <v>0</v>
      </c>
      <c r="P358" s="29">
        <f>IF(OR(AND(B358="Nam",I358&gt;=90),AND(B358="Nữ",I358&gt;=80)),2,0)</f>
        <v>2</v>
      </c>
      <c r="Q358" s="29">
        <f>IF(OR(J358&gt;=140,K358&gt;=90),2,0)</f>
        <v>0</v>
      </c>
      <c r="R358" s="29">
        <f ca="1">SUM(L358:Q358)</f>
        <v>6</v>
      </c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5" t="s">
        <v>1393</v>
      </c>
      <c r="AE358" s="33"/>
      <c r="AF358" s="59" t="str">
        <f t="shared" si="16"/>
        <v>Không</v>
      </c>
      <c r="AG358" s="59" t="str">
        <f t="shared" si="17"/>
        <v>Không</v>
      </c>
      <c r="AH358" s="29" t="str">
        <f t="shared" ca="1" si="15"/>
        <v>Có</v>
      </c>
      <c r="AI358" s="29" t="str">
        <f ca="1">IF((R358)&gt;=6,"Có","Không")</f>
        <v>Có</v>
      </c>
      <c r="AJ358" s="29" t="str">
        <f>IF(OR(J358&gt;=140,K358&gt;=90),"Có","Không")</f>
        <v>Không</v>
      </c>
      <c r="AK358" s="5" t="s">
        <v>122</v>
      </c>
      <c r="AL358" s="32">
        <v>46112</v>
      </c>
      <c r="AM358" s="29" t="str">
        <f>"Tháng "&amp;MONTH(AL358)</f>
        <v>Tháng 3</v>
      </c>
      <c r="AN358" s="29" t="str">
        <f>LEFT(AK358,FIND(",",AK358)-1)</f>
        <v>Giồng Nhãn</v>
      </c>
    </row>
    <row r="359" spans="1:40" x14ac:dyDescent="0.25">
      <c r="A359" s="49" t="s">
        <v>171</v>
      </c>
      <c r="B359" s="5" t="s">
        <v>30</v>
      </c>
      <c r="C359" s="5" t="s">
        <v>53</v>
      </c>
      <c r="D359" s="29">
        <f ca="1">DATEDIF(C359,TODAY(),"Y")</f>
        <v>72</v>
      </c>
      <c r="E359" s="5" t="s">
        <v>26</v>
      </c>
      <c r="F359" s="30">
        <v>155</v>
      </c>
      <c r="G359" s="30">
        <v>64</v>
      </c>
      <c r="H359" s="31">
        <f>G359/((F359/100)*(F359/100))</f>
        <v>26.638917793964616</v>
      </c>
      <c r="I359" s="5">
        <v>97</v>
      </c>
      <c r="J359" s="30">
        <v>120</v>
      </c>
      <c r="K359" s="30">
        <v>80</v>
      </c>
      <c r="L359" s="29">
        <f>IF(B359="Nữ",0,2)</f>
        <v>2</v>
      </c>
      <c r="M359" s="29">
        <f ca="1">IF(D359&lt;45,0,IF(D359&lt;=49,1,2))</f>
        <v>2</v>
      </c>
      <c r="N359" s="29">
        <f>IF(E359="Có",4,0)</f>
        <v>0</v>
      </c>
      <c r="O359" s="29">
        <f>IF(H359&lt;23,0,IF(H359&lt;27.5,3,5))</f>
        <v>3</v>
      </c>
      <c r="P359" s="29">
        <f>IF(OR(AND(B359="Nam",I359&gt;=90),AND(B359="Nữ",I359&gt;=80)),2,0)</f>
        <v>2</v>
      </c>
      <c r="Q359" s="29">
        <f>IF(OR(J359&gt;=140,K359&gt;=90),2,0)</f>
        <v>0</v>
      </c>
      <c r="R359" s="29">
        <f ca="1">SUM(L359:Q359)</f>
        <v>9</v>
      </c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5" t="s">
        <v>1393</v>
      </c>
      <c r="AE359" s="33"/>
      <c r="AF359" s="59" t="str">
        <f t="shared" si="16"/>
        <v>Không</v>
      </c>
      <c r="AG359" s="59" t="str">
        <f t="shared" si="17"/>
        <v>Không</v>
      </c>
      <c r="AH359" s="29" t="str">
        <f t="shared" ca="1" si="15"/>
        <v>Có</v>
      </c>
      <c r="AI359" s="29" t="str">
        <f ca="1">IF((R359)&gt;=6,"Có","Không")</f>
        <v>Có</v>
      </c>
      <c r="AJ359" s="29" t="str">
        <f>IF(OR(J359&gt;=140,K359&gt;=90),"Có","Không")</f>
        <v>Không</v>
      </c>
      <c r="AK359" s="5" t="s">
        <v>172</v>
      </c>
      <c r="AL359" s="32">
        <v>46112</v>
      </c>
      <c r="AM359" s="29" t="str">
        <f>"Tháng "&amp;MONTH(AL359)</f>
        <v>Tháng 3</v>
      </c>
      <c r="AN359" s="29" t="str">
        <f>LEFT(AK359,FIND(",",AK359)-1)</f>
        <v>Khóm Bờ Tây</v>
      </c>
    </row>
    <row r="360" spans="1:40" x14ac:dyDescent="0.25">
      <c r="A360" s="49" t="s">
        <v>175</v>
      </c>
      <c r="B360" s="5" t="s">
        <v>30</v>
      </c>
      <c r="C360" s="5" t="s">
        <v>84</v>
      </c>
      <c r="D360" s="29">
        <f ca="1">DATEDIF(C360,TODAY(),"Y")</f>
        <v>69</v>
      </c>
      <c r="E360" s="5" t="s">
        <v>26</v>
      </c>
      <c r="F360" s="30">
        <v>169</v>
      </c>
      <c r="G360" s="30">
        <v>68</v>
      </c>
      <c r="H360" s="31">
        <f>G360/((F360/100)*(F360/100))</f>
        <v>23.808690171912751</v>
      </c>
      <c r="I360" s="5">
        <v>75</v>
      </c>
      <c r="J360" s="30">
        <v>160</v>
      </c>
      <c r="K360" s="30">
        <v>80</v>
      </c>
      <c r="L360" s="29">
        <f>IF(B360="Nữ",0,2)</f>
        <v>2</v>
      </c>
      <c r="M360" s="29">
        <f ca="1">IF(D360&lt;45,0,IF(D360&lt;=49,1,2))</f>
        <v>2</v>
      </c>
      <c r="N360" s="29">
        <f>IF(E360="Có",4,0)</f>
        <v>0</v>
      </c>
      <c r="O360" s="29">
        <f>IF(H360&lt;23,0,IF(H360&lt;27.5,3,5))</f>
        <v>3</v>
      </c>
      <c r="P360" s="29">
        <f>IF(OR(AND(B360="Nam",I360&gt;=90),AND(B360="Nữ",I360&gt;=80)),2,0)</f>
        <v>0</v>
      </c>
      <c r="Q360" s="29">
        <f>IF(OR(J360&gt;=140,K360&gt;=90),2,0)</f>
        <v>2</v>
      </c>
      <c r="R360" s="29">
        <f ca="1">SUM(L360:Q360)</f>
        <v>9</v>
      </c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5" t="s">
        <v>1393</v>
      </c>
      <c r="AE360" s="33"/>
      <c r="AF360" s="59" t="str">
        <f t="shared" si="16"/>
        <v>Không</v>
      </c>
      <c r="AG360" s="59" t="str">
        <f t="shared" si="17"/>
        <v>Không</v>
      </c>
      <c r="AH360" s="29" t="str">
        <f t="shared" ca="1" si="15"/>
        <v>Có</v>
      </c>
      <c r="AI360" s="29" t="str">
        <f ca="1">IF((R360)&gt;=6,"Có","Không")</f>
        <v>Có</v>
      </c>
      <c r="AJ360" s="29" t="str">
        <f>IF(OR(J360&gt;=140,K360&gt;=90),"Có","Không")</f>
        <v>Có</v>
      </c>
      <c r="AK360" s="5" t="s">
        <v>68</v>
      </c>
      <c r="AL360" s="32">
        <v>46112</v>
      </c>
      <c r="AM360" s="29" t="str">
        <f>"Tháng "&amp;MONTH(AL360)</f>
        <v>Tháng 3</v>
      </c>
      <c r="AN360" s="29" t="str">
        <f>LEFT(AK360,FIND(",",AK360)-1)</f>
        <v>Ấp Biển Tây B</v>
      </c>
    </row>
    <row r="361" spans="1:40" x14ac:dyDescent="0.25">
      <c r="A361" s="49" t="s">
        <v>176</v>
      </c>
      <c r="B361" s="5" t="s">
        <v>23</v>
      </c>
      <c r="C361" s="5" t="s">
        <v>130</v>
      </c>
      <c r="D361" s="29">
        <f ca="1">DATEDIF(C361,TODAY(),"Y")</f>
        <v>57</v>
      </c>
      <c r="E361" s="5" t="s">
        <v>25</v>
      </c>
      <c r="F361" s="30">
        <v>158</v>
      </c>
      <c r="G361" s="30">
        <v>58</v>
      </c>
      <c r="H361" s="31">
        <f>G361/((F361/100)*(F361/100))</f>
        <v>23.233456176894723</v>
      </c>
      <c r="I361" s="5">
        <v>82</v>
      </c>
      <c r="J361" s="30">
        <v>140</v>
      </c>
      <c r="K361" s="30">
        <v>80</v>
      </c>
      <c r="L361" s="29">
        <f>IF(B361="Nữ",0,2)</f>
        <v>0</v>
      </c>
      <c r="M361" s="29">
        <f ca="1">IF(D361&lt;45,0,IF(D361&lt;=49,1,2))</f>
        <v>2</v>
      </c>
      <c r="N361" s="29">
        <f>IF(E361="Có",4,0)</f>
        <v>4</v>
      </c>
      <c r="O361" s="29">
        <f>IF(H361&lt;23,0,IF(H361&lt;27.5,3,5))</f>
        <v>3</v>
      </c>
      <c r="P361" s="29">
        <f>IF(OR(AND(B361="Nam",I361&gt;=90),AND(B361="Nữ",I361&gt;=80)),2,0)</f>
        <v>2</v>
      </c>
      <c r="Q361" s="29">
        <f>IF(OR(J361&gt;=140,K361&gt;=90),2,0)</f>
        <v>2</v>
      </c>
      <c r="R361" s="29">
        <f ca="1">SUM(L361:Q361)</f>
        <v>13</v>
      </c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5" t="s">
        <v>1393</v>
      </c>
      <c r="AE361" s="33"/>
      <c r="AF361" s="59" t="str">
        <f t="shared" si="16"/>
        <v>Không</v>
      </c>
      <c r="AG361" s="59" t="str">
        <f t="shared" si="17"/>
        <v>Không</v>
      </c>
      <c r="AH361" s="29" t="str">
        <f t="shared" ca="1" si="15"/>
        <v>Có</v>
      </c>
      <c r="AI361" s="29" t="str">
        <f ca="1">IF((R361)&gt;=6,"Có","Không")</f>
        <v>Có</v>
      </c>
      <c r="AJ361" s="29" t="str">
        <f>IF(OR(J361&gt;=140,K361&gt;=90),"Có","Không")</f>
        <v>Có</v>
      </c>
      <c r="AK361" s="5" t="s">
        <v>38</v>
      </c>
      <c r="AL361" s="32">
        <v>46112</v>
      </c>
      <c r="AM361" s="29" t="str">
        <f>"Tháng "&amp;MONTH(AL361)</f>
        <v>Tháng 3</v>
      </c>
      <c r="AN361" s="29" t="str">
        <f>LEFT(AK361,FIND(",",AK361)-1)</f>
        <v>Ấp Biển Đông B</v>
      </c>
    </row>
    <row r="362" spans="1:40" x14ac:dyDescent="0.25">
      <c r="A362" s="49" t="s">
        <v>179</v>
      </c>
      <c r="B362" s="5" t="s">
        <v>30</v>
      </c>
      <c r="C362" s="5" t="s">
        <v>93</v>
      </c>
      <c r="D362" s="29">
        <f ca="1">DATEDIF(C362,TODAY(),"Y")</f>
        <v>66</v>
      </c>
      <c r="E362" s="5" t="s">
        <v>25</v>
      </c>
      <c r="F362" s="30">
        <v>165</v>
      </c>
      <c r="G362" s="30">
        <v>57</v>
      </c>
      <c r="H362" s="31">
        <f>G362/((F362/100)*(F362/100))</f>
        <v>20.936639118457304</v>
      </c>
      <c r="I362" s="5">
        <v>89</v>
      </c>
      <c r="J362" s="30">
        <v>120</v>
      </c>
      <c r="K362" s="30">
        <v>80</v>
      </c>
      <c r="L362" s="29">
        <f>IF(B362="Nữ",0,2)</f>
        <v>2</v>
      </c>
      <c r="M362" s="29">
        <f ca="1">IF(D362&lt;45,0,IF(D362&lt;=49,1,2))</f>
        <v>2</v>
      </c>
      <c r="N362" s="29">
        <f>IF(E362="Có",4,0)</f>
        <v>4</v>
      </c>
      <c r="O362" s="29">
        <f>IF(H362&lt;23,0,IF(H362&lt;27.5,3,5))</f>
        <v>0</v>
      </c>
      <c r="P362" s="29">
        <f>IF(OR(AND(B362="Nam",I362&gt;=90),AND(B362="Nữ",I362&gt;=80)),2,0)</f>
        <v>0</v>
      </c>
      <c r="Q362" s="29">
        <f>IF(OR(J362&gt;=140,K362&gt;=90),2,0)</f>
        <v>0</v>
      </c>
      <c r="R362" s="29">
        <f ca="1">SUM(L362:Q362)</f>
        <v>8</v>
      </c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5" t="s">
        <v>1393</v>
      </c>
      <c r="AE362" s="33"/>
      <c r="AF362" s="59" t="str">
        <f t="shared" si="16"/>
        <v>Không</v>
      </c>
      <c r="AG362" s="59" t="str">
        <f t="shared" si="17"/>
        <v>Không</v>
      </c>
      <c r="AH362" s="29" t="str">
        <f t="shared" ca="1" si="15"/>
        <v>Có</v>
      </c>
      <c r="AI362" s="29" t="str">
        <f ca="1">IF((R362)&gt;=6,"Có","Không")</f>
        <v>Có</v>
      </c>
      <c r="AJ362" s="29" t="str">
        <f>IF(OR(J362&gt;=140,K362&gt;=90),"Có","Không")</f>
        <v>Không</v>
      </c>
      <c r="AK362" s="5" t="s">
        <v>180</v>
      </c>
      <c r="AL362" s="32">
        <v>46112</v>
      </c>
      <c r="AM362" s="29" t="str">
        <f>"Tháng "&amp;MONTH(AL362)</f>
        <v>Tháng 3</v>
      </c>
      <c r="AN362" s="29" t="str">
        <f>LEFT(AK362,FIND(",",AK362)-1)</f>
        <v>ấp Nhà Lầu 2</v>
      </c>
    </row>
    <row r="363" spans="1:40" x14ac:dyDescent="0.25">
      <c r="A363" s="49" t="s">
        <v>183</v>
      </c>
      <c r="B363" s="5" t="s">
        <v>23</v>
      </c>
      <c r="C363" s="5" t="s">
        <v>67</v>
      </c>
      <c r="D363" s="29">
        <f ca="1">DATEDIF(C363,TODAY(),"Y")</f>
        <v>48</v>
      </c>
      <c r="E363" s="5" t="s">
        <v>26</v>
      </c>
      <c r="F363" s="30">
        <v>158</v>
      </c>
      <c r="G363" s="30">
        <v>58</v>
      </c>
      <c r="H363" s="31">
        <f>G363/((F363/100)*(F363/100))</f>
        <v>23.233456176894723</v>
      </c>
      <c r="I363" s="5">
        <v>76</v>
      </c>
      <c r="J363" s="30">
        <v>120</v>
      </c>
      <c r="K363" s="30">
        <v>80</v>
      </c>
      <c r="L363" s="29">
        <f>IF(B363="Nữ",0,2)</f>
        <v>0</v>
      </c>
      <c r="M363" s="29">
        <f ca="1">IF(D363&lt;45,0,IF(D363&lt;=49,1,2))</f>
        <v>1</v>
      </c>
      <c r="N363" s="29">
        <f>IF(E363="Có",4,0)</f>
        <v>0</v>
      </c>
      <c r="O363" s="29">
        <f>IF(H363&lt;23,0,IF(H363&lt;27.5,3,5))</f>
        <v>3</v>
      </c>
      <c r="P363" s="29">
        <f>IF(OR(AND(B363="Nam",I363&gt;=90),AND(B363="Nữ",I363&gt;=80)),2,0)</f>
        <v>0</v>
      </c>
      <c r="Q363" s="29">
        <f>IF(OR(J363&gt;=140,K363&gt;=90),2,0)</f>
        <v>0</v>
      </c>
      <c r="R363" s="29">
        <f ca="1">SUM(L363:Q363)</f>
        <v>4</v>
      </c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5" t="s">
        <v>1393</v>
      </c>
      <c r="AE363" s="33"/>
      <c r="AF363" s="59" t="str">
        <f t="shared" si="16"/>
        <v>Không</v>
      </c>
      <c r="AG363" s="59" t="str">
        <f t="shared" si="17"/>
        <v>Không</v>
      </c>
      <c r="AH363" s="29" t="str">
        <f t="shared" ca="1" si="15"/>
        <v>Không</v>
      </c>
      <c r="AI363" s="29" t="str">
        <f ca="1">IF((R363)&gt;=6,"Có","Không")</f>
        <v>Không</v>
      </c>
      <c r="AJ363" s="29" t="str">
        <f>IF(OR(J363&gt;=140,K363&gt;=90),"Có","Không")</f>
        <v>Không</v>
      </c>
      <c r="AK363" s="5" t="s">
        <v>184</v>
      </c>
      <c r="AL363" s="32">
        <v>46112</v>
      </c>
      <c r="AM363" s="29" t="str">
        <f>"Tháng "&amp;MONTH(AL363)</f>
        <v>Tháng 3</v>
      </c>
      <c r="AN363" s="29" t="str">
        <f>LEFT(AK363,FIND(",",AK363)-1)</f>
        <v>Ấp Giồng Giữa B</v>
      </c>
    </row>
    <row r="364" spans="1:40" x14ac:dyDescent="0.25">
      <c r="A364" s="49" t="s">
        <v>193</v>
      </c>
      <c r="B364" s="5" t="s">
        <v>30</v>
      </c>
      <c r="C364" s="5" t="s">
        <v>194</v>
      </c>
      <c r="D364" s="29">
        <f ca="1">DATEDIF(C364,TODAY(),"Y")</f>
        <v>95</v>
      </c>
      <c r="E364" s="5" t="s">
        <v>25</v>
      </c>
      <c r="F364" s="30">
        <v>169</v>
      </c>
      <c r="G364" s="30">
        <v>58</v>
      </c>
      <c r="H364" s="31">
        <f>G364/((F364/100)*(F364/100))</f>
        <v>20.307412205454995</v>
      </c>
      <c r="I364" s="5">
        <v>87</v>
      </c>
      <c r="J364" s="30">
        <v>120</v>
      </c>
      <c r="K364" s="30">
        <v>80</v>
      </c>
      <c r="L364" s="29">
        <f>IF(B364="Nữ",0,2)</f>
        <v>2</v>
      </c>
      <c r="M364" s="29">
        <f ca="1">IF(D364&lt;45,0,IF(D364&lt;=49,1,2))</f>
        <v>2</v>
      </c>
      <c r="N364" s="29">
        <f>IF(E364="Có",4,0)</f>
        <v>4</v>
      </c>
      <c r="O364" s="29">
        <f>IF(H364&lt;23,0,IF(H364&lt;27.5,3,5))</f>
        <v>0</v>
      </c>
      <c r="P364" s="29">
        <f>IF(OR(AND(B364="Nam",I364&gt;=90),AND(B364="Nữ",I364&gt;=80)),2,0)</f>
        <v>0</v>
      </c>
      <c r="Q364" s="29">
        <f>IF(OR(J364&gt;=140,K364&gt;=90),2,0)</f>
        <v>0</v>
      </c>
      <c r="R364" s="29">
        <f ca="1">SUM(L364:Q364)</f>
        <v>8</v>
      </c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5" t="s">
        <v>1393</v>
      </c>
      <c r="AE364" s="33"/>
      <c r="AF364" s="59" t="str">
        <f t="shared" si="16"/>
        <v>Không</v>
      </c>
      <c r="AG364" s="59" t="str">
        <f t="shared" si="17"/>
        <v>Không</v>
      </c>
      <c r="AH364" s="29" t="str">
        <f t="shared" ca="1" si="15"/>
        <v>Có</v>
      </c>
      <c r="AI364" s="29" t="str">
        <f ca="1">IF((R364)&gt;=6,"Có","Không")</f>
        <v>Có</v>
      </c>
      <c r="AJ364" s="29" t="str">
        <f>IF(OR(J364&gt;=140,K364&gt;=90),"Có","Không")</f>
        <v>Không</v>
      </c>
      <c r="AK364" s="5" t="s">
        <v>195</v>
      </c>
      <c r="AL364" s="32">
        <v>46112</v>
      </c>
      <c r="AM364" s="29" t="str">
        <f>"Tháng "&amp;MONTH(AL364)</f>
        <v>Tháng 3</v>
      </c>
      <c r="AN364" s="29" t="str">
        <f>LEFT(AK364,FIND(",",AK364)-1)</f>
        <v>Hòa Hiệp</v>
      </c>
    </row>
    <row r="365" spans="1:40" x14ac:dyDescent="0.25">
      <c r="A365" s="49" t="s">
        <v>197</v>
      </c>
      <c r="B365" s="5" t="s">
        <v>30</v>
      </c>
      <c r="C365" s="5" t="s">
        <v>67</v>
      </c>
      <c r="D365" s="29">
        <f ca="1">DATEDIF(C365,TODAY(),"Y")</f>
        <v>48</v>
      </c>
      <c r="E365" s="5" t="s">
        <v>26</v>
      </c>
      <c r="F365" s="30">
        <v>158</v>
      </c>
      <c r="G365" s="30">
        <v>58</v>
      </c>
      <c r="H365" s="31">
        <f>G365/((F365/100)*(F365/100))</f>
        <v>23.233456176894723</v>
      </c>
      <c r="I365" s="5">
        <v>79</v>
      </c>
      <c r="J365" s="30">
        <v>140</v>
      </c>
      <c r="K365" s="30">
        <v>80</v>
      </c>
      <c r="L365" s="29">
        <f>IF(B365="Nữ",0,2)</f>
        <v>2</v>
      </c>
      <c r="M365" s="29">
        <f ca="1">IF(D365&lt;45,0,IF(D365&lt;=49,1,2))</f>
        <v>1</v>
      </c>
      <c r="N365" s="29">
        <f>IF(E365="Có",4,0)</f>
        <v>0</v>
      </c>
      <c r="O365" s="29">
        <f>IF(H365&lt;23,0,IF(H365&lt;27.5,3,5))</f>
        <v>3</v>
      </c>
      <c r="P365" s="29">
        <f>IF(OR(AND(B365="Nam",I365&gt;=90),AND(B365="Nữ",I365&gt;=80)),2,0)</f>
        <v>0</v>
      </c>
      <c r="Q365" s="29">
        <f>IF(OR(J365&gt;=140,K365&gt;=90),2,0)</f>
        <v>2</v>
      </c>
      <c r="R365" s="29">
        <f ca="1">SUM(L365:Q365)</f>
        <v>8</v>
      </c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5" t="s">
        <v>1393</v>
      </c>
      <c r="AE365" s="33"/>
      <c r="AF365" s="59" t="str">
        <f t="shared" si="16"/>
        <v>Không</v>
      </c>
      <c r="AG365" s="59" t="str">
        <f t="shared" si="17"/>
        <v>Không</v>
      </c>
      <c r="AH365" s="29" t="str">
        <f t="shared" ca="1" si="15"/>
        <v>Có</v>
      </c>
      <c r="AI365" s="29" t="str">
        <f ca="1">IF((R365)&gt;=6,"Có","Không")</f>
        <v>Có</v>
      </c>
      <c r="AJ365" s="29" t="str">
        <f>IF(OR(J365&gt;=140,K365&gt;=90),"Có","Không")</f>
        <v>Có</v>
      </c>
      <c r="AK365" s="5" t="s">
        <v>28</v>
      </c>
      <c r="AL365" s="32">
        <v>46112</v>
      </c>
      <c r="AM365" s="29" t="str">
        <f>"Tháng "&amp;MONTH(AL365)</f>
        <v>Tháng 3</v>
      </c>
      <c r="AN365" s="29" t="str">
        <f>LEFT(AK365,FIND(",",AK365)-1)</f>
        <v>Ấp Biển Đông A</v>
      </c>
    </row>
    <row r="366" spans="1:40" x14ac:dyDescent="0.25">
      <c r="A366" s="49" t="s">
        <v>200</v>
      </c>
      <c r="B366" s="5" t="s">
        <v>23</v>
      </c>
      <c r="C366" s="5" t="s">
        <v>127</v>
      </c>
      <c r="D366" s="29">
        <f ca="1">DATEDIF(C366,TODAY(),"Y")</f>
        <v>76</v>
      </c>
      <c r="E366" s="5" t="s">
        <v>26</v>
      </c>
      <c r="F366" s="30">
        <v>158</v>
      </c>
      <c r="G366" s="30">
        <v>58</v>
      </c>
      <c r="H366" s="31">
        <f>G366/((F366/100)*(F366/100))</f>
        <v>23.233456176894723</v>
      </c>
      <c r="I366" s="5">
        <v>72</v>
      </c>
      <c r="J366" s="30">
        <v>120</v>
      </c>
      <c r="K366" s="30">
        <v>80</v>
      </c>
      <c r="L366" s="29">
        <f>IF(B366="Nữ",0,2)</f>
        <v>0</v>
      </c>
      <c r="M366" s="29">
        <f ca="1">IF(D366&lt;45,0,IF(D366&lt;=49,1,2))</f>
        <v>2</v>
      </c>
      <c r="N366" s="29">
        <f>IF(E366="Có",4,0)</f>
        <v>0</v>
      </c>
      <c r="O366" s="29">
        <f>IF(H366&lt;23,0,IF(H366&lt;27.5,3,5))</f>
        <v>3</v>
      </c>
      <c r="P366" s="29">
        <f>IF(OR(AND(B366="Nam",I366&gt;=90),AND(B366="Nữ",I366&gt;=80)),2,0)</f>
        <v>0</v>
      </c>
      <c r="Q366" s="29">
        <f>IF(OR(J366&gt;=140,K366&gt;=90),2,0)</f>
        <v>0</v>
      </c>
      <c r="R366" s="29">
        <f ca="1">SUM(L366:Q366)</f>
        <v>5</v>
      </c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5" t="s">
        <v>1393</v>
      </c>
      <c r="AE366" s="33"/>
      <c r="AF366" s="59" t="str">
        <f t="shared" si="16"/>
        <v>Không</v>
      </c>
      <c r="AG366" s="59" t="str">
        <f t="shared" si="17"/>
        <v>Không</v>
      </c>
      <c r="AH366" s="29" t="str">
        <f t="shared" ca="1" si="15"/>
        <v>Không</v>
      </c>
      <c r="AI366" s="29" t="str">
        <f ca="1">IF((R366)&gt;=6,"Có","Không")</f>
        <v>Không</v>
      </c>
      <c r="AJ366" s="29" t="str">
        <f>IF(OR(J366&gt;=140,K366&gt;=90),"Có","Không")</f>
        <v>Không</v>
      </c>
      <c r="AK366" s="5" t="s">
        <v>68</v>
      </c>
      <c r="AL366" s="32">
        <v>46112</v>
      </c>
      <c r="AM366" s="29" t="str">
        <f>"Tháng "&amp;MONTH(AL366)</f>
        <v>Tháng 3</v>
      </c>
      <c r="AN366" s="29" t="str">
        <f>LEFT(AK366,FIND(",",AK366)-1)</f>
        <v>Ấp Biển Tây B</v>
      </c>
    </row>
    <row r="367" spans="1:40" x14ac:dyDescent="0.25">
      <c r="A367" s="49" t="s">
        <v>201</v>
      </c>
      <c r="B367" s="5" t="s">
        <v>30</v>
      </c>
      <c r="C367" s="5" t="s">
        <v>110</v>
      </c>
      <c r="D367" s="29">
        <f ca="1">DATEDIF(C367,TODAY(),"Y")</f>
        <v>62</v>
      </c>
      <c r="E367" s="5" t="s">
        <v>26</v>
      </c>
      <c r="F367" s="30">
        <v>170</v>
      </c>
      <c r="G367" s="30">
        <v>85</v>
      </c>
      <c r="H367" s="31">
        <f>G367/((F367/100)*(F367/100))</f>
        <v>29.411764705882355</v>
      </c>
      <c r="I367" s="5">
        <v>91</v>
      </c>
      <c r="J367" s="30">
        <v>120</v>
      </c>
      <c r="K367" s="30">
        <v>70</v>
      </c>
      <c r="L367" s="29">
        <f>IF(B367="Nữ",0,2)</f>
        <v>2</v>
      </c>
      <c r="M367" s="29">
        <f ca="1">IF(D367&lt;45,0,IF(D367&lt;=49,1,2))</f>
        <v>2</v>
      </c>
      <c r="N367" s="29">
        <f>IF(E367="Có",4,0)</f>
        <v>0</v>
      </c>
      <c r="O367" s="29">
        <f>IF(H367&lt;23,0,IF(H367&lt;27.5,3,5))</f>
        <v>5</v>
      </c>
      <c r="P367" s="29">
        <f>IF(OR(AND(B367="Nam",I367&gt;=90),AND(B367="Nữ",I367&gt;=80)),2,0)</f>
        <v>2</v>
      </c>
      <c r="Q367" s="29">
        <f>IF(OR(J367&gt;=140,K367&gt;=90),2,0)</f>
        <v>0</v>
      </c>
      <c r="R367" s="29">
        <f ca="1">SUM(L367:Q367)</f>
        <v>11</v>
      </c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5" t="s">
        <v>1393</v>
      </c>
      <c r="AE367" s="33"/>
      <c r="AF367" s="59" t="str">
        <f t="shared" si="16"/>
        <v>Không</v>
      </c>
      <c r="AG367" s="59" t="str">
        <f t="shared" si="17"/>
        <v>Không</v>
      </c>
      <c r="AH367" s="29" t="str">
        <f t="shared" ca="1" si="15"/>
        <v>Có</v>
      </c>
      <c r="AI367" s="29" t="str">
        <f ca="1">IF((R367)&gt;=6,"Có","Không")</f>
        <v>Có</v>
      </c>
      <c r="AJ367" s="29" t="str">
        <f>IF(OR(J367&gt;=140,K367&gt;=90),"Có","Không")</f>
        <v>Không</v>
      </c>
      <c r="AK367" s="5" t="s">
        <v>70</v>
      </c>
      <c r="AL367" s="32">
        <v>46112</v>
      </c>
      <c r="AM367" s="29" t="str">
        <f>"Tháng "&amp;MONTH(AL367)</f>
        <v>Tháng 3</v>
      </c>
      <c r="AN367" s="29" t="str">
        <f>LEFT(AK367,FIND(",",AK367)-1)</f>
        <v>Ấp Biển Tây A</v>
      </c>
    </row>
    <row r="368" spans="1:40" x14ac:dyDescent="0.25">
      <c r="A368" s="49" t="s">
        <v>202</v>
      </c>
      <c r="B368" s="5" t="s">
        <v>23</v>
      </c>
      <c r="C368" s="5" t="s">
        <v>203</v>
      </c>
      <c r="D368" s="29">
        <f ca="1">DATEDIF(C368,TODAY(),"Y")</f>
        <v>43</v>
      </c>
      <c r="E368" s="5" t="s">
        <v>25</v>
      </c>
      <c r="F368" s="30">
        <v>150</v>
      </c>
      <c r="G368" s="30">
        <v>75</v>
      </c>
      <c r="H368" s="31">
        <f>G368/((F368/100)*(F368/100))</f>
        <v>33.333333333333336</v>
      </c>
      <c r="I368" s="5">
        <v>65</v>
      </c>
      <c r="J368" s="30">
        <v>150</v>
      </c>
      <c r="K368" s="30">
        <v>90</v>
      </c>
      <c r="L368" s="29">
        <f>IF(B368="Nữ",0,2)</f>
        <v>0</v>
      </c>
      <c r="M368" s="29">
        <f ca="1">IF(D368&lt;45,0,IF(D368&lt;=49,1,2))</f>
        <v>0</v>
      </c>
      <c r="N368" s="29">
        <f>IF(E368="Có",4,0)</f>
        <v>4</v>
      </c>
      <c r="O368" s="29">
        <f>IF(H368&lt;23,0,IF(H368&lt;27.5,3,5))</f>
        <v>5</v>
      </c>
      <c r="P368" s="29">
        <f>IF(OR(AND(B368="Nam",I368&gt;=90),AND(B368="Nữ",I368&gt;=80)),2,0)</f>
        <v>0</v>
      </c>
      <c r="Q368" s="29">
        <f>IF(OR(J368&gt;=140,K368&gt;=90),2,0)</f>
        <v>2</v>
      </c>
      <c r="R368" s="29">
        <f ca="1">SUM(L368:Q368)</f>
        <v>11</v>
      </c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5" t="s">
        <v>1393</v>
      </c>
      <c r="AE368" s="33"/>
      <c r="AF368" s="59" t="str">
        <f t="shared" si="16"/>
        <v>Không</v>
      </c>
      <c r="AG368" s="59" t="str">
        <f t="shared" si="17"/>
        <v>Không</v>
      </c>
      <c r="AH368" s="29" t="str">
        <f t="shared" ca="1" si="15"/>
        <v>Có</v>
      </c>
      <c r="AI368" s="29" t="str">
        <f ca="1">IF((R368)&gt;=6,"Có","Không")</f>
        <v>Có</v>
      </c>
      <c r="AJ368" s="29" t="str">
        <f>IF(OR(J368&gt;=140,K368&gt;=90),"Có","Không")</f>
        <v>Có</v>
      </c>
      <c r="AK368" s="5" t="s">
        <v>172</v>
      </c>
      <c r="AL368" s="32">
        <v>46112</v>
      </c>
      <c r="AM368" s="29" t="str">
        <f>"Tháng "&amp;MONTH(AL368)</f>
        <v>Tháng 3</v>
      </c>
      <c r="AN368" s="29" t="str">
        <f>LEFT(AK368,FIND(",",AK368)-1)</f>
        <v>Khóm Bờ Tây</v>
      </c>
    </row>
    <row r="369" spans="1:40" x14ac:dyDescent="0.25">
      <c r="A369" s="49" t="s">
        <v>231</v>
      </c>
      <c r="B369" s="5" t="s">
        <v>30</v>
      </c>
      <c r="C369" s="5" t="s">
        <v>127</v>
      </c>
      <c r="D369" s="29">
        <f ca="1">DATEDIF(C369,TODAY(),"Y")</f>
        <v>76</v>
      </c>
      <c r="E369" s="5" t="s">
        <v>26</v>
      </c>
      <c r="F369" s="30">
        <v>170</v>
      </c>
      <c r="G369" s="30">
        <v>60</v>
      </c>
      <c r="H369" s="31">
        <f>G369/((F369/100)*(F369/100))</f>
        <v>20.761245674740486</v>
      </c>
      <c r="I369" s="5">
        <v>78</v>
      </c>
      <c r="J369" s="30">
        <v>120</v>
      </c>
      <c r="K369" s="30">
        <v>70</v>
      </c>
      <c r="L369" s="29">
        <f>IF(B369="Nữ",0,2)</f>
        <v>2</v>
      </c>
      <c r="M369" s="29">
        <f ca="1">IF(D369&lt;45,0,IF(D369&lt;=49,1,2))</f>
        <v>2</v>
      </c>
      <c r="N369" s="29">
        <f>IF(E369="Có",4,0)</f>
        <v>0</v>
      </c>
      <c r="O369" s="29">
        <f>IF(H369&lt;23,0,IF(H369&lt;27.5,3,5))</f>
        <v>0</v>
      </c>
      <c r="P369" s="29">
        <f>IF(OR(AND(B369="Nam",I369&gt;=90),AND(B369="Nữ",I369&gt;=80)),2,0)</f>
        <v>0</v>
      </c>
      <c r="Q369" s="29">
        <f>IF(OR(J369&gt;=140,K369&gt;=90),2,0)</f>
        <v>0</v>
      </c>
      <c r="R369" s="29">
        <f ca="1">SUM(L369:Q369)</f>
        <v>4</v>
      </c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5" t="s">
        <v>1393</v>
      </c>
      <c r="AE369" s="33"/>
      <c r="AF369" s="59" t="str">
        <f t="shared" si="16"/>
        <v>Không</v>
      </c>
      <c r="AG369" s="59" t="str">
        <f t="shared" si="17"/>
        <v>Không</v>
      </c>
      <c r="AH369" s="29" t="str">
        <f t="shared" ca="1" si="15"/>
        <v>Không</v>
      </c>
      <c r="AI369" s="29" t="str">
        <f ca="1">IF((R369)&gt;=6,"Có","Không")</f>
        <v>Không</v>
      </c>
      <c r="AJ369" s="29" t="str">
        <f>IF(OR(J369&gt;=140,K369&gt;=90),"Có","Không")</f>
        <v>Không</v>
      </c>
      <c r="AK369" s="5" t="s">
        <v>232</v>
      </c>
      <c r="AL369" s="32">
        <v>46112</v>
      </c>
      <c r="AM369" s="29" t="str">
        <f>"Tháng "&amp;MONTH(AL369)</f>
        <v>Tháng 3</v>
      </c>
      <c r="AN369" s="29" t="str">
        <f>LEFT(AK369,FIND(",",AK369)-1)</f>
        <v>buu diên</v>
      </c>
    </row>
    <row r="370" spans="1:40" x14ac:dyDescent="0.25">
      <c r="A370" s="49" t="s">
        <v>233</v>
      </c>
      <c r="B370" s="5" t="s">
        <v>23</v>
      </c>
      <c r="C370" s="5" t="s">
        <v>56</v>
      </c>
      <c r="D370" s="29">
        <f ca="1">DATEDIF(C370,TODAY(),"Y")</f>
        <v>65</v>
      </c>
      <c r="E370" s="5" t="s">
        <v>26</v>
      </c>
      <c r="F370" s="30">
        <v>158</v>
      </c>
      <c r="G370" s="30">
        <v>58</v>
      </c>
      <c r="H370" s="31">
        <f>G370/((F370/100)*(F370/100))</f>
        <v>23.233456176894723</v>
      </c>
      <c r="I370" s="5">
        <v>85</v>
      </c>
      <c r="J370" s="30">
        <v>120</v>
      </c>
      <c r="K370" s="30">
        <v>80</v>
      </c>
      <c r="L370" s="29">
        <f>IF(B370="Nữ",0,2)</f>
        <v>0</v>
      </c>
      <c r="M370" s="29">
        <f ca="1">IF(D370&lt;45,0,IF(D370&lt;=49,1,2))</f>
        <v>2</v>
      </c>
      <c r="N370" s="29">
        <f>IF(E370="Có",4,0)</f>
        <v>0</v>
      </c>
      <c r="O370" s="29">
        <f>IF(H370&lt;23,0,IF(H370&lt;27.5,3,5))</f>
        <v>3</v>
      </c>
      <c r="P370" s="29">
        <f>IF(OR(AND(B370="Nam",I370&gt;=90),AND(B370="Nữ",I370&gt;=80)),2,0)</f>
        <v>2</v>
      </c>
      <c r="Q370" s="29">
        <f>IF(OR(J370&gt;=140,K370&gt;=90),2,0)</f>
        <v>0</v>
      </c>
      <c r="R370" s="29">
        <f ca="1">SUM(L370:Q370)</f>
        <v>7</v>
      </c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5" t="s">
        <v>1393</v>
      </c>
      <c r="AE370" s="33"/>
      <c r="AF370" s="59" t="str">
        <f t="shared" si="16"/>
        <v>Không</v>
      </c>
      <c r="AG370" s="59" t="str">
        <f t="shared" si="17"/>
        <v>Không</v>
      </c>
      <c r="AH370" s="29" t="str">
        <f t="shared" ca="1" si="15"/>
        <v>Có</v>
      </c>
      <c r="AI370" s="29" t="str">
        <f ca="1">IF((R370)&gt;=6,"Có","Không")</f>
        <v>Có</v>
      </c>
      <c r="AJ370" s="29" t="str">
        <f>IF(OR(J370&gt;=140,K370&gt;=90),"Có","Không")</f>
        <v>Không</v>
      </c>
      <c r="AK370" s="5" t="s">
        <v>234</v>
      </c>
      <c r="AL370" s="32">
        <v>46112</v>
      </c>
      <c r="AM370" s="29" t="str">
        <f>"Tháng "&amp;MONTH(AL370)</f>
        <v>Tháng 3</v>
      </c>
      <c r="AN370" s="29" t="str">
        <f>LEFT(AK370,FIND(",",AK370)-1)</f>
        <v>ấp Biển Đông B</v>
      </c>
    </row>
    <row r="371" spans="1:40" x14ac:dyDescent="0.25">
      <c r="A371" s="49" t="s">
        <v>250</v>
      </c>
      <c r="B371" s="5" t="s">
        <v>23</v>
      </c>
      <c r="C371" s="5" t="s">
        <v>82</v>
      </c>
      <c r="D371" s="29">
        <f ca="1">DATEDIF(C371,TODAY(),"Y")</f>
        <v>73</v>
      </c>
      <c r="E371" s="5" t="s">
        <v>25</v>
      </c>
      <c r="F371" s="30">
        <v>158</v>
      </c>
      <c r="G371" s="30">
        <v>58</v>
      </c>
      <c r="H371" s="31">
        <f>G371/((F371/100)*(F371/100))</f>
        <v>23.233456176894723</v>
      </c>
      <c r="I371" s="5">
        <v>88</v>
      </c>
      <c r="J371" s="30">
        <v>150</v>
      </c>
      <c r="K371" s="30">
        <v>80</v>
      </c>
      <c r="L371" s="29">
        <f>IF(B371="Nữ",0,2)</f>
        <v>0</v>
      </c>
      <c r="M371" s="29">
        <f ca="1">IF(D371&lt;45,0,IF(D371&lt;=49,1,2))</f>
        <v>2</v>
      </c>
      <c r="N371" s="29">
        <f>IF(E371="Có",4,0)</f>
        <v>4</v>
      </c>
      <c r="O371" s="29">
        <f>IF(H371&lt;23,0,IF(H371&lt;27.5,3,5))</f>
        <v>3</v>
      </c>
      <c r="P371" s="29">
        <f>IF(OR(AND(B371="Nam",I371&gt;=90),AND(B371="Nữ",I371&gt;=80)),2,0)</f>
        <v>2</v>
      </c>
      <c r="Q371" s="29">
        <f>IF(OR(J371&gt;=140,K371&gt;=90),2,0)</f>
        <v>2</v>
      </c>
      <c r="R371" s="29">
        <f ca="1">SUM(L371:Q371)</f>
        <v>13</v>
      </c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5" t="s">
        <v>1393</v>
      </c>
      <c r="AE371" s="33"/>
      <c r="AF371" s="59" t="str">
        <f t="shared" si="16"/>
        <v>Không</v>
      </c>
      <c r="AG371" s="59" t="str">
        <f t="shared" si="17"/>
        <v>Không</v>
      </c>
      <c r="AH371" s="29" t="str">
        <f t="shared" ca="1" si="15"/>
        <v>Có</v>
      </c>
      <c r="AI371" s="29" t="str">
        <f ca="1">IF((R371)&gt;=6,"Có","Không")</f>
        <v>Có</v>
      </c>
      <c r="AJ371" s="29" t="str">
        <f>IF(OR(J371&gt;=140,K371&gt;=90),"Có","Không")</f>
        <v>Có</v>
      </c>
      <c r="AK371" s="5" t="s">
        <v>251</v>
      </c>
      <c r="AL371" s="32">
        <v>46112</v>
      </c>
      <c r="AM371" s="29" t="str">
        <f>"Tháng "&amp;MONTH(AL371)</f>
        <v>Tháng 3</v>
      </c>
      <c r="AN371" s="29" t="str">
        <f>LEFT(AK371,FIND(",",AK371)-1)</f>
        <v>giồng giữa</v>
      </c>
    </row>
    <row r="372" spans="1:40" x14ac:dyDescent="0.25">
      <c r="A372" s="49" t="s">
        <v>271</v>
      </c>
      <c r="B372" s="5" t="s">
        <v>23</v>
      </c>
      <c r="C372" s="5" t="s">
        <v>34</v>
      </c>
      <c r="D372" s="29">
        <f ca="1">DATEDIF(C372,TODAY(),"Y")</f>
        <v>78</v>
      </c>
      <c r="E372" s="5" t="s">
        <v>26</v>
      </c>
      <c r="F372" s="30">
        <v>158</v>
      </c>
      <c r="G372" s="30">
        <v>42</v>
      </c>
      <c r="H372" s="31">
        <f>G372/((F372/100)*(F372/100))</f>
        <v>16.824226886716868</v>
      </c>
      <c r="I372" s="5">
        <v>65</v>
      </c>
      <c r="J372" s="30">
        <v>110</v>
      </c>
      <c r="K372" s="30">
        <v>70</v>
      </c>
      <c r="L372" s="29">
        <f>IF(B372="Nữ",0,2)</f>
        <v>0</v>
      </c>
      <c r="M372" s="29">
        <f ca="1">IF(D372&lt;45,0,IF(D372&lt;=49,1,2))</f>
        <v>2</v>
      </c>
      <c r="N372" s="29">
        <f>IF(E372="Có",4,0)</f>
        <v>0</v>
      </c>
      <c r="O372" s="29">
        <f>IF(H372&lt;23,0,IF(H372&lt;27.5,3,5))</f>
        <v>0</v>
      </c>
      <c r="P372" s="29">
        <f>IF(OR(AND(B372="Nam",I372&gt;=90),AND(B372="Nữ",I372&gt;=80)),2,0)</f>
        <v>0</v>
      </c>
      <c r="Q372" s="29">
        <f>IF(OR(J372&gt;=140,K372&gt;=90),2,0)</f>
        <v>0</v>
      </c>
      <c r="R372" s="29">
        <f ca="1">SUM(L372:Q372)</f>
        <v>2</v>
      </c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5" t="s">
        <v>1393</v>
      </c>
      <c r="AE372" s="33"/>
      <c r="AF372" s="59" t="str">
        <f t="shared" si="16"/>
        <v>Không</v>
      </c>
      <c r="AG372" s="59" t="str">
        <f t="shared" si="17"/>
        <v>Không</v>
      </c>
      <c r="AH372" s="29" t="str">
        <f t="shared" ca="1" si="15"/>
        <v>Không</v>
      </c>
      <c r="AI372" s="29" t="str">
        <f ca="1">IF((R372)&gt;=6,"Có","Không")</f>
        <v>Không</v>
      </c>
      <c r="AJ372" s="29" t="str">
        <f>IF(OR(J372&gt;=140,K372&gt;=90),"Có","Không")</f>
        <v>Không</v>
      </c>
      <c r="AK372" s="5" t="s">
        <v>51</v>
      </c>
      <c r="AL372" s="32">
        <v>46112</v>
      </c>
      <c r="AM372" s="29" t="str">
        <f>"Tháng "&amp;MONTH(AL372)</f>
        <v>Tháng 3</v>
      </c>
      <c r="AN372" s="29" t="str">
        <f>LEFT(AK372,FIND(",",AK372)-1)</f>
        <v>Phường Hiệp Thành</v>
      </c>
    </row>
    <row r="373" spans="1:40" x14ac:dyDescent="0.25">
      <c r="A373" s="49" t="s">
        <v>272</v>
      </c>
      <c r="B373" s="5" t="s">
        <v>30</v>
      </c>
      <c r="C373" s="5" t="s">
        <v>273</v>
      </c>
      <c r="D373" s="29">
        <f ca="1">DATEDIF(C373,TODAY(),"Y")</f>
        <v>47</v>
      </c>
      <c r="E373" s="5" t="s">
        <v>26</v>
      </c>
      <c r="F373" s="30">
        <v>165</v>
      </c>
      <c r="G373" s="30">
        <v>52</v>
      </c>
      <c r="H373" s="31">
        <f>G373/((F373/100)*(F373/100))</f>
        <v>19.100091827364558</v>
      </c>
      <c r="I373" s="5">
        <v>82</v>
      </c>
      <c r="J373" s="30">
        <v>120</v>
      </c>
      <c r="K373" s="30">
        <v>70</v>
      </c>
      <c r="L373" s="29">
        <f>IF(B373="Nữ",0,2)</f>
        <v>2</v>
      </c>
      <c r="M373" s="29">
        <f ca="1">IF(D373&lt;45,0,IF(D373&lt;=49,1,2))</f>
        <v>1</v>
      </c>
      <c r="N373" s="29">
        <f>IF(E373="Có",4,0)</f>
        <v>0</v>
      </c>
      <c r="O373" s="29">
        <f>IF(H373&lt;23,0,IF(H373&lt;27.5,3,5))</f>
        <v>0</v>
      </c>
      <c r="P373" s="29">
        <f>IF(OR(AND(B373="Nam",I373&gt;=90),AND(B373="Nữ",I373&gt;=80)),2,0)</f>
        <v>0</v>
      </c>
      <c r="Q373" s="29">
        <f>IF(OR(J373&gt;=140,K373&gt;=90),2,0)</f>
        <v>0</v>
      </c>
      <c r="R373" s="29">
        <f ca="1">SUM(L373:Q373)</f>
        <v>3</v>
      </c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5" t="s">
        <v>1393</v>
      </c>
      <c r="AE373" s="33"/>
      <c r="AF373" s="59" t="str">
        <f t="shared" si="16"/>
        <v>Không</v>
      </c>
      <c r="AG373" s="59" t="str">
        <f t="shared" si="17"/>
        <v>Không</v>
      </c>
      <c r="AH373" s="29" t="str">
        <f t="shared" ca="1" si="15"/>
        <v>Không</v>
      </c>
      <c r="AI373" s="29" t="str">
        <f ca="1">IF((R373)&gt;=6,"Có","Không")</f>
        <v>Không</v>
      </c>
      <c r="AJ373" s="29" t="str">
        <f>IF(OR(J373&gt;=140,K373&gt;=90),"Có","Không")</f>
        <v>Không</v>
      </c>
      <c r="AK373" s="5" t="s">
        <v>51</v>
      </c>
      <c r="AL373" s="32">
        <v>46112</v>
      </c>
      <c r="AM373" s="29" t="str">
        <f>"Tháng "&amp;MONTH(AL373)</f>
        <v>Tháng 3</v>
      </c>
      <c r="AN373" s="29" t="str">
        <f>LEFT(AK373,FIND(",",AK373)-1)</f>
        <v>Phường Hiệp Thành</v>
      </c>
    </row>
    <row r="374" spans="1:40" x14ac:dyDescent="0.25">
      <c r="A374" s="49" t="s">
        <v>275</v>
      </c>
      <c r="B374" s="5" t="s">
        <v>23</v>
      </c>
      <c r="C374" s="5" t="s">
        <v>47</v>
      </c>
      <c r="D374" s="29">
        <f ca="1">DATEDIF(C374,TODAY(),"Y")</f>
        <v>55</v>
      </c>
      <c r="E374" s="5" t="s">
        <v>26</v>
      </c>
      <c r="F374" s="30">
        <v>158</v>
      </c>
      <c r="G374" s="30">
        <v>58</v>
      </c>
      <c r="H374" s="31">
        <f>G374/((F374/100)*(F374/100))</f>
        <v>23.233456176894723</v>
      </c>
      <c r="I374" s="5">
        <v>72</v>
      </c>
      <c r="J374" s="30">
        <v>140</v>
      </c>
      <c r="K374" s="30">
        <v>80</v>
      </c>
      <c r="L374" s="29">
        <f>IF(B374="Nữ",0,2)</f>
        <v>0</v>
      </c>
      <c r="M374" s="29">
        <f ca="1">IF(D374&lt;45,0,IF(D374&lt;=49,1,2))</f>
        <v>2</v>
      </c>
      <c r="N374" s="29">
        <f>IF(E374="Có",4,0)</f>
        <v>0</v>
      </c>
      <c r="O374" s="29">
        <f>IF(H374&lt;23,0,IF(H374&lt;27.5,3,5))</f>
        <v>3</v>
      </c>
      <c r="P374" s="29">
        <f>IF(OR(AND(B374="Nam",I374&gt;=90),AND(B374="Nữ",I374&gt;=80)),2,0)</f>
        <v>0</v>
      </c>
      <c r="Q374" s="29">
        <f>IF(OR(J374&gt;=140,K374&gt;=90),2,0)</f>
        <v>2</v>
      </c>
      <c r="R374" s="29">
        <f ca="1">SUM(L374:Q374)</f>
        <v>7</v>
      </c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5" t="s">
        <v>1393</v>
      </c>
      <c r="AE374" s="33"/>
      <c r="AF374" s="59" t="str">
        <f t="shared" si="16"/>
        <v>Không</v>
      </c>
      <c r="AG374" s="59" t="str">
        <f t="shared" si="17"/>
        <v>Không</v>
      </c>
      <c r="AH374" s="29" t="str">
        <f t="shared" ca="1" si="15"/>
        <v>Có</v>
      </c>
      <c r="AI374" s="29" t="str">
        <f ca="1">IF((R374)&gt;=6,"Có","Không")</f>
        <v>Có</v>
      </c>
      <c r="AJ374" s="29" t="str">
        <f>IF(OR(J374&gt;=140,K374&gt;=90),"Có","Không")</f>
        <v>Có</v>
      </c>
      <c r="AK374" s="5" t="s">
        <v>234</v>
      </c>
      <c r="AL374" s="32">
        <v>46112</v>
      </c>
      <c r="AM374" s="29" t="str">
        <f>"Tháng "&amp;MONTH(AL374)</f>
        <v>Tháng 3</v>
      </c>
      <c r="AN374" s="29" t="str">
        <f>LEFT(AK374,FIND(",",AK374)-1)</f>
        <v>ấp Biển Đông B</v>
      </c>
    </row>
    <row r="375" spans="1:40" x14ac:dyDescent="0.25">
      <c r="A375" s="49" t="s">
        <v>278</v>
      </c>
      <c r="B375" s="5" t="s">
        <v>30</v>
      </c>
      <c r="C375" s="5" t="s">
        <v>155</v>
      </c>
      <c r="D375" s="29">
        <f ca="1">DATEDIF(C375,TODAY(),"Y")</f>
        <v>53</v>
      </c>
      <c r="E375" s="5" t="s">
        <v>26</v>
      </c>
      <c r="F375" s="30">
        <v>169</v>
      </c>
      <c r="G375" s="30">
        <v>69</v>
      </c>
      <c r="H375" s="31">
        <f>G375/((F375/100)*(F375/100))</f>
        <v>24.158817968558527</v>
      </c>
      <c r="I375" s="5">
        <v>94</v>
      </c>
      <c r="J375" s="30">
        <v>120</v>
      </c>
      <c r="K375" s="30">
        <v>80</v>
      </c>
      <c r="L375" s="29">
        <f>IF(B375="Nữ",0,2)</f>
        <v>2</v>
      </c>
      <c r="M375" s="29">
        <f ca="1">IF(D375&lt;45,0,IF(D375&lt;=49,1,2))</f>
        <v>2</v>
      </c>
      <c r="N375" s="29">
        <f>IF(E375="Có",4,0)</f>
        <v>0</v>
      </c>
      <c r="O375" s="29">
        <f>IF(H375&lt;23,0,IF(H375&lt;27.5,3,5))</f>
        <v>3</v>
      </c>
      <c r="P375" s="29">
        <f>IF(OR(AND(B375="Nam",I375&gt;=90),AND(B375="Nữ",I375&gt;=80)),2,0)</f>
        <v>2</v>
      </c>
      <c r="Q375" s="29">
        <f>IF(OR(J375&gt;=140,K375&gt;=90),2,0)</f>
        <v>0</v>
      </c>
      <c r="R375" s="29">
        <f ca="1">SUM(L375:Q375)</f>
        <v>9</v>
      </c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5" t="s">
        <v>1393</v>
      </c>
      <c r="AE375" s="33"/>
      <c r="AF375" s="59" t="str">
        <f t="shared" si="16"/>
        <v>Không</v>
      </c>
      <c r="AG375" s="59" t="str">
        <f t="shared" si="17"/>
        <v>Không</v>
      </c>
      <c r="AH375" s="29" t="str">
        <f t="shared" ca="1" si="15"/>
        <v>Có</v>
      </c>
      <c r="AI375" s="29" t="str">
        <f ca="1">IF((R375)&gt;=6,"Có","Không")</f>
        <v>Có</v>
      </c>
      <c r="AJ375" s="29" t="str">
        <f>IF(OR(J375&gt;=140,K375&gt;=90),"Có","Không")</f>
        <v>Không</v>
      </c>
      <c r="AK375" s="5" t="s">
        <v>234</v>
      </c>
      <c r="AL375" s="32">
        <v>46112</v>
      </c>
      <c r="AM375" s="29" t="str">
        <f>"Tháng "&amp;MONTH(AL375)</f>
        <v>Tháng 3</v>
      </c>
      <c r="AN375" s="29" t="str">
        <f>LEFT(AK375,FIND(",",AK375)-1)</f>
        <v>ấp Biển Đông B</v>
      </c>
    </row>
    <row r="376" spans="1:40" x14ac:dyDescent="0.25">
      <c r="A376" s="49" t="s">
        <v>280</v>
      </c>
      <c r="B376" s="5" t="s">
        <v>30</v>
      </c>
      <c r="C376" s="5" t="s">
        <v>37</v>
      </c>
      <c r="D376" s="29">
        <f ca="1">DATEDIF(C376,TODAY(),"Y")</f>
        <v>75</v>
      </c>
      <c r="E376" s="5" t="s">
        <v>26</v>
      </c>
      <c r="F376" s="30">
        <v>169</v>
      </c>
      <c r="G376" s="30">
        <v>68</v>
      </c>
      <c r="H376" s="31">
        <f>G376/((F376/100)*(F376/100))</f>
        <v>23.808690171912751</v>
      </c>
      <c r="I376" s="5">
        <v>94</v>
      </c>
      <c r="J376" s="30">
        <v>140</v>
      </c>
      <c r="K376" s="30">
        <v>80</v>
      </c>
      <c r="L376" s="29">
        <f>IF(B376="Nữ",0,2)</f>
        <v>2</v>
      </c>
      <c r="M376" s="29">
        <f ca="1">IF(D376&lt;45,0,IF(D376&lt;=49,1,2))</f>
        <v>2</v>
      </c>
      <c r="N376" s="29">
        <f>IF(E376="Có",4,0)</f>
        <v>0</v>
      </c>
      <c r="O376" s="29">
        <f>IF(H376&lt;23,0,IF(H376&lt;27.5,3,5))</f>
        <v>3</v>
      </c>
      <c r="P376" s="29">
        <f>IF(OR(AND(B376="Nam",I376&gt;=90),AND(B376="Nữ",I376&gt;=80)),2,0)</f>
        <v>2</v>
      </c>
      <c r="Q376" s="29">
        <f>IF(OR(J376&gt;=140,K376&gt;=90),2,0)</f>
        <v>2</v>
      </c>
      <c r="R376" s="29">
        <f ca="1">SUM(L376:Q376)</f>
        <v>11</v>
      </c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5" t="s">
        <v>1393</v>
      </c>
      <c r="AE376" s="33"/>
      <c r="AF376" s="59" t="str">
        <f t="shared" si="16"/>
        <v>Không</v>
      </c>
      <c r="AG376" s="59" t="str">
        <f t="shared" si="17"/>
        <v>Không</v>
      </c>
      <c r="AH376" s="29" t="str">
        <f t="shared" ca="1" si="15"/>
        <v>Có</v>
      </c>
      <c r="AI376" s="29" t="str">
        <f ca="1">IF((R376)&gt;=6,"Có","Không")</f>
        <v>Có</v>
      </c>
      <c r="AJ376" s="29" t="str">
        <f>IF(OR(J376&gt;=140,K376&gt;=90),"Có","Không")</f>
        <v>Có</v>
      </c>
      <c r="AK376" s="5" t="s">
        <v>38</v>
      </c>
      <c r="AL376" s="32">
        <v>46112</v>
      </c>
      <c r="AM376" s="29" t="str">
        <f>"Tháng "&amp;MONTH(AL376)</f>
        <v>Tháng 3</v>
      </c>
      <c r="AN376" s="29" t="str">
        <f>LEFT(AK376,FIND(",",AK376)-1)</f>
        <v>Ấp Biển Đông B</v>
      </c>
    </row>
    <row r="377" spans="1:40" x14ac:dyDescent="0.25">
      <c r="A377" s="49" t="s">
        <v>281</v>
      </c>
      <c r="B377" s="5" t="s">
        <v>30</v>
      </c>
      <c r="C377" s="5" t="s">
        <v>163</v>
      </c>
      <c r="D377" s="29">
        <f ca="1">DATEDIF(C377,TODAY(),"Y")</f>
        <v>46</v>
      </c>
      <c r="E377" s="5" t="s">
        <v>26</v>
      </c>
      <c r="F377" s="30">
        <v>162</v>
      </c>
      <c r="G377" s="30">
        <v>65</v>
      </c>
      <c r="H377" s="31">
        <f>G377/((F377/100)*(F377/100))</f>
        <v>24.767565919829291</v>
      </c>
      <c r="I377" s="5">
        <v>89</v>
      </c>
      <c r="J377" s="30">
        <v>120</v>
      </c>
      <c r="K377" s="30">
        <v>70</v>
      </c>
      <c r="L377" s="29">
        <f>IF(B377="Nữ",0,2)</f>
        <v>2</v>
      </c>
      <c r="M377" s="29">
        <f ca="1">IF(D377&lt;45,0,IF(D377&lt;=49,1,2))</f>
        <v>1</v>
      </c>
      <c r="N377" s="29">
        <f>IF(E377="Có",4,0)</f>
        <v>0</v>
      </c>
      <c r="O377" s="29">
        <f>IF(H377&lt;23,0,IF(H377&lt;27.5,3,5))</f>
        <v>3</v>
      </c>
      <c r="P377" s="29">
        <f>IF(OR(AND(B377="Nam",I377&gt;=90),AND(B377="Nữ",I377&gt;=80)),2,0)</f>
        <v>0</v>
      </c>
      <c r="Q377" s="29">
        <f>IF(OR(J377&gt;=140,K377&gt;=90),2,0)</f>
        <v>0</v>
      </c>
      <c r="R377" s="29">
        <f ca="1">SUM(L377:Q377)</f>
        <v>6</v>
      </c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5" t="s">
        <v>1393</v>
      </c>
      <c r="AE377" s="33"/>
      <c r="AF377" s="59" t="str">
        <f t="shared" si="16"/>
        <v>Không</v>
      </c>
      <c r="AG377" s="59" t="str">
        <f t="shared" si="17"/>
        <v>Không</v>
      </c>
      <c r="AH377" s="29" t="str">
        <f t="shared" ca="1" si="15"/>
        <v>Có</v>
      </c>
      <c r="AI377" s="29" t="str">
        <f ca="1">IF((R377)&gt;=6,"Có","Không")</f>
        <v>Có</v>
      </c>
      <c r="AJ377" s="29" t="str">
        <f>IF(OR(J377&gt;=140,K377&gt;=90),"Có","Không")</f>
        <v>Không</v>
      </c>
      <c r="AK377" s="5" t="s">
        <v>51</v>
      </c>
      <c r="AL377" s="32">
        <v>46112</v>
      </c>
      <c r="AM377" s="29" t="str">
        <f>"Tháng "&amp;MONTH(AL377)</f>
        <v>Tháng 3</v>
      </c>
      <c r="AN377" s="29" t="str">
        <f>LEFT(AK377,FIND(",",AK377)-1)</f>
        <v>Phường Hiệp Thành</v>
      </c>
    </row>
    <row r="378" spans="1:40" x14ac:dyDescent="0.25">
      <c r="A378" s="49" t="s">
        <v>311</v>
      </c>
      <c r="B378" s="5" t="s">
        <v>30</v>
      </c>
      <c r="C378" s="5" t="s">
        <v>115</v>
      </c>
      <c r="D378" s="29">
        <f ca="1">DATEDIF(C378,TODAY(),"Y")</f>
        <v>40</v>
      </c>
      <c r="E378" s="5" t="s">
        <v>26</v>
      </c>
      <c r="F378" s="30">
        <v>160</v>
      </c>
      <c r="G378" s="30">
        <v>55</v>
      </c>
      <c r="H378" s="31">
        <f>G378/((F378/100)*(F378/100))</f>
        <v>21.484374999999996</v>
      </c>
      <c r="I378" s="5">
        <v>91</v>
      </c>
      <c r="J378" s="30">
        <v>120</v>
      </c>
      <c r="K378" s="30">
        <v>70</v>
      </c>
      <c r="L378" s="29">
        <f>IF(B378="Nữ",0,2)</f>
        <v>2</v>
      </c>
      <c r="M378" s="29">
        <f ca="1">IF(D378&lt;45,0,IF(D378&lt;=49,1,2))</f>
        <v>0</v>
      </c>
      <c r="N378" s="29">
        <f>IF(E378="Có",4,0)</f>
        <v>0</v>
      </c>
      <c r="O378" s="29">
        <f>IF(H378&lt;23,0,IF(H378&lt;27.5,3,5))</f>
        <v>0</v>
      </c>
      <c r="P378" s="29">
        <f>IF(OR(AND(B378="Nam",I378&gt;=90),AND(B378="Nữ",I378&gt;=80)),2,0)</f>
        <v>2</v>
      </c>
      <c r="Q378" s="29">
        <f>IF(OR(J378&gt;=140,K378&gt;=90),2,0)</f>
        <v>0</v>
      </c>
      <c r="R378" s="29">
        <f ca="1">SUM(L378:Q378)</f>
        <v>4</v>
      </c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5" t="s">
        <v>1393</v>
      </c>
      <c r="AE378" s="33"/>
      <c r="AF378" s="59" t="str">
        <f t="shared" si="16"/>
        <v>Không</v>
      </c>
      <c r="AG378" s="59" t="str">
        <f t="shared" si="17"/>
        <v>Không</v>
      </c>
      <c r="AH378" s="29" t="str">
        <f t="shared" ca="1" si="15"/>
        <v>Không</v>
      </c>
      <c r="AI378" s="29" t="str">
        <f ca="1">IF((R378)&gt;=6,"Có","Không")</f>
        <v>Không</v>
      </c>
      <c r="AJ378" s="29" t="str">
        <f>IF(OR(J378&gt;=140,K378&gt;=90),"Có","Không")</f>
        <v>Không</v>
      </c>
      <c r="AK378" s="5" t="s">
        <v>312</v>
      </c>
      <c r="AL378" s="32">
        <v>46112</v>
      </c>
      <c r="AM378" s="29" t="str">
        <f>"Tháng "&amp;MONTH(AL378)</f>
        <v>Tháng 3</v>
      </c>
      <c r="AN378" s="29" t="str">
        <f>LEFT(AK378,FIND(",",AK378)-1)</f>
        <v>Ấp biển đông A</v>
      </c>
    </row>
    <row r="379" spans="1:40" x14ac:dyDescent="0.25">
      <c r="A379" s="49" t="s">
        <v>334</v>
      </c>
      <c r="B379" s="5" t="s">
        <v>23</v>
      </c>
      <c r="C379" s="5" t="s">
        <v>273</v>
      </c>
      <c r="D379" s="29">
        <f ca="1">DATEDIF(C379,TODAY(),"Y")</f>
        <v>47</v>
      </c>
      <c r="E379" s="5" t="s">
        <v>26</v>
      </c>
      <c r="F379" s="30">
        <v>158</v>
      </c>
      <c r="G379" s="30">
        <v>58</v>
      </c>
      <c r="H379" s="31">
        <f>G379/((F379/100)*(F379/100))</f>
        <v>23.233456176894723</v>
      </c>
      <c r="I379" s="5">
        <v>84</v>
      </c>
      <c r="J379" s="30">
        <v>120</v>
      </c>
      <c r="K379" s="30">
        <v>80</v>
      </c>
      <c r="L379" s="29">
        <f>IF(B379="Nữ",0,2)</f>
        <v>0</v>
      </c>
      <c r="M379" s="29">
        <f ca="1">IF(D379&lt;45,0,IF(D379&lt;=49,1,2))</f>
        <v>1</v>
      </c>
      <c r="N379" s="29">
        <f>IF(E379="Có",4,0)</f>
        <v>0</v>
      </c>
      <c r="O379" s="29">
        <f>IF(H379&lt;23,0,IF(H379&lt;27.5,3,5))</f>
        <v>3</v>
      </c>
      <c r="P379" s="29">
        <f>IF(OR(AND(B379="Nam",I379&gt;=90),AND(B379="Nữ",I379&gt;=80)),2,0)</f>
        <v>2</v>
      </c>
      <c r="Q379" s="29">
        <f>IF(OR(J379&gt;=140,K379&gt;=90),2,0)</f>
        <v>0</v>
      </c>
      <c r="R379" s="29">
        <f ca="1">SUM(L379:Q379)</f>
        <v>6</v>
      </c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5" t="s">
        <v>1393</v>
      </c>
      <c r="AE379" s="33"/>
      <c r="AF379" s="59" t="str">
        <f t="shared" si="16"/>
        <v>Không</v>
      </c>
      <c r="AG379" s="59" t="str">
        <f t="shared" si="17"/>
        <v>Không</v>
      </c>
      <c r="AH379" s="29" t="str">
        <f t="shared" ca="1" si="15"/>
        <v>Có</v>
      </c>
      <c r="AI379" s="29" t="str">
        <f ca="1">IF((R379)&gt;=6,"Có","Không")</f>
        <v>Có</v>
      </c>
      <c r="AJ379" s="29" t="str">
        <f>IF(OR(J379&gt;=140,K379&gt;=90),"Có","Không")</f>
        <v>Không</v>
      </c>
      <c r="AK379" s="5" t="s">
        <v>335</v>
      </c>
      <c r="AL379" s="32">
        <v>46112</v>
      </c>
      <c r="AM379" s="29" t="str">
        <f>"Tháng "&amp;MONTH(AL379)</f>
        <v>Tháng 3</v>
      </c>
      <c r="AN379" s="29" t="str">
        <f>LEFT(AK379,FIND(",",AK379)-1)</f>
        <v>ấp Giồng Giữa B</v>
      </c>
    </row>
    <row r="380" spans="1:40" x14ac:dyDescent="0.25">
      <c r="A380" s="49" t="s">
        <v>344</v>
      </c>
      <c r="B380" s="5" t="s">
        <v>23</v>
      </c>
      <c r="C380" s="5" t="s">
        <v>273</v>
      </c>
      <c r="D380" s="29">
        <f ca="1">DATEDIF(C380,TODAY(),"Y")</f>
        <v>47</v>
      </c>
      <c r="E380" s="5" t="s">
        <v>26</v>
      </c>
      <c r="F380" s="30">
        <v>160</v>
      </c>
      <c r="G380" s="30">
        <v>68</v>
      </c>
      <c r="H380" s="31">
        <f>G380/((F380/100)*(F380/100))</f>
        <v>26.562499999999996</v>
      </c>
      <c r="I380" s="5">
        <v>69</v>
      </c>
      <c r="J380" s="30">
        <v>120</v>
      </c>
      <c r="K380" s="30">
        <v>70</v>
      </c>
      <c r="L380" s="29">
        <f>IF(B380="Nữ",0,2)</f>
        <v>0</v>
      </c>
      <c r="M380" s="29">
        <f ca="1">IF(D380&lt;45,0,IF(D380&lt;=49,1,2))</f>
        <v>1</v>
      </c>
      <c r="N380" s="29">
        <f>IF(E380="Có",4,0)</f>
        <v>0</v>
      </c>
      <c r="O380" s="29">
        <f>IF(H380&lt;23,0,IF(H380&lt;27.5,3,5))</f>
        <v>3</v>
      </c>
      <c r="P380" s="29">
        <f>IF(OR(AND(B380="Nam",I380&gt;=90),AND(B380="Nữ",I380&gt;=80)),2,0)</f>
        <v>0</v>
      </c>
      <c r="Q380" s="29">
        <f>IF(OR(J380&gt;=140,K380&gt;=90),2,0)</f>
        <v>0</v>
      </c>
      <c r="R380" s="29">
        <f ca="1">SUM(L380:Q380)</f>
        <v>4</v>
      </c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5" t="s">
        <v>1393</v>
      </c>
      <c r="AE380" s="33"/>
      <c r="AF380" s="59" t="str">
        <f t="shared" si="16"/>
        <v>Không</v>
      </c>
      <c r="AG380" s="59" t="str">
        <f t="shared" si="17"/>
        <v>Không</v>
      </c>
      <c r="AH380" s="29" t="str">
        <f t="shared" ca="1" si="15"/>
        <v>Không</v>
      </c>
      <c r="AI380" s="29" t="str">
        <f ca="1">IF((R380)&gt;=6,"Có","Không")</f>
        <v>Không</v>
      </c>
      <c r="AJ380" s="29" t="str">
        <f>IF(OR(J380&gt;=140,K380&gt;=90),"Có","Không")</f>
        <v>Không</v>
      </c>
      <c r="AK380" s="5" t="s">
        <v>312</v>
      </c>
      <c r="AL380" s="32">
        <v>46112</v>
      </c>
      <c r="AM380" s="29" t="str">
        <f>"Tháng "&amp;MONTH(AL380)</f>
        <v>Tháng 3</v>
      </c>
      <c r="AN380" s="29" t="str">
        <f>LEFT(AK380,FIND(",",AK380)-1)</f>
        <v>Ấp biển đông A</v>
      </c>
    </row>
    <row r="381" spans="1:40" x14ac:dyDescent="0.25">
      <c r="A381" s="49" t="s">
        <v>345</v>
      </c>
      <c r="B381" s="5" t="s">
        <v>23</v>
      </c>
      <c r="C381" s="5" t="s">
        <v>90</v>
      </c>
      <c r="D381" s="29">
        <f ca="1">DATEDIF(C381,TODAY(),"Y")</f>
        <v>54</v>
      </c>
      <c r="E381" s="5" t="s">
        <v>26</v>
      </c>
      <c r="F381" s="30">
        <v>160</v>
      </c>
      <c r="G381" s="30">
        <v>54</v>
      </c>
      <c r="H381" s="31">
        <f>G381/((F381/100)*(F381/100))</f>
        <v>21.093749999999996</v>
      </c>
      <c r="I381" s="5">
        <v>87</v>
      </c>
      <c r="J381" s="30">
        <v>120</v>
      </c>
      <c r="K381" s="30">
        <v>70</v>
      </c>
      <c r="L381" s="29">
        <f>IF(B381="Nữ",0,2)</f>
        <v>0</v>
      </c>
      <c r="M381" s="29">
        <f ca="1">IF(D381&lt;45,0,IF(D381&lt;=49,1,2))</f>
        <v>2</v>
      </c>
      <c r="N381" s="29">
        <f>IF(E381="Có",4,0)</f>
        <v>0</v>
      </c>
      <c r="O381" s="29">
        <f>IF(H381&lt;23,0,IF(H381&lt;27.5,3,5))</f>
        <v>0</v>
      </c>
      <c r="P381" s="29">
        <f>IF(OR(AND(B381="Nam",I381&gt;=90),AND(B381="Nữ",I381&gt;=80)),2,0)</f>
        <v>2</v>
      </c>
      <c r="Q381" s="29">
        <f>IF(OR(J381&gt;=140,K381&gt;=90),2,0)</f>
        <v>0</v>
      </c>
      <c r="R381" s="29">
        <f ca="1">SUM(L381:Q381)</f>
        <v>4</v>
      </c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5" t="s">
        <v>1393</v>
      </c>
      <c r="AE381" s="33"/>
      <c r="AF381" s="59" t="str">
        <f t="shared" si="16"/>
        <v>Không</v>
      </c>
      <c r="AG381" s="59" t="str">
        <f t="shared" si="17"/>
        <v>Không</v>
      </c>
      <c r="AH381" s="29" t="str">
        <f t="shared" ca="1" si="15"/>
        <v>Không</v>
      </c>
      <c r="AI381" s="29" t="str">
        <f ca="1">IF((R381)&gt;=6,"Có","Không")</f>
        <v>Không</v>
      </c>
      <c r="AJ381" s="29" t="str">
        <f>IF(OR(J381&gt;=140,K381&gt;=90),"Có","Không")</f>
        <v>Không</v>
      </c>
      <c r="AK381" s="5" t="s">
        <v>346</v>
      </c>
      <c r="AL381" s="32">
        <v>46112</v>
      </c>
      <c r="AM381" s="29" t="str">
        <f>"Tháng "&amp;MONTH(AL381)</f>
        <v>Tháng 3</v>
      </c>
      <c r="AN381" s="29" t="str">
        <f>LEFT(AK381,FIND(",",AK381)-1)</f>
        <v>ấp Giồng giữa</v>
      </c>
    </row>
    <row r="382" spans="1:40" x14ac:dyDescent="0.25">
      <c r="A382" s="49" t="s">
        <v>347</v>
      </c>
      <c r="B382" s="5" t="s">
        <v>30</v>
      </c>
      <c r="C382" s="5" t="s">
        <v>76</v>
      </c>
      <c r="D382" s="29">
        <f ca="1">DATEDIF(C382,TODAY(),"Y")</f>
        <v>68</v>
      </c>
      <c r="E382" s="5" t="s">
        <v>25</v>
      </c>
      <c r="F382" s="30">
        <v>160</v>
      </c>
      <c r="G382" s="30">
        <v>54</v>
      </c>
      <c r="H382" s="31">
        <f>G382/((F382/100)*(F382/100))</f>
        <v>21.093749999999996</v>
      </c>
      <c r="I382" s="5">
        <v>86</v>
      </c>
      <c r="J382" s="30">
        <v>120</v>
      </c>
      <c r="K382" s="30">
        <v>70</v>
      </c>
      <c r="L382" s="29">
        <f>IF(B382="Nữ",0,2)</f>
        <v>2</v>
      </c>
      <c r="M382" s="29">
        <f ca="1">IF(D382&lt;45,0,IF(D382&lt;=49,1,2))</f>
        <v>2</v>
      </c>
      <c r="N382" s="29">
        <f>IF(E382="Có",4,0)</f>
        <v>4</v>
      </c>
      <c r="O382" s="29">
        <f>IF(H382&lt;23,0,IF(H382&lt;27.5,3,5))</f>
        <v>0</v>
      </c>
      <c r="P382" s="29">
        <f>IF(OR(AND(B382="Nam",I382&gt;=90),AND(B382="Nữ",I382&gt;=80)),2,0)</f>
        <v>0</v>
      </c>
      <c r="Q382" s="29">
        <f>IF(OR(J382&gt;=140,K382&gt;=90),2,0)</f>
        <v>0</v>
      </c>
      <c r="R382" s="29">
        <f ca="1">SUM(L382:Q382)</f>
        <v>8</v>
      </c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5" t="s">
        <v>1393</v>
      </c>
      <c r="AE382" s="33"/>
      <c r="AF382" s="59" t="str">
        <f t="shared" si="16"/>
        <v>Không</v>
      </c>
      <c r="AG382" s="59" t="str">
        <f t="shared" si="17"/>
        <v>Không</v>
      </c>
      <c r="AH382" s="29" t="str">
        <f t="shared" ca="1" si="15"/>
        <v>Có</v>
      </c>
      <c r="AI382" s="29" t="str">
        <f ca="1">IF((R382)&gt;=6,"Có","Không")</f>
        <v>Có</v>
      </c>
      <c r="AJ382" s="29" t="str">
        <f>IF(OR(J382&gt;=140,K382&gt;=90),"Có","Không")</f>
        <v>Không</v>
      </c>
      <c r="AK382" s="5" t="s">
        <v>122</v>
      </c>
      <c r="AL382" s="32">
        <v>46112</v>
      </c>
      <c r="AM382" s="29" t="str">
        <f>"Tháng "&amp;MONTH(AL382)</f>
        <v>Tháng 3</v>
      </c>
      <c r="AN382" s="29" t="str">
        <f>LEFT(AK382,FIND(",",AK382)-1)</f>
        <v>Giồng Nhãn</v>
      </c>
    </row>
    <row r="383" spans="1:40" x14ac:dyDescent="0.25">
      <c r="A383" s="49" t="s">
        <v>349</v>
      </c>
      <c r="B383" s="5" t="s">
        <v>23</v>
      </c>
      <c r="C383" s="5" t="s">
        <v>268</v>
      </c>
      <c r="D383" s="29">
        <f ca="1">DATEDIF(C383,TODAY(),"Y")</f>
        <v>44</v>
      </c>
      <c r="E383" s="5" t="s">
        <v>26</v>
      </c>
      <c r="F383" s="30">
        <v>158</v>
      </c>
      <c r="G383" s="30">
        <v>58</v>
      </c>
      <c r="H383" s="31">
        <f>G383/((F383/100)*(F383/100))</f>
        <v>23.233456176894723</v>
      </c>
      <c r="I383" s="5">
        <v>72</v>
      </c>
      <c r="J383" s="30">
        <v>130</v>
      </c>
      <c r="K383" s="30">
        <v>80</v>
      </c>
      <c r="L383" s="29">
        <f>IF(B383="Nữ",0,2)</f>
        <v>0</v>
      </c>
      <c r="M383" s="29">
        <f ca="1">IF(D383&lt;45,0,IF(D383&lt;=49,1,2))</f>
        <v>0</v>
      </c>
      <c r="N383" s="29">
        <f>IF(E383="Có",4,0)</f>
        <v>0</v>
      </c>
      <c r="O383" s="29">
        <f>IF(H383&lt;23,0,IF(H383&lt;27.5,3,5))</f>
        <v>3</v>
      </c>
      <c r="P383" s="29">
        <f>IF(OR(AND(B383="Nam",I383&gt;=90),AND(B383="Nữ",I383&gt;=80)),2,0)</f>
        <v>0</v>
      </c>
      <c r="Q383" s="29">
        <f>IF(OR(J383&gt;=140,K383&gt;=90),2,0)</f>
        <v>0</v>
      </c>
      <c r="R383" s="29">
        <f ca="1">SUM(L383:Q383)</f>
        <v>3</v>
      </c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5" t="s">
        <v>1393</v>
      </c>
      <c r="AE383" s="33"/>
      <c r="AF383" s="59" t="str">
        <f t="shared" si="16"/>
        <v>Không</v>
      </c>
      <c r="AG383" s="59" t="str">
        <f t="shared" si="17"/>
        <v>Không</v>
      </c>
      <c r="AH383" s="29" t="str">
        <f t="shared" ca="1" si="15"/>
        <v>Không</v>
      </c>
      <c r="AI383" s="29" t="str">
        <f ca="1">IF((R383)&gt;=6,"Có","Không")</f>
        <v>Không</v>
      </c>
      <c r="AJ383" s="29" t="str">
        <f>IF(OR(J383&gt;=140,K383&gt;=90),"Có","Không")</f>
        <v>Không</v>
      </c>
      <c r="AK383" s="5" t="s">
        <v>350</v>
      </c>
      <c r="AL383" s="32">
        <v>46112</v>
      </c>
      <c r="AM383" s="29" t="str">
        <f>"Tháng "&amp;MONTH(AL383)</f>
        <v>Tháng 3</v>
      </c>
      <c r="AN383" s="29" t="str">
        <f>LEFT(AK383,FIND(",",AK383)-1)</f>
        <v>Khóm 6</v>
      </c>
    </row>
    <row r="384" spans="1:40" x14ac:dyDescent="0.25">
      <c r="A384" s="49" t="s">
        <v>351</v>
      </c>
      <c r="B384" s="5" t="s">
        <v>23</v>
      </c>
      <c r="C384" s="5" t="s">
        <v>163</v>
      </c>
      <c r="D384" s="29">
        <f ca="1">DATEDIF(C384,TODAY(),"Y")</f>
        <v>46</v>
      </c>
      <c r="E384" s="5" t="s">
        <v>25</v>
      </c>
      <c r="F384" s="30">
        <v>158</v>
      </c>
      <c r="G384" s="30">
        <v>58</v>
      </c>
      <c r="H384" s="31">
        <f>G384/((F384/100)*(F384/100))</f>
        <v>23.233456176894723</v>
      </c>
      <c r="I384" s="5">
        <v>90</v>
      </c>
      <c r="J384" s="30">
        <v>140</v>
      </c>
      <c r="K384" s="30">
        <v>80</v>
      </c>
      <c r="L384" s="29">
        <f>IF(B384="Nữ",0,2)</f>
        <v>0</v>
      </c>
      <c r="M384" s="29">
        <f ca="1">IF(D384&lt;45,0,IF(D384&lt;=49,1,2))</f>
        <v>1</v>
      </c>
      <c r="N384" s="29">
        <f>IF(E384="Có",4,0)</f>
        <v>4</v>
      </c>
      <c r="O384" s="29">
        <f>IF(H384&lt;23,0,IF(H384&lt;27.5,3,5))</f>
        <v>3</v>
      </c>
      <c r="P384" s="29">
        <f>IF(OR(AND(B384="Nam",I384&gt;=90),AND(B384="Nữ",I384&gt;=80)),2,0)</f>
        <v>2</v>
      </c>
      <c r="Q384" s="29">
        <f>IF(OR(J384&gt;=140,K384&gt;=90),2,0)</f>
        <v>2</v>
      </c>
      <c r="R384" s="29">
        <f ca="1">SUM(L384:Q384)</f>
        <v>12</v>
      </c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5" t="s">
        <v>1393</v>
      </c>
      <c r="AE384" s="33"/>
      <c r="AF384" s="59" t="str">
        <f t="shared" si="16"/>
        <v>Không</v>
      </c>
      <c r="AG384" s="59" t="str">
        <f t="shared" si="17"/>
        <v>Không</v>
      </c>
      <c r="AH384" s="29" t="str">
        <f t="shared" ca="1" si="15"/>
        <v>Có</v>
      </c>
      <c r="AI384" s="29" t="str">
        <f ca="1">IF((R384)&gt;=6,"Có","Không")</f>
        <v>Có</v>
      </c>
      <c r="AJ384" s="29" t="str">
        <f>IF(OR(J384&gt;=140,K384&gt;=90),"Có","Không")</f>
        <v>Có</v>
      </c>
      <c r="AK384" s="5" t="s">
        <v>72</v>
      </c>
      <c r="AL384" s="32">
        <v>46112</v>
      </c>
      <c r="AM384" s="29" t="str">
        <f>"Tháng "&amp;MONTH(AL384)</f>
        <v>Tháng 3</v>
      </c>
      <c r="AN384" s="29" t="str">
        <f>LEFT(AK384,FIND(",",AK384)-1)</f>
        <v>Ấp Giồng Giữa A</v>
      </c>
    </row>
    <row r="385" spans="1:40" x14ac:dyDescent="0.25">
      <c r="A385" s="49" t="s">
        <v>352</v>
      </c>
      <c r="B385" s="5" t="s">
        <v>23</v>
      </c>
      <c r="C385" s="5" t="s">
        <v>115</v>
      </c>
      <c r="D385" s="29">
        <f ca="1">DATEDIF(C385,TODAY(),"Y")</f>
        <v>40</v>
      </c>
      <c r="E385" s="5" t="s">
        <v>25</v>
      </c>
      <c r="F385" s="30">
        <v>160</v>
      </c>
      <c r="G385" s="30">
        <v>65</v>
      </c>
      <c r="H385" s="31">
        <f>G385/((F385/100)*(F385/100))</f>
        <v>25.390624999999996</v>
      </c>
      <c r="I385" s="5">
        <v>68</v>
      </c>
      <c r="J385" s="30">
        <v>120</v>
      </c>
      <c r="K385" s="30">
        <v>70</v>
      </c>
      <c r="L385" s="29">
        <f>IF(B385="Nữ",0,2)</f>
        <v>0</v>
      </c>
      <c r="M385" s="29">
        <f ca="1">IF(D385&lt;45,0,IF(D385&lt;=49,1,2))</f>
        <v>0</v>
      </c>
      <c r="N385" s="29">
        <f>IF(E385="Có",4,0)</f>
        <v>4</v>
      </c>
      <c r="O385" s="29">
        <f>IF(H385&lt;23,0,IF(H385&lt;27.5,3,5))</f>
        <v>3</v>
      </c>
      <c r="P385" s="29">
        <f>IF(OR(AND(B385="Nam",I385&gt;=90),AND(B385="Nữ",I385&gt;=80)),2,0)</f>
        <v>0</v>
      </c>
      <c r="Q385" s="29">
        <f>IF(OR(J385&gt;=140,K385&gt;=90),2,0)</f>
        <v>0</v>
      </c>
      <c r="R385" s="29">
        <f ca="1">SUM(L385:Q385)</f>
        <v>7</v>
      </c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5" t="s">
        <v>1393</v>
      </c>
      <c r="AE385" s="33"/>
      <c r="AF385" s="59" t="str">
        <f t="shared" si="16"/>
        <v>Không</v>
      </c>
      <c r="AG385" s="59" t="str">
        <f t="shared" si="17"/>
        <v>Không</v>
      </c>
      <c r="AH385" s="29" t="str">
        <f t="shared" ca="1" si="15"/>
        <v>Có</v>
      </c>
      <c r="AI385" s="29" t="str">
        <f ca="1">IF((R385)&gt;=6,"Có","Không")</f>
        <v>Có</v>
      </c>
      <c r="AJ385" s="29" t="str">
        <f>IF(OR(J385&gt;=140,K385&gt;=90),"Có","Không")</f>
        <v>Không</v>
      </c>
      <c r="AK385" s="5" t="s">
        <v>51</v>
      </c>
      <c r="AL385" s="32">
        <v>46112</v>
      </c>
      <c r="AM385" s="29" t="str">
        <f>"Tháng "&amp;MONTH(AL385)</f>
        <v>Tháng 3</v>
      </c>
      <c r="AN385" s="29" t="str">
        <f>LEFT(AK385,FIND(",",AK385)-1)</f>
        <v>Phường Hiệp Thành</v>
      </c>
    </row>
    <row r="386" spans="1:40" x14ac:dyDescent="0.25">
      <c r="A386" s="49" t="s">
        <v>366</v>
      </c>
      <c r="B386" s="5" t="s">
        <v>30</v>
      </c>
      <c r="C386" s="5" t="s">
        <v>80</v>
      </c>
      <c r="D386" s="29">
        <f ca="1">DATEDIF(C386,TODAY(),"Y")</f>
        <v>71</v>
      </c>
      <c r="E386" s="5" t="s">
        <v>26</v>
      </c>
      <c r="F386" s="30">
        <v>158</v>
      </c>
      <c r="G386" s="30">
        <v>55</v>
      </c>
      <c r="H386" s="31">
        <f>G386/((F386/100)*(F386/100))</f>
        <v>22.031725684986377</v>
      </c>
      <c r="I386" s="5">
        <v>100</v>
      </c>
      <c r="J386" s="30">
        <v>120</v>
      </c>
      <c r="K386" s="30">
        <v>70</v>
      </c>
      <c r="L386" s="29">
        <f>IF(B386="Nữ",0,2)</f>
        <v>2</v>
      </c>
      <c r="M386" s="29">
        <f ca="1">IF(D386&lt;45,0,IF(D386&lt;=49,1,2))</f>
        <v>2</v>
      </c>
      <c r="N386" s="29">
        <f>IF(E386="Có",4,0)</f>
        <v>0</v>
      </c>
      <c r="O386" s="29">
        <f>IF(H386&lt;23,0,IF(H386&lt;27.5,3,5))</f>
        <v>0</v>
      </c>
      <c r="P386" s="29">
        <f>IF(OR(AND(B386="Nam",I386&gt;=90),AND(B386="Nữ",I386&gt;=80)),2,0)</f>
        <v>2</v>
      </c>
      <c r="Q386" s="29">
        <f>IF(OR(J386&gt;=140,K386&gt;=90),2,0)</f>
        <v>0</v>
      </c>
      <c r="R386" s="29">
        <f ca="1">SUM(L386:Q386)</f>
        <v>6</v>
      </c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5" t="s">
        <v>1393</v>
      </c>
      <c r="AE386" s="33"/>
      <c r="AF386" s="59" t="str">
        <f t="shared" si="16"/>
        <v>Không</v>
      </c>
      <c r="AG386" s="59" t="str">
        <f t="shared" si="17"/>
        <v>Không</v>
      </c>
      <c r="AH386" s="29" t="str">
        <f t="shared" ca="1" si="15"/>
        <v>Có</v>
      </c>
      <c r="AI386" s="29" t="str">
        <f ca="1">IF((R386)&gt;=6,"Có","Không")</f>
        <v>Có</v>
      </c>
      <c r="AJ386" s="29" t="str">
        <f>IF(OR(J386&gt;=140,K386&gt;=90),"Có","Không")</f>
        <v>Không</v>
      </c>
      <c r="AK386" s="5" t="s">
        <v>91</v>
      </c>
      <c r="AL386" s="32">
        <v>46112</v>
      </c>
      <c r="AM386" s="29" t="str">
        <f>"Tháng "&amp;MONTH(AL386)</f>
        <v>Tháng 3</v>
      </c>
      <c r="AN386" s="29" t="str">
        <f>LEFT(AK386,FIND(",",AK386)-1)</f>
        <v>Ấp Giồng Giữa</v>
      </c>
    </row>
    <row r="387" spans="1:40" x14ac:dyDescent="0.25">
      <c r="A387" s="49" t="s">
        <v>367</v>
      </c>
      <c r="B387" s="5" t="s">
        <v>23</v>
      </c>
      <c r="C387" s="5" t="s">
        <v>146</v>
      </c>
      <c r="D387" s="29">
        <f ca="1">DATEDIF(C387,TODAY(),"Y")</f>
        <v>52</v>
      </c>
      <c r="E387" s="5" t="s">
        <v>25</v>
      </c>
      <c r="F387" s="30">
        <v>160</v>
      </c>
      <c r="G387" s="30">
        <v>67</v>
      </c>
      <c r="H387" s="31">
        <f>G387/((F387/100)*(F387/100))</f>
        <v>26.171874999999996</v>
      </c>
      <c r="I387" s="5">
        <v>65</v>
      </c>
      <c r="J387" s="30">
        <v>120</v>
      </c>
      <c r="K387" s="30">
        <v>70</v>
      </c>
      <c r="L387" s="29">
        <f>IF(B387="Nữ",0,2)</f>
        <v>0</v>
      </c>
      <c r="M387" s="29">
        <f ca="1">IF(D387&lt;45,0,IF(D387&lt;=49,1,2))</f>
        <v>2</v>
      </c>
      <c r="N387" s="29">
        <f>IF(E387="Có",4,0)</f>
        <v>4</v>
      </c>
      <c r="O387" s="29">
        <f>IF(H387&lt;23,0,IF(H387&lt;27.5,3,5))</f>
        <v>3</v>
      </c>
      <c r="P387" s="29">
        <f>IF(OR(AND(B387="Nam",I387&gt;=90),AND(B387="Nữ",I387&gt;=80)),2,0)</f>
        <v>0</v>
      </c>
      <c r="Q387" s="29">
        <f>IF(OR(J387&gt;=140,K387&gt;=90),2,0)</f>
        <v>0</v>
      </c>
      <c r="R387" s="29">
        <f ca="1">SUM(L387:Q387)</f>
        <v>9</v>
      </c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5" t="s">
        <v>1393</v>
      </c>
      <c r="AE387" s="33"/>
      <c r="AF387" s="59" t="str">
        <f t="shared" si="16"/>
        <v>Không</v>
      </c>
      <c r="AG387" s="59" t="str">
        <f t="shared" si="17"/>
        <v>Không</v>
      </c>
      <c r="AH387" s="29" t="str">
        <f t="shared" ca="1" si="15"/>
        <v>Có</v>
      </c>
      <c r="AI387" s="29" t="str">
        <f ca="1">IF((R387)&gt;=6,"Có","Không")</f>
        <v>Có</v>
      </c>
      <c r="AJ387" s="29" t="str">
        <f>IF(OR(J387&gt;=140,K387&gt;=90),"Có","Không")</f>
        <v>Không</v>
      </c>
      <c r="AK387" s="5" t="s">
        <v>88</v>
      </c>
      <c r="AL387" s="32">
        <v>46112</v>
      </c>
      <c r="AM387" s="29" t="str">
        <f>"Tháng "&amp;MONTH(AL387)</f>
        <v>Tháng 3</v>
      </c>
      <c r="AN387" s="29" t="str">
        <f>LEFT(AK387,FIND(",",AK387)-1)</f>
        <v>Giồng Giữa</v>
      </c>
    </row>
    <row r="388" spans="1:40" x14ac:dyDescent="0.25">
      <c r="A388" s="49" t="s">
        <v>370</v>
      </c>
      <c r="B388" s="5" t="s">
        <v>30</v>
      </c>
      <c r="C388" s="5" t="s">
        <v>80</v>
      </c>
      <c r="D388" s="29">
        <f ca="1">DATEDIF(C388,TODAY(),"Y")</f>
        <v>71</v>
      </c>
      <c r="E388" s="5" t="s">
        <v>25</v>
      </c>
      <c r="F388" s="30">
        <v>169</v>
      </c>
      <c r="G388" s="30">
        <v>68</v>
      </c>
      <c r="H388" s="31">
        <f>G388/((F388/100)*(F388/100))</f>
        <v>23.808690171912751</v>
      </c>
      <c r="I388" s="5">
        <v>84</v>
      </c>
      <c r="J388" s="30">
        <v>120</v>
      </c>
      <c r="K388" s="30">
        <v>80</v>
      </c>
      <c r="L388" s="29">
        <f>IF(B388="Nữ",0,2)</f>
        <v>2</v>
      </c>
      <c r="M388" s="29">
        <f ca="1">IF(D388&lt;45,0,IF(D388&lt;=49,1,2))</f>
        <v>2</v>
      </c>
      <c r="N388" s="29">
        <f>IF(E388="Có",4,0)</f>
        <v>4</v>
      </c>
      <c r="O388" s="29">
        <f>IF(H388&lt;23,0,IF(H388&lt;27.5,3,5))</f>
        <v>3</v>
      </c>
      <c r="P388" s="29">
        <f>IF(OR(AND(B388="Nam",I388&gt;=90),AND(B388="Nữ",I388&gt;=80)),2,0)</f>
        <v>0</v>
      </c>
      <c r="Q388" s="29">
        <f>IF(OR(J388&gt;=140,K388&gt;=90),2,0)</f>
        <v>0</v>
      </c>
      <c r="R388" s="29">
        <f ca="1">SUM(L388:Q388)</f>
        <v>11</v>
      </c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5" t="s">
        <v>1393</v>
      </c>
      <c r="AE388" s="33"/>
      <c r="AF388" s="59" t="str">
        <f t="shared" si="16"/>
        <v>Không</v>
      </c>
      <c r="AG388" s="59" t="str">
        <f t="shared" si="17"/>
        <v>Không</v>
      </c>
      <c r="AH388" s="29" t="str">
        <f t="shared" ref="AH388:AH451" ca="1" si="18">IF((R388)&gt;=6,"Có","Không")</f>
        <v>Có</v>
      </c>
      <c r="AI388" s="29" t="str">
        <f ca="1">IF((R388)&gt;=6,"Có","Không")</f>
        <v>Có</v>
      </c>
      <c r="AJ388" s="29" t="str">
        <f>IF(OR(J388&gt;=140,K388&gt;=90),"Có","Không")</f>
        <v>Không</v>
      </c>
      <c r="AK388" s="5" t="s">
        <v>51</v>
      </c>
      <c r="AL388" s="32">
        <v>46112</v>
      </c>
      <c r="AM388" s="29" t="str">
        <f>"Tháng "&amp;MONTH(AL388)</f>
        <v>Tháng 3</v>
      </c>
      <c r="AN388" s="29" t="str">
        <f>LEFT(AK388,FIND(",",AK388)-1)</f>
        <v>Phường Hiệp Thành</v>
      </c>
    </row>
    <row r="389" spans="1:40" x14ac:dyDescent="0.25">
      <c r="A389" s="49" t="s">
        <v>371</v>
      </c>
      <c r="B389" s="5" t="s">
        <v>23</v>
      </c>
      <c r="C389" s="5" t="s">
        <v>130</v>
      </c>
      <c r="D389" s="29">
        <f ca="1">DATEDIF(C389,TODAY(),"Y")</f>
        <v>57</v>
      </c>
      <c r="E389" s="5" t="s">
        <v>26</v>
      </c>
      <c r="F389" s="30">
        <v>158</v>
      </c>
      <c r="G389" s="30">
        <v>58</v>
      </c>
      <c r="H389" s="31">
        <f>G389/((F389/100)*(F389/100))</f>
        <v>23.233456176894723</v>
      </c>
      <c r="I389" s="5">
        <v>73</v>
      </c>
      <c r="J389" s="30">
        <v>120</v>
      </c>
      <c r="K389" s="30" t="s">
        <v>27</v>
      </c>
      <c r="L389" s="29">
        <f>IF(B389="Nữ",0,2)</f>
        <v>0</v>
      </c>
      <c r="M389" s="29">
        <f ca="1">IF(D389&lt;45,0,IF(D389&lt;=49,1,2))</f>
        <v>2</v>
      </c>
      <c r="N389" s="29">
        <f>IF(E389="Có",4,0)</f>
        <v>0</v>
      </c>
      <c r="O389" s="29">
        <f>IF(H389&lt;23,0,IF(H389&lt;27.5,3,5))</f>
        <v>3</v>
      </c>
      <c r="P389" s="29">
        <f>IF(OR(AND(B389="Nam",I389&gt;=90),AND(B389="Nữ",I389&gt;=80)),2,0)</f>
        <v>0</v>
      </c>
      <c r="Q389" s="29">
        <f>IF(OR(J389&gt;=140,K389&gt;=90),2,0)</f>
        <v>2</v>
      </c>
      <c r="R389" s="29">
        <f ca="1">SUM(L389:Q389)</f>
        <v>7</v>
      </c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5" t="s">
        <v>1393</v>
      </c>
      <c r="AE389" s="33"/>
      <c r="AF389" s="59" t="str">
        <f t="shared" ref="AF389:AF452" si="19">IF(COUNTIF(S389:Z389,"X")&gt;=2,"Có","Không")</f>
        <v>Không</v>
      </c>
      <c r="AG389" s="59" t="str">
        <f t="shared" ref="AG389:AG452" si="20">IF(COUNTIF(AA389:AE389,"X")&gt;=3,"Có","Không")</f>
        <v>Không</v>
      </c>
      <c r="AH389" s="29" t="str">
        <f t="shared" ca="1" si="18"/>
        <v>Có</v>
      </c>
      <c r="AI389" s="29" t="str">
        <f ca="1">IF((R389)&gt;=6,"Có","Không")</f>
        <v>Có</v>
      </c>
      <c r="AJ389" s="29" t="str">
        <f>IF(OR(J389&gt;=140,K389&gt;=90),"Có","Không")</f>
        <v>Có</v>
      </c>
      <c r="AK389" s="5" t="s">
        <v>68</v>
      </c>
      <c r="AL389" s="32">
        <v>46112</v>
      </c>
      <c r="AM389" s="29" t="str">
        <f>"Tháng "&amp;MONTH(AL389)</f>
        <v>Tháng 3</v>
      </c>
      <c r="AN389" s="29" t="str">
        <f>LEFT(AK389,FIND(",",AK389)-1)</f>
        <v>Ấp Biển Tây B</v>
      </c>
    </row>
    <row r="390" spans="1:40" x14ac:dyDescent="0.25">
      <c r="A390" s="49" t="s">
        <v>382</v>
      </c>
      <c r="B390" s="5" t="s">
        <v>23</v>
      </c>
      <c r="C390" s="5" t="s">
        <v>80</v>
      </c>
      <c r="D390" s="29">
        <f ca="1">DATEDIF(C390,TODAY(),"Y")</f>
        <v>71</v>
      </c>
      <c r="E390" s="5" t="s">
        <v>26</v>
      </c>
      <c r="F390" s="30">
        <v>158</v>
      </c>
      <c r="G390" s="30">
        <v>58</v>
      </c>
      <c r="H390" s="31">
        <f>G390/((F390/100)*(F390/100))</f>
        <v>23.233456176894723</v>
      </c>
      <c r="I390" s="5">
        <v>78</v>
      </c>
      <c r="J390" s="30">
        <v>120</v>
      </c>
      <c r="K390" s="30">
        <v>80</v>
      </c>
      <c r="L390" s="29">
        <f>IF(B390="Nữ",0,2)</f>
        <v>0</v>
      </c>
      <c r="M390" s="29">
        <f ca="1">IF(D390&lt;45,0,IF(D390&lt;=49,1,2))</f>
        <v>2</v>
      </c>
      <c r="N390" s="29">
        <f>IF(E390="Có",4,0)</f>
        <v>0</v>
      </c>
      <c r="O390" s="29">
        <f>IF(H390&lt;23,0,IF(H390&lt;27.5,3,5))</f>
        <v>3</v>
      </c>
      <c r="P390" s="29">
        <f>IF(OR(AND(B390="Nam",I390&gt;=90),AND(B390="Nữ",I390&gt;=80)),2,0)</f>
        <v>0</v>
      </c>
      <c r="Q390" s="29">
        <f>IF(OR(J390&gt;=140,K390&gt;=90),2,0)</f>
        <v>0</v>
      </c>
      <c r="R390" s="29">
        <f ca="1">SUM(L390:Q390)</f>
        <v>5</v>
      </c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5" t="s">
        <v>1393</v>
      </c>
      <c r="AE390" s="33"/>
      <c r="AF390" s="59" t="str">
        <f t="shared" si="19"/>
        <v>Không</v>
      </c>
      <c r="AG390" s="59" t="str">
        <f t="shared" si="20"/>
        <v>Không</v>
      </c>
      <c r="AH390" s="29" t="str">
        <f t="shared" ca="1" si="18"/>
        <v>Không</v>
      </c>
      <c r="AI390" s="29" t="str">
        <f ca="1">IF((R390)&gt;=6,"Có","Không")</f>
        <v>Không</v>
      </c>
      <c r="AJ390" s="29" t="str">
        <f>IF(OR(J390&gt;=140,K390&gt;=90),"Có","Không")</f>
        <v>Không</v>
      </c>
      <c r="AK390" s="5" t="s">
        <v>383</v>
      </c>
      <c r="AL390" s="32">
        <v>46112</v>
      </c>
      <c r="AM390" s="29" t="str">
        <f>"Tháng "&amp;MONTH(AL390)</f>
        <v>Tháng 3</v>
      </c>
      <c r="AN390" s="29" t="str">
        <f>LEFT(AK390,FIND(",",AK390)-1)</f>
        <v>ấp Biển Đông A</v>
      </c>
    </row>
    <row r="391" spans="1:40" x14ac:dyDescent="0.25">
      <c r="A391" s="49" t="s">
        <v>387</v>
      </c>
      <c r="B391" s="5" t="s">
        <v>23</v>
      </c>
      <c r="C391" s="5" t="s">
        <v>105</v>
      </c>
      <c r="D391" s="29">
        <f ca="1">DATEDIF(C391,TODAY(),"Y")</f>
        <v>60</v>
      </c>
      <c r="E391" s="5" t="s">
        <v>26</v>
      </c>
      <c r="F391" s="30">
        <v>158</v>
      </c>
      <c r="G391" s="30">
        <v>58</v>
      </c>
      <c r="H391" s="31">
        <f>G391/((F391/100)*(F391/100))</f>
        <v>23.233456176894723</v>
      </c>
      <c r="I391" s="5">
        <v>77</v>
      </c>
      <c r="J391" s="30">
        <v>120</v>
      </c>
      <c r="K391" s="30">
        <v>80</v>
      </c>
      <c r="L391" s="29">
        <f>IF(B391="Nữ",0,2)</f>
        <v>0</v>
      </c>
      <c r="M391" s="29">
        <f ca="1">IF(D391&lt;45,0,IF(D391&lt;=49,1,2))</f>
        <v>2</v>
      </c>
      <c r="N391" s="29">
        <f>IF(E391="Có",4,0)</f>
        <v>0</v>
      </c>
      <c r="O391" s="29">
        <f>IF(H391&lt;23,0,IF(H391&lt;27.5,3,5))</f>
        <v>3</v>
      </c>
      <c r="P391" s="29">
        <f>IF(OR(AND(B391="Nam",I391&gt;=90),AND(B391="Nữ",I391&gt;=80)),2,0)</f>
        <v>0</v>
      </c>
      <c r="Q391" s="29">
        <f>IF(OR(J391&gt;=140,K391&gt;=90),2,0)</f>
        <v>0</v>
      </c>
      <c r="R391" s="29">
        <f ca="1">SUM(L391:Q391)</f>
        <v>5</v>
      </c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5" t="s">
        <v>1393</v>
      </c>
      <c r="AE391" s="33"/>
      <c r="AF391" s="59" t="str">
        <f t="shared" si="19"/>
        <v>Không</v>
      </c>
      <c r="AG391" s="59" t="str">
        <f t="shared" si="20"/>
        <v>Không</v>
      </c>
      <c r="AH391" s="29" t="str">
        <f t="shared" ca="1" si="18"/>
        <v>Không</v>
      </c>
      <c r="AI391" s="29" t="str">
        <f ca="1">IF((R391)&gt;=6,"Có","Không")</f>
        <v>Không</v>
      </c>
      <c r="AJ391" s="29" t="str">
        <f>IF(OR(J391&gt;=140,K391&gt;=90),"Có","Không")</f>
        <v>Không</v>
      </c>
      <c r="AK391" s="5" t="s">
        <v>38</v>
      </c>
      <c r="AL391" s="32">
        <v>46112</v>
      </c>
      <c r="AM391" s="29" t="str">
        <f>"Tháng "&amp;MONTH(AL391)</f>
        <v>Tháng 3</v>
      </c>
      <c r="AN391" s="29" t="str">
        <f>LEFT(AK391,FIND(",",AK391)-1)</f>
        <v>Ấp Biển Đông B</v>
      </c>
    </row>
    <row r="392" spans="1:40" x14ac:dyDescent="0.25">
      <c r="A392" s="49" t="s">
        <v>391</v>
      </c>
      <c r="B392" s="5" t="s">
        <v>23</v>
      </c>
      <c r="C392" s="5" t="s">
        <v>105</v>
      </c>
      <c r="D392" s="29">
        <f ca="1">DATEDIF(C392,TODAY(),"Y")</f>
        <v>60</v>
      </c>
      <c r="E392" s="5" t="s">
        <v>26</v>
      </c>
      <c r="F392" s="30">
        <v>158</v>
      </c>
      <c r="G392" s="30">
        <v>58</v>
      </c>
      <c r="H392" s="31">
        <f>G392/((F392/100)*(F392/100))</f>
        <v>23.233456176894723</v>
      </c>
      <c r="I392" s="5">
        <v>74</v>
      </c>
      <c r="J392" s="30">
        <v>120</v>
      </c>
      <c r="K392" s="30">
        <v>80</v>
      </c>
      <c r="L392" s="29">
        <f>IF(B392="Nữ",0,2)</f>
        <v>0</v>
      </c>
      <c r="M392" s="29">
        <f ca="1">IF(D392&lt;45,0,IF(D392&lt;=49,1,2))</f>
        <v>2</v>
      </c>
      <c r="N392" s="29">
        <f>IF(E392="Có",4,0)</f>
        <v>0</v>
      </c>
      <c r="O392" s="29">
        <f>IF(H392&lt;23,0,IF(H392&lt;27.5,3,5))</f>
        <v>3</v>
      </c>
      <c r="P392" s="29">
        <f>IF(OR(AND(B392="Nam",I392&gt;=90),AND(B392="Nữ",I392&gt;=80)),2,0)</f>
        <v>0</v>
      </c>
      <c r="Q392" s="29">
        <f>IF(OR(J392&gt;=140,K392&gt;=90),2,0)</f>
        <v>0</v>
      </c>
      <c r="R392" s="29">
        <f ca="1">SUM(L392:Q392)</f>
        <v>5</v>
      </c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5" t="s">
        <v>1393</v>
      </c>
      <c r="AE392" s="33"/>
      <c r="AF392" s="59" t="str">
        <f t="shared" si="19"/>
        <v>Không</v>
      </c>
      <c r="AG392" s="59" t="str">
        <f t="shared" si="20"/>
        <v>Không</v>
      </c>
      <c r="AH392" s="29" t="str">
        <f t="shared" ca="1" si="18"/>
        <v>Không</v>
      </c>
      <c r="AI392" s="29" t="str">
        <f ca="1">IF((R392)&gt;=6,"Có","Không")</f>
        <v>Không</v>
      </c>
      <c r="AJ392" s="29" t="str">
        <f>IF(OR(J392&gt;=140,K392&gt;=90),"Có","Không")</f>
        <v>Không</v>
      </c>
      <c r="AK392" s="5" t="s">
        <v>32</v>
      </c>
      <c r="AL392" s="32">
        <v>46112</v>
      </c>
      <c r="AM392" s="29" t="str">
        <f>"Tháng "&amp;MONTH(AL392)</f>
        <v>Tháng 3</v>
      </c>
      <c r="AN392" s="29" t="str">
        <f>LEFT(AK392,FIND(",",AK392)-1)</f>
        <v>Ấp Giồng Giữa B</v>
      </c>
    </row>
    <row r="393" spans="1:40" x14ac:dyDescent="0.25">
      <c r="A393" s="49" t="s">
        <v>392</v>
      </c>
      <c r="B393" s="5" t="s">
        <v>23</v>
      </c>
      <c r="C393" s="5" t="s">
        <v>47</v>
      </c>
      <c r="D393" s="29">
        <f ca="1">DATEDIF(C393,TODAY(),"Y")</f>
        <v>55</v>
      </c>
      <c r="E393" s="5" t="s">
        <v>26</v>
      </c>
      <c r="F393" s="30">
        <v>158</v>
      </c>
      <c r="G393" s="30">
        <v>58</v>
      </c>
      <c r="H393" s="31">
        <f>G393/((F393/100)*(F393/100))</f>
        <v>23.233456176894723</v>
      </c>
      <c r="I393" s="5">
        <v>75</v>
      </c>
      <c r="J393" s="30">
        <v>120</v>
      </c>
      <c r="K393" s="30">
        <v>80</v>
      </c>
      <c r="L393" s="29">
        <f>IF(B393="Nữ",0,2)</f>
        <v>0</v>
      </c>
      <c r="M393" s="29">
        <f ca="1">IF(D393&lt;45,0,IF(D393&lt;=49,1,2))</f>
        <v>2</v>
      </c>
      <c r="N393" s="29">
        <f>IF(E393="Có",4,0)</f>
        <v>0</v>
      </c>
      <c r="O393" s="29">
        <f>IF(H393&lt;23,0,IF(H393&lt;27.5,3,5))</f>
        <v>3</v>
      </c>
      <c r="P393" s="29">
        <f>IF(OR(AND(B393="Nam",I393&gt;=90),AND(B393="Nữ",I393&gt;=80)),2,0)</f>
        <v>0</v>
      </c>
      <c r="Q393" s="29">
        <f>IF(OR(J393&gt;=140,K393&gt;=90),2,0)</f>
        <v>0</v>
      </c>
      <c r="R393" s="29">
        <f ca="1">SUM(L393:Q393)</f>
        <v>5</v>
      </c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5" t="s">
        <v>1393</v>
      </c>
      <c r="AE393" s="33"/>
      <c r="AF393" s="59" t="str">
        <f t="shared" si="19"/>
        <v>Không</v>
      </c>
      <c r="AG393" s="59" t="str">
        <f t="shared" si="20"/>
        <v>Không</v>
      </c>
      <c r="AH393" s="29" t="str">
        <f t="shared" ca="1" si="18"/>
        <v>Không</v>
      </c>
      <c r="AI393" s="29" t="str">
        <f ca="1">IF((R393)&gt;=6,"Có","Không")</f>
        <v>Không</v>
      </c>
      <c r="AJ393" s="29" t="str">
        <f>IF(OR(J393&gt;=140,K393&gt;=90),"Có","Không")</f>
        <v>Không</v>
      </c>
      <c r="AK393" s="5" t="s">
        <v>51</v>
      </c>
      <c r="AL393" s="32">
        <v>46112</v>
      </c>
      <c r="AM393" s="29" t="str">
        <f>"Tháng "&amp;MONTH(AL393)</f>
        <v>Tháng 3</v>
      </c>
      <c r="AN393" s="29" t="str">
        <f>LEFT(AK393,FIND(",",AK393)-1)</f>
        <v>Phường Hiệp Thành</v>
      </c>
    </row>
    <row r="394" spans="1:40" x14ac:dyDescent="0.25">
      <c r="A394" s="49" t="s">
        <v>393</v>
      </c>
      <c r="B394" s="5" t="s">
        <v>30</v>
      </c>
      <c r="C394" s="5" t="s">
        <v>394</v>
      </c>
      <c r="D394" s="29">
        <f ca="1">DATEDIF(C394,TODAY(),"Y")</f>
        <v>45</v>
      </c>
      <c r="E394" s="5" t="s">
        <v>26</v>
      </c>
      <c r="F394" s="30">
        <v>165</v>
      </c>
      <c r="G394" s="30">
        <v>74</v>
      </c>
      <c r="H394" s="31">
        <f>G394/((F394/100)*(F394/100))</f>
        <v>27.180899908172638</v>
      </c>
      <c r="I394" s="5">
        <v>85</v>
      </c>
      <c r="J394" s="30">
        <v>120</v>
      </c>
      <c r="K394" s="30">
        <v>80</v>
      </c>
      <c r="L394" s="29">
        <f>IF(B394="Nữ",0,2)</f>
        <v>2</v>
      </c>
      <c r="M394" s="29">
        <f ca="1">IF(D394&lt;45,0,IF(D394&lt;=49,1,2))</f>
        <v>1</v>
      </c>
      <c r="N394" s="29">
        <f>IF(E394="Có",4,0)</f>
        <v>0</v>
      </c>
      <c r="O394" s="29">
        <f>IF(H394&lt;23,0,IF(H394&lt;27.5,3,5))</f>
        <v>3</v>
      </c>
      <c r="P394" s="29">
        <f>IF(OR(AND(B394="Nam",I394&gt;=90),AND(B394="Nữ",I394&gt;=80)),2,0)</f>
        <v>0</v>
      </c>
      <c r="Q394" s="29">
        <f>IF(OR(J394&gt;=140,K394&gt;=90),2,0)</f>
        <v>0</v>
      </c>
      <c r="R394" s="29">
        <f ca="1">SUM(L394:Q394)</f>
        <v>6</v>
      </c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5" t="s">
        <v>1393</v>
      </c>
      <c r="AE394" s="33"/>
      <c r="AF394" s="59" t="str">
        <f t="shared" si="19"/>
        <v>Không</v>
      </c>
      <c r="AG394" s="59" t="str">
        <f t="shared" si="20"/>
        <v>Không</v>
      </c>
      <c r="AH394" s="29" t="str">
        <f t="shared" ca="1" si="18"/>
        <v>Có</v>
      </c>
      <c r="AI394" s="29" t="str">
        <f ca="1">IF((R394)&gt;=6,"Có","Không")</f>
        <v>Có</v>
      </c>
      <c r="AJ394" s="29" t="str">
        <f>IF(OR(J394&gt;=140,K394&gt;=90),"Có","Không")</f>
        <v>Không</v>
      </c>
      <c r="AK394" s="5" t="s">
        <v>395</v>
      </c>
      <c r="AL394" s="32">
        <v>46112</v>
      </c>
      <c r="AM394" s="29" t="str">
        <f>"Tháng "&amp;MONTH(AL394)</f>
        <v>Tháng 3</v>
      </c>
      <c r="AN394" s="29" t="str">
        <f>LEFT(AK394,FIND(",",AK394)-1)</f>
        <v>Khóm Chòm Xoài</v>
      </c>
    </row>
    <row r="395" spans="1:40" x14ac:dyDescent="0.25">
      <c r="A395" s="49" t="s">
        <v>408</v>
      </c>
      <c r="B395" s="5" t="s">
        <v>30</v>
      </c>
      <c r="C395" s="5" t="s">
        <v>110</v>
      </c>
      <c r="D395" s="29">
        <f ca="1">DATEDIF(C395,TODAY(),"Y")</f>
        <v>62</v>
      </c>
      <c r="E395" s="5" t="s">
        <v>25</v>
      </c>
      <c r="F395" s="30">
        <v>170</v>
      </c>
      <c r="G395" s="30">
        <v>55</v>
      </c>
      <c r="H395" s="31">
        <f>G395/((F395/100)*(F395/100))</f>
        <v>19.031141868512112</v>
      </c>
      <c r="I395" s="5">
        <v>96</v>
      </c>
      <c r="J395" s="30">
        <v>120</v>
      </c>
      <c r="K395" s="30">
        <v>80</v>
      </c>
      <c r="L395" s="29">
        <f>IF(B395="Nữ",0,2)</f>
        <v>2</v>
      </c>
      <c r="M395" s="29">
        <f ca="1">IF(D395&lt;45,0,IF(D395&lt;=49,1,2))</f>
        <v>2</v>
      </c>
      <c r="N395" s="29">
        <f>IF(E395="Có",4,0)</f>
        <v>4</v>
      </c>
      <c r="O395" s="29">
        <f>IF(H395&lt;23,0,IF(H395&lt;27.5,3,5))</f>
        <v>0</v>
      </c>
      <c r="P395" s="29">
        <f>IF(OR(AND(B395="Nam",I395&gt;=90),AND(B395="Nữ",I395&gt;=80)),2,0)</f>
        <v>2</v>
      </c>
      <c r="Q395" s="29">
        <f>IF(OR(J395&gt;=140,K395&gt;=90),2,0)</f>
        <v>0</v>
      </c>
      <c r="R395" s="29">
        <f ca="1">SUM(L395:Q395)</f>
        <v>10</v>
      </c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5" t="s">
        <v>1393</v>
      </c>
      <c r="AE395" s="33"/>
      <c r="AF395" s="59" t="str">
        <f t="shared" si="19"/>
        <v>Không</v>
      </c>
      <c r="AG395" s="59" t="str">
        <f t="shared" si="20"/>
        <v>Không</v>
      </c>
      <c r="AH395" s="29" t="str">
        <f t="shared" ca="1" si="18"/>
        <v>Có</v>
      </c>
      <c r="AI395" s="29" t="str">
        <f ca="1">IF((R395)&gt;=6,"Có","Không")</f>
        <v>Có</v>
      </c>
      <c r="AJ395" s="29" t="str">
        <f>IF(OR(J395&gt;=140,K395&gt;=90),"Có","Không")</f>
        <v>Không</v>
      </c>
      <c r="AK395" s="5" t="s">
        <v>122</v>
      </c>
      <c r="AL395" s="32">
        <v>46112</v>
      </c>
      <c r="AM395" s="29" t="str">
        <f>"Tháng "&amp;MONTH(AL395)</f>
        <v>Tháng 3</v>
      </c>
      <c r="AN395" s="29" t="str">
        <f>LEFT(AK395,FIND(",",AK395)-1)</f>
        <v>Giồng Nhãn</v>
      </c>
    </row>
    <row r="396" spans="1:40" x14ac:dyDescent="0.25">
      <c r="A396" s="49" t="s">
        <v>409</v>
      </c>
      <c r="B396" s="5" t="s">
        <v>23</v>
      </c>
      <c r="C396" s="5" t="s">
        <v>62</v>
      </c>
      <c r="D396" s="29">
        <f ca="1">DATEDIF(C396,TODAY(),"Y")</f>
        <v>64</v>
      </c>
      <c r="E396" s="5" t="s">
        <v>26</v>
      </c>
      <c r="F396" s="30">
        <v>158</v>
      </c>
      <c r="G396" s="30">
        <v>58</v>
      </c>
      <c r="H396" s="31">
        <f>G396/((F396/100)*(F396/100))</f>
        <v>23.233456176894723</v>
      </c>
      <c r="I396" s="5">
        <v>82</v>
      </c>
      <c r="J396" s="30">
        <v>120</v>
      </c>
      <c r="K396" s="30">
        <v>80</v>
      </c>
      <c r="L396" s="29">
        <f>IF(B396="Nữ",0,2)</f>
        <v>0</v>
      </c>
      <c r="M396" s="29">
        <f ca="1">IF(D396&lt;45,0,IF(D396&lt;=49,1,2))</f>
        <v>2</v>
      </c>
      <c r="N396" s="29">
        <f>IF(E396="Có",4,0)</f>
        <v>0</v>
      </c>
      <c r="O396" s="29">
        <f>IF(H396&lt;23,0,IF(H396&lt;27.5,3,5))</f>
        <v>3</v>
      </c>
      <c r="P396" s="29">
        <f>IF(OR(AND(B396="Nam",I396&gt;=90),AND(B396="Nữ",I396&gt;=80)),2,0)</f>
        <v>2</v>
      </c>
      <c r="Q396" s="29">
        <f>IF(OR(J396&gt;=140,K396&gt;=90),2,0)</f>
        <v>0</v>
      </c>
      <c r="R396" s="29">
        <f ca="1">SUM(L396:Q396)</f>
        <v>7</v>
      </c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5" t="s">
        <v>1393</v>
      </c>
      <c r="AE396" s="33"/>
      <c r="AF396" s="59" t="str">
        <f t="shared" si="19"/>
        <v>Không</v>
      </c>
      <c r="AG396" s="59" t="str">
        <f t="shared" si="20"/>
        <v>Không</v>
      </c>
      <c r="AH396" s="29" t="str">
        <f t="shared" ca="1" si="18"/>
        <v>Có</v>
      </c>
      <c r="AI396" s="29" t="str">
        <f ca="1">IF((R396)&gt;=6,"Có","Không")</f>
        <v>Có</v>
      </c>
      <c r="AJ396" s="29" t="str">
        <f>IF(OR(J396&gt;=140,K396&gt;=90),"Có","Không")</f>
        <v>Không</v>
      </c>
      <c r="AK396" s="5" t="s">
        <v>218</v>
      </c>
      <c r="AL396" s="32">
        <v>46112</v>
      </c>
      <c r="AM396" s="29" t="str">
        <f>"Tháng "&amp;MONTH(AL396)</f>
        <v>Tháng 3</v>
      </c>
      <c r="AN396" s="29" t="str">
        <f>LEFT(AK396,FIND(",",AK396)-1)</f>
        <v>Biển Đông B</v>
      </c>
    </row>
    <row r="397" spans="1:40" x14ac:dyDescent="0.25">
      <c r="A397" s="49" t="s">
        <v>410</v>
      </c>
      <c r="B397" s="5" t="s">
        <v>23</v>
      </c>
      <c r="C397" s="5" t="s">
        <v>146</v>
      </c>
      <c r="D397" s="29">
        <f ca="1">DATEDIF(C397,TODAY(),"Y")</f>
        <v>52</v>
      </c>
      <c r="E397" s="5" t="s">
        <v>26</v>
      </c>
      <c r="F397" s="30">
        <v>158</v>
      </c>
      <c r="G397" s="30">
        <v>58</v>
      </c>
      <c r="H397" s="31">
        <f>G397/((F397/100)*(F397/100))</f>
        <v>23.233456176894723</v>
      </c>
      <c r="I397" s="5">
        <v>65</v>
      </c>
      <c r="J397" s="30">
        <v>120</v>
      </c>
      <c r="K397" s="30">
        <v>80</v>
      </c>
      <c r="L397" s="29">
        <f>IF(B397="Nữ",0,2)</f>
        <v>0</v>
      </c>
      <c r="M397" s="29">
        <f ca="1">IF(D397&lt;45,0,IF(D397&lt;=49,1,2))</f>
        <v>2</v>
      </c>
      <c r="N397" s="29">
        <f>IF(E397="Có",4,0)</f>
        <v>0</v>
      </c>
      <c r="O397" s="29">
        <f>IF(H397&lt;23,0,IF(H397&lt;27.5,3,5))</f>
        <v>3</v>
      </c>
      <c r="P397" s="29">
        <f>IF(OR(AND(B397="Nam",I397&gt;=90),AND(B397="Nữ",I397&gt;=80)),2,0)</f>
        <v>0</v>
      </c>
      <c r="Q397" s="29">
        <f>IF(OR(J397&gt;=140,K397&gt;=90),2,0)</f>
        <v>0</v>
      </c>
      <c r="R397" s="29">
        <f ca="1">SUM(L397:Q397)</f>
        <v>5</v>
      </c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5" t="s">
        <v>1393</v>
      </c>
      <c r="AE397" s="33"/>
      <c r="AF397" s="59" t="str">
        <f t="shared" si="19"/>
        <v>Không</v>
      </c>
      <c r="AG397" s="59" t="str">
        <f t="shared" si="20"/>
        <v>Không</v>
      </c>
      <c r="AH397" s="29" t="str">
        <f t="shared" ca="1" si="18"/>
        <v>Không</v>
      </c>
      <c r="AI397" s="29" t="str">
        <f ca="1">IF((R397)&gt;=6,"Có","Không")</f>
        <v>Không</v>
      </c>
      <c r="AJ397" s="29" t="str">
        <f>IF(OR(J397&gt;=140,K397&gt;=90),"Có","Không")</f>
        <v>Không</v>
      </c>
      <c r="AK397" s="5" t="s">
        <v>411</v>
      </c>
      <c r="AL397" s="32">
        <v>46112</v>
      </c>
      <c r="AM397" s="29" t="str">
        <f>"Tháng "&amp;MONTH(AL397)</f>
        <v>Tháng 3</v>
      </c>
      <c r="AN397" s="29" t="str">
        <f>LEFT(AK397,FIND(",",AK397)-1)</f>
        <v>Ấp Hòa Thân</v>
      </c>
    </row>
    <row r="398" spans="1:40" x14ac:dyDescent="0.25">
      <c r="A398" s="49" t="s">
        <v>412</v>
      </c>
      <c r="B398" s="5" t="s">
        <v>30</v>
      </c>
      <c r="C398" s="5" t="s">
        <v>76</v>
      </c>
      <c r="D398" s="29">
        <f ca="1">DATEDIF(C398,TODAY(),"Y")</f>
        <v>68</v>
      </c>
      <c r="E398" s="5" t="s">
        <v>26</v>
      </c>
      <c r="F398" s="30">
        <v>158</v>
      </c>
      <c r="G398" s="30">
        <v>58</v>
      </c>
      <c r="H398" s="31">
        <f>G398/((F398/100)*(F398/100))</f>
        <v>23.233456176894723</v>
      </c>
      <c r="I398" s="5">
        <v>89</v>
      </c>
      <c r="J398" s="30">
        <v>150</v>
      </c>
      <c r="K398" s="30">
        <v>80</v>
      </c>
      <c r="L398" s="29">
        <f>IF(B398="Nữ",0,2)</f>
        <v>2</v>
      </c>
      <c r="M398" s="29">
        <f ca="1">IF(D398&lt;45,0,IF(D398&lt;=49,1,2))</f>
        <v>2</v>
      </c>
      <c r="N398" s="29">
        <f>IF(E398="Có",4,0)</f>
        <v>0</v>
      </c>
      <c r="O398" s="29">
        <f>IF(H398&lt;23,0,IF(H398&lt;27.5,3,5))</f>
        <v>3</v>
      </c>
      <c r="P398" s="29">
        <f>IF(OR(AND(B398="Nam",I398&gt;=90),AND(B398="Nữ",I398&gt;=80)),2,0)</f>
        <v>0</v>
      </c>
      <c r="Q398" s="29">
        <f>IF(OR(J398&gt;=140,K398&gt;=90),2,0)</f>
        <v>2</v>
      </c>
      <c r="R398" s="29">
        <f ca="1">SUM(L398:Q398)</f>
        <v>9</v>
      </c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5" t="s">
        <v>1393</v>
      </c>
      <c r="AE398" s="33"/>
      <c r="AF398" s="59" t="str">
        <f t="shared" si="19"/>
        <v>Không</v>
      </c>
      <c r="AG398" s="59" t="str">
        <f t="shared" si="20"/>
        <v>Không</v>
      </c>
      <c r="AH398" s="29" t="str">
        <f t="shared" ca="1" si="18"/>
        <v>Có</v>
      </c>
      <c r="AI398" s="29" t="str">
        <f ca="1">IF((R398)&gt;=6,"Có","Không")</f>
        <v>Có</v>
      </c>
      <c r="AJ398" s="29" t="str">
        <f>IF(OR(J398&gt;=140,K398&gt;=90),"Có","Không")</f>
        <v>Có</v>
      </c>
      <c r="AK398" s="5" t="s">
        <v>32</v>
      </c>
      <c r="AL398" s="32">
        <v>46112</v>
      </c>
      <c r="AM398" s="29" t="str">
        <f>"Tháng "&amp;MONTH(AL398)</f>
        <v>Tháng 3</v>
      </c>
      <c r="AN398" s="29" t="str">
        <f>LEFT(AK398,FIND(",",AK398)-1)</f>
        <v>Ấp Giồng Giữa B</v>
      </c>
    </row>
    <row r="399" spans="1:40" x14ac:dyDescent="0.25">
      <c r="A399" s="49" t="s">
        <v>414</v>
      </c>
      <c r="B399" s="5" t="s">
        <v>23</v>
      </c>
      <c r="C399" s="5" t="s">
        <v>138</v>
      </c>
      <c r="D399" s="29">
        <f ca="1">DATEDIF(C399,TODAY(),"Y")</f>
        <v>67</v>
      </c>
      <c r="E399" s="5" t="s">
        <v>25</v>
      </c>
      <c r="F399" s="30">
        <v>158</v>
      </c>
      <c r="G399" s="30">
        <v>58</v>
      </c>
      <c r="H399" s="31">
        <f>G399/((F399/100)*(F399/100))</f>
        <v>23.233456176894723</v>
      </c>
      <c r="I399" s="5">
        <v>86</v>
      </c>
      <c r="J399" s="30">
        <v>150</v>
      </c>
      <c r="K399" s="30">
        <v>80</v>
      </c>
      <c r="L399" s="29">
        <f>IF(B399="Nữ",0,2)</f>
        <v>0</v>
      </c>
      <c r="M399" s="29">
        <f ca="1">IF(D399&lt;45,0,IF(D399&lt;=49,1,2))</f>
        <v>2</v>
      </c>
      <c r="N399" s="29">
        <f>IF(E399="Có",4,0)</f>
        <v>4</v>
      </c>
      <c r="O399" s="29">
        <f>IF(H399&lt;23,0,IF(H399&lt;27.5,3,5))</f>
        <v>3</v>
      </c>
      <c r="P399" s="29">
        <f>IF(OR(AND(B399="Nam",I399&gt;=90),AND(B399="Nữ",I399&gt;=80)),2,0)</f>
        <v>2</v>
      </c>
      <c r="Q399" s="29">
        <f>IF(OR(J399&gt;=140,K399&gt;=90),2,0)</f>
        <v>2</v>
      </c>
      <c r="R399" s="29">
        <f ca="1">SUM(L399:Q399)</f>
        <v>13</v>
      </c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5" t="s">
        <v>1393</v>
      </c>
      <c r="AE399" s="33"/>
      <c r="AF399" s="59" t="str">
        <f t="shared" si="19"/>
        <v>Không</v>
      </c>
      <c r="AG399" s="59" t="str">
        <f t="shared" si="20"/>
        <v>Không</v>
      </c>
      <c r="AH399" s="29" t="str">
        <f t="shared" ca="1" si="18"/>
        <v>Có</v>
      </c>
      <c r="AI399" s="29" t="str">
        <f ca="1">IF((R399)&gt;=6,"Có","Không")</f>
        <v>Có</v>
      </c>
      <c r="AJ399" s="29" t="str">
        <f>IF(OR(J399&gt;=140,K399&gt;=90),"Có","Không")</f>
        <v>Có</v>
      </c>
      <c r="AK399" s="5" t="s">
        <v>218</v>
      </c>
      <c r="AL399" s="32">
        <v>46112</v>
      </c>
      <c r="AM399" s="29" t="str">
        <f>"Tháng "&amp;MONTH(AL399)</f>
        <v>Tháng 3</v>
      </c>
      <c r="AN399" s="29" t="str">
        <f>LEFT(AK399,FIND(",",AK399)-1)</f>
        <v>Biển Đông B</v>
      </c>
    </row>
    <row r="400" spans="1:40" x14ac:dyDescent="0.25">
      <c r="A400" s="49" t="s">
        <v>416</v>
      </c>
      <c r="B400" s="5" t="s">
        <v>23</v>
      </c>
      <c r="C400" s="5" t="s">
        <v>110</v>
      </c>
      <c r="D400" s="29">
        <f ca="1">DATEDIF(C400,TODAY(),"Y")</f>
        <v>62</v>
      </c>
      <c r="E400" s="5" t="s">
        <v>26</v>
      </c>
      <c r="F400" s="30">
        <v>158</v>
      </c>
      <c r="G400" s="30">
        <v>58</v>
      </c>
      <c r="H400" s="31">
        <f>G400/((F400/100)*(F400/100))</f>
        <v>23.233456176894723</v>
      </c>
      <c r="I400" s="5">
        <v>72</v>
      </c>
      <c r="J400" s="30">
        <v>160</v>
      </c>
      <c r="K400" s="30">
        <v>80</v>
      </c>
      <c r="L400" s="29">
        <f>IF(B400="Nữ",0,2)</f>
        <v>0</v>
      </c>
      <c r="M400" s="29">
        <f ca="1">IF(D400&lt;45,0,IF(D400&lt;=49,1,2))</f>
        <v>2</v>
      </c>
      <c r="N400" s="29">
        <f>IF(E400="Có",4,0)</f>
        <v>0</v>
      </c>
      <c r="O400" s="29">
        <f>IF(H400&lt;23,0,IF(H400&lt;27.5,3,5))</f>
        <v>3</v>
      </c>
      <c r="P400" s="29">
        <f>IF(OR(AND(B400="Nam",I400&gt;=90),AND(B400="Nữ",I400&gt;=80)),2,0)</f>
        <v>0</v>
      </c>
      <c r="Q400" s="29">
        <f>IF(OR(J400&gt;=140,K400&gt;=90),2,0)</f>
        <v>2</v>
      </c>
      <c r="R400" s="29">
        <f ca="1">SUM(L400:Q400)</f>
        <v>7</v>
      </c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5" t="s">
        <v>1393</v>
      </c>
      <c r="AE400" s="33"/>
      <c r="AF400" s="59" t="str">
        <f t="shared" si="19"/>
        <v>Không</v>
      </c>
      <c r="AG400" s="59" t="str">
        <f t="shared" si="20"/>
        <v>Không</v>
      </c>
      <c r="AH400" s="29" t="str">
        <f t="shared" ca="1" si="18"/>
        <v>Có</v>
      </c>
      <c r="AI400" s="29" t="str">
        <f ca="1">IF((R400)&gt;=6,"Có","Không")</f>
        <v>Có</v>
      </c>
      <c r="AJ400" s="29" t="str">
        <f>IF(OR(J400&gt;=140,K400&gt;=90),"Có","Không")</f>
        <v>Có</v>
      </c>
      <c r="AK400" s="5" t="s">
        <v>51</v>
      </c>
      <c r="AL400" s="32">
        <v>46112</v>
      </c>
      <c r="AM400" s="29" t="str">
        <f>"Tháng "&amp;MONTH(AL400)</f>
        <v>Tháng 3</v>
      </c>
      <c r="AN400" s="29" t="str">
        <f>LEFT(AK400,FIND(",",AK400)-1)</f>
        <v>Phường Hiệp Thành</v>
      </c>
    </row>
    <row r="401" spans="1:40" x14ac:dyDescent="0.25">
      <c r="A401" s="49" t="s">
        <v>419</v>
      </c>
      <c r="B401" s="5" t="s">
        <v>30</v>
      </c>
      <c r="C401" s="5" t="s">
        <v>62</v>
      </c>
      <c r="D401" s="29">
        <f ca="1">DATEDIF(C401,TODAY(),"Y")</f>
        <v>64</v>
      </c>
      <c r="E401" s="5" t="s">
        <v>26</v>
      </c>
      <c r="F401" s="30">
        <v>165</v>
      </c>
      <c r="G401" s="30">
        <v>76</v>
      </c>
      <c r="H401" s="31">
        <f>G401/((F401/100)*(F401/100))</f>
        <v>27.915518824609737</v>
      </c>
      <c r="I401" s="5">
        <v>75</v>
      </c>
      <c r="J401" s="30">
        <v>120</v>
      </c>
      <c r="K401" s="30">
        <v>80</v>
      </c>
      <c r="L401" s="29">
        <f>IF(B401="Nữ",0,2)</f>
        <v>2</v>
      </c>
      <c r="M401" s="29">
        <f ca="1">IF(D401&lt;45,0,IF(D401&lt;=49,1,2))</f>
        <v>2</v>
      </c>
      <c r="N401" s="29">
        <f>IF(E401="Có",4,0)</f>
        <v>0</v>
      </c>
      <c r="O401" s="29">
        <f>IF(H401&lt;23,0,IF(H401&lt;27.5,3,5))</f>
        <v>5</v>
      </c>
      <c r="P401" s="29">
        <f>IF(OR(AND(B401="Nam",I401&gt;=90),AND(B401="Nữ",I401&gt;=80)),2,0)</f>
        <v>0</v>
      </c>
      <c r="Q401" s="29">
        <f>IF(OR(J401&gt;=140,K401&gt;=90),2,0)</f>
        <v>0</v>
      </c>
      <c r="R401" s="29">
        <f ca="1">SUM(L401:Q401)</f>
        <v>9</v>
      </c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5" t="s">
        <v>1393</v>
      </c>
      <c r="AE401" s="33"/>
      <c r="AF401" s="59" t="str">
        <f t="shared" si="19"/>
        <v>Không</v>
      </c>
      <c r="AG401" s="59" t="str">
        <f t="shared" si="20"/>
        <v>Không</v>
      </c>
      <c r="AH401" s="29" t="str">
        <f t="shared" ca="1" si="18"/>
        <v>Có</v>
      </c>
      <c r="AI401" s="29" t="str">
        <f ca="1">IF((R401)&gt;=6,"Có","Không")</f>
        <v>Có</v>
      </c>
      <c r="AJ401" s="29" t="str">
        <f>IF(OR(J401&gt;=140,K401&gt;=90),"Có","Không")</f>
        <v>Không</v>
      </c>
      <c r="AK401" s="5" t="s">
        <v>51</v>
      </c>
      <c r="AL401" s="32">
        <v>46112</v>
      </c>
      <c r="AM401" s="29" t="str">
        <f>"Tháng "&amp;MONTH(AL401)</f>
        <v>Tháng 3</v>
      </c>
      <c r="AN401" s="29" t="str">
        <f>LEFT(AK401,FIND(",",AK401)-1)</f>
        <v>Phường Hiệp Thành</v>
      </c>
    </row>
    <row r="402" spans="1:40" x14ac:dyDescent="0.25">
      <c r="A402" s="49" t="s">
        <v>420</v>
      </c>
      <c r="B402" s="5" t="s">
        <v>30</v>
      </c>
      <c r="C402" s="5" t="s">
        <v>31</v>
      </c>
      <c r="D402" s="29">
        <f ca="1">DATEDIF(C402,TODAY(),"Y")</f>
        <v>79</v>
      </c>
      <c r="E402" s="5" t="s">
        <v>26</v>
      </c>
      <c r="F402" s="30">
        <v>169</v>
      </c>
      <c r="G402" s="30">
        <v>69</v>
      </c>
      <c r="H402" s="31">
        <f>G402/((F402/100)*(F402/100))</f>
        <v>24.158817968558527</v>
      </c>
      <c r="I402" s="5">
        <v>79</v>
      </c>
      <c r="J402" s="30">
        <v>120</v>
      </c>
      <c r="K402" s="30">
        <v>80</v>
      </c>
      <c r="L402" s="29">
        <f>IF(B402="Nữ",0,2)</f>
        <v>2</v>
      </c>
      <c r="M402" s="29">
        <f ca="1">IF(D402&lt;45,0,IF(D402&lt;=49,1,2))</f>
        <v>2</v>
      </c>
      <c r="N402" s="29">
        <f>IF(E402="Có",4,0)</f>
        <v>0</v>
      </c>
      <c r="O402" s="29">
        <f>IF(H402&lt;23,0,IF(H402&lt;27.5,3,5))</f>
        <v>3</v>
      </c>
      <c r="P402" s="29">
        <f>IF(OR(AND(B402="Nam",I402&gt;=90),AND(B402="Nữ",I402&gt;=80)),2,0)</f>
        <v>0</v>
      </c>
      <c r="Q402" s="29">
        <f>IF(OR(J402&gt;=140,K402&gt;=90),2,0)</f>
        <v>0</v>
      </c>
      <c r="R402" s="29">
        <f ca="1">SUM(L402:Q402)</f>
        <v>7</v>
      </c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5" t="s">
        <v>1393</v>
      </c>
      <c r="AE402" s="33"/>
      <c r="AF402" s="59" t="str">
        <f t="shared" si="19"/>
        <v>Không</v>
      </c>
      <c r="AG402" s="59" t="str">
        <f t="shared" si="20"/>
        <v>Không</v>
      </c>
      <c r="AH402" s="29" t="str">
        <f t="shared" ca="1" si="18"/>
        <v>Có</v>
      </c>
      <c r="AI402" s="29" t="str">
        <f ca="1">IF((R402)&gt;=6,"Có","Không")</f>
        <v>Có</v>
      </c>
      <c r="AJ402" s="29" t="str">
        <f>IF(OR(J402&gt;=140,K402&gt;=90),"Có","Không")</f>
        <v>Không</v>
      </c>
      <c r="AK402" s="5" t="s">
        <v>421</v>
      </c>
      <c r="AL402" s="32">
        <v>46112</v>
      </c>
      <c r="AM402" s="29" t="str">
        <f>"Tháng "&amp;MONTH(AL402)</f>
        <v>Tháng 3</v>
      </c>
      <c r="AN402" s="29" t="str">
        <f>LEFT(AK402,FIND(",",AK402)-1)</f>
        <v>Khóm Biển Tây A</v>
      </c>
    </row>
    <row r="403" spans="1:40" x14ac:dyDescent="0.25">
      <c r="A403" s="49" t="s">
        <v>422</v>
      </c>
      <c r="B403" s="5" t="s">
        <v>30</v>
      </c>
      <c r="C403" s="5" t="s">
        <v>105</v>
      </c>
      <c r="D403" s="29">
        <f ca="1">DATEDIF(C403,TODAY(),"Y")</f>
        <v>60</v>
      </c>
      <c r="E403" s="5" t="s">
        <v>26</v>
      </c>
      <c r="F403" s="30">
        <v>169</v>
      </c>
      <c r="G403" s="30">
        <v>68</v>
      </c>
      <c r="H403" s="31">
        <f>G403/((F403/100)*(F403/100))</f>
        <v>23.808690171912751</v>
      </c>
      <c r="I403" s="5">
        <v>97</v>
      </c>
      <c r="J403" s="30">
        <v>140</v>
      </c>
      <c r="K403" s="30">
        <v>80</v>
      </c>
      <c r="L403" s="29">
        <f>IF(B403="Nữ",0,2)</f>
        <v>2</v>
      </c>
      <c r="M403" s="29">
        <f ca="1">IF(D403&lt;45,0,IF(D403&lt;=49,1,2))</f>
        <v>2</v>
      </c>
      <c r="N403" s="29">
        <f>IF(E403="Có",4,0)</f>
        <v>0</v>
      </c>
      <c r="O403" s="29">
        <f>IF(H403&lt;23,0,IF(H403&lt;27.5,3,5))</f>
        <v>3</v>
      </c>
      <c r="P403" s="29">
        <f>IF(OR(AND(B403="Nam",I403&gt;=90),AND(B403="Nữ",I403&gt;=80)),2,0)</f>
        <v>2</v>
      </c>
      <c r="Q403" s="29">
        <f>IF(OR(J403&gt;=140,K403&gt;=90),2,0)</f>
        <v>2</v>
      </c>
      <c r="R403" s="29">
        <f ca="1">SUM(L403:Q403)</f>
        <v>11</v>
      </c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5" t="s">
        <v>1393</v>
      </c>
      <c r="AE403" s="33"/>
      <c r="AF403" s="59" t="str">
        <f t="shared" si="19"/>
        <v>Không</v>
      </c>
      <c r="AG403" s="59" t="str">
        <f t="shared" si="20"/>
        <v>Không</v>
      </c>
      <c r="AH403" s="29" t="str">
        <f t="shared" ca="1" si="18"/>
        <v>Có</v>
      </c>
      <c r="AI403" s="29" t="str">
        <f ca="1">IF((R403)&gt;=6,"Có","Không")</f>
        <v>Có</v>
      </c>
      <c r="AJ403" s="29" t="str">
        <f>IF(OR(J403&gt;=140,K403&gt;=90),"Có","Không")</f>
        <v>Có</v>
      </c>
      <c r="AK403" s="5" t="s">
        <v>51</v>
      </c>
      <c r="AL403" s="32">
        <v>46112</v>
      </c>
      <c r="AM403" s="29" t="str">
        <f>"Tháng "&amp;MONTH(AL403)</f>
        <v>Tháng 3</v>
      </c>
      <c r="AN403" s="29" t="str">
        <f>LEFT(AK403,FIND(",",AK403)-1)</f>
        <v>Phường Hiệp Thành</v>
      </c>
    </row>
    <row r="404" spans="1:40" x14ac:dyDescent="0.25">
      <c r="A404" s="49" t="s">
        <v>423</v>
      </c>
      <c r="B404" s="5" t="s">
        <v>23</v>
      </c>
      <c r="C404" s="5" t="s">
        <v>268</v>
      </c>
      <c r="D404" s="29">
        <f ca="1">DATEDIF(C404,TODAY(),"Y")</f>
        <v>44</v>
      </c>
      <c r="E404" s="5" t="s">
        <v>26</v>
      </c>
      <c r="F404" s="30">
        <v>158</v>
      </c>
      <c r="G404" s="30">
        <v>58</v>
      </c>
      <c r="H404" s="31">
        <f>G404/((F404/100)*(F404/100))</f>
        <v>23.233456176894723</v>
      </c>
      <c r="I404" s="5">
        <v>88</v>
      </c>
      <c r="J404" s="30">
        <v>120</v>
      </c>
      <c r="K404" s="30">
        <v>80</v>
      </c>
      <c r="L404" s="29">
        <f>IF(B404="Nữ",0,2)</f>
        <v>0</v>
      </c>
      <c r="M404" s="29">
        <f ca="1">IF(D404&lt;45,0,IF(D404&lt;=49,1,2))</f>
        <v>0</v>
      </c>
      <c r="N404" s="29">
        <f>IF(E404="Có",4,0)</f>
        <v>0</v>
      </c>
      <c r="O404" s="29">
        <f>IF(H404&lt;23,0,IF(H404&lt;27.5,3,5))</f>
        <v>3</v>
      </c>
      <c r="P404" s="29">
        <f>IF(OR(AND(B404="Nam",I404&gt;=90),AND(B404="Nữ",I404&gt;=80)),2,0)</f>
        <v>2</v>
      </c>
      <c r="Q404" s="29">
        <f>IF(OR(J404&gt;=140,K404&gt;=90),2,0)</f>
        <v>0</v>
      </c>
      <c r="R404" s="29">
        <f ca="1">SUM(L404:Q404)</f>
        <v>5</v>
      </c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5" t="s">
        <v>1393</v>
      </c>
      <c r="AE404" s="33"/>
      <c r="AF404" s="59" t="str">
        <f t="shared" si="19"/>
        <v>Không</v>
      </c>
      <c r="AG404" s="59" t="str">
        <f t="shared" si="20"/>
        <v>Không</v>
      </c>
      <c r="AH404" s="29" t="str">
        <f t="shared" ca="1" si="18"/>
        <v>Không</v>
      </c>
      <c r="AI404" s="29" t="str">
        <f ca="1">IF((R404)&gt;=6,"Có","Không")</f>
        <v>Không</v>
      </c>
      <c r="AJ404" s="29" t="str">
        <f>IF(OR(J404&gt;=140,K404&gt;=90),"Có","Không")</f>
        <v>Không</v>
      </c>
      <c r="AK404" s="5" t="s">
        <v>51</v>
      </c>
      <c r="AL404" s="32">
        <v>46112</v>
      </c>
      <c r="AM404" s="29" t="str">
        <f>"Tháng "&amp;MONTH(AL404)</f>
        <v>Tháng 3</v>
      </c>
      <c r="AN404" s="29" t="str">
        <f>LEFT(AK404,FIND(",",AK404)-1)</f>
        <v>Phường Hiệp Thành</v>
      </c>
    </row>
    <row r="405" spans="1:40" x14ac:dyDescent="0.25">
      <c r="A405" s="49" t="s">
        <v>424</v>
      </c>
      <c r="B405" s="5" t="s">
        <v>23</v>
      </c>
      <c r="C405" s="5" t="s">
        <v>90</v>
      </c>
      <c r="D405" s="29">
        <f ca="1">DATEDIF(C405,TODAY(),"Y")</f>
        <v>54</v>
      </c>
      <c r="E405" s="5" t="s">
        <v>25</v>
      </c>
      <c r="F405" s="30">
        <v>158</v>
      </c>
      <c r="G405" s="30">
        <v>57</v>
      </c>
      <c r="H405" s="31">
        <f>G405/((F405/100)*(F405/100))</f>
        <v>22.832879346258608</v>
      </c>
      <c r="I405" s="5">
        <v>82</v>
      </c>
      <c r="J405" s="30">
        <v>120</v>
      </c>
      <c r="K405" s="30">
        <v>70</v>
      </c>
      <c r="L405" s="29">
        <f>IF(B405="Nữ",0,2)</f>
        <v>0</v>
      </c>
      <c r="M405" s="29">
        <f ca="1">IF(D405&lt;45,0,IF(D405&lt;=49,1,2))</f>
        <v>2</v>
      </c>
      <c r="N405" s="29">
        <f>IF(E405="Có",4,0)</f>
        <v>4</v>
      </c>
      <c r="O405" s="29">
        <f>IF(H405&lt;23,0,IF(H405&lt;27.5,3,5))</f>
        <v>0</v>
      </c>
      <c r="P405" s="29">
        <f>IF(OR(AND(B405="Nam",I405&gt;=90),AND(B405="Nữ",I405&gt;=80)),2,0)</f>
        <v>2</v>
      </c>
      <c r="Q405" s="29">
        <f>IF(OR(J405&gt;=140,K405&gt;=90),2,0)</f>
        <v>0</v>
      </c>
      <c r="R405" s="29">
        <f ca="1">SUM(L405:Q405)</f>
        <v>8</v>
      </c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5" t="s">
        <v>1393</v>
      </c>
      <c r="AE405" s="33"/>
      <c r="AF405" s="59" t="str">
        <f t="shared" si="19"/>
        <v>Không</v>
      </c>
      <c r="AG405" s="59" t="str">
        <f t="shared" si="20"/>
        <v>Không</v>
      </c>
      <c r="AH405" s="29" t="str">
        <f t="shared" ca="1" si="18"/>
        <v>Có</v>
      </c>
      <c r="AI405" s="29" t="str">
        <f ca="1">IF((R405)&gt;=6,"Có","Không")</f>
        <v>Có</v>
      </c>
      <c r="AJ405" s="29" t="str">
        <f>IF(OR(J405&gt;=140,K405&gt;=90),"Có","Không")</f>
        <v>Không</v>
      </c>
      <c r="AK405" s="5" t="s">
        <v>51</v>
      </c>
      <c r="AL405" s="32">
        <v>46112</v>
      </c>
      <c r="AM405" s="29" t="str">
        <f>"Tháng "&amp;MONTH(AL405)</f>
        <v>Tháng 3</v>
      </c>
      <c r="AN405" s="29" t="str">
        <f>LEFT(AK405,FIND(",",AK405)-1)</f>
        <v>Phường Hiệp Thành</v>
      </c>
    </row>
    <row r="406" spans="1:40" x14ac:dyDescent="0.25">
      <c r="A406" s="49" t="s">
        <v>437</v>
      </c>
      <c r="B406" s="5" t="s">
        <v>23</v>
      </c>
      <c r="C406" s="5" t="s">
        <v>84</v>
      </c>
      <c r="D406" s="29">
        <f ca="1">DATEDIF(C406,TODAY(),"Y")</f>
        <v>69</v>
      </c>
      <c r="E406" s="5" t="s">
        <v>26</v>
      </c>
      <c r="F406" s="30">
        <v>158</v>
      </c>
      <c r="G406" s="30">
        <v>58</v>
      </c>
      <c r="H406" s="31">
        <f>G406/((F406/100)*(F406/100))</f>
        <v>23.233456176894723</v>
      </c>
      <c r="I406" s="5">
        <v>86</v>
      </c>
      <c r="J406" s="30">
        <v>140</v>
      </c>
      <c r="K406" s="30">
        <v>80</v>
      </c>
      <c r="L406" s="29">
        <f>IF(B406="Nữ",0,2)</f>
        <v>0</v>
      </c>
      <c r="M406" s="29">
        <f ca="1">IF(D406&lt;45,0,IF(D406&lt;=49,1,2))</f>
        <v>2</v>
      </c>
      <c r="N406" s="29">
        <f>IF(E406="Có",4,0)</f>
        <v>0</v>
      </c>
      <c r="O406" s="29">
        <f>IF(H406&lt;23,0,IF(H406&lt;27.5,3,5))</f>
        <v>3</v>
      </c>
      <c r="P406" s="29">
        <f>IF(OR(AND(B406="Nam",I406&gt;=90),AND(B406="Nữ",I406&gt;=80)),2,0)</f>
        <v>2</v>
      </c>
      <c r="Q406" s="29">
        <f>IF(OR(J406&gt;=140,K406&gt;=90),2,0)</f>
        <v>2</v>
      </c>
      <c r="R406" s="29">
        <f ca="1">SUM(L406:Q406)</f>
        <v>9</v>
      </c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5" t="s">
        <v>1393</v>
      </c>
      <c r="AE406" s="33"/>
      <c r="AF406" s="59" t="str">
        <f t="shared" si="19"/>
        <v>Không</v>
      </c>
      <c r="AG406" s="59" t="str">
        <f t="shared" si="20"/>
        <v>Không</v>
      </c>
      <c r="AH406" s="29" t="str">
        <f t="shared" ca="1" si="18"/>
        <v>Có</v>
      </c>
      <c r="AI406" s="29" t="str">
        <f ca="1">IF((R406)&gt;=6,"Có","Không")</f>
        <v>Có</v>
      </c>
      <c r="AJ406" s="29" t="str">
        <f>IF(OR(J406&gt;=140,K406&gt;=90),"Có","Không")</f>
        <v>Có</v>
      </c>
      <c r="AK406" s="5" t="s">
        <v>438</v>
      </c>
      <c r="AL406" s="32">
        <v>46112</v>
      </c>
      <c r="AM406" s="29" t="str">
        <f>"Tháng "&amp;MONTH(AL406)</f>
        <v>Tháng 3</v>
      </c>
      <c r="AN406" s="29" t="str">
        <f>LEFT(AK406,FIND(",",AK406)-1)</f>
        <v>p Giồng Giữa A</v>
      </c>
    </row>
    <row r="407" spans="1:40" x14ac:dyDescent="0.25">
      <c r="A407" s="49" t="s">
        <v>444</v>
      </c>
      <c r="B407" s="5" t="s">
        <v>23</v>
      </c>
      <c r="C407" s="5" t="s">
        <v>314</v>
      </c>
      <c r="D407" s="29">
        <f ca="1">DATEDIF(C407,TODAY(),"Y")</f>
        <v>77</v>
      </c>
      <c r="E407" s="5" t="s">
        <v>26</v>
      </c>
      <c r="F407" s="30">
        <v>158</v>
      </c>
      <c r="G407" s="30">
        <v>58</v>
      </c>
      <c r="H407" s="31">
        <f>G407/((F407/100)*(F407/100))</f>
        <v>23.233456176894723</v>
      </c>
      <c r="I407" s="5">
        <v>73</v>
      </c>
      <c r="J407" s="30">
        <v>140</v>
      </c>
      <c r="K407" s="30">
        <v>80</v>
      </c>
      <c r="L407" s="29">
        <f>IF(B407="Nữ",0,2)</f>
        <v>0</v>
      </c>
      <c r="M407" s="29">
        <f ca="1">IF(D407&lt;45,0,IF(D407&lt;=49,1,2))</f>
        <v>2</v>
      </c>
      <c r="N407" s="29">
        <f>IF(E407="Có",4,0)</f>
        <v>0</v>
      </c>
      <c r="O407" s="29">
        <f>IF(H407&lt;23,0,IF(H407&lt;27.5,3,5))</f>
        <v>3</v>
      </c>
      <c r="P407" s="29">
        <f>IF(OR(AND(B407="Nam",I407&gt;=90),AND(B407="Nữ",I407&gt;=80)),2,0)</f>
        <v>0</v>
      </c>
      <c r="Q407" s="29">
        <f>IF(OR(J407&gt;=140,K407&gt;=90),2,0)</f>
        <v>2</v>
      </c>
      <c r="R407" s="29">
        <f ca="1">SUM(L407:Q407)</f>
        <v>7</v>
      </c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5" t="s">
        <v>1393</v>
      </c>
      <c r="AE407" s="33"/>
      <c r="AF407" s="59" t="str">
        <f t="shared" si="19"/>
        <v>Không</v>
      </c>
      <c r="AG407" s="59" t="str">
        <f t="shared" si="20"/>
        <v>Không</v>
      </c>
      <c r="AH407" s="29" t="str">
        <f t="shared" ca="1" si="18"/>
        <v>Có</v>
      </c>
      <c r="AI407" s="29" t="str">
        <f ca="1">IF((R407)&gt;=6,"Có","Không")</f>
        <v>Có</v>
      </c>
      <c r="AJ407" s="29" t="str">
        <f>IF(OR(J407&gt;=140,K407&gt;=90),"Có","Không")</f>
        <v>Có</v>
      </c>
      <c r="AK407" s="5" t="s">
        <v>51</v>
      </c>
      <c r="AL407" s="32">
        <v>46112</v>
      </c>
      <c r="AM407" s="29" t="str">
        <f>"Tháng "&amp;MONTH(AL407)</f>
        <v>Tháng 3</v>
      </c>
      <c r="AN407" s="29" t="str">
        <f>LEFT(AK407,FIND(",",AK407)-1)</f>
        <v>Phường Hiệp Thành</v>
      </c>
    </row>
    <row r="408" spans="1:40" x14ac:dyDescent="0.25">
      <c r="A408" s="49" t="s">
        <v>445</v>
      </c>
      <c r="B408" s="5" t="s">
        <v>30</v>
      </c>
      <c r="C408" s="5" t="s">
        <v>62</v>
      </c>
      <c r="D408" s="29">
        <f ca="1">DATEDIF(C408,TODAY(),"Y")</f>
        <v>64</v>
      </c>
      <c r="E408" s="5" t="s">
        <v>25</v>
      </c>
      <c r="F408" s="30">
        <v>169</v>
      </c>
      <c r="G408" s="30">
        <v>68</v>
      </c>
      <c r="H408" s="31">
        <f>G408/((F408/100)*(F408/100))</f>
        <v>23.808690171912751</v>
      </c>
      <c r="I408" s="5">
        <v>77</v>
      </c>
      <c r="J408" s="30">
        <v>150</v>
      </c>
      <c r="K408" s="30">
        <v>80</v>
      </c>
      <c r="L408" s="29">
        <f>IF(B408="Nữ",0,2)</f>
        <v>2</v>
      </c>
      <c r="M408" s="29">
        <f ca="1">IF(D408&lt;45,0,IF(D408&lt;=49,1,2))</f>
        <v>2</v>
      </c>
      <c r="N408" s="29">
        <f>IF(E408="Có",4,0)</f>
        <v>4</v>
      </c>
      <c r="O408" s="29">
        <f>IF(H408&lt;23,0,IF(H408&lt;27.5,3,5))</f>
        <v>3</v>
      </c>
      <c r="P408" s="29">
        <f>IF(OR(AND(B408="Nam",I408&gt;=90),AND(B408="Nữ",I408&gt;=80)),2,0)</f>
        <v>0</v>
      </c>
      <c r="Q408" s="29">
        <f>IF(OR(J408&gt;=140,K408&gt;=90),2,0)</f>
        <v>2</v>
      </c>
      <c r="R408" s="29">
        <f ca="1">SUM(L408:Q408)</f>
        <v>13</v>
      </c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5" t="s">
        <v>1393</v>
      </c>
      <c r="AE408" s="33"/>
      <c r="AF408" s="59" t="str">
        <f t="shared" si="19"/>
        <v>Không</v>
      </c>
      <c r="AG408" s="59" t="str">
        <f t="shared" si="20"/>
        <v>Không</v>
      </c>
      <c r="AH408" s="29" t="str">
        <f t="shared" ca="1" si="18"/>
        <v>Có</v>
      </c>
      <c r="AI408" s="29" t="str">
        <f ca="1">IF((R408)&gt;=6,"Có","Không")</f>
        <v>Có</v>
      </c>
      <c r="AJ408" s="29" t="str">
        <f>IF(OR(J408&gt;=140,K408&gt;=90),"Có","Không")</f>
        <v>Có</v>
      </c>
      <c r="AK408" s="5" t="s">
        <v>51</v>
      </c>
      <c r="AL408" s="32">
        <v>46112</v>
      </c>
      <c r="AM408" s="29" t="str">
        <f>"Tháng "&amp;MONTH(AL408)</f>
        <v>Tháng 3</v>
      </c>
      <c r="AN408" s="29" t="str">
        <f>LEFT(AK408,FIND(",",AK408)-1)</f>
        <v>Phường Hiệp Thành</v>
      </c>
    </row>
    <row r="409" spans="1:40" x14ac:dyDescent="0.25">
      <c r="A409" s="49" t="s">
        <v>446</v>
      </c>
      <c r="B409" s="5" t="s">
        <v>23</v>
      </c>
      <c r="C409" s="5" t="s">
        <v>80</v>
      </c>
      <c r="D409" s="29">
        <f ca="1">DATEDIF(C409,TODAY(),"Y")</f>
        <v>71</v>
      </c>
      <c r="E409" s="5" t="s">
        <v>26</v>
      </c>
      <c r="F409" s="30">
        <v>158</v>
      </c>
      <c r="G409" s="30">
        <v>58</v>
      </c>
      <c r="H409" s="31">
        <f>G409/((F409/100)*(F409/100))</f>
        <v>23.233456176894723</v>
      </c>
      <c r="I409" s="5">
        <v>68</v>
      </c>
      <c r="J409" s="30">
        <v>140</v>
      </c>
      <c r="K409" s="30">
        <v>80</v>
      </c>
      <c r="L409" s="29">
        <f>IF(B409="Nữ",0,2)</f>
        <v>0</v>
      </c>
      <c r="M409" s="29">
        <f ca="1">IF(D409&lt;45,0,IF(D409&lt;=49,1,2))</f>
        <v>2</v>
      </c>
      <c r="N409" s="29">
        <f>IF(E409="Có",4,0)</f>
        <v>0</v>
      </c>
      <c r="O409" s="29">
        <f>IF(H409&lt;23,0,IF(H409&lt;27.5,3,5))</f>
        <v>3</v>
      </c>
      <c r="P409" s="29">
        <f>IF(OR(AND(B409="Nam",I409&gt;=90),AND(B409="Nữ",I409&gt;=80)),2,0)</f>
        <v>0</v>
      </c>
      <c r="Q409" s="29">
        <f>IF(OR(J409&gt;=140,K409&gt;=90),2,0)</f>
        <v>2</v>
      </c>
      <c r="R409" s="29">
        <f ca="1">SUM(L409:Q409)</f>
        <v>7</v>
      </c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5" t="s">
        <v>1393</v>
      </c>
      <c r="AE409" s="33"/>
      <c r="AF409" s="59" t="str">
        <f t="shared" si="19"/>
        <v>Không</v>
      </c>
      <c r="AG409" s="59" t="str">
        <f t="shared" si="20"/>
        <v>Không</v>
      </c>
      <c r="AH409" s="29" t="str">
        <f t="shared" ca="1" si="18"/>
        <v>Có</v>
      </c>
      <c r="AI409" s="29" t="str">
        <f ca="1">IF((R409)&gt;=6,"Có","Không")</f>
        <v>Có</v>
      </c>
      <c r="AJ409" s="29" t="str">
        <f>IF(OR(J409&gt;=140,K409&gt;=90),"Có","Không")</f>
        <v>Có</v>
      </c>
      <c r="AK409" s="5" t="s">
        <v>447</v>
      </c>
      <c r="AL409" s="32">
        <v>46112</v>
      </c>
      <c r="AM409" s="29" t="str">
        <f>"Tháng "&amp;MONTH(AL409)</f>
        <v>Tháng 3</v>
      </c>
      <c r="AN409" s="29" t="str">
        <f>LEFT(AK409,FIND(",",AK409)-1)</f>
        <v>Ấp Giáp Nước</v>
      </c>
    </row>
    <row r="410" spans="1:40" x14ac:dyDescent="0.25">
      <c r="A410" s="49" t="s">
        <v>451</v>
      </c>
      <c r="B410" s="5" t="s">
        <v>23</v>
      </c>
      <c r="C410" s="5" t="s">
        <v>67</v>
      </c>
      <c r="D410" s="29">
        <f ca="1">DATEDIF(C410,TODAY(),"Y")</f>
        <v>48</v>
      </c>
      <c r="E410" s="5" t="s">
        <v>26</v>
      </c>
      <c r="F410" s="30">
        <v>158</v>
      </c>
      <c r="G410" s="30">
        <v>58</v>
      </c>
      <c r="H410" s="31">
        <f>G410/((F410/100)*(F410/100))</f>
        <v>23.233456176894723</v>
      </c>
      <c r="I410" s="5">
        <v>79</v>
      </c>
      <c r="J410" s="30">
        <v>150</v>
      </c>
      <c r="K410" s="30">
        <v>80</v>
      </c>
      <c r="L410" s="29">
        <f>IF(B410="Nữ",0,2)</f>
        <v>0</v>
      </c>
      <c r="M410" s="29">
        <f ca="1">IF(D410&lt;45,0,IF(D410&lt;=49,1,2))</f>
        <v>1</v>
      </c>
      <c r="N410" s="29">
        <f>IF(E410="Có",4,0)</f>
        <v>0</v>
      </c>
      <c r="O410" s="29">
        <f>IF(H410&lt;23,0,IF(H410&lt;27.5,3,5))</f>
        <v>3</v>
      </c>
      <c r="P410" s="29">
        <f>IF(OR(AND(B410="Nam",I410&gt;=90),AND(B410="Nữ",I410&gt;=80)),2,0)</f>
        <v>0</v>
      </c>
      <c r="Q410" s="29">
        <f>IF(OR(J410&gt;=140,K410&gt;=90),2,0)</f>
        <v>2</v>
      </c>
      <c r="R410" s="29">
        <f ca="1">SUM(L410:Q410)</f>
        <v>6</v>
      </c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5" t="s">
        <v>1393</v>
      </c>
      <c r="AE410" s="33"/>
      <c r="AF410" s="59" t="str">
        <f t="shared" si="19"/>
        <v>Không</v>
      </c>
      <c r="AG410" s="59" t="str">
        <f t="shared" si="20"/>
        <v>Không</v>
      </c>
      <c r="AH410" s="29" t="str">
        <f t="shared" ca="1" si="18"/>
        <v>Có</v>
      </c>
      <c r="AI410" s="29" t="str">
        <f ca="1">IF((R410)&gt;=6,"Có","Không")</f>
        <v>Có</v>
      </c>
      <c r="AJ410" s="29" t="str">
        <f>IF(OR(J410&gt;=140,K410&gt;=90),"Có","Không")</f>
        <v>Có</v>
      </c>
      <c r="AK410" s="5" t="s">
        <v>70</v>
      </c>
      <c r="AL410" s="32">
        <v>46112</v>
      </c>
      <c r="AM410" s="29" t="str">
        <f>"Tháng "&amp;MONTH(AL410)</f>
        <v>Tháng 3</v>
      </c>
      <c r="AN410" s="29" t="str">
        <f>LEFT(AK410,FIND(",",AK410)-1)</f>
        <v>Ấp Biển Tây A</v>
      </c>
    </row>
    <row r="411" spans="1:40" x14ac:dyDescent="0.25">
      <c r="A411" s="49" t="s">
        <v>58</v>
      </c>
      <c r="B411" s="5" t="s">
        <v>23</v>
      </c>
      <c r="C411" s="5" t="s">
        <v>146</v>
      </c>
      <c r="D411" s="29">
        <f ca="1">DATEDIF(C411,TODAY(),"Y")</f>
        <v>52</v>
      </c>
      <c r="E411" s="5" t="s">
        <v>25</v>
      </c>
      <c r="F411" s="30">
        <v>158</v>
      </c>
      <c r="G411" s="30">
        <v>58</v>
      </c>
      <c r="H411" s="31">
        <f>G411/((F411/100)*(F411/100))</f>
        <v>23.233456176894723</v>
      </c>
      <c r="I411" s="5">
        <v>80</v>
      </c>
      <c r="J411" s="30">
        <v>150</v>
      </c>
      <c r="K411" s="30">
        <v>80</v>
      </c>
      <c r="L411" s="29">
        <f>IF(B411="Nữ",0,2)</f>
        <v>0</v>
      </c>
      <c r="M411" s="29">
        <f ca="1">IF(D411&lt;45,0,IF(D411&lt;=49,1,2))</f>
        <v>2</v>
      </c>
      <c r="N411" s="29">
        <f>IF(E411="Có",4,0)</f>
        <v>4</v>
      </c>
      <c r="O411" s="29">
        <f>IF(H411&lt;23,0,IF(H411&lt;27.5,3,5))</f>
        <v>3</v>
      </c>
      <c r="P411" s="29">
        <f>IF(OR(AND(B411="Nam",I411&gt;=90),AND(B411="Nữ",I411&gt;=80)),2,0)</f>
        <v>2</v>
      </c>
      <c r="Q411" s="29">
        <f>IF(OR(J411&gt;=140,K411&gt;=90),2,0)</f>
        <v>2</v>
      </c>
      <c r="R411" s="29">
        <f ca="1">SUM(L411:Q411)</f>
        <v>13</v>
      </c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5" t="s">
        <v>1393</v>
      </c>
      <c r="AE411" s="33"/>
      <c r="AF411" s="59" t="str">
        <f t="shared" si="19"/>
        <v>Không</v>
      </c>
      <c r="AG411" s="59" t="str">
        <f t="shared" si="20"/>
        <v>Không</v>
      </c>
      <c r="AH411" s="29" t="str">
        <f t="shared" ca="1" si="18"/>
        <v>Có</v>
      </c>
      <c r="AI411" s="29" t="str">
        <f ca="1">IF((R411)&gt;=6,"Có","Không")</f>
        <v>Có</v>
      </c>
      <c r="AJ411" s="29" t="str">
        <f>IF(OR(J411&gt;=140,K411&gt;=90),"Có","Không")</f>
        <v>Có</v>
      </c>
      <c r="AK411" s="5" t="s">
        <v>60</v>
      </c>
      <c r="AL411" s="32">
        <v>46112</v>
      </c>
      <c r="AM411" s="29" t="str">
        <f>"Tháng "&amp;MONTH(AL411)</f>
        <v>Tháng 3</v>
      </c>
      <c r="AN411" s="29" t="str">
        <f>LEFT(AK411,FIND(",",AK411)-1)</f>
        <v>ấp Biển Đông A</v>
      </c>
    </row>
    <row r="412" spans="1:40" x14ac:dyDescent="0.25">
      <c r="A412" s="49" t="s">
        <v>465</v>
      </c>
      <c r="B412" s="5" t="s">
        <v>30</v>
      </c>
      <c r="C412" s="5" t="s">
        <v>138</v>
      </c>
      <c r="D412" s="29">
        <f ca="1">DATEDIF(C412,TODAY(),"Y")</f>
        <v>67</v>
      </c>
      <c r="E412" s="5" t="s">
        <v>26</v>
      </c>
      <c r="F412" s="30">
        <v>169</v>
      </c>
      <c r="G412" s="30">
        <v>68</v>
      </c>
      <c r="H412" s="31">
        <f>G412/((F412/100)*(F412/100))</f>
        <v>23.808690171912751</v>
      </c>
      <c r="I412" s="5">
        <v>95</v>
      </c>
      <c r="J412" s="30">
        <v>130</v>
      </c>
      <c r="K412" s="30">
        <v>80</v>
      </c>
      <c r="L412" s="29">
        <f>IF(B412="Nữ",0,2)</f>
        <v>2</v>
      </c>
      <c r="M412" s="29">
        <f ca="1">IF(D412&lt;45,0,IF(D412&lt;=49,1,2))</f>
        <v>2</v>
      </c>
      <c r="N412" s="29">
        <f>IF(E412="Có",4,0)</f>
        <v>0</v>
      </c>
      <c r="O412" s="29">
        <f>IF(H412&lt;23,0,IF(H412&lt;27.5,3,5))</f>
        <v>3</v>
      </c>
      <c r="P412" s="29">
        <f>IF(OR(AND(B412="Nam",I412&gt;=90),AND(B412="Nữ",I412&gt;=80)),2,0)</f>
        <v>2</v>
      </c>
      <c r="Q412" s="29">
        <f>IF(OR(J412&gt;=140,K412&gt;=90),2,0)</f>
        <v>0</v>
      </c>
      <c r="R412" s="29">
        <f ca="1">SUM(L412:Q412)</f>
        <v>9</v>
      </c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5" t="s">
        <v>1393</v>
      </c>
      <c r="AE412" s="33"/>
      <c r="AF412" s="59" t="str">
        <f t="shared" si="19"/>
        <v>Không</v>
      </c>
      <c r="AG412" s="59" t="str">
        <f t="shared" si="20"/>
        <v>Không</v>
      </c>
      <c r="AH412" s="29" t="str">
        <f t="shared" ca="1" si="18"/>
        <v>Có</v>
      </c>
      <c r="AI412" s="29" t="str">
        <f ca="1">IF((R412)&gt;=6,"Có","Không")</f>
        <v>Có</v>
      </c>
      <c r="AJ412" s="29" t="str">
        <f>IF(OR(J412&gt;=140,K412&gt;=90),"Có","Không")</f>
        <v>Không</v>
      </c>
      <c r="AK412" s="5" t="s">
        <v>68</v>
      </c>
      <c r="AL412" s="32">
        <v>46112</v>
      </c>
      <c r="AM412" s="29" t="str">
        <f>"Tháng "&amp;MONTH(AL412)</f>
        <v>Tháng 3</v>
      </c>
      <c r="AN412" s="29" t="str">
        <f>LEFT(AK412,FIND(",",AK412)-1)</f>
        <v>Ấp Biển Tây B</v>
      </c>
    </row>
    <row r="413" spans="1:40" x14ac:dyDescent="0.25">
      <c r="A413" s="49" t="s">
        <v>467</v>
      </c>
      <c r="B413" s="5" t="s">
        <v>23</v>
      </c>
      <c r="C413" s="5" t="s">
        <v>76</v>
      </c>
      <c r="D413" s="29">
        <f ca="1">DATEDIF(C413,TODAY(),"Y")</f>
        <v>68</v>
      </c>
      <c r="E413" s="5" t="s">
        <v>26</v>
      </c>
      <c r="F413" s="30">
        <v>158</v>
      </c>
      <c r="G413" s="30">
        <v>58</v>
      </c>
      <c r="H413" s="31">
        <f>G413/((F413/100)*(F413/100))</f>
        <v>23.233456176894723</v>
      </c>
      <c r="I413" s="5">
        <v>90</v>
      </c>
      <c r="J413" s="30">
        <v>150</v>
      </c>
      <c r="K413" s="30">
        <v>80</v>
      </c>
      <c r="L413" s="29">
        <f>IF(B413="Nữ",0,2)</f>
        <v>0</v>
      </c>
      <c r="M413" s="29">
        <f ca="1">IF(D413&lt;45,0,IF(D413&lt;=49,1,2))</f>
        <v>2</v>
      </c>
      <c r="N413" s="29">
        <f>IF(E413="Có",4,0)</f>
        <v>0</v>
      </c>
      <c r="O413" s="29">
        <f>IF(H413&lt;23,0,IF(H413&lt;27.5,3,5))</f>
        <v>3</v>
      </c>
      <c r="P413" s="29">
        <f>IF(OR(AND(B413="Nam",I413&gt;=90),AND(B413="Nữ",I413&gt;=80)),2,0)</f>
        <v>2</v>
      </c>
      <c r="Q413" s="29">
        <f>IF(OR(J413&gt;=140,K413&gt;=90),2,0)</f>
        <v>2</v>
      </c>
      <c r="R413" s="29">
        <f ca="1">SUM(L413:Q413)</f>
        <v>9</v>
      </c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5" t="s">
        <v>1393</v>
      </c>
      <c r="AE413" s="33"/>
      <c r="AF413" s="59" t="str">
        <f t="shared" si="19"/>
        <v>Không</v>
      </c>
      <c r="AG413" s="59" t="str">
        <f t="shared" si="20"/>
        <v>Không</v>
      </c>
      <c r="AH413" s="29" t="str">
        <f t="shared" ca="1" si="18"/>
        <v>Có</v>
      </c>
      <c r="AI413" s="29" t="str">
        <f ca="1">IF((R413)&gt;=6,"Có","Không")</f>
        <v>Có</v>
      </c>
      <c r="AJ413" s="29" t="str">
        <f>IF(OR(J413&gt;=140,K413&gt;=90),"Có","Không")</f>
        <v>Có</v>
      </c>
      <c r="AK413" s="5" t="s">
        <v>218</v>
      </c>
      <c r="AL413" s="32">
        <v>46112</v>
      </c>
      <c r="AM413" s="29" t="str">
        <f>"Tháng "&amp;MONTH(AL413)</f>
        <v>Tháng 3</v>
      </c>
      <c r="AN413" s="29" t="str">
        <f>LEFT(AK413,FIND(",",AK413)-1)</f>
        <v>Biển Đông B</v>
      </c>
    </row>
    <row r="414" spans="1:40" x14ac:dyDescent="0.25">
      <c r="A414" s="49" t="s">
        <v>474</v>
      </c>
      <c r="B414" s="5" t="s">
        <v>30</v>
      </c>
      <c r="C414" s="5" t="s">
        <v>110</v>
      </c>
      <c r="D414" s="29">
        <f ca="1">DATEDIF(C414,TODAY(),"Y")</f>
        <v>62</v>
      </c>
      <c r="E414" s="5" t="s">
        <v>26</v>
      </c>
      <c r="F414" s="30">
        <v>169</v>
      </c>
      <c r="G414" s="30">
        <v>68</v>
      </c>
      <c r="H414" s="31">
        <f>G414/((F414/100)*(F414/100))</f>
        <v>23.808690171912751</v>
      </c>
      <c r="I414" s="5">
        <v>71</v>
      </c>
      <c r="J414" s="30">
        <v>150</v>
      </c>
      <c r="K414" s="30">
        <v>80</v>
      </c>
      <c r="L414" s="29">
        <f>IF(B414="Nữ",0,2)</f>
        <v>2</v>
      </c>
      <c r="M414" s="29">
        <f ca="1">IF(D414&lt;45,0,IF(D414&lt;=49,1,2))</f>
        <v>2</v>
      </c>
      <c r="N414" s="29">
        <f>IF(E414="Có",4,0)</f>
        <v>0</v>
      </c>
      <c r="O414" s="29">
        <f>IF(H414&lt;23,0,IF(H414&lt;27.5,3,5))</f>
        <v>3</v>
      </c>
      <c r="P414" s="29">
        <f>IF(OR(AND(B414="Nam",I414&gt;=90),AND(B414="Nữ",I414&gt;=80)),2,0)</f>
        <v>0</v>
      </c>
      <c r="Q414" s="29">
        <f>IF(OR(J414&gt;=140,K414&gt;=90),2,0)</f>
        <v>2</v>
      </c>
      <c r="R414" s="29">
        <f ca="1">SUM(L414:Q414)</f>
        <v>9</v>
      </c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5" t="s">
        <v>1393</v>
      </c>
      <c r="AE414" s="33"/>
      <c r="AF414" s="59" t="str">
        <f t="shared" si="19"/>
        <v>Không</v>
      </c>
      <c r="AG414" s="59" t="str">
        <f t="shared" si="20"/>
        <v>Không</v>
      </c>
      <c r="AH414" s="29" t="str">
        <f t="shared" ca="1" si="18"/>
        <v>Có</v>
      </c>
      <c r="AI414" s="29" t="str">
        <f ca="1">IF((R414)&gt;=6,"Có","Không")</f>
        <v>Có</v>
      </c>
      <c r="AJ414" s="29" t="str">
        <f>IF(OR(J414&gt;=140,K414&gt;=90),"Có","Không")</f>
        <v>Có</v>
      </c>
      <c r="AK414" s="5" t="s">
        <v>218</v>
      </c>
      <c r="AL414" s="32">
        <v>46112</v>
      </c>
      <c r="AM414" s="29" t="str">
        <f>"Tháng "&amp;MONTH(AL414)</f>
        <v>Tháng 3</v>
      </c>
      <c r="AN414" s="29" t="str">
        <f>LEFT(AK414,FIND(",",AK414)-1)</f>
        <v>Biển Đông B</v>
      </c>
    </row>
    <row r="415" spans="1:40" x14ac:dyDescent="0.25">
      <c r="A415" s="49" t="s">
        <v>479</v>
      </c>
      <c r="B415" s="5" t="s">
        <v>30</v>
      </c>
      <c r="C415" s="5" t="s">
        <v>256</v>
      </c>
      <c r="D415" s="29">
        <f ca="1">DATEDIF(C415,TODAY(),"Y")</f>
        <v>41</v>
      </c>
      <c r="E415" s="5" t="s">
        <v>26</v>
      </c>
      <c r="F415" s="30">
        <v>167</v>
      </c>
      <c r="G415" s="30">
        <v>61</v>
      </c>
      <c r="H415" s="31">
        <f>G415/((F415/100)*(F415/100))</f>
        <v>21.872422819032593</v>
      </c>
      <c r="I415" s="5">
        <v>75</v>
      </c>
      <c r="J415" s="30">
        <v>120</v>
      </c>
      <c r="K415" s="30">
        <v>80</v>
      </c>
      <c r="L415" s="29">
        <f>IF(B415="Nữ",0,2)</f>
        <v>2</v>
      </c>
      <c r="M415" s="29">
        <f ca="1">IF(D415&lt;45,0,IF(D415&lt;=49,1,2))</f>
        <v>0</v>
      </c>
      <c r="N415" s="29">
        <f>IF(E415="Có",4,0)</f>
        <v>0</v>
      </c>
      <c r="O415" s="29">
        <f>IF(H415&lt;23,0,IF(H415&lt;27.5,3,5))</f>
        <v>0</v>
      </c>
      <c r="P415" s="29">
        <f>IF(OR(AND(B415="Nam",I415&gt;=90),AND(B415="Nữ",I415&gt;=80)),2,0)</f>
        <v>0</v>
      </c>
      <c r="Q415" s="29">
        <f>IF(OR(J415&gt;=140,K415&gt;=90),2,0)</f>
        <v>0</v>
      </c>
      <c r="R415" s="29">
        <f ca="1">SUM(L415:Q415)</f>
        <v>2</v>
      </c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5" t="s">
        <v>1393</v>
      </c>
      <c r="AE415" s="33"/>
      <c r="AF415" s="59" t="str">
        <f t="shared" si="19"/>
        <v>Không</v>
      </c>
      <c r="AG415" s="59" t="str">
        <f t="shared" si="20"/>
        <v>Không</v>
      </c>
      <c r="AH415" s="29" t="str">
        <f t="shared" ca="1" si="18"/>
        <v>Không</v>
      </c>
      <c r="AI415" s="29" t="str">
        <f ca="1">IF((R415)&gt;=6,"Có","Không")</f>
        <v>Không</v>
      </c>
      <c r="AJ415" s="29" t="str">
        <f>IF(OR(J415&gt;=140,K415&gt;=90),"Có","Không")</f>
        <v>Không</v>
      </c>
      <c r="AK415" s="5" t="s">
        <v>51</v>
      </c>
      <c r="AL415" s="32">
        <v>46112</v>
      </c>
      <c r="AM415" s="29" t="str">
        <f>"Tháng "&amp;MONTH(AL415)</f>
        <v>Tháng 3</v>
      </c>
      <c r="AN415" s="29" t="str">
        <f>LEFT(AK415,FIND(",",AK415)-1)</f>
        <v>Phường Hiệp Thành</v>
      </c>
    </row>
    <row r="416" spans="1:40" x14ac:dyDescent="0.25">
      <c r="A416" s="49" t="s">
        <v>480</v>
      </c>
      <c r="B416" s="5" t="s">
        <v>30</v>
      </c>
      <c r="C416" s="5" t="s">
        <v>155</v>
      </c>
      <c r="D416" s="29">
        <f ca="1">DATEDIF(C416,TODAY(),"Y")</f>
        <v>53</v>
      </c>
      <c r="E416" s="5" t="s">
        <v>26</v>
      </c>
      <c r="F416" s="30">
        <v>166</v>
      </c>
      <c r="G416" s="30">
        <v>74</v>
      </c>
      <c r="H416" s="31">
        <f>G416/((F416/100)*(F416/100))</f>
        <v>26.854405574103644</v>
      </c>
      <c r="I416" s="5">
        <v>83</v>
      </c>
      <c r="J416" s="30">
        <v>120</v>
      </c>
      <c r="K416" s="30">
        <v>80</v>
      </c>
      <c r="L416" s="29">
        <f>IF(B416="Nữ",0,2)</f>
        <v>2</v>
      </c>
      <c r="M416" s="29">
        <f ca="1">IF(D416&lt;45,0,IF(D416&lt;=49,1,2))</f>
        <v>2</v>
      </c>
      <c r="N416" s="29">
        <f>IF(E416="Có",4,0)</f>
        <v>0</v>
      </c>
      <c r="O416" s="29">
        <f>IF(H416&lt;23,0,IF(H416&lt;27.5,3,5))</f>
        <v>3</v>
      </c>
      <c r="P416" s="29">
        <f>IF(OR(AND(B416="Nam",I416&gt;=90),AND(B416="Nữ",I416&gt;=80)),2,0)</f>
        <v>0</v>
      </c>
      <c r="Q416" s="29">
        <f>IF(OR(J416&gt;=140,K416&gt;=90),2,0)</f>
        <v>0</v>
      </c>
      <c r="R416" s="29">
        <f ca="1">SUM(L416:Q416)</f>
        <v>7</v>
      </c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5" t="s">
        <v>1393</v>
      </c>
      <c r="AE416" s="33"/>
      <c r="AF416" s="59" t="str">
        <f t="shared" si="19"/>
        <v>Không</v>
      </c>
      <c r="AG416" s="59" t="str">
        <f t="shared" si="20"/>
        <v>Không</v>
      </c>
      <c r="AH416" s="29" t="str">
        <f t="shared" ca="1" si="18"/>
        <v>Có</v>
      </c>
      <c r="AI416" s="29" t="str">
        <f ca="1">IF((R416)&gt;=6,"Có","Không")</f>
        <v>Có</v>
      </c>
      <c r="AJ416" s="29" t="str">
        <f>IF(OR(J416&gt;=140,K416&gt;=90),"Có","Không")</f>
        <v>Không</v>
      </c>
      <c r="AK416" s="5" t="s">
        <v>51</v>
      </c>
      <c r="AL416" s="32">
        <v>46112</v>
      </c>
      <c r="AM416" s="29" t="str">
        <f>"Tháng "&amp;MONTH(AL416)</f>
        <v>Tháng 3</v>
      </c>
      <c r="AN416" s="29" t="str">
        <f>LEFT(AK416,FIND(",",AK416)-1)</f>
        <v>Phường Hiệp Thành</v>
      </c>
    </row>
    <row r="417" spans="1:40" x14ac:dyDescent="0.25">
      <c r="A417" s="49" t="s">
        <v>481</v>
      </c>
      <c r="B417" s="5" t="s">
        <v>23</v>
      </c>
      <c r="C417" s="5" t="s">
        <v>188</v>
      </c>
      <c r="D417" s="29">
        <f ca="1">DATEDIF(C417,TODAY(),"Y")</f>
        <v>63</v>
      </c>
      <c r="E417" s="5" t="s">
        <v>26</v>
      </c>
      <c r="F417" s="30">
        <v>157</v>
      </c>
      <c r="G417" s="30">
        <v>62</v>
      </c>
      <c r="H417" s="31">
        <f>G417/((F417/100)*(F417/100))</f>
        <v>25.153150229218223</v>
      </c>
      <c r="I417" s="5">
        <v>73</v>
      </c>
      <c r="J417" s="30">
        <v>120</v>
      </c>
      <c r="K417" s="30">
        <v>70</v>
      </c>
      <c r="L417" s="29">
        <f>IF(B417="Nữ",0,2)</f>
        <v>0</v>
      </c>
      <c r="M417" s="29">
        <f ca="1">IF(D417&lt;45,0,IF(D417&lt;=49,1,2))</f>
        <v>2</v>
      </c>
      <c r="N417" s="29">
        <f>IF(E417="Có",4,0)</f>
        <v>0</v>
      </c>
      <c r="O417" s="29">
        <f>IF(H417&lt;23,0,IF(H417&lt;27.5,3,5))</f>
        <v>3</v>
      </c>
      <c r="P417" s="29">
        <f>IF(OR(AND(B417="Nam",I417&gt;=90),AND(B417="Nữ",I417&gt;=80)),2,0)</f>
        <v>0</v>
      </c>
      <c r="Q417" s="29">
        <f>IF(OR(J417&gt;=140,K417&gt;=90),2,0)</f>
        <v>0</v>
      </c>
      <c r="R417" s="29">
        <f ca="1">SUM(L417:Q417)</f>
        <v>5</v>
      </c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5" t="s">
        <v>1393</v>
      </c>
      <c r="AE417" s="33"/>
      <c r="AF417" s="59" t="str">
        <f t="shared" si="19"/>
        <v>Không</v>
      </c>
      <c r="AG417" s="59" t="str">
        <f t="shared" si="20"/>
        <v>Không</v>
      </c>
      <c r="AH417" s="29" t="str">
        <f t="shared" ca="1" si="18"/>
        <v>Không</v>
      </c>
      <c r="AI417" s="29" t="str">
        <f ca="1">IF((R417)&gt;=6,"Có","Không")</f>
        <v>Không</v>
      </c>
      <c r="AJ417" s="29" t="str">
        <f>IF(OR(J417&gt;=140,K417&gt;=90),"Có","Không")</f>
        <v>Không</v>
      </c>
      <c r="AK417" s="5" t="s">
        <v>482</v>
      </c>
      <c r="AL417" s="32">
        <v>46112</v>
      </c>
      <c r="AM417" s="29" t="str">
        <f>"Tháng "&amp;MONTH(AL417)</f>
        <v>Tháng 3</v>
      </c>
      <c r="AN417" s="29" t="str">
        <f>LEFT(AK417,FIND(",",AK417)-1)</f>
        <v>Vĩnh Mẫu</v>
      </c>
    </row>
    <row r="418" spans="1:40" x14ac:dyDescent="0.25">
      <c r="A418" s="49" t="s">
        <v>483</v>
      </c>
      <c r="B418" s="5" t="s">
        <v>23</v>
      </c>
      <c r="C418" s="5" t="s">
        <v>59</v>
      </c>
      <c r="D418" s="29">
        <f ca="1">DATEDIF(C418,TODAY(),"Y")</f>
        <v>74</v>
      </c>
      <c r="E418" s="5" t="s">
        <v>26</v>
      </c>
      <c r="F418" s="30">
        <v>158</v>
      </c>
      <c r="G418" s="30">
        <v>58</v>
      </c>
      <c r="H418" s="31">
        <f>G418/((F418/100)*(F418/100))</f>
        <v>23.233456176894723</v>
      </c>
      <c r="I418" s="5">
        <v>68</v>
      </c>
      <c r="J418" s="30">
        <v>120</v>
      </c>
      <c r="K418" s="30">
        <v>80</v>
      </c>
      <c r="L418" s="29">
        <f>IF(B418="Nữ",0,2)</f>
        <v>0</v>
      </c>
      <c r="M418" s="29">
        <f ca="1">IF(D418&lt;45,0,IF(D418&lt;=49,1,2))</f>
        <v>2</v>
      </c>
      <c r="N418" s="29">
        <f>IF(E418="Có",4,0)</f>
        <v>0</v>
      </c>
      <c r="O418" s="29">
        <f>IF(H418&lt;23,0,IF(H418&lt;27.5,3,5))</f>
        <v>3</v>
      </c>
      <c r="P418" s="29">
        <f>IF(OR(AND(B418="Nam",I418&gt;=90),AND(B418="Nữ",I418&gt;=80)),2,0)</f>
        <v>0</v>
      </c>
      <c r="Q418" s="29">
        <f>IF(OR(J418&gt;=140,K418&gt;=90),2,0)</f>
        <v>0</v>
      </c>
      <c r="R418" s="29">
        <f ca="1">SUM(L418:Q418)</f>
        <v>5</v>
      </c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5" t="s">
        <v>1393</v>
      </c>
      <c r="AE418" s="33"/>
      <c r="AF418" s="59" t="str">
        <f t="shared" si="19"/>
        <v>Không</v>
      </c>
      <c r="AG418" s="59" t="str">
        <f t="shared" si="20"/>
        <v>Không</v>
      </c>
      <c r="AH418" s="29" t="str">
        <f t="shared" ca="1" si="18"/>
        <v>Không</v>
      </c>
      <c r="AI418" s="29" t="str">
        <f ca="1">IF((R418)&gt;=6,"Có","Không")</f>
        <v>Không</v>
      </c>
      <c r="AJ418" s="29" t="str">
        <f>IF(OR(J418&gt;=140,K418&gt;=90),"Có","Không")</f>
        <v>Không</v>
      </c>
      <c r="AK418" s="5" t="s">
        <v>234</v>
      </c>
      <c r="AL418" s="32">
        <v>46112</v>
      </c>
      <c r="AM418" s="29" t="str">
        <f>"Tháng "&amp;MONTH(AL418)</f>
        <v>Tháng 3</v>
      </c>
      <c r="AN418" s="29" t="str">
        <f>LEFT(AK418,FIND(",",AK418)-1)</f>
        <v>ấp Biển Đông B</v>
      </c>
    </row>
    <row r="419" spans="1:40" x14ac:dyDescent="0.25">
      <c r="A419" s="49" t="s">
        <v>484</v>
      </c>
      <c r="B419" s="5" t="s">
        <v>23</v>
      </c>
      <c r="C419" s="5" t="s">
        <v>67</v>
      </c>
      <c r="D419" s="29">
        <f ca="1">DATEDIF(C419,TODAY(),"Y")</f>
        <v>48</v>
      </c>
      <c r="E419" s="5" t="s">
        <v>26</v>
      </c>
      <c r="F419" s="30">
        <v>155</v>
      </c>
      <c r="G419" s="30">
        <v>55</v>
      </c>
      <c r="H419" s="31">
        <f>G419/((F419/100)*(F419/100))</f>
        <v>22.892819979188342</v>
      </c>
      <c r="I419" s="5">
        <v>83</v>
      </c>
      <c r="J419" s="30">
        <v>120</v>
      </c>
      <c r="K419" s="30">
        <v>80</v>
      </c>
      <c r="L419" s="29">
        <f>IF(B419="Nữ",0,2)</f>
        <v>0</v>
      </c>
      <c r="M419" s="29">
        <f ca="1">IF(D419&lt;45,0,IF(D419&lt;=49,1,2))</f>
        <v>1</v>
      </c>
      <c r="N419" s="29">
        <f>IF(E419="Có",4,0)</f>
        <v>0</v>
      </c>
      <c r="O419" s="29">
        <f>IF(H419&lt;23,0,IF(H419&lt;27.5,3,5))</f>
        <v>0</v>
      </c>
      <c r="P419" s="29">
        <f>IF(OR(AND(B419="Nam",I419&gt;=90),AND(B419="Nữ",I419&gt;=80)),2,0)</f>
        <v>2</v>
      </c>
      <c r="Q419" s="29">
        <f>IF(OR(J419&gt;=140,K419&gt;=90),2,0)</f>
        <v>0</v>
      </c>
      <c r="R419" s="29">
        <f ca="1">SUM(L419:Q419)</f>
        <v>3</v>
      </c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5" t="s">
        <v>1393</v>
      </c>
      <c r="AE419" s="33"/>
      <c r="AF419" s="59" t="str">
        <f t="shared" si="19"/>
        <v>Không</v>
      </c>
      <c r="AG419" s="59" t="str">
        <f t="shared" si="20"/>
        <v>Không</v>
      </c>
      <c r="AH419" s="29" t="str">
        <f t="shared" ca="1" si="18"/>
        <v>Không</v>
      </c>
      <c r="AI419" s="29" t="str">
        <f ca="1">IF((R419)&gt;=6,"Có","Không")</f>
        <v>Không</v>
      </c>
      <c r="AJ419" s="29" t="str">
        <f>IF(OR(J419&gt;=140,K419&gt;=90),"Có","Không")</f>
        <v>Không</v>
      </c>
      <c r="AK419" s="5" t="s">
        <v>160</v>
      </c>
      <c r="AL419" s="32">
        <v>46112</v>
      </c>
      <c r="AM419" s="29" t="str">
        <f>"Tháng "&amp;MONTH(AL419)</f>
        <v>Tháng 3</v>
      </c>
      <c r="AN419" s="29" t="str">
        <f>LEFT(AK419,FIND(",",AK419)-1)</f>
        <v>Ấp Giồng Nhãn</v>
      </c>
    </row>
    <row r="420" spans="1:40" x14ac:dyDescent="0.25">
      <c r="A420" s="49" t="s">
        <v>485</v>
      </c>
      <c r="B420" s="5" t="s">
        <v>23</v>
      </c>
      <c r="C420" s="5" t="s">
        <v>203</v>
      </c>
      <c r="D420" s="29">
        <f ca="1">DATEDIF(C420,TODAY(),"Y")</f>
        <v>43</v>
      </c>
      <c r="E420" s="5" t="s">
        <v>26</v>
      </c>
      <c r="F420" s="30">
        <v>168</v>
      </c>
      <c r="G420" s="30">
        <v>60</v>
      </c>
      <c r="H420" s="31">
        <f>G420/((F420/100)*(F420/100))</f>
        <v>21.258503401360546</v>
      </c>
      <c r="I420" s="5">
        <v>79</v>
      </c>
      <c r="J420" s="30">
        <v>120</v>
      </c>
      <c r="K420" s="30">
        <v>80</v>
      </c>
      <c r="L420" s="29">
        <f>IF(B420="Nữ",0,2)</f>
        <v>0</v>
      </c>
      <c r="M420" s="29">
        <f ca="1">IF(D420&lt;45,0,IF(D420&lt;=49,1,2))</f>
        <v>0</v>
      </c>
      <c r="N420" s="29">
        <f>IF(E420="Có",4,0)</f>
        <v>0</v>
      </c>
      <c r="O420" s="29">
        <f>IF(H420&lt;23,0,IF(H420&lt;27.5,3,5))</f>
        <v>0</v>
      </c>
      <c r="P420" s="29">
        <f>IF(OR(AND(B420="Nam",I420&gt;=90),AND(B420="Nữ",I420&gt;=80)),2,0)</f>
        <v>0</v>
      </c>
      <c r="Q420" s="29">
        <f>IF(OR(J420&gt;=140,K420&gt;=90),2,0)</f>
        <v>0</v>
      </c>
      <c r="R420" s="29">
        <f ca="1">SUM(L420:Q420)</f>
        <v>0</v>
      </c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5" t="s">
        <v>1393</v>
      </c>
      <c r="AE420" s="33"/>
      <c r="AF420" s="59" t="str">
        <f t="shared" si="19"/>
        <v>Không</v>
      </c>
      <c r="AG420" s="59" t="str">
        <f t="shared" si="20"/>
        <v>Không</v>
      </c>
      <c r="AH420" s="29" t="str">
        <f t="shared" ca="1" si="18"/>
        <v>Không</v>
      </c>
      <c r="AI420" s="29" t="str">
        <f ca="1">IF((R420)&gt;=6,"Có","Không")</f>
        <v>Không</v>
      </c>
      <c r="AJ420" s="29" t="str">
        <f>IF(OR(J420&gt;=140,K420&gt;=90),"Có","Không")</f>
        <v>Không</v>
      </c>
      <c r="AK420" s="5" t="s">
        <v>51</v>
      </c>
      <c r="AL420" s="32">
        <v>46112</v>
      </c>
      <c r="AM420" s="29" t="str">
        <f>"Tháng "&amp;MONTH(AL420)</f>
        <v>Tháng 3</v>
      </c>
      <c r="AN420" s="29" t="str">
        <f>LEFT(AK420,FIND(",",AK420)-1)</f>
        <v>Phường Hiệp Thành</v>
      </c>
    </row>
    <row r="421" spans="1:40" x14ac:dyDescent="0.25">
      <c r="A421" s="49" t="s">
        <v>486</v>
      </c>
      <c r="B421" s="5" t="s">
        <v>30</v>
      </c>
      <c r="C421" s="5" t="s">
        <v>50</v>
      </c>
      <c r="D421" s="29">
        <f ca="1">DATEDIF(C421,TODAY(),"Y")</f>
        <v>58</v>
      </c>
      <c r="E421" s="5" t="s">
        <v>25</v>
      </c>
      <c r="F421" s="30">
        <v>180</v>
      </c>
      <c r="G421" s="30">
        <v>98</v>
      </c>
      <c r="H421" s="31">
        <f>G421/((F421/100)*(F421/100))</f>
        <v>30.246913580246911</v>
      </c>
      <c r="I421" s="5">
        <v>89</v>
      </c>
      <c r="J421" s="30">
        <v>120</v>
      </c>
      <c r="K421" s="30">
        <v>80</v>
      </c>
      <c r="L421" s="29">
        <f>IF(B421="Nữ",0,2)</f>
        <v>2</v>
      </c>
      <c r="M421" s="29">
        <f ca="1">IF(D421&lt;45,0,IF(D421&lt;=49,1,2))</f>
        <v>2</v>
      </c>
      <c r="N421" s="29">
        <f>IF(E421="Có",4,0)</f>
        <v>4</v>
      </c>
      <c r="O421" s="29">
        <f>IF(H421&lt;23,0,IF(H421&lt;27.5,3,5))</f>
        <v>5</v>
      </c>
      <c r="P421" s="29">
        <f>IF(OR(AND(B421="Nam",I421&gt;=90),AND(B421="Nữ",I421&gt;=80)),2,0)</f>
        <v>0</v>
      </c>
      <c r="Q421" s="29">
        <f>IF(OR(J421&gt;=140,K421&gt;=90),2,0)</f>
        <v>0</v>
      </c>
      <c r="R421" s="29">
        <f ca="1">SUM(L421:Q421)</f>
        <v>13</v>
      </c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5" t="s">
        <v>1393</v>
      </c>
      <c r="AE421" s="33"/>
      <c r="AF421" s="59" t="str">
        <f t="shared" si="19"/>
        <v>Không</v>
      </c>
      <c r="AG421" s="59" t="str">
        <f t="shared" si="20"/>
        <v>Không</v>
      </c>
      <c r="AH421" s="29" t="str">
        <f t="shared" ca="1" si="18"/>
        <v>Có</v>
      </c>
      <c r="AI421" s="29" t="str">
        <f ca="1">IF((R421)&gt;=6,"Có","Không")</f>
        <v>Có</v>
      </c>
      <c r="AJ421" s="29" t="str">
        <f>IF(OR(J421&gt;=140,K421&gt;=90),"Có","Không")</f>
        <v>Không</v>
      </c>
      <c r="AK421" s="5" t="s">
        <v>91</v>
      </c>
      <c r="AL421" s="32">
        <v>46112</v>
      </c>
      <c r="AM421" s="29" t="str">
        <f>"Tháng "&amp;MONTH(AL421)</f>
        <v>Tháng 3</v>
      </c>
      <c r="AN421" s="29" t="str">
        <f>LEFT(AK421,FIND(",",AK421)-1)</f>
        <v>Ấp Giồng Giữa</v>
      </c>
    </row>
    <row r="422" spans="1:40" x14ac:dyDescent="0.25">
      <c r="A422" s="49" t="s">
        <v>487</v>
      </c>
      <c r="B422" s="5" t="s">
        <v>23</v>
      </c>
      <c r="C422" s="5" t="s">
        <v>188</v>
      </c>
      <c r="D422" s="29">
        <f ca="1">DATEDIF(C422,TODAY(),"Y")</f>
        <v>63</v>
      </c>
      <c r="E422" s="5" t="s">
        <v>26</v>
      </c>
      <c r="F422" s="30">
        <v>170</v>
      </c>
      <c r="G422" s="30">
        <v>72</v>
      </c>
      <c r="H422" s="31">
        <f>G422/((F422/100)*(F422/100))</f>
        <v>24.913494809688583</v>
      </c>
      <c r="I422" s="5">
        <v>85</v>
      </c>
      <c r="J422" s="30">
        <v>120</v>
      </c>
      <c r="K422" s="30">
        <v>80</v>
      </c>
      <c r="L422" s="29">
        <f>IF(B422="Nữ",0,2)</f>
        <v>0</v>
      </c>
      <c r="M422" s="29">
        <f ca="1">IF(D422&lt;45,0,IF(D422&lt;=49,1,2))</f>
        <v>2</v>
      </c>
      <c r="N422" s="29">
        <f>IF(E422="Có",4,0)</f>
        <v>0</v>
      </c>
      <c r="O422" s="29">
        <f>IF(H422&lt;23,0,IF(H422&lt;27.5,3,5))</f>
        <v>3</v>
      </c>
      <c r="P422" s="29">
        <f>IF(OR(AND(B422="Nam",I422&gt;=90),AND(B422="Nữ",I422&gt;=80)),2,0)</f>
        <v>2</v>
      </c>
      <c r="Q422" s="29">
        <f>IF(OR(J422&gt;=140,K422&gt;=90),2,0)</f>
        <v>0</v>
      </c>
      <c r="R422" s="29">
        <f ca="1">SUM(L422:Q422)</f>
        <v>7</v>
      </c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5" t="s">
        <v>1393</v>
      </c>
      <c r="AE422" s="33"/>
      <c r="AF422" s="59" t="str">
        <f t="shared" si="19"/>
        <v>Không</v>
      </c>
      <c r="AG422" s="59" t="str">
        <f t="shared" si="20"/>
        <v>Không</v>
      </c>
      <c r="AH422" s="29" t="str">
        <f t="shared" ca="1" si="18"/>
        <v>Có</v>
      </c>
      <c r="AI422" s="29" t="str">
        <f ca="1">IF((R422)&gt;=6,"Có","Không")</f>
        <v>Có</v>
      </c>
      <c r="AJ422" s="29" t="str">
        <f>IF(OR(J422&gt;=140,K422&gt;=90),"Có","Không")</f>
        <v>Không</v>
      </c>
      <c r="AK422" s="5" t="s">
        <v>342</v>
      </c>
      <c r="AL422" s="32">
        <v>46112</v>
      </c>
      <c r="AM422" s="29" t="str">
        <f>"Tháng "&amp;MONTH(AL422)</f>
        <v>Tháng 3</v>
      </c>
      <c r="AN422" s="29" t="str">
        <f>LEFT(AK422,FIND(",",AK422)-1)</f>
        <v>ấp Giồng nhãn A</v>
      </c>
    </row>
    <row r="423" spans="1:40" x14ac:dyDescent="0.25">
      <c r="A423" s="49" t="s">
        <v>488</v>
      </c>
      <c r="B423" s="5" t="s">
        <v>30</v>
      </c>
      <c r="C423" s="5" t="s">
        <v>42</v>
      </c>
      <c r="D423" s="29">
        <f ca="1">DATEDIF(C423,TODAY(),"Y")</f>
        <v>59</v>
      </c>
      <c r="E423" s="5" t="s">
        <v>26</v>
      </c>
      <c r="F423" s="30">
        <v>152</v>
      </c>
      <c r="G423" s="30">
        <v>55</v>
      </c>
      <c r="H423" s="31">
        <f>G423/((F423/100)*(F423/100))</f>
        <v>23.80540166204986</v>
      </c>
      <c r="I423" s="5">
        <v>72</v>
      </c>
      <c r="J423" s="30">
        <v>120</v>
      </c>
      <c r="K423" s="30">
        <v>70</v>
      </c>
      <c r="L423" s="29">
        <f>IF(B423="Nữ",0,2)</f>
        <v>2</v>
      </c>
      <c r="M423" s="29">
        <f ca="1">IF(D423&lt;45,0,IF(D423&lt;=49,1,2))</f>
        <v>2</v>
      </c>
      <c r="N423" s="29">
        <f>IF(E423="Có",4,0)</f>
        <v>0</v>
      </c>
      <c r="O423" s="29">
        <f>IF(H423&lt;23,0,IF(H423&lt;27.5,3,5))</f>
        <v>3</v>
      </c>
      <c r="P423" s="29">
        <f>IF(OR(AND(B423="Nam",I423&gt;=90),AND(B423="Nữ",I423&gt;=80)),2,0)</f>
        <v>0</v>
      </c>
      <c r="Q423" s="29">
        <f>IF(OR(J423&gt;=140,K423&gt;=90),2,0)</f>
        <v>0</v>
      </c>
      <c r="R423" s="29">
        <f ca="1">SUM(L423:Q423)</f>
        <v>7</v>
      </c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5" t="s">
        <v>1393</v>
      </c>
      <c r="AE423" s="33"/>
      <c r="AF423" s="59" t="str">
        <f t="shared" si="19"/>
        <v>Không</v>
      </c>
      <c r="AG423" s="59" t="str">
        <f t="shared" si="20"/>
        <v>Không</v>
      </c>
      <c r="AH423" s="29" t="str">
        <f t="shared" ca="1" si="18"/>
        <v>Có</v>
      </c>
      <c r="AI423" s="29" t="str">
        <f ca="1">IF((R423)&gt;=6,"Có","Không")</f>
        <v>Có</v>
      </c>
      <c r="AJ423" s="29" t="str">
        <f>IF(OR(J423&gt;=140,K423&gt;=90),"Có","Không")</f>
        <v>Không</v>
      </c>
      <c r="AK423" s="5" t="s">
        <v>51</v>
      </c>
      <c r="AL423" s="32">
        <v>46112</v>
      </c>
      <c r="AM423" s="29" t="str">
        <f>"Tháng "&amp;MONTH(AL423)</f>
        <v>Tháng 3</v>
      </c>
      <c r="AN423" s="29" t="str">
        <f>LEFT(AK423,FIND(",",AK423)-1)</f>
        <v>Phường Hiệp Thành</v>
      </c>
    </row>
    <row r="424" spans="1:40" x14ac:dyDescent="0.25">
      <c r="A424" s="49" t="s">
        <v>489</v>
      </c>
      <c r="B424" s="5" t="s">
        <v>23</v>
      </c>
      <c r="C424" s="5" t="s">
        <v>42</v>
      </c>
      <c r="D424" s="29">
        <f ca="1">DATEDIF(C424,TODAY(),"Y")</f>
        <v>59</v>
      </c>
      <c r="E424" s="5" t="s">
        <v>26</v>
      </c>
      <c r="F424" s="30">
        <v>158</v>
      </c>
      <c r="G424" s="30">
        <v>58</v>
      </c>
      <c r="H424" s="31">
        <f>G424/((F424/100)*(F424/100))</f>
        <v>23.233456176894723</v>
      </c>
      <c r="I424" s="5">
        <v>86</v>
      </c>
      <c r="J424" s="30">
        <v>120</v>
      </c>
      <c r="K424" s="30">
        <v>80</v>
      </c>
      <c r="L424" s="29">
        <f>IF(B424="Nữ",0,2)</f>
        <v>0</v>
      </c>
      <c r="M424" s="29">
        <f ca="1">IF(D424&lt;45,0,IF(D424&lt;=49,1,2))</f>
        <v>2</v>
      </c>
      <c r="N424" s="29">
        <f>IF(E424="Có",4,0)</f>
        <v>0</v>
      </c>
      <c r="O424" s="29">
        <f>IF(H424&lt;23,0,IF(H424&lt;27.5,3,5))</f>
        <v>3</v>
      </c>
      <c r="P424" s="29">
        <f>IF(OR(AND(B424="Nam",I424&gt;=90),AND(B424="Nữ",I424&gt;=80)),2,0)</f>
        <v>2</v>
      </c>
      <c r="Q424" s="29">
        <f>IF(OR(J424&gt;=140,K424&gt;=90),2,0)</f>
        <v>0</v>
      </c>
      <c r="R424" s="29">
        <f ca="1">SUM(L424:Q424)</f>
        <v>7</v>
      </c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5" t="s">
        <v>1393</v>
      </c>
      <c r="AE424" s="33"/>
      <c r="AF424" s="59" t="str">
        <f t="shared" si="19"/>
        <v>Không</v>
      </c>
      <c r="AG424" s="59" t="str">
        <f t="shared" si="20"/>
        <v>Không</v>
      </c>
      <c r="AH424" s="29" t="str">
        <f t="shared" ca="1" si="18"/>
        <v>Có</v>
      </c>
      <c r="AI424" s="29" t="str">
        <f ca="1">IF((R424)&gt;=6,"Có","Không")</f>
        <v>Có</v>
      </c>
      <c r="AJ424" s="29" t="str">
        <f>IF(OR(J424&gt;=140,K424&gt;=90),"Có","Không")</f>
        <v>Không</v>
      </c>
      <c r="AK424" s="5" t="s">
        <v>218</v>
      </c>
      <c r="AL424" s="32">
        <v>46112</v>
      </c>
      <c r="AM424" s="29" t="str">
        <f>"Tháng "&amp;MONTH(AL424)</f>
        <v>Tháng 3</v>
      </c>
      <c r="AN424" s="29" t="str">
        <f>LEFT(AK424,FIND(",",AK424)-1)</f>
        <v>Biển Đông B</v>
      </c>
    </row>
    <row r="425" spans="1:40" x14ac:dyDescent="0.25">
      <c r="A425" s="49" t="s">
        <v>492</v>
      </c>
      <c r="B425" s="5" t="s">
        <v>23</v>
      </c>
      <c r="C425" s="5" t="s">
        <v>188</v>
      </c>
      <c r="D425" s="29">
        <f ca="1">DATEDIF(C425,TODAY(),"Y")</f>
        <v>63</v>
      </c>
      <c r="E425" s="5" t="s">
        <v>26</v>
      </c>
      <c r="F425" s="30">
        <v>155</v>
      </c>
      <c r="G425" s="30">
        <v>56</v>
      </c>
      <c r="H425" s="31">
        <f>G425/((F425/100)*(F425/100))</f>
        <v>23.309053069719038</v>
      </c>
      <c r="I425" s="5">
        <v>99</v>
      </c>
      <c r="J425" s="30">
        <v>130</v>
      </c>
      <c r="K425" s="30">
        <v>80</v>
      </c>
      <c r="L425" s="29">
        <f>IF(B425="Nữ",0,2)</f>
        <v>0</v>
      </c>
      <c r="M425" s="29">
        <f ca="1">IF(D425&lt;45,0,IF(D425&lt;=49,1,2))</f>
        <v>2</v>
      </c>
      <c r="N425" s="29">
        <f>IF(E425="Có",4,0)</f>
        <v>0</v>
      </c>
      <c r="O425" s="29">
        <f>IF(H425&lt;23,0,IF(H425&lt;27.5,3,5))</f>
        <v>3</v>
      </c>
      <c r="P425" s="29">
        <f>IF(OR(AND(B425="Nam",I425&gt;=90),AND(B425="Nữ",I425&gt;=80)),2,0)</f>
        <v>2</v>
      </c>
      <c r="Q425" s="29">
        <f>IF(OR(J425&gt;=140,K425&gt;=90),2,0)</f>
        <v>0</v>
      </c>
      <c r="R425" s="29">
        <f ca="1">SUM(L425:Q425)</f>
        <v>7</v>
      </c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5" t="s">
        <v>1393</v>
      </c>
      <c r="AE425" s="33"/>
      <c r="AF425" s="59" t="str">
        <f t="shared" si="19"/>
        <v>Không</v>
      </c>
      <c r="AG425" s="59" t="str">
        <f t="shared" si="20"/>
        <v>Không</v>
      </c>
      <c r="AH425" s="29" t="str">
        <f t="shared" ca="1" si="18"/>
        <v>Có</v>
      </c>
      <c r="AI425" s="29" t="str">
        <f ca="1">IF((R425)&gt;=6,"Có","Không")</f>
        <v>Có</v>
      </c>
      <c r="AJ425" s="29" t="str">
        <f>IF(OR(J425&gt;=140,K425&gt;=90),"Có","Không")</f>
        <v>Không</v>
      </c>
      <c r="AK425" s="5" t="s">
        <v>122</v>
      </c>
      <c r="AL425" s="32">
        <v>46112</v>
      </c>
      <c r="AM425" s="29" t="str">
        <f>"Tháng "&amp;MONTH(AL425)</f>
        <v>Tháng 3</v>
      </c>
      <c r="AN425" s="29" t="str">
        <f>LEFT(AK425,FIND(",",AK425)-1)</f>
        <v>Giồng Nhãn</v>
      </c>
    </row>
    <row r="426" spans="1:40" x14ac:dyDescent="0.25">
      <c r="A426" s="49" t="s">
        <v>493</v>
      </c>
      <c r="B426" s="5" t="s">
        <v>30</v>
      </c>
      <c r="C426" s="5" t="s">
        <v>64</v>
      </c>
      <c r="D426" s="29">
        <f ca="1">DATEDIF(C426,TODAY(),"Y")</f>
        <v>42</v>
      </c>
      <c r="E426" s="5" t="s">
        <v>26</v>
      </c>
      <c r="F426" s="30">
        <v>170</v>
      </c>
      <c r="G426" s="30">
        <v>70</v>
      </c>
      <c r="H426" s="31">
        <f>G426/((F426/100)*(F426/100))</f>
        <v>24.221453287197235</v>
      </c>
      <c r="I426" s="5">
        <v>81</v>
      </c>
      <c r="J426" s="30">
        <v>120</v>
      </c>
      <c r="K426" s="30">
        <v>70</v>
      </c>
      <c r="L426" s="29">
        <f>IF(B426="Nữ",0,2)</f>
        <v>2</v>
      </c>
      <c r="M426" s="29">
        <f ca="1">IF(D426&lt;45,0,IF(D426&lt;=49,1,2))</f>
        <v>0</v>
      </c>
      <c r="N426" s="29">
        <f>IF(E426="Có",4,0)</f>
        <v>0</v>
      </c>
      <c r="O426" s="29">
        <f>IF(H426&lt;23,0,IF(H426&lt;27.5,3,5))</f>
        <v>3</v>
      </c>
      <c r="P426" s="29">
        <f>IF(OR(AND(B426="Nam",I426&gt;=90),AND(B426="Nữ",I426&gt;=80)),2,0)</f>
        <v>0</v>
      </c>
      <c r="Q426" s="29">
        <f>IF(OR(J426&gt;=140,K426&gt;=90),2,0)</f>
        <v>0</v>
      </c>
      <c r="R426" s="29">
        <f ca="1">SUM(L426:Q426)</f>
        <v>5</v>
      </c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5" t="s">
        <v>1393</v>
      </c>
      <c r="AE426" s="33"/>
      <c r="AF426" s="59" t="str">
        <f t="shared" si="19"/>
        <v>Không</v>
      </c>
      <c r="AG426" s="59" t="str">
        <f t="shared" si="20"/>
        <v>Không</v>
      </c>
      <c r="AH426" s="29" t="str">
        <f t="shared" ca="1" si="18"/>
        <v>Không</v>
      </c>
      <c r="AI426" s="29" t="str">
        <f ca="1">IF((R426)&gt;=6,"Có","Không")</f>
        <v>Không</v>
      </c>
      <c r="AJ426" s="29" t="str">
        <f>IF(OR(J426&gt;=140,K426&gt;=90),"Có","Không")</f>
        <v>Không</v>
      </c>
      <c r="AK426" s="5" t="s">
        <v>111</v>
      </c>
      <c r="AL426" s="32">
        <v>46112</v>
      </c>
      <c r="AM426" s="29" t="str">
        <f>"Tháng "&amp;MONTH(AL426)</f>
        <v>Tháng 3</v>
      </c>
      <c r="AN426" s="29" t="str">
        <f>LEFT(AK426,FIND(",",AK426)-1)</f>
        <v>Phường Vĩnh Trạch</v>
      </c>
    </row>
    <row r="427" spans="1:40" x14ac:dyDescent="0.25">
      <c r="A427" s="49" t="s">
        <v>589</v>
      </c>
      <c r="B427" s="5" t="s">
        <v>23</v>
      </c>
      <c r="C427" s="5" t="s">
        <v>40</v>
      </c>
      <c r="D427" s="29">
        <f ca="1">DATEDIF(C427,TODAY(),"Y")</f>
        <v>70</v>
      </c>
      <c r="E427" s="5" t="s">
        <v>26</v>
      </c>
      <c r="F427" s="30">
        <v>158</v>
      </c>
      <c r="G427" s="30">
        <v>58</v>
      </c>
      <c r="H427" s="31">
        <f>G427/((F427/100)*(F427/100))</f>
        <v>23.233456176894723</v>
      </c>
      <c r="I427" s="5">
        <v>85</v>
      </c>
      <c r="J427" s="30">
        <v>140</v>
      </c>
      <c r="K427" s="30">
        <v>80</v>
      </c>
      <c r="L427" s="29">
        <f>IF(B427="Nữ",0,2)</f>
        <v>0</v>
      </c>
      <c r="M427" s="29">
        <f ca="1">IF(D427&lt;45,0,IF(D427&lt;=49,1,2))</f>
        <v>2</v>
      </c>
      <c r="N427" s="29">
        <f>IF(E427="Có",4,0)</f>
        <v>0</v>
      </c>
      <c r="O427" s="29">
        <f>IF(H427&lt;23,0,IF(H427&lt;27.5,3,5))</f>
        <v>3</v>
      </c>
      <c r="P427" s="29">
        <f>IF(OR(AND(B427="Nam",I427&gt;=90),AND(B427="Nữ",I427&gt;=80)),2,0)</f>
        <v>2</v>
      </c>
      <c r="Q427" s="29">
        <f>IF(OR(J427&gt;=140,K427&gt;=90),2,0)</f>
        <v>2</v>
      </c>
      <c r="R427" s="29">
        <f ca="1">SUM(L427:Q427)</f>
        <v>9</v>
      </c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5" t="s">
        <v>1393</v>
      </c>
      <c r="AE427" s="33"/>
      <c r="AF427" s="59" t="str">
        <f t="shared" si="19"/>
        <v>Không</v>
      </c>
      <c r="AG427" s="59" t="str">
        <f t="shared" si="20"/>
        <v>Không</v>
      </c>
      <c r="AH427" s="29" t="str">
        <f t="shared" ca="1" si="18"/>
        <v>Có</v>
      </c>
      <c r="AI427" s="29" t="str">
        <f ca="1">IF((R427)&gt;=6,"Có","Không")</f>
        <v>Có</v>
      </c>
      <c r="AJ427" s="29" t="str">
        <f>IF(OR(J427&gt;=140,K427&gt;=90),"Có","Không")</f>
        <v>Có</v>
      </c>
      <c r="AK427" s="5" t="s">
        <v>48</v>
      </c>
      <c r="AL427" s="32">
        <v>46112</v>
      </c>
      <c r="AM427" s="29" t="str">
        <f>"Tháng "&amp;MONTH(AL427)</f>
        <v>Tháng 3</v>
      </c>
      <c r="AN427" s="29" t="str">
        <f>LEFT(AK427,FIND(",",AK427)-1)</f>
        <v>ấp Giồng Giữa A</v>
      </c>
    </row>
    <row r="428" spans="1:40" x14ac:dyDescent="0.25">
      <c r="A428" s="49" t="s">
        <v>595</v>
      </c>
      <c r="B428" s="5" t="s">
        <v>30</v>
      </c>
      <c r="C428" s="5" t="s">
        <v>105</v>
      </c>
      <c r="D428" s="29">
        <f ca="1">DATEDIF(C428,TODAY(),"Y")</f>
        <v>60</v>
      </c>
      <c r="E428" s="5" t="s">
        <v>26</v>
      </c>
      <c r="F428" s="30">
        <v>160</v>
      </c>
      <c r="G428" s="30">
        <v>68</v>
      </c>
      <c r="H428" s="31">
        <f>G428/((F428/100)*(F428/100))</f>
        <v>26.562499999999996</v>
      </c>
      <c r="I428" s="5">
        <v>84</v>
      </c>
      <c r="J428" s="30">
        <v>120</v>
      </c>
      <c r="K428" s="30">
        <v>70</v>
      </c>
      <c r="L428" s="29">
        <f>IF(B428="Nữ",0,2)</f>
        <v>2</v>
      </c>
      <c r="M428" s="29">
        <f ca="1">IF(D428&lt;45,0,IF(D428&lt;=49,1,2))</f>
        <v>2</v>
      </c>
      <c r="N428" s="29">
        <f>IF(E428="Có",4,0)</f>
        <v>0</v>
      </c>
      <c r="O428" s="29">
        <f>IF(H428&lt;23,0,IF(H428&lt;27.5,3,5))</f>
        <v>3</v>
      </c>
      <c r="P428" s="29">
        <f>IF(OR(AND(B428="Nam",I428&gt;=90),AND(B428="Nữ",I428&gt;=80)),2,0)</f>
        <v>0</v>
      </c>
      <c r="Q428" s="29">
        <f>IF(OR(J428&gt;=140,K428&gt;=90),2,0)</f>
        <v>0</v>
      </c>
      <c r="R428" s="29">
        <f ca="1">SUM(L428:Q428)</f>
        <v>7</v>
      </c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5" t="s">
        <v>1393</v>
      </c>
      <c r="AE428" s="33"/>
      <c r="AF428" s="59" t="str">
        <f t="shared" si="19"/>
        <v>Không</v>
      </c>
      <c r="AG428" s="59" t="str">
        <f t="shared" si="20"/>
        <v>Không</v>
      </c>
      <c r="AH428" s="29" t="str">
        <f t="shared" ca="1" si="18"/>
        <v>Có</v>
      </c>
      <c r="AI428" s="29" t="str">
        <f ca="1">IF((R428)&gt;=6,"Có","Không")</f>
        <v>Có</v>
      </c>
      <c r="AJ428" s="29" t="str">
        <f>IF(OR(J428&gt;=140,K428&gt;=90),"Có","Không")</f>
        <v>Không</v>
      </c>
      <c r="AK428" s="5" t="s">
        <v>160</v>
      </c>
      <c r="AL428" s="32">
        <v>46112</v>
      </c>
      <c r="AM428" s="29" t="str">
        <f>"Tháng "&amp;MONTH(AL428)</f>
        <v>Tháng 3</v>
      </c>
      <c r="AN428" s="29" t="str">
        <f>LEFT(AK428,FIND(",",AK428)-1)</f>
        <v>Ấp Giồng Nhãn</v>
      </c>
    </row>
    <row r="429" spans="1:40" x14ac:dyDescent="0.25">
      <c r="A429" s="49" t="s">
        <v>598</v>
      </c>
      <c r="B429" s="5" t="s">
        <v>23</v>
      </c>
      <c r="C429" s="5" t="s">
        <v>188</v>
      </c>
      <c r="D429" s="29">
        <f ca="1">DATEDIF(C429,TODAY(),"Y")</f>
        <v>63</v>
      </c>
      <c r="E429" s="5" t="s">
        <v>26</v>
      </c>
      <c r="F429" s="30">
        <v>158</v>
      </c>
      <c r="G429" s="30">
        <v>58</v>
      </c>
      <c r="H429" s="31">
        <f>G429/((F429/100)*(F429/100))</f>
        <v>23.233456176894723</v>
      </c>
      <c r="I429" s="5">
        <v>76</v>
      </c>
      <c r="J429" s="30">
        <v>140</v>
      </c>
      <c r="K429" s="30">
        <v>80</v>
      </c>
      <c r="L429" s="29">
        <f>IF(B429="Nữ",0,2)</f>
        <v>0</v>
      </c>
      <c r="M429" s="29">
        <f ca="1">IF(D429&lt;45,0,IF(D429&lt;=49,1,2))</f>
        <v>2</v>
      </c>
      <c r="N429" s="29">
        <f>IF(E429="Có",4,0)</f>
        <v>0</v>
      </c>
      <c r="O429" s="29">
        <f>IF(H429&lt;23,0,IF(H429&lt;27.5,3,5))</f>
        <v>3</v>
      </c>
      <c r="P429" s="29">
        <f>IF(OR(AND(B429="Nam",I429&gt;=90),AND(B429="Nữ",I429&gt;=80)),2,0)</f>
        <v>0</v>
      </c>
      <c r="Q429" s="29">
        <f>IF(OR(J429&gt;=140,K429&gt;=90),2,0)</f>
        <v>2</v>
      </c>
      <c r="R429" s="29">
        <f ca="1">SUM(L429:Q429)</f>
        <v>7</v>
      </c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5" t="s">
        <v>1393</v>
      </c>
      <c r="AE429" s="33"/>
      <c r="AF429" s="59" t="str">
        <f t="shared" si="19"/>
        <v>Không</v>
      </c>
      <c r="AG429" s="59" t="str">
        <f t="shared" si="20"/>
        <v>Không</v>
      </c>
      <c r="AH429" s="29" t="str">
        <f t="shared" ca="1" si="18"/>
        <v>Có</v>
      </c>
      <c r="AI429" s="29" t="str">
        <f ca="1">IF((R429)&gt;=6,"Có","Không")</f>
        <v>Có</v>
      </c>
      <c r="AJ429" s="29" t="str">
        <f>IF(OR(J429&gt;=140,K429&gt;=90),"Có","Không")</f>
        <v>Có</v>
      </c>
      <c r="AK429" s="5" t="s">
        <v>512</v>
      </c>
      <c r="AL429" s="32">
        <v>46112</v>
      </c>
      <c r="AM429" s="29" t="str">
        <f>"Tháng "&amp;MONTH(AL429)</f>
        <v>Tháng 3</v>
      </c>
      <c r="AN429" s="29" t="str">
        <f>LEFT(AK429,FIND(",",AK429)-1)</f>
        <v>Ấp Biển Tây B</v>
      </c>
    </row>
    <row r="430" spans="1:40" x14ac:dyDescent="0.25">
      <c r="A430" s="49" t="s">
        <v>605</v>
      </c>
      <c r="B430" s="5" t="s">
        <v>30</v>
      </c>
      <c r="C430" s="5" t="s">
        <v>84</v>
      </c>
      <c r="D430" s="29">
        <f ca="1">DATEDIF(C430,TODAY(),"Y")</f>
        <v>69</v>
      </c>
      <c r="E430" s="5" t="s">
        <v>26</v>
      </c>
      <c r="F430" s="30">
        <v>169</v>
      </c>
      <c r="G430" s="30">
        <v>68</v>
      </c>
      <c r="H430" s="31">
        <f>G430/((F430/100)*(F430/100))</f>
        <v>23.808690171912751</v>
      </c>
      <c r="I430" s="5">
        <v>72</v>
      </c>
      <c r="J430" s="30">
        <v>160</v>
      </c>
      <c r="K430" s="30">
        <v>80</v>
      </c>
      <c r="L430" s="29">
        <f>IF(B430="Nữ",0,2)</f>
        <v>2</v>
      </c>
      <c r="M430" s="29">
        <f ca="1">IF(D430&lt;45,0,IF(D430&lt;=49,1,2))</f>
        <v>2</v>
      </c>
      <c r="N430" s="29">
        <f>IF(E430="Có",4,0)</f>
        <v>0</v>
      </c>
      <c r="O430" s="29">
        <f>IF(H430&lt;23,0,IF(H430&lt;27.5,3,5))</f>
        <v>3</v>
      </c>
      <c r="P430" s="29">
        <f>IF(OR(AND(B430="Nam",I430&gt;=90),AND(B430="Nữ",I430&gt;=80)),2,0)</f>
        <v>0</v>
      </c>
      <c r="Q430" s="29">
        <f>IF(OR(J430&gt;=140,K430&gt;=90),2,0)</f>
        <v>2</v>
      </c>
      <c r="R430" s="29">
        <f ca="1">SUM(L430:Q430)</f>
        <v>9</v>
      </c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5" t="s">
        <v>1393</v>
      </c>
      <c r="AE430" s="33"/>
      <c r="AF430" s="59" t="str">
        <f t="shared" si="19"/>
        <v>Không</v>
      </c>
      <c r="AG430" s="59" t="str">
        <f t="shared" si="20"/>
        <v>Không</v>
      </c>
      <c r="AH430" s="29" t="str">
        <f t="shared" ca="1" si="18"/>
        <v>Có</v>
      </c>
      <c r="AI430" s="29" t="str">
        <f ca="1">IF((R430)&gt;=6,"Có","Không")</f>
        <v>Có</v>
      </c>
      <c r="AJ430" s="29" t="str">
        <f>IF(OR(J430&gt;=140,K430&gt;=90),"Có","Không")</f>
        <v>Có</v>
      </c>
      <c r="AK430" s="5" t="s">
        <v>218</v>
      </c>
      <c r="AL430" s="32">
        <v>46112</v>
      </c>
      <c r="AM430" s="29" t="str">
        <f>"Tháng "&amp;MONTH(AL430)</f>
        <v>Tháng 3</v>
      </c>
      <c r="AN430" s="29" t="str">
        <f>LEFT(AK430,FIND(",",AK430)-1)</f>
        <v>Biển Đông B</v>
      </c>
    </row>
    <row r="431" spans="1:40" x14ac:dyDescent="0.25">
      <c r="A431" s="49" t="s">
        <v>608</v>
      </c>
      <c r="B431" s="5" t="s">
        <v>23</v>
      </c>
      <c r="C431" s="5" t="s">
        <v>59</v>
      </c>
      <c r="D431" s="29">
        <f ca="1">DATEDIF(C431,TODAY(),"Y")</f>
        <v>74</v>
      </c>
      <c r="E431" s="5" t="s">
        <v>26</v>
      </c>
      <c r="F431" s="30">
        <v>158</v>
      </c>
      <c r="G431" s="30">
        <v>58</v>
      </c>
      <c r="H431" s="31">
        <f>G431/((F431/100)*(F431/100))</f>
        <v>23.233456176894723</v>
      </c>
      <c r="I431" s="5">
        <v>84</v>
      </c>
      <c r="J431" s="30">
        <v>130</v>
      </c>
      <c r="K431" s="30">
        <v>80</v>
      </c>
      <c r="L431" s="29">
        <f>IF(B431="Nữ",0,2)</f>
        <v>0</v>
      </c>
      <c r="M431" s="29">
        <f ca="1">IF(D431&lt;45,0,IF(D431&lt;=49,1,2))</f>
        <v>2</v>
      </c>
      <c r="N431" s="29">
        <f>IF(E431="Có",4,0)</f>
        <v>0</v>
      </c>
      <c r="O431" s="29">
        <f>IF(H431&lt;23,0,IF(H431&lt;27.5,3,5))</f>
        <v>3</v>
      </c>
      <c r="P431" s="29">
        <f>IF(OR(AND(B431="Nam",I431&gt;=90),AND(B431="Nữ",I431&gt;=80)),2,0)</f>
        <v>2</v>
      </c>
      <c r="Q431" s="29">
        <f>IF(OR(J431&gt;=140,K431&gt;=90),2,0)</f>
        <v>0</v>
      </c>
      <c r="R431" s="29">
        <f ca="1">SUM(L431:Q431)</f>
        <v>7</v>
      </c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5" t="s">
        <v>1393</v>
      </c>
      <c r="AE431" s="33"/>
      <c r="AF431" s="59" t="str">
        <f t="shared" si="19"/>
        <v>Không</v>
      </c>
      <c r="AG431" s="59" t="str">
        <f t="shared" si="20"/>
        <v>Không</v>
      </c>
      <c r="AH431" s="29" t="str">
        <f t="shared" ca="1" si="18"/>
        <v>Có</v>
      </c>
      <c r="AI431" s="29" t="str">
        <f ca="1">IF((R431)&gt;=6,"Có","Không")</f>
        <v>Có</v>
      </c>
      <c r="AJ431" s="29" t="str">
        <f>IF(OR(J431&gt;=140,K431&gt;=90),"Có","Không")</f>
        <v>Không</v>
      </c>
      <c r="AK431" s="5" t="s">
        <v>68</v>
      </c>
      <c r="AL431" s="32">
        <v>46112</v>
      </c>
      <c r="AM431" s="29" t="str">
        <f>"Tháng "&amp;MONTH(AL431)</f>
        <v>Tháng 3</v>
      </c>
      <c r="AN431" s="29" t="str">
        <f>LEFT(AK431,FIND(",",AK431)-1)</f>
        <v>Ấp Biển Tây B</v>
      </c>
    </row>
    <row r="432" spans="1:40" x14ac:dyDescent="0.25">
      <c r="A432" s="49" t="s">
        <v>614</v>
      </c>
      <c r="B432" s="5" t="s">
        <v>30</v>
      </c>
      <c r="C432" s="5" t="s">
        <v>50</v>
      </c>
      <c r="D432" s="29">
        <f ca="1">DATEDIF(C432,TODAY(),"Y")</f>
        <v>58</v>
      </c>
      <c r="E432" s="5" t="s">
        <v>26</v>
      </c>
      <c r="F432" s="30">
        <v>167</v>
      </c>
      <c r="G432" s="30">
        <v>51</v>
      </c>
      <c r="H432" s="31">
        <f>G432/((F432/100)*(F432/100))</f>
        <v>18.286779733945284</v>
      </c>
      <c r="I432" s="5">
        <v>84</v>
      </c>
      <c r="J432" s="30">
        <v>120</v>
      </c>
      <c r="K432" s="30">
        <v>80</v>
      </c>
      <c r="L432" s="29">
        <f>IF(B432="Nữ",0,2)</f>
        <v>2</v>
      </c>
      <c r="M432" s="29">
        <f ca="1">IF(D432&lt;45,0,IF(D432&lt;=49,1,2))</f>
        <v>2</v>
      </c>
      <c r="N432" s="29">
        <f>IF(E432="Có",4,0)</f>
        <v>0</v>
      </c>
      <c r="O432" s="29">
        <f>IF(H432&lt;23,0,IF(H432&lt;27.5,3,5))</f>
        <v>0</v>
      </c>
      <c r="P432" s="29">
        <f>IF(OR(AND(B432="Nam",I432&gt;=90),AND(B432="Nữ",I432&gt;=80)),2,0)</f>
        <v>0</v>
      </c>
      <c r="Q432" s="29">
        <f>IF(OR(J432&gt;=140,K432&gt;=90),2,0)</f>
        <v>0</v>
      </c>
      <c r="R432" s="29">
        <f ca="1">SUM(L432:Q432)</f>
        <v>4</v>
      </c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5" t="s">
        <v>1393</v>
      </c>
      <c r="AE432" s="33"/>
      <c r="AF432" s="59" t="str">
        <f t="shared" si="19"/>
        <v>Không</v>
      </c>
      <c r="AG432" s="59" t="str">
        <f t="shared" si="20"/>
        <v>Không</v>
      </c>
      <c r="AH432" s="29" t="str">
        <f t="shared" ca="1" si="18"/>
        <v>Không</v>
      </c>
      <c r="AI432" s="29" t="str">
        <f ca="1">IF((R432)&gt;=6,"Có","Không")</f>
        <v>Không</v>
      </c>
      <c r="AJ432" s="29" t="str">
        <f>IF(OR(J432&gt;=140,K432&gt;=90),"Có","Không")</f>
        <v>Không</v>
      </c>
      <c r="AK432" s="5" t="s">
        <v>32</v>
      </c>
      <c r="AL432" s="32">
        <v>46112</v>
      </c>
      <c r="AM432" s="29" t="str">
        <f>"Tháng "&amp;MONTH(AL432)</f>
        <v>Tháng 3</v>
      </c>
      <c r="AN432" s="29" t="str">
        <f>LEFT(AK432,FIND(",",AK432)-1)</f>
        <v>Ấp Giồng Giữa B</v>
      </c>
    </row>
    <row r="433" spans="1:40" x14ac:dyDescent="0.25">
      <c r="A433" s="49" t="s">
        <v>615</v>
      </c>
      <c r="B433" s="5" t="s">
        <v>23</v>
      </c>
      <c r="C433" s="5" t="s">
        <v>188</v>
      </c>
      <c r="D433" s="29">
        <f ca="1">DATEDIF(C433,TODAY(),"Y")</f>
        <v>63</v>
      </c>
      <c r="E433" s="5" t="s">
        <v>26</v>
      </c>
      <c r="F433" s="30">
        <v>158</v>
      </c>
      <c r="G433" s="30">
        <v>58</v>
      </c>
      <c r="H433" s="31">
        <f>G433/((F433/100)*(F433/100))</f>
        <v>23.233456176894723</v>
      </c>
      <c r="I433" s="5">
        <v>80</v>
      </c>
      <c r="J433" s="30">
        <v>120</v>
      </c>
      <c r="K433" s="30">
        <v>80</v>
      </c>
      <c r="L433" s="29">
        <f>IF(B433="Nữ",0,2)</f>
        <v>0</v>
      </c>
      <c r="M433" s="29">
        <f ca="1">IF(D433&lt;45,0,IF(D433&lt;=49,1,2))</f>
        <v>2</v>
      </c>
      <c r="N433" s="29">
        <f>IF(E433="Có",4,0)</f>
        <v>0</v>
      </c>
      <c r="O433" s="29">
        <f>IF(H433&lt;23,0,IF(H433&lt;27.5,3,5))</f>
        <v>3</v>
      </c>
      <c r="P433" s="29">
        <f>IF(OR(AND(B433="Nam",I433&gt;=90),AND(B433="Nữ",I433&gt;=80)),2,0)</f>
        <v>2</v>
      </c>
      <c r="Q433" s="29">
        <f>IF(OR(J433&gt;=140,K433&gt;=90),2,0)</f>
        <v>0</v>
      </c>
      <c r="R433" s="29">
        <f ca="1">SUM(L433:Q433)</f>
        <v>7</v>
      </c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5" t="s">
        <v>1393</v>
      </c>
      <c r="AE433" s="33"/>
      <c r="AF433" s="59" t="str">
        <f t="shared" si="19"/>
        <v>Không</v>
      </c>
      <c r="AG433" s="59" t="str">
        <f t="shared" si="20"/>
        <v>Không</v>
      </c>
      <c r="AH433" s="29" t="str">
        <f t="shared" ca="1" si="18"/>
        <v>Có</v>
      </c>
      <c r="AI433" s="29" t="str">
        <f ca="1">IF((R433)&gt;=6,"Có","Không")</f>
        <v>Có</v>
      </c>
      <c r="AJ433" s="29" t="str">
        <f>IF(OR(J433&gt;=140,K433&gt;=90),"Có","Không")</f>
        <v>Không</v>
      </c>
      <c r="AK433" s="5" t="s">
        <v>51</v>
      </c>
      <c r="AL433" s="32">
        <v>46112</v>
      </c>
      <c r="AM433" s="29" t="str">
        <f>"Tháng "&amp;MONTH(AL433)</f>
        <v>Tháng 3</v>
      </c>
      <c r="AN433" s="29" t="str">
        <f>LEFT(AK433,FIND(",",AK433)-1)</f>
        <v>Phường Hiệp Thành</v>
      </c>
    </row>
    <row r="434" spans="1:40" x14ac:dyDescent="0.25">
      <c r="A434" s="49" t="s">
        <v>616</v>
      </c>
      <c r="B434" s="5" t="s">
        <v>30</v>
      </c>
      <c r="C434" s="5" t="s">
        <v>84</v>
      </c>
      <c r="D434" s="29">
        <f ca="1">DATEDIF(C434,TODAY(),"Y")</f>
        <v>69</v>
      </c>
      <c r="E434" s="5" t="s">
        <v>26</v>
      </c>
      <c r="F434" s="30">
        <v>169</v>
      </c>
      <c r="G434" s="30">
        <v>68</v>
      </c>
      <c r="H434" s="31">
        <f>G434/((F434/100)*(F434/100))</f>
        <v>23.808690171912751</v>
      </c>
      <c r="I434" s="5">
        <v>84</v>
      </c>
      <c r="J434" s="30">
        <v>120</v>
      </c>
      <c r="K434" s="30">
        <v>80</v>
      </c>
      <c r="L434" s="29">
        <f>IF(B434="Nữ",0,2)</f>
        <v>2</v>
      </c>
      <c r="M434" s="29">
        <f ca="1">IF(D434&lt;45,0,IF(D434&lt;=49,1,2))</f>
        <v>2</v>
      </c>
      <c r="N434" s="29">
        <f>IF(E434="Có",4,0)</f>
        <v>0</v>
      </c>
      <c r="O434" s="29">
        <f>IF(H434&lt;23,0,IF(H434&lt;27.5,3,5))</f>
        <v>3</v>
      </c>
      <c r="P434" s="29">
        <f>IF(OR(AND(B434="Nam",I434&gt;=90),AND(B434="Nữ",I434&gt;=80)),2,0)</f>
        <v>0</v>
      </c>
      <c r="Q434" s="29">
        <f>IF(OR(J434&gt;=140,K434&gt;=90),2,0)</f>
        <v>0</v>
      </c>
      <c r="R434" s="29">
        <f ca="1">SUM(L434:Q434)</f>
        <v>7</v>
      </c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5" t="s">
        <v>1393</v>
      </c>
      <c r="AE434" s="33"/>
      <c r="AF434" s="59" t="str">
        <f t="shared" si="19"/>
        <v>Không</v>
      </c>
      <c r="AG434" s="59" t="str">
        <f t="shared" si="20"/>
        <v>Không</v>
      </c>
      <c r="AH434" s="29" t="str">
        <f t="shared" ca="1" si="18"/>
        <v>Có</v>
      </c>
      <c r="AI434" s="29" t="str">
        <f ca="1">IF((R434)&gt;=6,"Có","Không")</f>
        <v>Có</v>
      </c>
      <c r="AJ434" s="29" t="str">
        <f>IF(OR(J434&gt;=140,K434&gt;=90),"Có","Không")</f>
        <v>Không</v>
      </c>
      <c r="AK434" s="5" t="s">
        <v>65</v>
      </c>
      <c r="AL434" s="32">
        <v>46112</v>
      </c>
      <c r="AM434" s="29" t="str">
        <f>"Tháng "&amp;MONTH(AL434)</f>
        <v>Tháng 3</v>
      </c>
      <c r="AN434" s="29" t="str">
        <f>LEFT(AK434,FIND(",",AK434)-1)</f>
        <v>Biển Tây B</v>
      </c>
    </row>
    <row r="435" spans="1:40" x14ac:dyDescent="0.25">
      <c r="A435" s="49" t="s">
        <v>617</v>
      </c>
      <c r="B435" s="5" t="s">
        <v>23</v>
      </c>
      <c r="C435" s="5" t="s">
        <v>80</v>
      </c>
      <c r="D435" s="29">
        <f ca="1">DATEDIF(C435,TODAY(),"Y")</f>
        <v>71</v>
      </c>
      <c r="E435" s="5" t="s">
        <v>26</v>
      </c>
      <c r="F435" s="30">
        <v>158</v>
      </c>
      <c r="G435" s="30">
        <v>58</v>
      </c>
      <c r="H435" s="31">
        <f>G435/((F435/100)*(F435/100))</f>
        <v>23.233456176894723</v>
      </c>
      <c r="I435" s="5">
        <v>77</v>
      </c>
      <c r="J435" s="30">
        <v>150</v>
      </c>
      <c r="K435" s="30">
        <v>80</v>
      </c>
      <c r="L435" s="29">
        <f>IF(B435="Nữ",0,2)</f>
        <v>0</v>
      </c>
      <c r="M435" s="29">
        <f ca="1">IF(D435&lt;45,0,IF(D435&lt;=49,1,2))</f>
        <v>2</v>
      </c>
      <c r="N435" s="29">
        <f>IF(E435="Có",4,0)</f>
        <v>0</v>
      </c>
      <c r="O435" s="29">
        <f>IF(H435&lt;23,0,IF(H435&lt;27.5,3,5))</f>
        <v>3</v>
      </c>
      <c r="P435" s="29">
        <f>IF(OR(AND(B435="Nam",I435&gt;=90),AND(B435="Nữ",I435&gt;=80)),2,0)</f>
        <v>0</v>
      </c>
      <c r="Q435" s="29">
        <f>IF(OR(J435&gt;=140,K435&gt;=90),2,0)</f>
        <v>2</v>
      </c>
      <c r="R435" s="29">
        <f ca="1">SUM(L435:Q435)</f>
        <v>7</v>
      </c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5" t="s">
        <v>1393</v>
      </c>
      <c r="AE435" s="33"/>
      <c r="AF435" s="59" t="str">
        <f t="shared" si="19"/>
        <v>Không</v>
      </c>
      <c r="AG435" s="59" t="str">
        <f t="shared" si="20"/>
        <v>Không</v>
      </c>
      <c r="AH435" s="29" t="str">
        <f t="shared" ca="1" si="18"/>
        <v>Có</v>
      </c>
      <c r="AI435" s="29" t="str">
        <f ca="1">IF((R435)&gt;=6,"Có","Không")</f>
        <v>Có</v>
      </c>
      <c r="AJ435" s="29" t="str">
        <f>IF(OR(J435&gt;=140,K435&gt;=90),"Có","Không")</f>
        <v>Có</v>
      </c>
      <c r="AK435" s="5" t="s">
        <v>60</v>
      </c>
      <c r="AL435" s="32">
        <v>46112</v>
      </c>
      <c r="AM435" s="29" t="str">
        <f>"Tháng "&amp;MONTH(AL435)</f>
        <v>Tháng 3</v>
      </c>
      <c r="AN435" s="29" t="str">
        <f>LEFT(AK435,FIND(",",AK435)-1)</f>
        <v>ấp Biển Đông A</v>
      </c>
    </row>
    <row r="436" spans="1:40" x14ac:dyDescent="0.25">
      <c r="A436" s="49" t="s">
        <v>618</v>
      </c>
      <c r="B436" s="5" t="s">
        <v>23</v>
      </c>
      <c r="C436" s="5" t="s">
        <v>138</v>
      </c>
      <c r="D436" s="29">
        <f ca="1">DATEDIF(C436,TODAY(),"Y")</f>
        <v>67</v>
      </c>
      <c r="E436" s="5" t="s">
        <v>26</v>
      </c>
      <c r="F436" s="30">
        <v>158</v>
      </c>
      <c r="G436" s="30">
        <v>58</v>
      </c>
      <c r="H436" s="31">
        <f>G436/((F436/100)*(F436/100))</f>
        <v>23.233456176894723</v>
      </c>
      <c r="I436" s="5">
        <v>93</v>
      </c>
      <c r="J436" s="30">
        <v>150</v>
      </c>
      <c r="K436" s="30">
        <v>80</v>
      </c>
      <c r="L436" s="29">
        <f>IF(B436="Nữ",0,2)</f>
        <v>0</v>
      </c>
      <c r="M436" s="29">
        <f ca="1">IF(D436&lt;45,0,IF(D436&lt;=49,1,2))</f>
        <v>2</v>
      </c>
      <c r="N436" s="29">
        <f>IF(E436="Có",4,0)</f>
        <v>0</v>
      </c>
      <c r="O436" s="29">
        <f>IF(H436&lt;23,0,IF(H436&lt;27.5,3,5))</f>
        <v>3</v>
      </c>
      <c r="P436" s="29">
        <f>IF(OR(AND(B436="Nam",I436&gt;=90),AND(B436="Nữ",I436&gt;=80)),2,0)</f>
        <v>2</v>
      </c>
      <c r="Q436" s="29">
        <f>IF(OR(J436&gt;=140,K436&gt;=90),2,0)</f>
        <v>2</v>
      </c>
      <c r="R436" s="29">
        <f ca="1">SUM(L436:Q436)</f>
        <v>9</v>
      </c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5" t="s">
        <v>1393</v>
      </c>
      <c r="AE436" s="33"/>
      <c r="AF436" s="59" t="str">
        <f t="shared" si="19"/>
        <v>Không</v>
      </c>
      <c r="AG436" s="59" t="str">
        <f t="shared" si="20"/>
        <v>Không</v>
      </c>
      <c r="AH436" s="29" t="str">
        <f t="shared" ca="1" si="18"/>
        <v>Có</v>
      </c>
      <c r="AI436" s="29" t="str">
        <f ca="1">IF((R436)&gt;=6,"Có","Không")</f>
        <v>Có</v>
      </c>
      <c r="AJ436" s="29" t="str">
        <f>IF(OR(J436&gt;=140,K436&gt;=90),"Có","Không")</f>
        <v>Có</v>
      </c>
      <c r="AK436" s="5" t="s">
        <v>164</v>
      </c>
      <c r="AL436" s="32">
        <v>46112</v>
      </c>
      <c r="AM436" s="29" t="str">
        <f>"Tháng "&amp;MONTH(AL436)</f>
        <v>Tháng 3</v>
      </c>
      <c r="AN436" s="29" t="str">
        <f>LEFT(AK436,FIND(",",AK436)-1)</f>
        <v>ấp Biển Đông B</v>
      </c>
    </row>
    <row r="437" spans="1:40" x14ac:dyDescent="0.25">
      <c r="A437" s="49" t="s">
        <v>619</v>
      </c>
      <c r="B437" s="5" t="s">
        <v>23</v>
      </c>
      <c r="C437" s="5" t="s">
        <v>82</v>
      </c>
      <c r="D437" s="29">
        <f ca="1">DATEDIF(C437,TODAY(),"Y")</f>
        <v>73</v>
      </c>
      <c r="E437" s="5" t="s">
        <v>25</v>
      </c>
      <c r="F437" s="30">
        <v>158</v>
      </c>
      <c r="G437" s="30">
        <v>58</v>
      </c>
      <c r="H437" s="31">
        <f>G437/((F437/100)*(F437/100))</f>
        <v>23.233456176894723</v>
      </c>
      <c r="I437" s="5">
        <v>78</v>
      </c>
      <c r="J437" s="30">
        <v>130</v>
      </c>
      <c r="K437" s="30">
        <v>80</v>
      </c>
      <c r="L437" s="29">
        <f>IF(B437="Nữ",0,2)</f>
        <v>0</v>
      </c>
      <c r="M437" s="29">
        <f ca="1">IF(D437&lt;45,0,IF(D437&lt;=49,1,2))</f>
        <v>2</v>
      </c>
      <c r="N437" s="29">
        <f>IF(E437="Có",4,0)</f>
        <v>4</v>
      </c>
      <c r="O437" s="29">
        <f>IF(H437&lt;23,0,IF(H437&lt;27.5,3,5))</f>
        <v>3</v>
      </c>
      <c r="P437" s="29">
        <f>IF(OR(AND(B437="Nam",I437&gt;=90),AND(B437="Nữ",I437&gt;=80)),2,0)</f>
        <v>0</v>
      </c>
      <c r="Q437" s="29">
        <f>IF(OR(J437&gt;=140,K437&gt;=90),2,0)</f>
        <v>0</v>
      </c>
      <c r="R437" s="29">
        <f ca="1">SUM(L437:Q437)</f>
        <v>9</v>
      </c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5" t="s">
        <v>1393</v>
      </c>
      <c r="AE437" s="33"/>
      <c r="AF437" s="59" t="str">
        <f t="shared" si="19"/>
        <v>Không</v>
      </c>
      <c r="AG437" s="59" t="str">
        <f t="shared" si="20"/>
        <v>Không</v>
      </c>
      <c r="AH437" s="29" t="str">
        <f t="shared" ca="1" si="18"/>
        <v>Có</v>
      </c>
      <c r="AI437" s="29" t="str">
        <f ca="1">IF((R437)&gt;=6,"Có","Không")</f>
        <v>Có</v>
      </c>
      <c r="AJ437" s="29" t="str">
        <f>IF(OR(J437&gt;=140,K437&gt;=90),"Có","Không")</f>
        <v>Không</v>
      </c>
      <c r="AK437" s="5" t="s">
        <v>70</v>
      </c>
      <c r="AL437" s="32">
        <v>46112</v>
      </c>
      <c r="AM437" s="29" t="str">
        <f>"Tháng "&amp;MONTH(AL437)</f>
        <v>Tháng 3</v>
      </c>
      <c r="AN437" s="29" t="str">
        <f>LEFT(AK437,FIND(",",AK437)-1)</f>
        <v>Ấp Biển Tây A</v>
      </c>
    </row>
    <row r="438" spans="1:40" x14ac:dyDescent="0.25">
      <c r="A438" s="49" t="s">
        <v>620</v>
      </c>
      <c r="B438" s="5" t="s">
        <v>30</v>
      </c>
      <c r="C438" s="5" t="s">
        <v>203</v>
      </c>
      <c r="D438" s="29">
        <f ca="1">DATEDIF(C438,TODAY(),"Y")</f>
        <v>43</v>
      </c>
      <c r="E438" s="5" t="s">
        <v>26</v>
      </c>
      <c r="F438" s="30">
        <v>157</v>
      </c>
      <c r="G438" s="30">
        <v>60</v>
      </c>
      <c r="H438" s="31">
        <f>G438/((F438/100)*(F438/100))</f>
        <v>24.341758286340216</v>
      </c>
      <c r="I438" s="5">
        <v>74</v>
      </c>
      <c r="J438" s="30">
        <v>130</v>
      </c>
      <c r="K438" s="30">
        <v>80</v>
      </c>
      <c r="L438" s="29">
        <f>IF(B438="Nữ",0,2)</f>
        <v>2</v>
      </c>
      <c r="M438" s="29">
        <f ca="1">IF(D438&lt;45,0,IF(D438&lt;=49,1,2))</f>
        <v>0</v>
      </c>
      <c r="N438" s="29">
        <f>IF(E438="Có",4,0)</f>
        <v>0</v>
      </c>
      <c r="O438" s="29">
        <f>IF(H438&lt;23,0,IF(H438&lt;27.5,3,5))</f>
        <v>3</v>
      </c>
      <c r="P438" s="29">
        <f>IF(OR(AND(B438="Nam",I438&gt;=90),AND(B438="Nữ",I438&gt;=80)),2,0)</f>
        <v>0</v>
      </c>
      <c r="Q438" s="29">
        <f>IF(OR(J438&gt;=140,K438&gt;=90),2,0)</f>
        <v>0</v>
      </c>
      <c r="R438" s="29">
        <f ca="1">SUM(L438:Q438)</f>
        <v>5</v>
      </c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5" t="s">
        <v>1393</v>
      </c>
      <c r="AE438" s="33"/>
      <c r="AF438" s="59" t="str">
        <f t="shared" si="19"/>
        <v>Không</v>
      </c>
      <c r="AG438" s="59" t="str">
        <f t="shared" si="20"/>
        <v>Không</v>
      </c>
      <c r="AH438" s="29" t="str">
        <f t="shared" ca="1" si="18"/>
        <v>Không</v>
      </c>
      <c r="AI438" s="29" t="str">
        <f ca="1">IF((R438)&gt;=6,"Có","Không")</f>
        <v>Không</v>
      </c>
      <c r="AJ438" s="29" t="str">
        <f>IF(OR(J438&gt;=140,K438&gt;=90),"Có","Không")</f>
        <v>Không</v>
      </c>
      <c r="AK438" s="5" t="s">
        <v>621</v>
      </c>
      <c r="AL438" s="32">
        <v>46112</v>
      </c>
      <c r="AM438" s="29" t="str">
        <f>"Tháng "&amp;MONTH(AL438)</f>
        <v>Tháng 3</v>
      </c>
      <c r="AN438" s="29" t="str">
        <f>LEFT(AK438,FIND(",",AK438)-1)</f>
        <v>Khóm Kinh Tế</v>
      </c>
    </row>
    <row r="439" spans="1:40" x14ac:dyDescent="0.25">
      <c r="A439" s="49" t="s">
        <v>622</v>
      </c>
      <c r="B439" s="5" t="s">
        <v>23</v>
      </c>
      <c r="C439" s="5" t="s">
        <v>50</v>
      </c>
      <c r="D439" s="29">
        <f ca="1">DATEDIF(C439,TODAY(),"Y")</f>
        <v>58</v>
      </c>
      <c r="E439" s="5" t="s">
        <v>26</v>
      </c>
      <c r="F439" s="30">
        <v>155</v>
      </c>
      <c r="G439" s="30">
        <v>79</v>
      </c>
      <c r="H439" s="31">
        <f>G439/((F439/100)*(F439/100))</f>
        <v>32.882414151925076</v>
      </c>
      <c r="I439" s="5">
        <v>65</v>
      </c>
      <c r="J439" s="30">
        <v>120</v>
      </c>
      <c r="K439" s="30">
        <v>70</v>
      </c>
      <c r="L439" s="29">
        <f>IF(B439="Nữ",0,2)</f>
        <v>0</v>
      </c>
      <c r="M439" s="29">
        <f ca="1">IF(D439&lt;45,0,IF(D439&lt;=49,1,2))</f>
        <v>2</v>
      </c>
      <c r="N439" s="29">
        <f>IF(E439="Có",4,0)</f>
        <v>0</v>
      </c>
      <c r="O439" s="29">
        <f>IF(H439&lt;23,0,IF(H439&lt;27.5,3,5))</f>
        <v>5</v>
      </c>
      <c r="P439" s="29">
        <f>IF(OR(AND(B439="Nam",I439&gt;=90),AND(B439="Nữ",I439&gt;=80)),2,0)</f>
        <v>0</v>
      </c>
      <c r="Q439" s="29">
        <f>IF(OR(J439&gt;=140,K439&gt;=90),2,0)</f>
        <v>0</v>
      </c>
      <c r="R439" s="29">
        <f ca="1">SUM(L439:Q439)</f>
        <v>7</v>
      </c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5" t="s">
        <v>1393</v>
      </c>
      <c r="AE439" s="33"/>
      <c r="AF439" s="59" t="str">
        <f t="shared" si="19"/>
        <v>Không</v>
      </c>
      <c r="AG439" s="59" t="str">
        <f t="shared" si="20"/>
        <v>Không</v>
      </c>
      <c r="AH439" s="29" t="str">
        <f t="shared" ca="1" si="18"/>
        <v>Có</v>
      </c>
      <c r="AI439" s="29" t="str">
        <f ca="1">IF((R439)&gt;=6,"Có","Không")</f>
        <v>Có</v>
      </c>
      <c r="AJ439" s="29" t="str">
        <f>IF(OR(J439&gt;=140,K439&gt;=90),"Có","Không")</f>
        <v>Không</v>
      </c>
      <c r="AK439" s="5" t="s">
        <v>251</v>
      </c>
      <c r="AL439" s="32">
        <v>46112</v>
      </c>
      <c r="AM439" s="29" t="str">
        <f>"Tháng "&amp;MONTH(AL439)</f>
        <v>Tháng 3</v>
      </c>
      <c r="AN439" s="29" t="str">
        <f>LEFT(AK439,FIND(",",AK439)-1)</f>
        <v>giồng giữa</v>
      </c>
    </row>
    <row r="440" spans="1:40" x14ac:dyDescent="0.25">
      <c r="A440" s="49" t="s">
        <v>424</v>
      </c>
      <c r="B440" s="5" t="s">
        <v>23</v>
      </c>
      <c r="C440" s="5" t="s">
        <v>87</v>
      </c>
      <c r="D440" s="29">
        <f ca="1">DATEDIF(C440,TODAY(),"Y")</f>
        <v>49</v>
      </c>
      <c r="E440" s="5" t="s">
        <v>26</v>
      </c>
      <c r="F440" s="30">
        <v>158</v>
      </c>
      <c r="G440" s="30">
        <v>58</v>
      </c>
      <c r="H440" s="31">
        <f>G440/((F440/100)*(F440/100))</f>
        <v>23.233456176894723</v>
      </c>
      <c r="I440" s="5">
        <v>94</v>
      </c>
      <c r="J440" s="30">
        <v>110</v>
      </c>
      <c r="K440" s="30">
        <v>80</v>
      </c>
      <c r="L440" s="29">
        <f>IF(B440="Nữ",0,2)</f>
        <v>0</v>
      </c>
      <c r="M440" s="29">
        <f ca="1">IF(D440&lt;45,0,IF(D440&lt;=49,1,2))</f>
        <v>1</v>
      </c>
      <c r="N440" s="29">
        <f>IF(E440="Có",4,0)</f>
        <v>0</v>
      </c>
      <c r="O440" s="29">
        <f>IF(H440&lt;23,0,IF(H440&lt;27.5,3,5))</f>
        <v>3</v>
      </c>
      <c r="P440" s="29">
        <f>IF(OR(AND(B440="Nam",I440&gt;=90),AND(B440="Nữ",I440&gt;=80)),2,0)</f>
        <v>2</v>
      </c>
      <c r="Q440" s="29">
        <f>IF(OR(J440&gt;=140,K440&gt;=90),2,0)</f>
        <v>0</v>
      </c>
      <c r="R440" s="29">
        <f ca="1">SUM(L440:Q440)</f>
        <v>6</v>
      </c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5" t="s">
        <v>1393</v>
      </c>
      <c r="AE440" s="33"/>
      <c r="AF440" s="59" t="str">
        <f t="shared" si="19"/>
        <v>Không</v>
      </c>
      <c r="AG440" s="59" t="str">
        <f t="shared" si="20"/>
        <v>Không</v>
      </c>
      <c r="AH440" s="29" t="str">
        <f t="shared" ca="1" si="18"/>
        <v>Có</v>
      </c>
      <c r="AI440" s="29" t="str">
        <f ca="1">IF((R440)&gt;=6,"Có","Không")</f>
        <v>Có</v>
      </c>
      <c r="AJ440" s="29" t="str">
        <f>IF(OR(J440&gt;=140,K440&gt;=90),"Có","Không")</f>
        <v>Không</v>
      </c>
      <c r="AK440" s="5" t="s">
        <v>51</v>
      </c>
      <c r="AL440" s="32">
        <v>46112</v>
      </c>
      <c r="AM440" s="29" t="str">
        <f>"Tháng "&amp;MONTH(AL440)</f>
        <v>Tháng 3</v>
      </c>
      <c r="AN440" s="29" t="str">
        <f>LEFT(AK440,FIND(",",AK440)-1)</f>
        <v>Phường Hiệp Thành</v>
      </c>
    </row>
    <row r="441" spans="1:40" x14ac:dyDescent="0.25">
      <c r="A441" s="49" t="s">
        <v>641</v>
      </c>
      <c r="B441" s="5" t="s">
        <v>23</v>
      </c>
      <c r="C441" s="5" t="s">
        <v>45</v>
      </c>
      <c r="D441" s="29">
        <f ca="1">DATEDIF(C441,TODAY(),"Y")</f>
        <v>50</v>
      </c>
      <c r="E441" s="5" t="s">
        <v>25</v>
      </c>
      <c r="F441" s="30">
        <v>158</v>
      </c>
      <c r="G441" s="30">
        <v>58</v>
      </c>
      <c r="H441" s="31">
        <f>G441/((F441/100)*(F441/100))</f>
        <v>23.233456176894723</v>
      </c>
      <c r="I441" s="5">
        <v>65</v>
      </c>
      <c r="J441" s="30">
        <v>120</v>
      </c>
      <c r="K441" s="30">
        <v>80</v>
      </c>
      <c r="L441" s="29">
        <f>IF(B441="Nữ",0,2)</f>
        <v>0</v>
      </c>
      <c r="M441" s="29">
        <f ca="1">IF(D441&lt;45,0,IF(D441&lt;=49,1,2))</f>
        <v>2</v>
      </c>
      <c r="N441" s="29">
        <f>IF(E441="Có",4,0)</f>
        <v>4</v>
      </c>
      <c r="O441" s="29">
        <f>IF(H441&lt;23,0,IF(H441&lt;27.5,3,5))</f>
        <v>3</v>
      </c>
      <c r="P441" s="29">
        <f>IF(OR(AND(B441="Nam",I441&gt;=90),AND(B441="Nữ",I441&gt;=80)),2,0)</f>
        <v>0</v>
      </c>
      <c r="Q441" s="29">
        <f>IF(OR(J441&gt;=140,K441&gt;=90),2,0)</f>
        <v>0</v>
      </c>
      <c r="R441" s="29">
        <f ca="1">SUM(L441:Q441)</f>
        <v>9</v>
      </c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5" t="s">
        <v>1393</v>
      </c>
      <c r="AE441" s="33"/>
      <c r="AF441" s="59" t="str">
        <f t="shared" si="19"/>
        <v>Không</v>
      </c>
      <c r="AG441" s="59" t="str">
        <f t="shared" si="20"/>
        <v>Không</v>
      </c>
      <c r="AH441" s="29" t="str">
        <f t="shared" ca="1" si="18"/>
        <v>Có</v>
      </c>
      <c r="AI441" s="29" t="str">
        <f ca="1">IF((R441)&gt;=6,"Có","Không")</f>
        <v>Có</v>
      </c>
      <c r="AJ441" s="29" t="str">
        <f>IF(OR(J441&gt;=140,K441&gt;=90),"Có","Không")</f>
        <v>Không</v>
      </c>
      <c r="AK441" s="5" t="s">
        <v>51</v>
      </c>
      <c r="AL441" s="32">
        <v>46112</v>
      </c>
      <c r="AM441" s="29" t="str">
        <f>"Tháng "&amp;MONTH(AL441)</f>
        <v>Tháng 3</v>
      </c>
      <c r="AN441" s="29" t="str">
        <f>LEFT(AK441,FIND(",",AK441)-1)</f>
        <v>Phường Hiệp Thành</v>
      </c>
    </row>
    <row r="442" spans="1:40" x14ac:dyDescent="0.25">
      <c r="A442" s="49" t="s">
        <v>654</v>
      </c>
      <c r="B442" s="5" t="s">
        <v>23</v>
      </c>
      <c r="C442" s="5" t="s">
        <v>268</v>
      </c>
      <c r="D442" s="29">
        <f ca="1">DATEDIF(C442,TODAY(),"Y")</f>
        <v>44</v>
      </c>
      <c r="E442" s="5" t="s">
        <v>26</v>
      </c>
      <c r="F442" s="30">
        <v>160</v>
      </c>
      <c r="G442" s="30">
        <v>70</v>
      </c>
      <c r="H442" s="31">
        <f>G442/((F442/100)*(F442/100))</f>
        <v>27.343749999999996</v>
      </c>
      <c r="I442" s="5">
        <v>90</v>
      </c>
      <c r="J442" s="30">
        <v>120</v>
      </c>
      <c r="K442" s="30">
        <v>80</v>
      </c>
      <c r="L442" s="29">
        <f>IF(B442="Nữ",0,2)</f>
        <v>0</v>
      </c>
      <c r="M442" s="29">
        <f ca="1">IF(D442&lt;45,0,IF(D442&lt;=49,1,2))</f>
        <v>0</v>
      </c>
      <c r="N442" s="29">
        <f>IF(E442="Có",4,0)</f>
        <v>0</v>
      </c>
      <c r="O442" s="29">
        <f>IF(H442&lt;23,0,IF(H442&lt;27.5,3,5))</f>
        <v>3</v>
      </c>
      <c r="P442" s="29">
        <f>IF(OR(AND(B442="Nam",I442&gt;=90),AND(B442="Nữ",I442&gt;=80)),2,0)</f>
        <v>2</v>
      </c>
      <c r="Q442" s="29">
        <f>IF(OR(J442&gt;=140,K442&gt;=90),2,0)</f>
        <v>0</v>
      </c>
      <c r="R442" s="29">
        <f ca="1">SUM(L442:Q442)</f>
        <v>5</v>
      </c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5" t="s">
        <v>1393</v>
      </c>
      <c r="AE442" s="33"/>
      <c r="AF442" s="59" t="str">
        <f t="shared" si="19"/>
        <v>Không</v>
      </c>
      <c r="AG442" s="59" t="str">
        <f t="shared" si="20"/>
        <v>Không</v>
      </c>
      <c r="AH442" s="29" t="str">
        <f t="shared" ca="1" si="18"/>
        <v>Không</v>
      </c>
      <c r="AI442" s="29" t="str">
        <f ca="1">IF((R442)&gt;=6,"Có","Không")</f>
        <v>Không</v>
      </c>
      <c r="AJ442" s="29" t="str">
        <f>IF(OR(J442&gt;=140,K442&gt;=90),"Có","Không")</f>
        <v>Không</v>
      </c>
      <c r="AK442" s="5" t="s">
        <v>655</v>
      </c>
      <c r="AL442" s="32">
        <v>46112</v>
      </c>
      <c r="AM442" s="29" t="str">
        <f>"Tháng "&amp;MONTH(AL442)</f>
        <v>Tháng 3</v>
      </c>
      <c r="AN442" s="29" t="str">
        <f>LEFT(AK442,FIND(",",AK442)-1)</f>
        <v>Khóm 4</v>
      </c>
    </row>
    <row r="443" spans="1:40" x14ac:dyDescent="0.25">
      <c r="A443" s="49" t="s">
        <v>656</v>
      </c>
      <c r="B443" s="5" t="s">
        <v>30</v>
      </c>
      <c r="C443" s="5" t="s">
        <v>53</v>
      </c>
      <c r="D443" s="29">
        <f ca="1">DATEDIF(C443,TODAY(),"Y")</f>
        <v>72</v>
      </c>
      <c r="E443" s="5" t="s">
        <v>26</v>
      </c>
      <c r="F443" s="30">
        <v>156</v>
      </c>
      <c r="G443" s="30">
        <v>53</v>
      </c>
      <c r="H443" s="31">
        <f>G443/((F443/100)*(F443/100))</f>
        <v>21.7784352399737</v>
      </c>
      <c r="I443" s="5">
        <v>71</v>
      </c>
      <c r="J443" s="30">
        <v>140</v>
      </c>
      <c r="K443" s="30">
        <v>80</v>
      </c>
      <c r="L443" s="29">
        <f>IF(B443="Nữ",0,2)</f>
        <v>2</v>
      </c>
      <c r="M443" s="29">
        <f ca="1">IF(D443&lt;45,0,IF(D443&lt;=49,1,2))</f>
        <v>2</v>
      </c>
      <c r="N443" s="29">
        <f>IF(E443="Có",4,0)</f>
        <v>0</v>
      </c>
      <c r="O443" s="29">
        <f>IF(H443&lt;23,0,IF(H443&lt;27.5,3,5))</f>
        <v>0</v>
      </c>
      <c r="P443" s="29">
        <f>IF(OR(AND(B443="Nam",I443&gt;=90),AND(B443="Nữ",I443&gt;=80)),2,0)</f>
        <v>0</v>
      </c>
      <c r="Q443" s="29">
        <f>IF(OR(J443&gt;=140,K443&gt;=90),2,0)</f>
        <v>2</v>
      </c>
      <c r="R443" s="29">
        <f ca="1">SUM(L443:Q443)</f>
        <v>6</v>
      </c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5" t="s">
        <v>1393</v>
      </c>
      <c r="AE443" s="33"/>
      <c r="AF443" s="59" t="str">
        <f t="shared" si="19"/>
        <v>Không</v>
      </c>
      <c r="AG443" s="59" t="str">
        <f t="shared" si="20"/>
        <v>Không</v>
      </c>
      <c r="AH443" s="29" t="str">
        <f t="shared" ca="1" si="18"/>
        <v>Có</v>
      </c>
      <c r="AI443" s="29" t="str">
        <f ca="1">IF((R443)&gt;=6,"Có","Không")</f>
        <v>Có</v>
      </c>
      <c r="AJ443" s="29" t="str">
        <f>IF(OR(J443&gt;=140,K443&gt;=90),"Có","Không")</f>
        <v>Có</v>
      </c>
      <c r="AK443" s="5" t="s">
        <v>657</v>
      </c>
      <c r="AL443" s="32">
        <v>46112</v>
      </c>
      <c r="AM443" s="29" t="str">
        <f>"Tháng "&amp;MONTH(AL443)</f>
        <v>Tháng 3</v>
      </c>
      <c r="AN443" s="29" t="str">
        <f>LEFT(AK443,FIND(",",AK443)-1)</f>
        <v>khóm 2</v>
      </c>
    </row>
    <row r="444" spans="1:40" x14ac:dyDescent="0.25">
      <c r="A444" s="49" t="s">
        <v>658</v>
      </c>
      <c r="B444" s="5" t="s">
        <v>23</v>
      </c>
      <c r="C444" s="5" t="s">
        <v>62</v>
      </c>
      <c r="D444" s="29">
        <f ca="1">DATEDIF(C444,TODAY(),"Y")</f>
        <v>64</v>
      </c>
      <c r="E444" s="5" t="s">
        <v>26</v>
      </c>
      <c r="F444" s="30">
        <v>169</v>
      </c>
      <c r="G444" s="30">
        <v>68</v>
      </c>
      <c r="H444" s="31">
        <f>G444/((F444/100)*(F444/100))</f>
        <v>23.808690171912751</v>
      </c>
      <c r="I444" s="5">
        <v>96</v>
      </c>
      <c r="J444" s="30">
        <v>120</v>
      </c>
      <c r="K444" s="30">
        <v>80</v>
      </c>
      <c r="L444" s="29">
        <f>IF(B444="Nữ",0,2)</f>
        <v>0</v>
      </c>
      <c r="M444" s="29">
        <f ca="1">IF(D444&lt;45,0,IF(D444&lt;=49,1,2))</f>
        <v>2</v>
      </c>
      <c r="N444" s="29">
        <f>IF(E444="Có",4,0)</f>
        <v>0</v>
      </c>
      <c r="O444" s="29">
        <f>IF(H444&lt;23,0,IF(H444&lt;27.5,3,5))</f>
        <v>3</v>
      </c>
      <c r="P444" s="29">
        <f>IF(OR(AND(B444="Nam",I444&gt;=90),AND(B444="Nữ",I444&gt;=80)),2,0)</f>
        <v>2</v>
      </c>
      <c r="Q444" s="29">
        <f>IF(OR(J444&gt;=140,K444&gt;=90),2,0)</f>
        <v>0</v>
      </c>
      <c r="R444" s="29">
        <f ca="1">SUM(L444:Q444)</f>
        <v>7</v>
      </c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5" t="s">
        <v>1393</v>
      </c>
      <c r="AE444" s="33"/>
      <c r="AF444" s="59" t="str">
        <f t="shared" si="19"/>
        <v>Không</v>
      </c>
      <c r="AG444" s="59" t="str">
        <f t="shared" si="20"/>
        <v>Không</v>
      </c>
      <c r="AH444" s="29" t="str">
        <f t="shared" ca="1" si="18"/>
        <v>Có</v>
      </c>
      <c r="AI444" s="29" t="str">
        <f ca="1">IF((R444)&gt;=6,"Có","Không")</f>
        <v>Có</v>
      </c>
      <c r="AJ444" s="29" t="str">
        <f>IF(OR(J444&gt;=140,K444&gt;=90),"Có","Không")</f>
        <v>Không</v>
      </c>
      <c r="AK444" s="5" t="s">
        <v>68</v>
      </c>
      <c r="AL444" s="32">
        <v>46112</v>
      </c>
      <c r="AM444" s="29" t="str">
        <f>"Tháng "&amp;MONTH(AL444)</f>
        <v>Tháng 3</v>
      </c>
      <c r="AN444" s="29" t="str">
        <f>LEFT(AK444,FIND(",",AK444)-1)</f>
        <v>Ấp Biển Tây B</v>
      </c>
    </row>
    <row r="445" spans="1:40" x14ac:dyDescent="0.25">
      <c r="A445" s="49" t="s">
        <v>659</v>
      </c>
      <c r="B445" s="5" t="s">
        <v>30</v>
      </c>
      <c r="C445" s="5" t="s">
        <v>76</v>
      </c>
      <c r="D445" s="29">
        <f ca="1">DATEDIF(C445,TODAY(),"Y")</f>
        <v>68</v>
      </c>
      <c r="E445" s="5" t="s">
        <v>26</v>
      </c>
      <c r="F445" s="30">
        <v>160</v>
      </c>
      <c r="G445" s="30">
        <v>48</v>
      </c>
      <c r="H445" s="31">
        <f>G445/((F445/100)*(F445/100))</f>
        <v>18.749999999999996</v>
      </c>
      <c r="I445" s="5">
        <v>65</v>
      </c>
      <c r="J445" s="30">
        <v>120</v>
      </c>
      <c r="K445" s="30">
        <v>70</v>
      </c>
      <c r="L445" s="29">
        <f>IF(B445="Nữ",0,2)</f>
        <v>2</v>
      </c>
      <c r="M445" s="29">
        <f ca="1">IF(D445&lt;45,0,IF(D445&lt;=49,1,2))</f>
        <v>2</v>
      </c>
      <c r="N445" s="29">
        <f>IF(E445="Có",4,0)</f>
        <v>0</v>
      </c>
      <c r="O445" s="29">
        <f>IF(H445&lt;23,0,IF(H445&lt;27.5,3,5))</f>
        <v>0</v>
      </c>
      <c r="P445" s="29">
        <f>IF(OR(AND(B445="Nam",I445&gt;=90),AND(B445="Nữ",I445&gt;=80)),2,0)</f>
        <v>0</v>
      </c>
      <c r="Q445" s="29">
        <f>IF(OR(J445&gt;=140,K445&gt;=90),2,0)</f>
        <v>0</v>
      </c>
      <c r="R445" s="29">
        <f ca="1">SUM(L445:Q445)</f>
        <v>4</v>
      </c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5" t="s">
        <v>1393</v>
      </c>
      <c r="AE445" s="33"/>
      <c r="AF445" s="59" t="str">
        <f t="shared" si="19"/>
        <v>Không</v>
      </c>
      <c r="AG445" s="59" t="str">
        <f t="shared" si="20"/>
        <v>Không</v>
      </c>
      <c r="AH445" s="29" t="str">
        <f t="shared" ca="1" si="18"/>
        <v>Không</v>
      </c>
      <c r="AI445" s="29" t="str">
        <f ca="1">IF((R445)&gt;=6,"Có","Không")</f>
        <v>Không</v>
      </c>
      <c r="AJ445" s="29" t="str">
        <f>IF(OR(J445&gt;=140,K445&gt;=90),"Có","Không")</f>
        <v>Không</v>
      </c>
      <c r="AK445" s="5" t="s">
        <v>91</v>
      </c>
      <c r="AL445" s="32">
        <v>46112</v>
      </c>
      <c r="AM445" s="29" t="str">
        <f>"Tháng "&amp;MONTH(AL445)</f>
        <v>Tháng 3</v>
      </c>
      <c r="AN445" s="29" t="str">
        <f>LEFT(AK445,FIND(",",AK445)-1)</f>
        <v>Ấp Giồng Giữa</v>
      </c>
    </row>
    <row r="446" spans="1:40" x14ac:dyDescent="0.25">
      <c r="A446" s="49" t="s">
        <v>660</v>
      </c>
      <c r="B446" s="5" t="s">
        <v>30</v>
      </c>
      <c r="C446" s="5" t="s">
        <v>50</v>
      </c>
      <c r="D446" s="29">
        <f ca="1">DATEDIF(C446,TODAY(),"Y")</f>
        <v>58</v>
      </c>
      <c r="E446" s="5" t="s">
        <v>26</v>
      </c>
      <c r="F446" s="30">
        <v>169</v>
      </c>
      <c r="G446" s="30">
        <v>68</v>
      </c>
      <c r="H446" s="31">
        <f>G446/((F446/100)*(F446/100))</f>
        <v>23.808690171912751</v>
      </c>
      <c r="I446" s="5">
        <v>75</v>
      </c>
      <c r="J446" s="30">
        <v>150</v>
      </c>
      <c r="K446" s="30">
        <v>80</v>
      </c>
      <c r="L446" s="29">
        <f>IF(B446="Nữ",0,2)</f>
        <v>2</v>
      </c>
      <c r="M446" s="29">
        <f ca="1">IF(D446&lt;45,0,IF(D446&lt;=49,1,2))</f>
        <v>2</v>
      </c>
      <c r="N446" s="29">
        <f>IF(E446="Có",4,0)</f>
        <v>0</v>
      </c>
      <c r="O446" s="29">
        <f>IF(H446&lt;23,0,IF(H446&lt;27.5,3,5))</f>
        <v>3</v>
      </c>
      <c r="P446" s="29">
        <f>IF(OR(AND(B446="Nam",I446&gt;=90),AND(B446="Nữ",I446&gt;=80)),2,0)</f>
        <v>0</v>
      </c>
      <c r="Q446" s="29">
        <f>IF(OR(J446&gt;=140,K446&gt;=90),2,0)</f>
        <v>2</v>
      </c>
      <c r="R446" s="29">
        <f ca="1">SUM(L446:Q446)</f>
        <v>9</v>
      </c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5" t="s">
        <v>1393</v>
      </c>
      <c r="AE446" s="33"/>
      <c r="AF446" s="59" t="str">
        <f t="shared" si="19"/>
        <v>Không</v>
      </c>
      <c r="AG446" s="59" t="str">
        <f t="shared" si="20"/>
        <v>Không</v>
      </c>
      <c r="AH446" s="29" t="str">
        <f t="shared" ca="1" si="18"/>
        <v>Có</v>
      </c>
      <c r="AI446" s="29" t="str">
        <f ca="1">IF((R446)&gt;=6,"Có","Không")</f>
        <v>Có</v>
      </c>
      <c r="AJ446" s="29" t="str">
        <f>IF(OR(J446&gt;=140,K446&gt;=90),"Có","Không")</f>
        <v>Có</v>
      </c>
      <c r="AK446" s="5" t="s">
        <v>38</v>
      </c>
      <c r="AL446" s="32">
        <v>46112</v>
      </c>
      <c r="AM446" s="29" t="str">
        <f>"Tháng "&amp;MONTH(AL446)</f>
        <v>Tháng 3</v>
      </c>
      <c r="AN446" s="29" t="str">
        <f>LEFT(AK446,FIND(",",AK446)-1)</f>
        <v>Ấp Biển Đông B</v>
      </c>
    </row>
    <row r="447" spans="1:40" x14ac:dyDescent="0.25">
      <c r="A447" s="49" t="s">
        <v>661</v>
      </c>
      <c r="B447" s="5" t="s">
        <v>30</v>
      </c>
      <c r="C447" s="5" t="s">
        <v>59</v>
      </c>
      <c r="D447" s="29">
        <f ca="1">DATEDIF(C447,TODAY(),"Y")</f>
        <v>74</v>
      </c>
      <c r="E447" s="5" t="s">
        <v>26</v>
      </c>
      <c r="F447" s="30">
        <v>169</v>
      </c>
      <c r="G447" s="30">
        <v>68</v>
      </c>
      <c r="H447" s="31">
        <f>G447/((F447/100)*(F447/100))</f>
        <v>23.808690171912751</v>
      </c>
      <c r="I447" s="5">
        <v>83</v>
      </c>
      <c r="J447" s="30">
        <v>120</v>
      </c>
      <c r="K447" s="30">
        <v>80</v>
      </c>
      <c r="L447" s="29">
        <f>IF(B447="Nữ",0,2)</f>
        <v>2</v>
      </c>
      <c r="M447" s="29">
        <f ca="1">IF(D447&lt;45,0,IF(D447&lt;=49,1,2))</f>
        <v>2</v>
      </c>
      <c r="N447" s="29">
        <f>IF(E447="Có",4,0)</f>
        <v>0</v>
      </c>
      <c r="O447" s="29">
        <f>IF(H447&lt;23,0,IF(H447&lt;27.5,3,5))</f>
        <v>3</v>
      </c>
      <c r="P447" s="29">
        <f>IF(OR(AND(B447="Nam",I447&gt;=90),AND(B447="Nữ",I447&gt;=80)),2,0)</f>
        <v>0</v>
      </c>
      <c r="Q447" s="29">
        <f>IF(OR(J447&gt;=140,K447&gt;=90),2,0)</f>
        <v>0</v>
      </c>
      <c r="R447" s="29">
        <f ca="1">SUM(L447:Q447)</f>
        <v>7</v>
      </c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5" t="s">
        <v>1393</v>
      </c>
      <c r="AE447" s="33"/>
      <c r="AF447" s="59" t="str">
        <f t="shared" si="19"/>
        <v>Không</v>
      </c>
      <c r="AG447" s="59" t="str">
        <f t="shared" si="20"/>
        <v>Không</v>
      </c>
      <c r="AH447" s="29" t="str">
        <f t="shared" ca="1" si="18"/>
        <v>Có</v>
      </c>
      <c r="AI447" s="29" t="str">
        <f ca="1">IF((R447)&gt;=6,"Có","Không")</f>
        <v>Có</v>
      </c>
      <c r="AJ447" s="29" t="str">
        <f>IF(OR(J447&gt;=140,K447&gt;=90),"Có","Không")</f>
        <v>Không</v>
      </c>
      <c r="AK447" s="5" t="s">
        <v>28</v>
      </c>
      <c r="AL447" s="32">
        <v>46112</v>
      </c>
      <c r="AM447" s="29" t="str">
        <f>"Tháng "&amp;MONTH(AL447)</f>
        <v>Tháng 3</v>
      </c>
      <c r="AN447" s="29" t="str">
        <f>LEFT(AK447,FIND(",",AK447)-1)</f>
        <v>Ấp Biển Đông A</v>
      </c>
    </row>
    <row r="448" spans="1:40" x14ac:dyDescent="0.25">
      <c r="A448" s="49" t="s">
        <v>662</v>
      </c>
      <c r="B448" s="5" t="s">
        <v>23</v>
      </c>
      <c r="C448" s="5" t="s">
        <v>155</v>
      </c>
      <c r="D448" s="29">
        <f ca="1">DATEDIF(C448,TODAY(),"Y")</f>
        <v>53</v>
      </c>
      <c r="E448" s="5" t="s">
        <v>26</v>
      </c>
      <c r="F448" s="30">
        <v>158</v>
      </c>
      <c r="G448" s="30">
        <v>58</v>
      </c>
      <c r="H448" s="31">
        <f>G448/((F448/100)*(F448/100))</f>
        <v>23.233456176894723</v>
      </c>
      <c r="I448" s="5">
        <v>73</v>
      </c>
      <c r="J448" s="30">
        <v>130</v>
      </c>
      <c r="K448" s="30">
        <v>80</v>
      </c>
      <c r="L448" s="29">
        <f>IF(B448="Nữ",0,2)</f>
        <v>0</v>
      </c>
      <c r="M448" s="29">
        <f ca="1">IF(D448&lt;45,0,IF(D448&lt;=49,1,2))</f>
        <v>2</v>
      </c>
      <c r="N448" s="29">
        <f>IF(E448="Có",4,0)</f>
        <v>0</v>
      </c>
      <c r="O448" s="29">
        <f>IF(H448&lt;23,0,IF(H448&lt;27.5,3,5))</f>
        <v>3</v>
      </c>
      <c r="P448" s="29">
        <f>IF(OR(AND(B448="Nam",I448&gt;=90),AND(B448="Nữ",I448&gt;=80)),2,0)</f>
        <v>0</v>
      </c>
      <c r="Q448" s="29">
        <f>IF(OR(J448&gt;=140,K448&gt;=90),2,0)</f>
        <v>0</v>
      </c>
      <c r="R448" s="29">
        <f ca="1">SUM(L448:Q448)</f>
        <v>5</v>
      </c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5" t="s">
        <v>1393</v>
      </c>
      <c r="AE448" s="33"/>
      <c r="AF448" s="59" t="str">
        <f t="shared" si="19"/>
        <v>Không</v>
      </c>
      <c r="AG448" s="59" t="str">
        <f t="shared" si="20"/>
        <v>Không</v>
      </c>
      <c r="AH448" s="29" t="str">
        <f t="shared" ca="1" si="18"/>
        <v>Không</v>
      </c>
      <c r="AI448" s="29" t="str">
        <f ca="1">IF((R448)&gt;=6,"Có","Không")</f>
        <v>Không</v>
      </c>
      <c r="AJ448" s="29" t="str">
        <f>IF(OR(J448&gt;=140,K448&gt;=90),"Có","Không")</f>
        <v>Không</v>
      </c>
      <c r="AK448" s="5" t="s">
        <v>246</v>
      </c>
      <c r="AL448" s="32">
        <v>46112</v>
      </c>
      <c r="AM448" s="29" t="str">
        <f>"Tháng "&amp;MONTH(AL448)</f>
        <v>Tháng 3</v>
      </c>
      <c r="AN448" s="29" t="str">
        <f>LEFT(AK448,FIND(",",AK448)-1)</f>
        <v>ấp Biển Tây B</v>
      </c>
    </row>
    <row r="449" spans="1:40" x14ac:dyDescent="0.25">
      <c r="A449" s="49" t="s">
        <v>663</v>
      </c>
      <c r="B449" s="5" t="s">
        <v>30</v>
      </c>
      <c r="C449" s="5" t="s">
        <v>146</v>
      </c>
      <c r="D449" s="29">
        <f ca="1">DATEDIF(C449,TODAY(),"Y")</f>
        <v>52</v>
      </c>
      <c r="E449" s="5" t="s">
        <v>26</v>
      </c>
      <c r="F449" s="30">
        <v>169</v>
      </c>
      <c r="G449" s="30">
        <v>68</v>
      </c>
      <c r="H449" s="31">
        <f>G449/((F449/100)*(F449/100))</f>
        <v>23.808690171912751</v>
      </c>
      <c r="I449" s="5">
        <v>68</v>
      </c>
      <c r="J449" s="30">
        <v>120</v>
      </c>
      <c r="K449" s="30">
        <v>80</v>
      </c>
      <c r="L449" s="29">
        <f>IF(B449="Nữ",0,2)</f>
        <v>2</v>
      </c>
      <c r="M449" s="29">
        <f ca="1">IF(D449&lt;45,0,IF(D449&lt;=49,1,2))</f>
        <v>2</v>
      </c>
      <c r="N449" s="29">
        <f>IF(E449="Có",4,0)</f>
        <v>0</v>
      </c>
      <c r="O449" s="29">
        <f>IF(H449&lt;23,0,IF(H449&lt;27.5,3,5))</f>
        <v>3</v>
      </c>
      <c r="P449" s="29">
        <f>IF(OR(AND(B449="Nam",I449&gt;=90),AND(B449="Nữ",I449&gt;=80)),2,0)</f>
        <v>0</v>
      </c>
      <c r="Q449" s="29">
        <f>IF(OR(J449&gt;=140,K449&gt;=90),2,0)</f>
        <v>0</v>
      </c>
      <c r="R449" s="29">
        <f ca="1">SUM(L449:Q449)</f>
        <v>7</v>
      </c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5" t="s">
        <v>1393</v>
      </c>
      <c r="AE449" s="33"/>
      <c r="AF449" s="59" t="str">
        <f t="shared" si="19"/>
        <v>Không</v>
      </c>
      <c r="AG449" s="59" t="str">
        <f t="shared" si="20"/>
        <v>Không</v>
      </c>
      <c r="AH449" s="29" t="str">
        <f t="shared" ca="1" si="18"/>
        <v>Có</v>
      </c>
      <c r="AI449" s="29" t="str">
        <f ca="1">IF((R449)&gt;=6,"Có","Không")</f>
        <v>Có</v>
      </c>
      <c r="AJ449" s="29" t="str">
        <f>IF(OR(J449&gt;=140,K449&gt;=90),"Có","Không")</f>
        <v>Không</v>
      </c>
      <c r="AK449" s="5" t="s">
        <v>234</v>
      </c>
      <c r="AL449" s="32">
        <v>46112</v>
      </c>
      <c r="AM449" s="29" t="str">
        <f>"Tháng "&amp;MONTH(AL449)</f>
        <v>Tháng 3</v>
      </c>
      <c r="AN449" s="29" t="str">
        <f>LEFT(AK449,FIND(",",AK449)-1)</f>
        <v>ấp Biển Đông B</v>
      </c>
    </row>
    <row r="450" spans="1:40" x14ac:dyDescent="0.25">
      <c r="A450" s="49" t="s">
        <v>664</v>
      </c>
      <c r="B450" s="5" t="s">
        <v>30</v>
      </c>
      <c r="C450" s="5" t="s">
        <v>394</v>
      </c>
      <c r="D450" s="29">
        <f ca="1">DATEDIF(C450,TODAY(),"Y")</f>
        <v>45</v>
      </c>
      <c r="E450" s="5" t="s">
        <v>26</v>
      </c>
      <c r="F450" s="30">
        <v>160</v>
      </c>
      <c r="G450" s="30">
        <v>60</v>
      </c>
      <c r="H450" s="31">
        <f>G450/((F450/100)*(F450/100))</f>
        <v>23.437499999999996</v>
      </c>
      <c r="I450" s="5">
        <v>83</v>
      </c>
      <c r="J450" s="30">
        <v>120</v>
      </c>
      <c r="K450" s="30">
        <v>80</v>
      </c>
      <c r="L450" s="29">
        <f>IF(B450="Nữ",0,2)</f>
        <v>2</v>
      </c>
      <c r="M450" s="29">
        <f ca="1">IF(D450&lt;45,0,IF(D450&lt;=49,1,2))</f>
        <v>1</v>
      </c>
      <c r="N450" s="29">
        <f>IF(E450="Có",4,0)</f>
        <v>0</v>
      </c>
      <c r="O450" s="29">
        <f>IF(H450&lt;23,0,IF(H450&lt;27.5,3,5))</f>
        <v>3</v>
      </c>
      <c r="P450" s="29">
        <f>IF(OR(AND(B450="Nam",I450&gt;=90),AND(B450="Nữ",I450&gt;=80)),2,0)</f>
        <v>0</v>
      </c>
      <c r="Q450" s="29">
        <f>IF(OR(J450&gt;=140,K450&gt;=90),2,0)</f>
        <v>0</v>
      </c>
      <c r="R450" s="29">
        <f ca="1">SUM(L450:Q450)</f>
        <v>6</v>
      </c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5" t="s">
        <v>1393</v>
      </c>
      <c r="AE450" s="33"/>
      <c r="AF450" s="59" t="str">
        <f t="shared" si="19"/>
        <v>Không</v>
      </c>
      <c r="AG450" s="59" t="str">
        <f t="shared" si="20"/>
        <v>Không</v>
      </c>
      <c r="AH450" s="29" t="str">
        <f t="shared" ca="1" si="18"/>
        <v>Có</v>
      </c>
      <c r="AI450" s="29" t="str">
        <f ca="1">IF((R450)&gt;=6,"Có","Không")</f>
        <v>Có</v>
      </c>
      <c r="AJ450" s="29" t="str">
        <f>IF(OR(J450&gt;=140,K450&gt;=90),"Có","Không")</f>
        <v>Không</v>
      </c>
      <c r="AK450" s="5" t="s">
        <v>51</v>
      </c>
      <c r="AL450" s="32">
        <v>46112</v>
      </c>
      <c r="AM450" s="29" t="str">
        <f>"Tháng "&amp;MONTH(AL450)</f>
        <v>Tháng 3</v>
      </c>
      <c r="AN450" s="29" t="str">
        <f>LEFT(AK450,FIND(",",AK450)-1)</f>
        <v>Phường Hiệp Thành</v>
      </c>
    </row>
    <row r="451" spans="1:40" x14ac:dyDescent="0.25">
      <c r="A451" s="49" t="s">
        <v>665</v>
      </c>
      <c r="B451" s="5" t="s">
        <v>23</v>
      </c>
      <c r="C451" s="5" t="s">
        <v>82</v>
      </c>
      <c r="D451" s="29">
        <f ca="1">DATEDIF(C451,TODAY(),"Y")</f>
        <v>73</v>
      </c>
      <c r="E451" s="5" t="s">
        <v>25</v>
      </c>
      <c r="F451" s="30">
        <v>158</v>
      </c>
      <c r="G451" s="30">
        <v>58</v>
      </c>
      <c r="H451" s="31">
        <f>G451/((F451/100)*(F451/100))</f>
        <v>23.233456176894723</v>
      </c>
      <c r="I451" s="5">
        <v>79</v>
      </c>
      <c r="J451" s="30">
        <v>150</v>
      </c>
      <c r="K451" s="30">
        <v>80</v>
      </c>
      <c r="L451" s="29">
        <f>IF(B451="Nữ",0,2)</f>
        <v>0</v>
      </c>
      <c r="M451" s="29">
        <f ca="1">IF(D451&lt;45,0,IF(D451&lt;=49,1,2))</f>
        <v>2</v>
      </c>
      <c r="N451" s="29">
        <f>IF(E451="Có",4,0)</f>
        <v>4</v>
      </c>
      <c r="O451" s="29">
        <f>IF(H451&lt;23,0,IF(H451&lt;27.5,3,5))</f>
        <v>3</v>
      </c>
      <c r="P451" s="29">
        <f>IF(OR(AND(B451="Nam",I451&gt;=90),AND(B451="Nữ",I451&gt;=80)),2,0)</f>
        <v>0</v>
      </c>
      <c r="Q451" s="29">
        <f>IF(OR(J451&gt;=140,K451&gt;=90),2,0)</f>
        <v>2</v>
      </c>
      <c r="R451" s="29">
        <f ca="1">SUM(L451:Q451)</f>
        <v>11</v>
      </c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5" t="s">
        <v>1393</v>
      </c>
      <c r="AE451" s="33"/>
      <c r="AF451" s="59" t="str">
        <f t="shared" si="19"/>
        <v>Không</v>
      </c>
      <c r="AG451" s="59" t="str">
        <f t="shared" si="20"/>
        <v>Không</v>
      </c>
      <c r="AH451" s="29" t="str">
        <f t="shared" ca="1" si="18"/>
        <v>Có</v>
      </c>
      <c r="AI451" s="29" t="str">
        <f ca="1">IF((R451)&gt;=6,"Có","Không")</f>
        <v>Có</v>
      </c>
      <c r="AJ451" s="29" t="str">
        <f>IF(OR(J451&gt;=140,K451&gt;=90),"Có","Không")</f>
        <v>Có</v>
      </c>
      <c r="AK451" s="5" t="s">
        <v>48</v>
      </c>
      <c r="AL451" s="32">
        <v>46112</v>
      </c>
      <c r="AM451" s="29" t="str">
        <f>"Tháng "&amp;MONTH(AL451)</f>
        <v>Tháng 3</v>
      </c>
      <c r="AN451" s="29" t="str">
        <f>LEFT(AK451,FIND(",",AK451)-1)</f>
        <v>ấp Giồng Giữa A</v>
      </c>
    </row>
    <row r="452" spans="1:40" x14ac:dyDescent="0.25">
      <c r="A452" s="49" t="s">
        <v>681</v>
      </c>
      <c r="B452" s="5" t="s">
        <v>23</v>
      </c>
      <c r="C452" s="5" t="s">
        <v>42</v>
      </c>
      <c r="D452" s="29">
        <f ca="1">DATEDIF(C452,TODAY(),"Y")</f>
        <v>59</v>
      </c>
      <c r="E452" s="5" t="s">
        <v>25</v>
      </c>
      <c r="F452" s="30">
        <v>160</v>
      </c>
      <c r="G452" s="30">
        <v>80</v>
      </c>
      <c r="H452" s="31">
        <f>G452/((F452/100)*(F452/100))</f>
        <v>31.249999999999993</v>
      </c>
      <c r="I452" s="5">
        <v>89</v>
      </c>
      <c r="J452" s="30">
        <v>120</v>
      </c>
      <c r="K452" s="30">
        <v>80</v>
      </c>
      <c r="L452" s="29">
        <f>IF(B452="Nữ",0,2)</f>
        <v>0</v>
      </c>
      <c r="M452" s="29">
        <f ca="1">IF(D452&lt;45,0,IF(D452&lt;=49,1,2))</f>
        <v>2</v>
      </c>
      <c r="N452" s="29">
        <f>IF(E452="Có",4,0)</f>
        <v>4</v>
      </c>
      <c r="O452" s="29">
        <f>IF(H452&lt;23,0,IF(H452&lt;27.5,3,5))</f>
        <v>5</v>
      </c>
      <c r="P452" s="29">
        <f>IF(OR(AND(B452="Nam",I452&gt;=90),AND(B452="Nữ",I452&gt;=80)),2,0)</f>
        <v>2</v>
      </c>
      <c r="Q452" s="29">
        <f>IF(OR(J452&gt;=140,K452&gt;=90),2,0)</f>
        <v>0</v>
      </c>
      <c r="R452" s="29">
        <f ca="1">SUM(L452:Q452)</f>
        <v>13</v>
      </c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5" t="s">
        <v>1393</v>
      </c>
      <c r="AE452" s="33"/>
      <c r="AF452" s="59" t="str">
        <f t="shared" si="19"/>
        <v>Không</v>
      </c>
      <c r="AG452" s="59" t="str">
        <f t="shared" si="20"/>
        <v>Không</v>
      </c>
      <c r="AH452" s="29" t="str">
        <f t="shared" ref="AH452:AH515" ca="1" si="21">IF((R452)&gt;=6,"Có","Không")</f>
        <v>Có</v>
      </c>
      <c r="AI452" s="29" t="str">
        <f ca="1">IF((R452)&gt;=6,"Có","Không")</f>
        <v>Có</v>
      </c>
      <c r="AJ452" s="29" t="str">
        <f>IF(OR(J452&gt;=140,K452&gt;=90),"Có","Không")</f>
        <v>Không</v>
      </c>
      <c r="AK452" s="5" t="s">
        <v>51</v>
      </c>
      <c r="AL452" s="32">
        <v>46112</v>
      </c>
      <c r="AM452" s="29" t="str">
        <f>"Tháng "&amp;MONTH(AL452)</f>
        <v>Tháng 3</v>
      </c>
      <c r="AN452" s="29" t="str">
        <f>LEFT(AK452,FIND(",",AK452)-1)</f>
        <v>Phường Hiệp Thành</v>
      </c>
    </row>
    <row r="453" spans="1:40" x14ac:dyDescent="0.25">
      <c r="A453" s="49" t="s">
        <v>693</v>
      </c>
      <c r="B453" s="5" t="s">
        <v>30</v>
      </c>
      <c r="C453" s="5" t="s">
        <v>373</v>
      </c>
      <c r="D453" s="29">
        <f ca="1">DATEDIF(C453,TODAY(),"Y")</f>
        <v>61</v>
      </c>
      <c r="E453" s="5" t="s">
        <v>26</v>
      </c>
      <c r="F453" s="30">
        <v>168</v>
      </c>
      <c r="G453" s="30">
        <v>68</v>
      </c>
      <c r="H453" s="31">
        <f>G453/((F453/100)*(F453/100))</f>
        <v>24.092970521541954</v>
      </c>
      <c r="I453" s="5">
        <v>86</v>
      </c>
      <c r="J453" s="30">
        <v>150</v>
      </c>
      <c r="K453" s="30">
        <v>80</v>
      </c>
      <c r="L453" s="29">
        <f>IF(B453="Nữ",0,2)</f>
        <v>2</v>
      </c>
      <c r="M453" s="29">
        <f ca="1">IF(D453&lt;45,0,IF(D453&lt;=49,1,2))</f>
        <v>2</v>
      </c>
      <c r="N453" s="29">
        <f>IF(E453="Có",4,0)</f>
        <v>0</v>
      </c>
      <c r="O453" s="29">
        <f>IF(H453&lt;23,0,IF(H453&lt;27.5,3,5))</f>
        <v>3</v>
      </c>
      <c r="P453" s="29">
        <f>IF(OR(AND(B453="Nam",I453&gt;=90),AND(B453="Nữ",I453&gt;=80)),2,0)</f>
        <v>0</v>
      </c>
      <c r="Q453" s="29">
        <f>IF(OR(J453&gt;=140,K453&gt;=90),2,0)</f>
        <v>2</v>
      </c>
      <c r="R453" s="29">
        <f ca="1">SUM(L453:Q453)</f>
        <v>9</v>
      </c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5" t="s">
        <v>1393</v>
      </c>
      <c r="AE453" s="33"/>
      <c r="AF453" s="59" t="str">
        <f t="shared" ref="AF453:AF516" si="22">IF(COUNTIF(S453:Z453,"X")&gt;=2,"Có","Không")</f>
        <v>Không</v>
      </c>
      <c r="AG453" s="59" t="str">
        <f t="shared" ref="AG453:AG516" si="23">IF(COUNTIF(AA453:AE453,"X")&gt;=3,"Có","Không")</f>
        <v>Không</v>
      </c>
      <c r="AH453" s="29" t="str">
        <f t="shared" ca="1" si="21"/>
        <v>Có</v>
      </c>
      <c r="AI453" s="29" t="str">
        <f ca="1">IF((R453)&gt;=6,"Có","Không")</f>
        <v>Có</v>
      </c>
      <c r="AJ453" s="29" t="str">
        <f>IF(OR(J453&gt;=140,K453&gt;=90),"Có","Không")</f>
        <v>Có</v>
      </c>
      <c r="AK453" s="5" t="s">
        <v>91</v>
      </c>
      <c r="AL453" s="32">
        <v>46112</v>
      </c>
      <c r="AM453" s="29" t="str">
        <f>"Tháng "&amp;MONTH(AL453)</f>
        <v>Tháng 3</v>
      </c>
      <c r="AN453" s="29" t="str">
        <f>LEFT(AK453,FIND(",",AK453)-1)</f>
        <v>Ấp Giồng Giữa</v>
      </c>
    </row>
    <row r="454" spans="1:40" x14ac:dyDescent="0.25">
      <c r="A454" s="49" t="s">
        <v>696</v>
      </c>
      <c r="B454" s="5" t="s">
        <v>23</v>
      </c>
      <c r="C454" s="5" t="s">
        <v>76</v>
      </c>
      <c r="D454" s="29">
        <f ca="1">DATEDIF(C454,TODAY(),"Y")</f>
        <v>68</v>
      </c>
      <c r="E454" s="5" t="s">
        <v>26</v>
      </c>
      <c r="F454" s="30">
        <v>160</v>
      </c>
      <c r="G454" s="30">
        <v>57</v>
      </c>
      <c r="H454" s="31">
        <f>G454/((F454/100)*(F454/100))</f>
        <v>22.265624999999996</v>
      </c>
      <c r="I454" s="5">
        <v>65</v>
      </c>
      <c r="J454" s="30">
        <v>120</v>
      </c>
      <c r="K454" s="30">
        <v>70</v>
      </c>
      <c r="L454" s="29">
        <f>IF(B454="Nữ",0,2)</f>
        <v>0</v>
      </c>
      <c r="M454" s="29">
        <f ca="1">IF(D454&lt;45,0,IF(D454&lt;=49,1,2))</f>
        <v>2</v>
      </c>
      <c r="N454" s="29">
        <f>IF(E454="Có",4,0)</f>
        <v>0</v>
      </c>
      <c r="O454" s="29">
        <f>IF(H454&lt;23,0,IF(H454&lt;27.5,3,5))</f>
        <v>0</v>
      </c>
      <c r="P454" s="29">
        <f>IF(OR(AND(B454="Nam",I454&gt;=90),AND(B454="Nữ",I454&gt;=80)),2,0)</f>
        <v>0</v>
      </c>
      <c r="Q454" s="29">
        <f>IF(OR(J454&gt;=140,K454&gt;=90),2,0)</f>
        <v>0</v>
      </c>
      <c r="R454" s="29">
        <f ca="1">SUM(L454:Q454)</f>
        <v>2</v>
      </c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5" t="s">
        <v>1393</v>
      </c>
      <c r="AE454" s="33"/>
      <c r="AF454" s="59" t="str">
        <f t="shared" si="22"/>
        <v>Không</v>
      </c>
      <c r="AG454" s="59" t="str">
        <f t="shared" si="23"/>
        <v>Không</v>
      </c>
      <c r="AH454" s="29" t="str">
        <f t="shared" ca="1" si="21"/>
        <v>Không</v>
      </c>
      <c r="AI454" s="29" t="str">
        <f ca="1">IF((R454)&gt;=6,"Có","Không")</f>
        <v>Không</v>
      </c>
      <c r="AJ454" s="29" t="str">
        <f>IF(OR(J454&gt;=140,K454&gt;=90),"Có","Không")</f>
        <v>Không</v>
      </c>
      <c r="AK454" s="5" t="s">
        <v>122</v>
      </c>
      <c r="AL454" s="32">
        <v>46112</v>
      </c>
      <c r="AM454" s="29" t="str">
        <f>"Tháng "&amp;MONTH(AL454)</f>
        <v>Tháng 3</v>
      </c>
      <c r="AN454" s="29" t="str">
        <f>LEFT(AK454,FIND(",",AK454)-1)</f>
        <v>Giồng Nhãn</v>
      </c>
    </row>
    <row r="455" spans="1:40" x14ac:dyDescent="0.25">
      <c r="A455" s="49" t="s">
        <v>697</v>
      </c>
      <c r="B455" s="5" t="s">
        <v>30</v>
      </c>
      <c r="C455" s="5" t="s">
        <v>87</v>
      </c>
      <c r="D455" s="29">
        <f ca="1">DATEDIF(C455,TODAY(),"Y")</f>
        <v>49</v>
      </c>
      <c r="E455" s="5" t="s">
        <v>26</v>
      </c>
      <c r="F455" s="30">
        <v>169</v>
      </c>
      <c r="G455" s="30">
        <v>68</v>
      </c>
      <c r="H455" s="31">
        <f>G455/((F455/100)*(F455/100))</f>
        <v>23.808690171912751</v>
      </c>
      <c r="I455" s="5">
        <v>100</v>
      </c>
      <c r="J455" s="30">
        <v>150</v>
      </c>
      <c r="K455" s="30">
        <v>80</v>
      </c>
      <c r="L455" s="29">
        <f>IF(B455="Nữ",0,2)</f>
        <v>2</v>
      </c>
      <c r="M455" s="29">
        <f ca="1">IF(D455&lt;45,0,IF(D455&lt;=49,1,2))</f>
        <v>1</v>
      </c>
      <c r="N455" s="29">
        <f>IF(E455="Có",4,0)</f>
        <v>0</v>
      </c>
      <c r="O455" s="29">
        <f>IF(H455&lt;23,0,IF(H455&lt;27.5,3,5))</f>
        <v>3</v>
      </c>
      <c r="P455" s="29">
        <f>IF(OR(AND(B455="Nam",I455&gt;=90),AND(B455="Nữ",I455&gt;=80)),2,0)</f>
        <v>2</v>
      </c>
      <c r="Q455" s="29">
        <f>IF(OR(J455&gt;=140,K455&gt;=90),2,0)</f>
        <v>2</v>
      </c>
      <c r="R455" s="29">
        <f ca="1">SUM(L455:Q455)</f>
        <v>10</v>
      </c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5" t="s">
        <v>1393</v>
      </c>
      <c r="AE455" s="33"/>
      <c r="AF455" s="59" t="str">
        <f t="shared" si="22"/>
        <v>Không</v>
      </c>
      <c r="AG455" s="59" t="str">
        <f t="shared" si="23"/>
        <v>Không</v>
      </c>
      <c r="AH455" s="29" t="str">
        <f t="shared" ca="1" si="21"/>
        <v>Có</v>
      </c>
      <c r="AI455" s="29" t="str">
        <f ca="1">IF((R455)&gt;=6,"Có","Không")</f>
        <v>Có</v>
      </c>
      <c r="AJ455" s="29" t="str">
        <f>IF(OR(J455&gt;=140,K455&gt;=90),"Có","Không")</f>
        <v>Có</v>
      </c>
      <c r="AK455" s="5" t="s">
        <v>51</v>
      </c>
      <c r="AL455" s="32">
        <v>46112</v>
      </c>
      <c r="AM455" s="29" t="str">
        <f>"Tháng "&amp;MONTH(AL455)</f>
        <v>Tháng 3</v>
      </c>
      <c r="AN455" s="29" t="str">
        <f>LEFT(AK455,FIND(",",AK455)-1)</f>
        <v>Phường Hiệp Thành</v>
      </c>
    </row>
    <row r="456" spans="1:40" x14ac:dyDescent="0.25">
      <c r="A456" s="49" t="s">
        <v>700</v>
      </c>
      <c r="B456" s="5" t="s">
        <v>23</v>
      </c>
      <c r="C456" s="5" t="s">
        <v>90</v>
      </c>
      <c r="D456" s="29">
        <f ca="1">DATEDIF(C456,TODAY(),"Y")</f>
        <v>54</v>
      </c>
      <c r="E456" s="5" t="s">
        <v>26</v>
      </c>
      <c r="F456" s="30">
        <v>158</v>
      </c>
      <c r="G456" s="30">
        <v>58</v>
      </c>
      <c r="H456" s="31">
        <f>G456/((F456/100)*(F456/100))</f>
        <v>23.233456176894723</v>
      </c>
      <c r="I456" s="5">
        <v>96</v>
      </c>
      <c r="J456" s="30">
        <v>120</v>
      </c>
      <c r="K456" s="30">
        <v>80</v>
      </c>
      <c r="L456" s="29">
        <f>IF(B456="Nữ",0,2)</f>
        <v>0</v>
      </c>
      <c r="M456" s="29">
        <f ca="1">IF(D456&lt;45,0,IF(D456&lt;=49,1,2))</f>
        <v>2</v>
      </c>
      <c r="N456" s="29">
        <f>IF(E456="Có",4,0)</f>
        <v>0</v>
      </c>
      <c r="O456" s="29">
        <f>IF(H456&lt;23,0,IF(H456&lt;27.5,3,5))</f>
        <v>3</v>
      </c>
      <c r="P456" s="29">
        <f>IF(OR(AND(B456="Nam",I456&gt;=90),AND(B456="Nữ",I456&gt;=80)),2,0)</f>
        <v>2</v>
      </c>
      <c r="Q456" s="29">
        <f>IF(OR(J456&gt;=140,K456&gt;=90),2,0)</f>
        <v>0</v>
      </c>
      <c r="R456" s="29">
        <f ca="1">SUM(L456:Q456)</f>
        <v>7</v>
      </c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5" t="s">
        <v>1393</v>
      </c>
      <c r="AE456" s="33"/>
      <c r="AF456" s="59" t="str">
        <f t="shared" si="22"/>
        <v>Không</v>
      </c>
      <c r="AG456" s="59" t="str">
        <f t="shared" si="23"/>
        <v>Không</v>
      </c>
      <c r="AH456" s="29" t="str">
        <f t="shared" ca="1" si="21"/>
        <v>Có</v>
      </c>
      <c r="AI456" s="29" t="str">
        <f ca="1">IF((R456)&gt;=6,"Có","Không")</f>
        <v>Có</v>
      </c>
      <c r="AJ456" s="29" t="str">
        <f>IF(OR(J456&gt;=140,K456&gt;=90),"Có","Không")</f>
        <v>Không</v>
      </c>
      <c r="AK456" s="5" t="s">
        <v>306</v>
      </c>
      <c r="AL456" s="32">
        <v>46112</v>
      </c>
      <c r="AM456" s="29" t="str">
        <f>"Tháng "&amp;MONTH(AL456)</f>
        <v>Tháng 3</v>
      </c>
      <c r="AN456" s="29" t="str">
        <f>LEFT(AK456,FIND(",",AK456)-1)</f>
        <v>Giồng Giữa A</v>
      </c>
    </row>
    <row r="457" spans="1:40" x14ac:dyDescent="0.25">
      <c r="A457" s="49" t="s">
        <v>701</v>
      </c>
      <c r="B457" s="5" t="s">
        <v>23</v>
      </c>
      <c r="C457" s="5" t="s">
        <v>373</v>
      </c>
      <c r="D457" s="29">
        <f ca="1">DATEDIF(C457,TODAY(),"Y")</f>
        <v>61</v>
      </c>
      <c r="E457" s="5" t="s">
        <v>26</v>
      </c>
      <c r="F457" s="30">
        <v>158</v>
      </c>
      <c r="G457" s="30">
        <v>58</v>
      </c>
      <c r="H457" s="31">
        <f>G457/((F457/100)*(F457/100))</f>
        <v>23.233456176894723</v>
      </c>
      <c r="I457" s="5">
        <v>90</v>
      </c>
      <c r="J457" s="30">
        <v>120</v>
      </c>
      <c r="K457" s="30">
        <v>80</v>
      </c>
      <c r="L457" s="29">
        <f>IF(B457="Nữ",0,2)</f>
        <v>0</v>
      </c>
      <c r="M457" s="29">
        <f ca="1">IF(D457&lt;45,0,IF(D457&lt;=49,1,2))</f>
        <v>2</v>
      </c>
      <c r="N457" s="29">
        <f>IF(E457="Có",4,0)</f>
        <v>0</v>
      </c>
      <c r="O457" s="29">
        <f>IF(H457&lt;23,0,IF(H457&lt;27.5,3,5))</f>
        <v>3</v>
      </c>
      <c r="P457" s="29">
        <f>IF(OR(AND(B457="Nam",I457&gt;=90),AND(B457="Nữ",I457&gt;=80)),2,0)</f>
        <v>2</v>
      </c>
      <c r="Q457" s="29">
        <f>IF(OR(J457&gt;=140,K457&gt;=90),2,0)</f>
        <v>0</v>
      </c>
      <c r="R457" s="29">
        <f ca="1">SUM(L457:Q457)</f>
        <v>7</v>
      </c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5" t="s">
        <v>1393</v>
      </c>
      <c r="AE457" s="33"/>
      <c r="AF457" s="59" t="str">
        <f t="shared" si="22"/>
        <v>Không</v>
      </c>
      <c r="AG457" s="59" t="str">
        <f t="shared" si="23"/>
        <v>Không</v>
      </c>
      <c r="AH457" s="29" t="str">
        <f t="shared" ca="1" si="21"/>
        <v>Có</v>
      </c>
      <c r="AI457" s="29" t="str">
        <f ca="1">IF((R457)&gt;=6,"Có","Không")</f>
        <v>Có</v>
      </c>
      <c r="AJ457" s="29" t="str">
        <f>IF(OR(J457&gt;=140,K457&gt;=90),"Có","Không")</f>
        <v>Không</v>
      </c>
      <c r="AK457" s="5" t="s">
        <v>65</v>
      </c>
      <c r="AL457" s="32">
        <v>46112</v>
      </c>
      <c r="AM457" s="29" t="str">
        <f>"Tháng "&amp;MONTH(AL457)</f>
        <v>Tháng 3</v>
      </c>
      <c r="AN457" s="29" t="str">
        <f>LEFT(AK457,FIND(",",AK457)-1)</f>
        <v>Biển Tây B</v>
      </c>
    </row>
    <row r="458" spans="1:40" x14ac:dyDescent="0.25">
      <c r="A458" s="49" t="s">
        <v>704</v>
      </c>
      <c r="B458" s="5" t="s">
        <v>23</v>
      </c>
      <c r="C458" s="5" t="s">
        <v>130</v>
      </c>
      <c r="D458" s="29">
        <f ca="1">DATEDIF(C458,TODAY(),"Y")</f>
        <v>57</v>
      </c>
      <c r="E458" s="5" t="s">
        <v>25</v>
      </c>
      <c r="F458" s="30">
        <v>160</v>
      </c>
      <c r="G458" s="30">
        <v>54</v>
      </c>
      <c r="H458" s="31">
        <f>G458/((F458/100)*(F458/100))</f>
        <v>21.093749999999996</v>
      </c>
      <c r="I458" s="5">
        <v>85</v>
      </c>
      <c r="J458" s="30">
        <v>120</v>
      </c>
      <c r="K458" s="30">
        <v>70</v>
      </c>
      <c r="L458" s="29">
        <f>IF(B458="Nữ",0,2)</f>
        <v>0</v>
      </c>
      <c r="M458" s="29">
        <f ca="1">IF(D458&lt;45,0,IF(D458&lt;=49,1,2))</f>
        <v>2</v>
      </c>
      <c r="N458" s="29">
        <f>IF(E458="Có",4,0)</f>
        <v>4</v>
      </c>
      <c r="O458" s="29">
        <f>IF(H458&lt;23,0,IF(H458&lt;27.5,3,5))</f>
        <v>0</v>
      </c>
      <c r="P458" s="29">
        <f>IF(OR(AND(B458="Nam",I458&gt;=90),AND(B458="Nữ",I458&gt;=80)),2,0)</f>
        <v>2</v>
      </c>
      <c r="Q458" s="29">
        <f>IF(OR(J458&gt;=140,K458&gt;=90),2,0)</f>
        <v>0</v>
      </c>
      <c r="R458" s="29">
        <f ca="1">SUM(L458:Q458)</f>
        <v>8</v>
      </c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5" t="s">
        <v>1393</v>
      </c>
      <c r="AE458" s="33"/>
      <c r="AF458" s="59" t="str">
        <f t="shared" si="22"/>
        <v>Không</v>
      </c>
      <c r="AG458" s="59" t="str">
        <f t="shared" si="23"/>
        <v>Không</v>
      </c>
      <c r="AH458" s="29" t="str">
        <f t="shared" ca="1" si="21"/>
        <v>Có</v>
      </c>
      <c r="AI458" s="29" t="str">
        <f ca="1">IF((R458)&gt;=6,"Có","Không")</f>
        <v>Có</v>
      </c>
      <c r="AJ458" s="29" t="str">
        <f>IF(OR(J458&gt;=140,K458&gt;=90),"Có","Không")</f>
        <v>Không</v>
      </c>
      <c r="AK458" s="5" t="s">
        <v>51</v>
      </c>
      <c r="AL458" s="32">
        <v>46112</v>
      </c>
      <c r="AM458" s="29" t="str">
        <f>"Tháng "&amp;MONTH(AL458)</f>
        <v>Tháng 3</v>
      </c>
      <c r="AN458" s="29" t="str">
        <f>LEFT(AK458,FIND(",",AK458)-1)</f>
        <v>Phường Hiệp Thành</v>
      </c>
    </row>
    <row r="459" spans="1:40" x14ac:dyDescent="0.25">
      <c r="A459" s="49" t="s">
        <v>715</v>
      </c>
      <c r="B459" s="5" t="s">
        <v>23</v>
      </c>
      <c r="C459" s="5" t="s">
        <v>273</v>
      </c>
      <c r="D459" s="29">
        <f ca="1">DATEDIF(C459,TODAY(),"Y")</f>
        <v>47</v>
      </c>
      <c r="E459" s="5" t="s">
        <v>26</v>
      </c>
      <c r="F459" s="30">
        <v>160</v>
      </c>
      <c r="G459" s="30">
        <v>67</v>
      </c>
      <c r="H459" s="31">
        <f>G459/((F459/100)*(F459/100))</f>
        <v>26.171874999999996</v>
      </c>
      <c r="I459" s="5">
        <v>77</v>
      </c>
      <c r="J459" s="30">
        <v>120</v>
      </c>
      <c r="K459" s="30">
        <v>80</v>
      </c>
      <c r="L459" s="29">
        <f>IF(B459="Nữ",0,2)</f>
        <v>0</v>
      </c>
      <c r="M459" s="29">
        <f ca="1">IF(D459&lt;45,0,IF(D459&lt;=49,1,2))</f>
        <v>1</v>
      </c>
      <c r="N459" s="29">
        <f>IF(E459="Có",4,0)</f>
        <v>0</v>
      </c>
      <c r="O459" s="29">
        <f>IF(H459&lt;23,0,IF(H459&lt;27.5,3,5))</f>
        <v>3</v>
      </c>
      <c r="P459" s="29">
        <f>IF(OR(AND(B459="Nam",I459&gt;=90),AND(B459="Nữ",I459&gt;=80)),2,0)</f>
        <v>0</v>
      </c>
      <c r="Q459" s="29">
        <f>IF(OR(J459&gt;=140,K459&gt;=90),2,0)</f>
        <v>0</v>
      </c>
      <c r="R459" s="29">
        <f ca="1">SUM(L459:Q459)</f>
        <v>4</v>
      </c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5" t="s">
        <v>1393</v>
      </c>
      <c r="AE459" s="33"/>
      <c r="AF459" s="59" t="str">
        <f t="shared" si="22"/>
        <v>Không</v>
      </c>
      <c r="AG459" s="59" t="str">
        <f t="shared" si="23"/>
        <v>Không</v>
      </c>
      <c r="AH459" s="29" t="str">
        <f t="shared" ca="1" si="21"/>
        <v>Không</v>
      </c>
      <c r="AI459" s="29" t="str">
        <f ca="1">IF((R459)&gt;=6,"Có","Không")</f>
        <v>Không</v>
      </c>
      <c r="AJ459" s="29" t="str">
        <f>IF(OR(J459&gt;=140,K459&gt;=90),"Có","Không")</f>
        <v>Không</v>
      </c>
      <c r="AK459" s="5" t="s">
        <v>122</v>
      </c>
      <c r="AL459" s="32">
        <v>46112</v>
      </c>
      <c r="AM459" s="29" t="str">
        <f>"Tháng "&amp;MONTH(AL459)</f>
        <v>Tháng 3</v>
      </c>
      <c r="AN459" s="29" t="str">
        <f>LEFT(AK459,FIND(",",AK459)-1)</f>
        <v>Giồng Nhãn</v>
      </c>
    </row>
    <row r="460" spans="1:40" x14ac:dyDescent="0.25">
      <c r="A460" s="49" t="s">
        <v>716</v>
      </c>
      <c r="B460" s="5" t="s">
        <v>23</v>
      </c>
      <c r="C460" s="5" t="s">
        <v>146</v>
      </c>
      <c r="D460" s="29">
        <f ca="1">DATEDIF(C460,TODAY(),"Y")</f>
        <v>52</v>
      </c>
      <c r="E460" s="5" t="s">
        <v>26</v>
      </c>
      <c r="F460" s="30">
        <v>156</v>
      </c>
      <c r="G460" s="30">
        <v>54</v>
      </c>
      <c r="H460" s="31">
        <f>G460/((F460/100)*(F460/100))</f>
        <v>22.189349112426033</v>
      </c>
      <c r="I460" s="5">
        <v>78</v>
      </c>
      <c r="J460" s="30">
        <v>130</v>
      </c>
      <c r="K460" s="30">
        <v>80</v>
      </c>
      <c r="L460" s="29">
        <f>IF(B460="Nữ",0,2)</f>
        <v>0</v>
      </c>
      <c r="M460" s="29">
        <f ca="1">IF(D460&lt;45,0,IF(D460&lt;=49,1,2))</f>
        <v>2</v>
      </c>
      <c r="N460" s="29">
        <f>IF(E460="Có",4,0)</f>
        <v>0</v>
      </c>
      <c r="O460" s="29">
        <f>IF(H460&lt;23,0,IF(H460&lt;27.5,3,5))</f>
        <v>0</v>
      </c>
      <c r="P460" s="29">
        <f>IF(OR(AND(B460="Nam",I460&gt;=90),AND(B460="Nữ",I460&gt;=80)),2,0)</f>
        <v>0</v>
      </c>
      <c r="Q460" s="29">
        <f>IF(OR(J460&gt;=140,K460&gt;=90),2,0)</f>
        <v>0</v>
      </c>
      <c r="R460" s="29">
        <f ca="1">SUM(L460:Q460)</f>
        <v>2</v>
      </c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5" t="s">
        <v>1393</v>
      </c>
      <c r="AE460" s="33"/>
      <c r="AF460" s="59" t="str">
        <f t="shared" si="22"/>
        <v>Không</v>
      </c>
      <c r="AG460" s="59" t="str">
        <f t="shared" si="23"/>
        <v>Không</v>
      </c>
      <c r="AH460" s="29" t="str">
        <f t="shared" ca="1" si="21"/>
        <v>Không</v>
      </c>
      <c r="AI460" s="29" t="str">
        <f ca="1">IF((R460)&gt;=6,"Có","Không")</f>
        <v>Không</v>
      </c>
      <c r="AJ460" s="29" t="str">
        <f>IF(OR(J460&gt;=140,K460&gt;=90),"Có","Không")</f>
        <v>Không</v>
      </c>
      <c r="AK460" s="5" t="s">
        <v>501</v>
      </c>
      <c r="AL460" s="32">
        <v>46112</v>
      </c>
      <c r="AM460" s="29" t="str">
        <f>"Tháng "&amp;MONTH(AL460)</f>
        <v>Tháng 3</v>
      </c>
      <c r="AN460" s="29" t="str">
        <f>LEFT(AK460,FIND(",",AK460)-1)</f>
        <v>ấp Giồng Nhãn</v>
      </c>
    </row>
    <row r="461" spans="1:40" x14ac:dyDescent="0.25">
      <c r="A461" s="49" t="s">
        <v>718</v>
      </c>
      <c r="B461" s="5" t="s">
        <v>30</v>
      </c>
      <c r="C461" s="5" t="s">
        <v>90</v>
      </c>
      <c r="D461" s="29">
        <f ca="1">DATEDIF(C461,TODAY(),"Y")</f>
        <v>54</v>
      </c>
      <c r="E461" s="5" t="s">
        <v>26</v>
      </c>
      <c r="F461" s="30">
        <v>169</v>
      </c>
      <c r="G461" s="30">
        <v>68</v>
      </c>
      <c r="H461" s="31">
        <f>G461/((F461/100)*(F461/100))</f>
        <v>23.808690171912751</v>
      </c>
      <c r="I461" s="5">
        <v>97</v>
      </c>
      <c r="J461" s="30">
        <v>120</v>
      </c>
      <c r="K461" s="30">
        <v>80</v>
      </c>
      <c r="L461" s="29">
        <f>IF(B461="Nữ",0,2)</f>
        <v>2</v>
      </c>
      <c r="M461" s="29">
        <f ca="1">IF(D461&lt;45,0,IF(D461&lt;=49,1,2))</f>
        <v>2</v>
      </c>
      <c r="N461" s="29">
        <f>IF(E461="Có",4,0)</f>
        <v>0</v>
      </c>
      <c r="O461" s="29">
        <f>IF(H461&lt;23,0,IF(H461&lt;27.5,3,5))</f>
        <v>3</v>
      </c>
      <c r="P461" s="29">
        <f>IF(OR(AND(B461="Nam",I461&gt;=90),AND(B461="Nữ",I461&gt;=80)),2,0)</f>
        <v>2</v>
      </c>
      <c r="Q461" s="29">
        <f>IF(OR(J461&gt;=140,K461&gt;=90),2,0)</f>
        <v>0</v>
      </c>
      <c r="R461" s="29">
        <f ca="1">SUM(L461:Q461)</f>
        <v>9</v>
      </c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5" t="s">
        <v>1393</v>
      </c>
      <c r="AE461" s="33"/>
      <c r="AF461" s="59" t="str">
        <f t="shared" si="22"/>
        <v>Không</v>
      </c>
      <c r="AG461" s="59" t="str">
        <f t="shared" si="23"/>
        <v>Không</v>
      </c>
      <c r="AH461" s="29" t="str">
        <f t="shared" ca="1" si="21"/>
        <v>Có</v>
      </c>
      <c r="AI461" s="29" t="str">
        <f ca="1">IF((R461)&gt;=6,"Có","Không")</f>
        <v>Có</v>
      </c>
      <c r="AJ461" s="29" t="str">
        <f>IF(OR(J461&gt;=140,K461&gt;=90),"Có","Không")</f>
        <v>Không</v>
      </c>
      <c r="AK461" s="5" t="s">
        <v>719</v>
      </c>
      <c r="AL461" s="32">
        <v>46112</v>
      </c>
      <c r="AM461" s="29" t="str">
        <f>"Tháng "&amp;MONTH(AL461)</f>
        <v>Tháng 3</v>
      </c>
      <c r="AN461" s="29" t="str">
        <f>LEFT(AK461,FIND(",",AK461)-1)</f>
        <v>413/1 Khóm Đầu Lộ</v>
      </c>
    </row>
    <row r="462" spans="1:40" x14ac:dyDescent="0.25">
      <c r="A462" s="49" t="s">
        <v>721</v>
      </c>
      <c r="B462" s="5" t="s">
        <v>30</v>
      </c>
      <c r="C462" s="5" t="s">
        <v>31</v>
      </c>
      <c r="D462" s="29">
        <f ca="1">DATEDIF(C462,TODAY(),"Y")</f>
        <v>79</v>
      </c>
      <c r="E462" s="5" t="s">
        <v>26</v>
      </c>
      <c r="F462" s="30">
        <v>169</v>
      </c>
      <c r="G462" s="30">
        <v>68</v>
      </c>
      <c r="H462" s="31">
        <f>G462/((F462/100)*(F462/100))</f>
        <v>23.808690171912751</v>
      </c>
      <c r="I462" s="5">
        <v>75</v>
      </c>
      <c r="J462" s="30">
        <v>150</v>
      </c>
      <c r="K462" s="30">
        <v>80</v>
      </c>
      <c r="L462" s="29">
        <f>IF(B462="Nữ",0,2)</f>
        <v>2</v>
      </c>
      <c r="M462" s="29">
        <f ca="1">IF(D462&lt;45,0,IF(D462&lt;=49,1,2))</f>
        <v>2</v>
      </c>
      <c r="N462" s="29">
        <f>IF(E462="Có",4,0)</f>
        <v>0</v>
      </c>
      <c r="O462" s="29">
        <f>IF(H462&lt;23,0,IF(H462&lt;27.5,3,5))</f>
        <v>3</v>
      </c>
      <c r="P462" s="29">
        <f>IF(OR(AND(B462="Nam",I462&gt;=90),AND(B462="Nữ",I462&gt;=80)),2,0)</f>
        <v>0</v>
      </c>
      <c r="Q462" s="29">
        <f>IF(OR(J462&gt;=140,K462&gt;=90),2,0)</f>
        <v>2</v>
      </c>
      <c r="R462" s="29">
        <f ca="1">SUM(L462:Q462)</f>
        <v>9</v>
      </c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5" t="s">
        <v>1393</v>
      </c>
      <c r="AE462" s="33"/>
      <c r="AF462" s="59" t="str">
        <f t="shared" si="22"/>
        <v>Không</v>
      </c>
      <c r="AG462" s="59" t="str">
        <f t="shared" si="23"/>
        <v>Không</v>
      </c>
      <c r="AH462" s="29" t="str">
        <f t="shared" ca="1" si="21"/>
        <v>Có</v>
      </c>
      <c r="AI462" s="29" t="str">
        <f ca="1">IF((R462)&gt;=6,"Có","Không")</f>
        <v>Có</v>
      </c>
      <c r="AJ462" s="29" t="str">
        <f>IF(OR(J462&gt;=140,K462&gt;=90),"Có","Không")</f>
        <v>Có</v>
      </c>
      <c r="AK462" s="5" t="s">
        <v>32</v>
      </c>
      <c r="AL462" s="32">
        <v>46112</v>
      </c>
      <c r="AM462" s="29" t="str">
        <f>"Tháng "&amp;MONTH(AL462)</f>
        <v>Tháng 3</v>
      </c>
      <c r="AN462" s="29" t="str">
        <f>LEFT(AK462,FIND(",",AK462)-1)</f>
        <v>Ấp Giồng Giữa B</v>
      </c>
    </row>
    <row r="463" spans="1:40" x14ac:dyDescent="0.25">
      <c r="A463" s="49" t="s">
        <v>729</v>
      </c>
      <c r="B463" s="5" t="s">
        <v>23</v>
      </c>
      <c r="C463" s="5" t="s">
        <v>56</v>
      </c>
      <c r="D463" s="29">
        <f ca="1">DATEDIF(C463,TODAY(),"Y")</f>
        <v>65</v>
      </c>
      <c r="E463" s="5" t="s">
        <v>25</v>
      </c>
      <c r="F463" s="30">
        <v>158</v>
      </c>
      <c r="G463" s="30">
        <v>48</v>
      </c>
      <c r="H463" s="31">
        <f>G463/((F463/100)*(F463/100))</f>
        <v>19.227687870533565</v>
      </c>
      <c r="I463" s="5">
        <v>83</v>
      </c>
      <c r="J463" s="30">
        <v>120</v>
      </c>
      <c r="K463" s="30">
        <v>70</v>
      </c>
      <c r="L463" s="29">
        <f>IF(B463="Nữ",0,2)</f>
        <v>0</v>
      </c>
      <c r="M463" s="29">
        <f ca="1">IF(D463&lt;45,0,IF(D463&lt;=49,1,2))</f>
        <v>2</v>
      </c>
      <c r="N463" s="29">
        <f>IF(E463="Có",4,0)</f>
        <v>4</v>
      </c>
      <c r="O463" s="29">
        <f>IF(H463&lt;23,0,IF(H463&lt;27.5,3,5))</f>
        <v>0</v>
      </c>
      <c r="P463" s="29">
        <f>IF(OR(AND(B463="Nam",I463&gt;=90),AND(B463="Nữ",I463&gt;=80)),2,0)</f>
        <v>2</v>
      </c>
      <c r="Q463" s="29">
        <f>IF(OR(J463&gt;=140,K463&gt;=90),2,0)</f>
        <v>0</v>
      </c>
      <c r="R463" s="29">
        <f ca="1">SUM(L463:Q463)</f>
        <v>8</v>
      </c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5" t="s">
        <v>1393</v>
      </c>
      <c r="AE463" s="33"/>
      <c r="AF463" s="59" t="str">
        <f t="shared" si="22"/>
        <v>Không</v>
      </c>
      <c r="AG463" s="59" t="str">
        <f t="shared" si="23"/>
        <v>Không</v>
      </c>
      <c r="AH463" s="29" t="str">
        <f t="shared" ca="1" si="21"/>
        <v>Có</v>
      </c>
      <c r="AI463" s="29" t="str">
        <f ca="1">IF((R463)&gt;=6,"Có","Không")</f>
        <v>Có</v>
      </c>
      <c r="AJ463" s="29" t="str">
        <f>IF(OR(J463&gt;=140,K463&gt;=90),"Có","Không")</f>
        <v>Không</v>
      </c>
      <c r="AK463" s="5" t="s">
        <v>730</v>
      </c>
      <c r="AL463" s="32">
        <v>46112</v>
      </c>
      <c r="AM463" s="29" t="str">
        <f>"Tháng "&amp;MONTH(AL463)</f>
        <v>Tháng 3</v>
      </c>
      <c r="AN463" s="29" t="str">
        <f>LEFT(AK463,FIND(",",AK463)-1)</f>
        <v>giồng nhãn a</v>
      </c>
    </row>
    <row r="464" spans="1:40" x14ac:dyDescent="0.25">
      <c r="A464" s="49" t="s">
        <v>731</v>
      </c>
      <c r="B464" s="5" t="s">
        <v>23</v>
      </c>
      <c r="C464" s="5" t="s">
        <v>133</v>
      </c>
      <c r="D464" s="29">
        <f ca="1">DATEDIF(C464,TODAY(),"Y")</f>
        <v>56</v>
      </c>
      <c r="E464" s="5" t="s">
        <v>26</v>
      </c>
      <c r="F464" s="30">
        <v>158</v>
      </c>
      <c r="G464" s="30">
        <v>58</v>
      </c>
      <c r="H464" s="31">
        <f>G464/((F464/100)*(F464/100))</f>
        <v>23.233456176894723</v>
      </c>
      <c r="I464" s="5">
        <v>100</v>
      </c>
      <c r="J464" s="30">
        <v>150</v>
      </c>
      <c r="K464" s="30">
        <v>80</v>
      </c>
      <c r="L464" s="29">
        <f>IF(B464="Nữ",0,2)</f>
        <v>0</v>
      </c>
      <c r="M464" s="29">
        <f ca="1">IF(D464&lt;45,0,IF(D464&lt;=49,1,2))</f>
        <v>2</v>
      </c>
      <c r="N464" s="29">
        <f>IF(E464="Có",4,0)</f>
        <v>0</v>
      </c>
      <c r="O464" s="29">
        <f>IF(H464&lt;23,0,IF(H464&lt;27.5,3,5))</f>
        <v>3</v>
      </c>
      <c r="P464" s="29">
        <f>IF(OR(AND(B464="Nam",I464&gt;=90),AND(B464="Nữ",I464&gt;=80)),2,0)</f>
        <v>2</v>
      </c>
      <c r="Q464" s="29">
        <f>IF(OR(J464&gt;=140,K464&gt;=90),2,0)</f>
        <v>2</v>
      </c>
      <c r="R464" s="29">
        <f ca="1">SUM(L464:Q464)</f>
        <v>9</v>
      </c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5" t="s">
        <v>1393</v>
      </c>
      <c r="AE464" s="33"/>
      <c r="AF464" s="59" t="str">
        <f t="shared" si="22"/>
        <v>Không</v>
      </c>
      <c r="AG464" s="59" t="str">
        <f t="shared" si="23"/>
        <v>Không</v>
      </c>
      <c r="AH464" s="29" t="str">
        <f t="shared" ca="1" si="21"/>
        <v>Có</v>
      </c>
      <c r="AI464" s="29" t="str">
        <f ca="1">IF((R464)&gt;=6,"Có","Không")</f>
        <v>Có</v>
      </c>
      <c r="AJ464" s="29" t="str">
        <f>IF(OR(J464&gt;=140,K464&gt;=90),"Có","Không")</f>
        <v>Có</v>
      </c>
      <c r="AK464" s="5" t="s">
        <v>298</v>
      </c>
      <c r="AL464" s="32">
        <v>46112</v>
      </c>
      <c r="AM464" s="29" t="str">
        <f>"Tháng "&amp;MONTH(AL464)</f>
        <v>Tháng 3</v>
      </c>
      <c r="AN464" s="29" t="str">
        <f>LEFT(AK464,FIND(",",AK464)-1)</f>
        <v>ấp Biển Tây A</v>
      </c>
    </row>
    <row r="465" spans="1:40" x14ac:dyDescent="0.25">
      <c r="A465" s="49" t="s">
        <v>732</v>
      </c>
      <c r="B465" s="5" t="s">
        <v>23</v>
      </c>
      <c r="C465" s="5" t="s">
        <v>127</v>
      </c>
      <c r="D465" s="29">
        <f ca="1">DATEDIF(C465,TODAY(),"Y")</f>
        <v>76</v>
      </c>
      <c r="E465" s="5" t="s">
        <v>26</v>
      </c>
      <c r="F465" s="30">
        <v>158</v>
      </c>
      <c r="G465" s="30">
        <v>58</v>
      </c>
      <c r="H465" s="31">
        <f>G465/((F465/100)*(F465/100))</f>
        <v>23.233456176894723</v>
      </c>
      <c r="I465" s="5">
        <v>98</v>
      </c>
      <c r="J465" s="30">
        <v>120</v>
      </c>
      <c r="K465" s="30">
        <v>80</v>
      </c>
      <c r="L465" s="29">
        <f>IF(B465="Nữ",0,2)</f>
        <v>0</v>
      </c>
      <c r="M465" s="29">
        <f ca="1">IF(D465&lt;45,0,IF(D465&lt;=49,1,2))</f>
        <v>2</v>
      </c>
      <c r="N465" s="29">
        <f>IF(E465="Có",4,0)</f>
        <v>0</v>
      </c>
      <c r="O465" s="29">
        <f>IF(H465&lt;23,0,IF(H465&lt;27.5,3,5))</f>
        <v>3</v>
      </c>
      <c r="P465" s="29">
        <f>IF(OR(AND(B465="Nam",I465&gt;=90),AND(B465="Nữ",I465&gt;=80)),2,0)</f>
        <v>2</v>
      </c>
      <c r="Q465" s="29">
        <f>IF(OR(J465&gt;=140,K465&gt;=90),2,0)</f>
        <v>0</v>
      </c>
      <c r="R465" s="29">
        <f ca="1">SUM(L465:Q465)</f>
        <v>7</v>
      </c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5" t="s">
        <v>1393</v>
      </c>
      <c r="AE465" s="33"/>
      <c r="AF465" s="59" t="str">
        <f t="shared" si="22"/>
        <v>Không</v>
      </c>
      <c r="AG465" s="59" t="str">
        <f t="shared" si="23"/>
        <v>Không</v>
      </c>
      <c r="AH465" s="29" t="str">
        <f t="shared" ca="1" si="21"/>
        <v>Có</v>
      </c>
      <c r="AI465" s="29" t="str">
        <f ca="1">IF((R465)&gt;=6,"Có","Không")</f>
        <v>Có</v>
      </c>
      <c r="AJ465" s="29" t="str">
        <f>IF(OR(J465&gt;=140,K465&gt;=90),"Có","Không")</f>
        <v>Không</v>
      </c>
      <c r="AK465" s="5" t="s">
        <v>218</v>
      </c>
      <c r="AL465" s="32">
        <v>46112</v>
      </c>
      <c r="AM465" s="29" t="str">
        <f>"Tháng "&amp;MONTH(AL465)</f>
        <v>Tháng 3</v>
      </c>
      <c r="AN465" s="29" t="str">
        <f>LEFT(AK465,FIND(",",AK465)-1)</f>
        <v>Biển Đông B</v>
      </c>
    </row>
    <row r="466" spans="1:40" x14ac:dyDescent="0.25">
      <c r="A466" s="49" t="s">
        <v>733</v>
      </c>
      <c r="B466" s="5" t="s">
        <v>23</v>
      </c>
      <c r="C466" s="5" t="s">
        <v>138</v>
      </c>
      <c r="D466" s="29">
        <f ca="1">DATEDIF(C466,TODAY(),"Y")</f>
        <v>67</v>
      </c>
      <c r="E466" s="5" t="s">
        <v>26</v>
      </c>
      <c r="F466" s="30">
        <v>155</v>
      </c>
      <c r="G466" s="30">
        <v>57</v>
      </c>
      <c r="H466" s="31">
        <f>G466/((F466/100)*(F466/100))</f>
        <v>23.725286160249738</v>
      </c>
      <c r="I466" s="5">
        <v>65</v>
      </c>
      <c r="J466" s="30">
        <v>120</v>
      </c>
      <c r="K466" s="30">
        <v>70</v>
      </c>
      <c r="L466" s="29">
        <f>IF(B466="Nữ",0,2)</f>
        <v>0</v>
      </c>
      <c r="M466" s="29">
        <f ca="1">IF(D466&lt;45,0,IF(D466&lt;=49,1,2))</f>
        <v>2</v>
      </c>
      <c r="N466" s="29">
        <f>IF(E466="Có",4,0)</f>
        <v>0</v>
      </c>
      <c r="O466" s="29">
        <f>IF(H466&lt;23,0,IF(H466&lt;27.5,3,5))</f>
        <v>3</v>
      </c>
      <c r="P466" s="29">
        <f>IF(OR(AND(B466="Nam",I466&gt;=90),AND(B466="Nữ",I466&gt;=80)),2,0)</f>
        <v>0</v>
      </c>
      <c r="Q466" s="29">
        <f>IF(OR(J466&gt;=140,K466&gt;=90),2,0)</f>
        <v>0</v>
      </c>
      <c r="R466" s="29">
        <f ca="1">SUM(L466:Q466)</f>
        <v>5</v>
      </c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5" t="s">
        <v>1393</v>
      </c>
      <c r="AE466" s="33"/>
      <c r="AF466" s="59" t="str">
        <f t="shared" si="22"/>
        <v>Không</v>
      </c>
      <c r="AG466" s="59" t="str">
        <f t="shared" si="23"/>
        <v>Không</v>
      </c>
      <c r="AH466" s="29" t="str">
        <f t="shared" ca="1" si="21"/>
        <v>Không</v>
      </c>
      <c r="AI466" s="29" t="str">
        <f ca="1">IF((R466)&gt;=6,"Có","Không")</f>
        <v>Không</v>
      </c>
      <c r="AJ466" s="29" t="str">
        <f>IF(OR(J466&gt;=140,K466&gt;=90),"Có","Không")</f>
        <v>Không</v>
      </c>
      <c r="AK466" s="5" t="s">
        <v>734</v>
      </c>
      <c r="AL466" s="32">
        <v>46112</v>
      </c>
      <c r="AM466" s="29" t="str">
        <f>"Tháng "&amp;MONTH(AL466)</f>
        <v>Tháng 3</v>
      </c>
      <c r="AN466" s="29" t="str">
        <f>LEFT(AK466,FIND(",",AK466)-1)</f>
        <v>ấp Xóm Lẩm</v>
      </c>
    </row>
    <row r="467" spans="1:40" x14ac:dyDescent="0.25">
      <c r="A467" s="49" t="s">
        <v>735</v>
      </c>
      <c r="B467" s="5" t="s">
        <v>23</v>
      </c>
      <c r="C467" s="5" t="s">
        <v>87</v>
      </c>
      <c r="D467" s="29">
        <f ca="1">DATEDIF(C467,TODAY(),"Y")</f>
        <v>49</v>
      </c>
      <c r="E467" s="5" t="s">
        <v>26</v>
      </c>
      <c r="F467" s="30">
        <v>158</v>
      </c>
      <c r="G467" s="30">
        <v>58</v>
      </c>
      <c r="H467" s="31">
        <f>G467/((F467/100)*(F467/100))</f>
        <v>23.233456176894723</v>
      </c>
      <c r="I467" s="5">
        <v>75</v>
      </c>
      <c r="J467" s="30">
        <v>120</v>
      </c>
      <c r="K467" s="30">
        <v>80</v>
      </c>
      <c r="L467" s="29">
        <f>IF(B467="Nữ",0,2)</f>
        <v>0</v>
      </c>
      <c r="M467" s="29">
        <f ca="1">IF(D467&lt;45,0,IF(D467&lt;=49,1,2))</f>
        <v>1</v>
      </c>
      <c r="N467" s="29">
        <f>IF(E467="Có",4,0)</f>
        <v>0</v>
      </c>
      <c r="O467" s="29">
        <f>IF(H467&lt;23,0,IF(H467&lt;27.5,3,5))</f>
        <v>3</v>
      </c>
      <c r="P467" s="29">
        <f>IF(OR(AND(B467="Nam",I467&gt;=90),AND(B467="Nữ",I467&gt;=80)),2,0)</f>
        <v>0</v>
      </c>
      <c r="Q467" s="29">
        <f>IF(OR(J467&gt;=140,K467&gt;=90),2,0)</f>
        <v>0</v>
      </c>
      <c r="R467" s="29">
        <f ca="1">SUM(L467:Q467)</f>
        <v>4</v>
      </c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5" t="s">
        <v>1393</v>
      </c>
      <c r="AE467" s="33"/>
      <c r="AF467" s="59" t="str">
        <f t="shared" si="22"/>
        <v>Không</v>
      </c>
      <c r="AG467" s="59" t="str">
        <f t="shared" si="23"/>
        <v>Không</v>
      </c>
      <c r="AH467" s="29" t="str">
        <f t="shared" ca="1" si="21"/>
        <v>Không</v>
      </c>
      <c r="AI467" s="29" t="str">
        <f ca="1">IF((R467)&gt;=6,"Có","Không")</f>
        <v>Không</v>
      </c>
      <c r="AJ467" s="29" t="str">
        <f>IF(OR(J467&gt;=140,K467&gt;=90),"Có","Không")</f>
        <v>Không</v>
      </c>
      <c r="AK467" s="5" t="s">
        <v>68</v>
      </c>
      <c r="AL467" s="32">
        <v>46112</v>
      </c>
      <c r="AM467" s="29" t="str">
        <f>"Tháng "&amp;MONTH(AL467)</f>
        <v>Tháng 3</v>
      </c>
      <c r="AN467" s="29" t="str">
        <f>LEFT(AK467,FIND(",",AK467)-1)</f>
        <v>Ấp Biển Tây B</v>
      </c>
    </row>
    <row r="468" spans="1:40" x14ac:dyDescent="0.25">
      <c r="A468" s="49" t="s">
        <v>738</v>
      </c>
      <c r="B468" s="5" t="s">
        <v>23</v>
      </c>
      <c r="C468" s="5" t="s">
        <v>373</v>
      </c>
      <c r="D468" s="29">
        <f ca="1">DATEDIF(C468,TODAY(),"Y")</f>
        <v>61</v>
      </c>
      <c r="E468" s="5" t="s">
        <v>26</v>
      </c>
      <c r="F468" s="30">
        <v>155</v>
      </c>
      <c r="G468" s="30">
        <v>56</v>
      </c>
      <c r="H468" s="31">
        <f>G468/((F468/100)*(F468/100))</f>
        <v>23.309053069719038</v>
      </c>
      <c r="I468" s="5">
        <v>90</v>
      </c>
      <c r="J468" s="30">
        <v>120</v>
      </c>
      <c r="K468" s="30">
        <v>80</v>
      </c>
      <c r="L468" s="29">
        <f>IF(B468="Nữ",0,2)</f>
        <v>0</v>
      </c>
      <c r="M468" s="29">
        <f ca="1">IF(D468&lt;45,0,IF(D468&lt;=49,1,2))</f>
        <v>2</v>
      </c>
      <c r="N468" s="29">
        <f>IF(E468="Có",4,0)</f>
        <v>0</v>
      </c>
      <c r="O468" s="29">
        <f>IF(H468&lt;23,0,IF(H468&lt;27.5,3,5))</f>
        <v>3</v>
      </c>
      <c r="P468" s="29">
        <f>IF(OR(AND(B468="Nam",I468&gt;=90),AND(B468="Nữ",I468&gt;=80)),2,0)</f>
        <v>2</v>
      </c>
      <c r="Q468" s="29">
        <f>IF(OR(J468&gt;=140,K468&gt;=90),2,0)</f>
        <v>0</v>
      </c>
      <c r="R468" s="29">
        <f ca="1">SUM(L468:Q468)</f>
        <v>7</v>
      </c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5" t="s">
        <v>1393</v>
      </c>
      <c r="AE468" s="33"/>
      <c r="AF468" s="59" t="str">
        <f t="shared" si="22"/>
        <v>Không</v>
      </c>
      <c r="AG468" s="59" t="str">
        <f t="shared" si="23"/>
        <v>Không</v>
      </c>
      <c r="AH468" s="29" t="str">
        <f t="shared" ca="1" si="21"/>
        <v>Có</v>
      </c>
      <c r="AI468" s="29" t="str">
        <f ca="1">IF((R468)&gt;=6,"Có","Không")</f>
        <v>Có</v>
      </c>
      <c r="AJ468" s="29" t="str">
        <f>IF(OR(J468&gt;=140,K468&gt;=90),"Có","Không")</f>
        <v>Không</v>
      </c>
      <c r="AK468" s="5" t="s">
        <v>43</v>
      </c>
      <c r="AL468" s="32">
        <v>46112</v>
      </c>
      <c r="AM468" s="29" t="str">
        <f>"Tháng "&amp;MONTH(AL468)</f>
        <v>Tháng 3</v>
      </c>
      <c r="AN468" s="29" t="str">
        <f>LEFT(AK468,FIND(",",AK468)-1)</f>
        <v>Ấp Giồng Nhãn A</v>
      </c>
    </row>
    <row r="469" spans="1:40" x14ac:dyDescent="0.25">
      <c r="A469" s="49" t="s">
        <v>740</v>
      </c>
      <c r="B469" s="5" t="s">
        <v>23</v>
      </c>
      <c r="C469" s="5" t="s">
        <v>273</v>
      </c>
      <c r="D469" s="29">
        <f ca="1">DATEDIF(C469,TODAY(),"Y")</f>
        <v>47</v>
      </c>
      <c r="E469" s="5" t="s">
        <v>26</v>
      </c>
      <c r="F469" s="30">
        <v>168</v>
      </c>
      <c r="G469" s="30">
        <v>60</v>
      </c>
      <c r="H469" s="31">
        <f>G469/((F469/100)*(F469/100))</f>
        <v>21.258503401360546</v>
      </c>
      <c r="I469" s="5">
        <v>76</v>
      </c>
      <c r="J469" s="30">
        <v>120</v>
      </c>
      <c r="K469" s="30">
        <v>80</v>
      </c>
      <c r="L469" s="29">
        <f>IF(B469="Nữ",0,2)</f>
        <v>0</v>
      </c>
      <c r="M469" s="29">
        <f ca="1">IF(D469&lt;45,0,IF(D469&lt;=49,1,2))</f>
        <v>1</v>
      </c>
      <c r="N469" s="29">
        <f>IF(E469="Có",4,0)</f>
        <v>0</v>
      </c>
      <c r="O469" s="29">
        <f>IF(H469&lt;23,0,IF(H469&lt;27.5,3,5))</f>
        <v>0</v>
      </c>
      <c r="P469" s="29">
        <f>IF(OR(AND(B469="Nam",I469&gt;=90),AND(B469="Nữ",I469&gt;=80)),2,0)</f>
        <v>0</v>
      </c>
      <c r="Q469" s="29">
        <f>IF(OR(J469&gt;=140,K469&gt;=90),2,0)</f>
        <v>0</v>
      </c>
      <c r="R469" s="29">
        <f ca="1">SUM(L469:Q469)</f>
        <v>1</v>
      </c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5" t="s">
        <v>1393</v>
      </c>
      <c r="AE469" s="33"/>
      <c r="AF469" s="59" t="str">
        <f t="shared" si="22"/>
        <v>Không</v>
      </c>
      <c r="AG469" s="59" t="str">
        <f t="shared" si="23"/>
        <v>Không</v>
      </c>
      <c r="AH469" s="29" t="str">
        <f t="shared" ca="1" si="21"/>
        <v>Không</v>
      </c>
      <c r="AI469" s="29" t="str">
        <f ca="1">IF((R469)&gt;=6,"Có","Không")</f>
        <v>Không</v>
      </c>
      <c r="AJ469" s="29" t="str">
        <f>IF(OR(J469&gt;=140,K469&gt;=90),"Có","Không")</f>
        <v>Không</v>
      </c>
      <c r="AK469" s="5" t="s">
        <v>395</v>
      </c>
      <c r="AL469" s="32">
        <v>46112</v>
      </c>
      <c r="AM469" s="29" t="str">
        <f>"Tháng "&amp;MONTH(AL469)</f>
        <v>Tháng 3</v>
      </c>
      <c r="AN469" s="29" t="str">
        <f>LEFT(AK469,FIND(",",AK469)-1)</f>
        <v>Khóm Chòm Xoài</v>
      </c>
    </row>
    <row r="470" spans="1:40" x14ac:dyDescent="0.25">
      <c r="A470" s="49" t="s">
        <v>741</v>
      </c>
      <c r="B470" s="5" t="s">
        <v>23</v>
      </c>
      <c r="C470" s="5" t="s">
        <v>47</v>
      </c>
      <c r="D470" s="29">
        <f ca="1">DATEDIF(C470,TODAY(),"Y")</f>
        <v>55</v>
      </c>
      <c r="E470" s="5" t="s">
        <v>26</v>
      </c>
      <c r="F470" s="30">
        <v>160</v>
      </c>
      <c r="G470" s="30">
        <v>100</v>
      </c>
      <c r="H470" s="31">
        <f>G470/((F470/100)*(F470/100))</f>
        <v>39.062499999999993</v>
      </c>
      <c r="I470" s="5">
        <v>73</v>
      </c>
      <c r="J470" s="30">
        <v>120</v>
      </c>
      <c r="K470" s="30">
        <v>80</v>
      </c>
      <c r="L470" s="29">
        <f>IF(B470="Nữ",0,2)</f>
        <v>0</v>
      </c>
      <c r="M470" s="29">
        <f ca="1">IF(D470&lt;45,0,IF(D470&lt;=49,1,2))</f>
        <v>2</v>
      </c>
      <c r="N470" s="29">
        <f>IF(E470="Có",4,0)</f>
        <v>0</v>
      </c>
      <c r="O470" s="29">
        <f>IF(H470&lt;23,0,IF(H470&lt;27.5,3,5))</f>
        <v>5</v>
      </c>
      <c r="P470" s="29">
        <f>IF(OR(AND(B470="Nam",I470&gt;=90),AND(B470="Nữ",I470&gt;=80)),2,0)</f>
        <v>0</v>
      </c>
      <c r="Q470" s="29">
        <f>IF(OR(J470&gt;=140,K470&gt;=90),2,0)</f>
        <v>0</v>
      </c>
      <c r="R470" s="29">
        <f ca="1">SUM(L470:Q470)</f>
        <v>7</v>
      </c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5" t="s">
        <v>1393</v>
      </c>
      <c r="AE470" s="33"/>
      <c r="AF470" s="59" t="str">
        <f t="shared" si="22"/>
        <v>Không</v>
      </c>
      <c r="AG470" s="59" t="str">
        <f t="shared" si="23"/>
        <v>Không</v>
      </c>
      <c r="AH470" s="29" t="str">
        <f t="shared" ca="1" si="21"/>
        <v>Có</v>
      </c>
      <c r="AI470" s="29" t="str">
        <f ca="1">IF((R470)&gt;=6,"Có","Không")</f>
        <v>Có</v>
      </c>
      <c r="AJ470" s="29" t="str">
        <f>IF(OR(J470&gt;=140,K470&gt;=90),"Có","Không")</f>
        <v>Không</v>
      </c>
      <c r="AK470" s="5" t="s">
        <v>168</v>
      </c>
      <c r="AL470" s="32">
        <v>46112</v>
      </c>
      <c r="AM470" s="29" t="str">
        <f>"Tháng "&amp;MONTH(AL470)</f>
        <v>Tháng 3</v>
      </c>
      <c r="AN470" s="29" t="str">
        <f>LEFT(AK470,FIND(",",AK470)-1)</f>
        <v>giồng Nhãn</v>
      </c>
    </row>
    <row r="471" spans="1:40" x14ac:dyDescent="0.25">
      <c r="A471" s="49" t="s">
        <v>742</v>
      </c>
      <c r="B471" s="5" t="s">
        <v>30</v>
      </c>
      <c r="C471" s="5" t="s">
        <v>155</v>
      </c>
      <c r="D471" s="29">
        <f ca="1">DATEDIF(C471,TODAY(),"Y")</f>
        <v>53</v>
      </c>
      <c r="E471" s="5" t="s">
        <v>25</v>
      </c>
      <c r="F471" s="30">
        <v>160</v>
      </c>
      <c r="G471" s="30">
        <v>70</v>
      </c>
      <c r="H471" s="31">
        <f>G471/((F471/100)*(F471/100))</f>
        <v>27.343749999999996</v>
      </c>
      <c r="I471" s="5">
        <v>72</v>
      </c>
      <c r="J471" s="30">
        <v>120</v>
      </c>
      <c r="K471" s="30">
        <v>70</v>
      </c>
      <c r="L471" s="29">
        <f>IF(B471="Nữ",0,2)</f>
        <v>2</v>
      </c>
      <c r="M471" s="29">
        <f ca="1">IF(D471&lt;45,0,IF(D471&lt;=49,1,2))</f>
        <v>2</v>
      </c>
      <c r="N471" s="29">
        <f>IF(E471="Có",4,0)</f>
        <v>4</v>
      </c>
      <c r="O471" s="29">
        <f>IF(H471&lt;23,0,IF(H471&lt;27.5,3,5))</f>
        <v>3</v>
      </c>
      <c r="P471" s="29">
        <f>IF(OR(AND(B471="Nam",I471&gt;=90),AND(B471="Nữ",I471&gt;=80)),2,0)</f>
        <v>0</v>
      </c>
      <c r="Q471" s="29">
        <f>IF(OR(J471&gt;=140,K471&gt;=90),2,0)</f>
        <v>0</v>
      </c>
      <c r="R471" s="29">
        <f ca="1">SUM(L471:Q471)</f>
        <v>11</v>
      </c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5" t="s">
        <v>1393</v>
      </c>
      <c r="AE471" s="33"/>
      <c r="AF471" s="59" t="str">
        <f t="shared" si="22"/>
        <v>Không</v>
      </c>
      <c r="AG471" s="59" t="str">
        <f t="shared" si="23"/>
        <v>Không</v>
      </c>
      <c r="AH471" s="29" t="str">
        <f t="shared" ca="1" si="21"/>
        <v>Có</v>
      </c>
      <c r="AI471" s="29" t="str">
        <f ca="1">IF((R471)&gt;=6,"Có","Không")</f>
        <v>Có</v>
      </c>
      <c r="AJ471" s="29" t="str">
        <f>IF(OR(J471&gt;=140,K471&gt;=90),"Có","Không")</f>
        <v>Không</v>
      </c>
      <c r="AK471" s="5" t="s">
        <v>168</v>
      </c>
      <c r="AL471" s="32">
        <v>46112</v>
      </c>
      <c r="AM471" s="29" t="str">
        <f>"Tháng "&amp;MONTH(AL471)</f>
        <v>Tháng 3</v>
      </c>
      <c r="AN471" s="29" t="str">
        <f>LEFT(AK471,FIND(",",AK471)-1)</f>
        <v>giồng Nhãn</v>
      </c>
    </row>
    <row r="472" spans="1:40" x14ac:dyDescent="0.25">
      <c r="A472" s="49" t="s">
        <v>743</v>
      </c>
      <c r="B472" s="5" t="s">
        <v>23</v>
      </c>
      <c r="C472" s="5" t="s">
        <v>373</v>
      </c>
      <c r="D472" s="29">
        <f ca="1">DATEDIF(C472,TODAY(),"Y")</f>
        <v>61</v>
      </c>
      <c r="E472" s="5" t="s">
        <v>26</v>
      </c>
      <c r="F472" s="30">
        <v>158</v>
      </c>
      <c r="G472" s="30">
        <v>58</v>
      </c>
      <c r="H472" s="31">
        <f>G472/((F472/100)*(F472/100))</f>
        <v>23.233456176894723</v>
      </c>
      <c r="I472" s="5">
        <v>91</v>
      </c>
      <c r="J472" s="30">
        <v>170</v>
      </c>
      <c r="K472" s="30">
        <v>80</v>
      </c>
      <c r="L472" s="29">
        <f>IF(B472="Nữ",0,2)</f>
        <v>0</v>
      </c>
      <c r="M472" s="29">
        <f ca="1">IF(D472&lt;45,0,IF(D472&lt;=49,1,2))</f>
        <v>2</v>
      </c>
      <c r="N472" s="29">
        <f>IF(E472="Có",4,0)</f>
        <v>0</v>
      </c>
      <c r="O472" s="29">
        <f>IF(H472&lt;23,0,IF(H472&lt;27.5,3,5))</f>
        <v>3</v>
      </c>
      <c r="P472" s="29">
        <f>IF(OR(AND(B472="Nam",I472&gt;=90),AND(B472="Nữ",I472&gt;=80)),2,0)</f>
        <v>2</v>
      </c>
      <c r="Q472" s="29">
        <f>IF(OR(J472&gt;=140,K472&gt;=90),2,0)</f>
        <v>2</v>
      </c>
      <c r="R472" s="29">
        <f ca="1">SUM(L472:Q472)</f>
        <v>9</v>
      </c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5" t="s">
        <v>1393</v>
      </c>
      <c r="AE472" s="33"/>
      <c r="AF472" s="59" t="str">
        <f t="shared" si="22"/>
        <v>Không</v>
      </c>
      <c r="AG472" s="59" t="str">
        <f t="shared" si="23"/>
        <v>Không</v>
      </c>
      <c r="AH472" s="29" t="str">
        <f t="shared" ca="1" si="21"/>
        <v>Có</v>
      </c>
      <c r="AI472" s="29" t="str">
        <f ca="1">IF((R472)&gt;=6,"Có","Không")</f>
        <v>Có</v>
      </c>
      <c r="AJ472" s="29" t="str">
        <f>IF(OR(J472&gt;=140,K472&gt;=90),"Có","Không")</f>
        <v>Có</v>
      </c>
      <c r="AK472" s="5" t="s">
        <v>744</v>
      </c>
      <c r="AL472" s="32">
        <v>46112</v>
      </c>
      <c r="AM472" s="29" t="str">
        <f>"Tháng "&amp;MONTH(AL472)</f>
        <v>Tháng 3</v>
      </c>
      <c r="AN472" s="29" t="str">
        <f>LEFT(AK472,FIND(",",AK472)-1)</f>
        <v>ấp Vĩnh Mẫu</v>
      </c>
    </row>
    <row r="473" spans="1:40" x14ac:dyDescent="0.25">
      <c r="A473" s="49" t="s">
        <v>751</v>
      </c>
      <c r="B473" s="5" t="s">
        <v>23</v>
      </c>
      <c r="C473" s="5" t="s">
        <v>105</v>
      </c>
      <c r="D473" s="29">
        <f ca="1">DATEDIF(C473,TODAY(),"Y")</f>
        <v>60</v>
      </c>
      <c r="E473" s="5" t="s">
        <v>26</v>
      </c>
      <c r="F473" s="30">
        <v>158</v>
      </c>
      <c r="G473" s="30">
        <v>58</v>
      </c>
      <c r="H473" s="31">
        <f>G473/((F473/100)*(F473/100))</f>
        <v>23.233456176894723</v>
      </c>
      <c r="I473" s="5">
        <v>65</v>
      </c>
      <c r="J473" s="30">
        <v>140</v>
      </c>
      <c r="K473" s="30">
        <v>80</v>
      </c>
      <c r="L473" s="29">
        <f>IF(B473="Nữ",0,2)</f>
        <v>0</v>
      </c>
      <c r="M473" s="29">
        <f ca="1">IF(D473&lt;45,0,IF(D473&lt;=49,1,2))</f>
        <v>2</v>
      </c>
      <c r="N473" s="29">
        <f>IF(E473="Có",4,0)</f>
        <v>0</v>
      </c>
      <c r="O473" s="29">
        <f>IF(H473&lt;23,0,IF(H473&lt;27.5,3,5))</f>
        <v>3</v>
      </c>
      <c r="P473" s="29">
        <f>IF(OR(AND(B473="Nam",I473&gt;=90),AND(B473="Nữ",I473&gt;=80)),2,0)</f>
        <v>0</v>
      </c>
      <c r="Q473" s="29">
        <f>IF(OR(J473&gt;=140,K473&gt;=90),2,0)</f>
        <v>2</v>
      </c>
      <c r="R473" s="29">
        <f ca="1">SUM(L473:Q473)</f>
        <v>7</v>
      </c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5" t="s">
        <v>1393</v>
      </c>
      <c r="AE473" s="33"/>
      <c r="AF473" s="59" t="str">
        <f t="shared" si="22"/>
        <v>Không</v>
      </c>
      <c r="AG473" s="59" t="str">
        <f t="shared" si="23"/>
        <v>Không</v>
      </c>
      <c r="AH473" s="29" t="str">
        <f t="shared" ca="1" si="21"/>
        <v>Có</v>
      </c>
      <c r="AI473" s="29" t="str">
        <f ca="1">IF((R473)&gt;=6,"Có","Không")</f>
        <v>Có</v>
      </c>
      <c r="AJ473" s="29" t="str">
        <f>IF(OR(J473&gt;=140,K473&gt;=90),"Có","Không")</f>
        <v>Có</v>
      </c>
      <c r="AK473" s="5" t="s">
        <v>28</v>
      </c>
      <c r="AL473" s="32">
        <v>46112</v>
      </c>
      <c r="AM473" s="29" t="str">
        <f>"Tháng "&amp;MONTH(AL473)</f>
        <v>Tháng 3</v>
      </c>
      <c r="AN473" s="29" t="str">
        <f>LEFT(AK473,FIND(",",AK473)-1)</f>
        <v>Ấp Biển Đông A</v>
      </c>
    </row>
    <row r="474" spans="1:40" x14ac:dyDescent="0.25">
      <c r="A474" s="49" t="s">
        <v>752</v>
      </c>
      <c r="B474" s="5" t="s">
        <v>30</v>
      </c>
      <c r="C474" s="5" t="s">
        <v>105</v>
      </c>
      <c r="D474" s="29">
        <f ca="1">DATEDIF(C474,TODAY(),"Y")</f>
        <v>60</v>
      </c>
      <c r="E474" s="5" t="s">
        <v>26</v>
      </c>
      <c r="F474" s="30">
        <v>169</v>
      </c>
      <c r="G474" s="30">
        <v>68</v>
      </c>
      <c r="H474" s="31">
        <f>G474/((F474/100)*(F474/100))</f>
        <v>23.808690171912751</v>
      </c>
      <c r="I474" s="5">
        <v>72</v>
      </c>
      <c r="J474" s="30">
        <v>140</v>
      </c>
      <c r="K474" s="30">
        <v>80</v>
      </c>
      <c r="L474" s="29">
        <f>IF(B474="Nữ",0,2)</f>
        <v>2</v>
      </c>
      <c r="M474" s="29">
        <f ca="1">IF(D474&lt;45,0,IF(D474&lt;=49,1,2))</f>
        <v>2</v>
      </c>
      <c r="N474" s="29">
        <f>IF(E474="Có",4,0)</f>
        <v>0</v>
      </c>
      <c r="O474" s="29">
        <f>IF(H474&lt;23,0,IF(H474&lt;27.5,3,5))</f>
        <v>3</v>
      </c>
      <c r="P474" s="29">
        <f>IF(OR(AND(B474="Nam",I474&gt;=90),AND(B474="Nữ",I474&gt;=80)),2,0)</f>
        <v>0</v>
      </c>
      <c r="Q474" s="29">
        <f>IF(OR(J474&gt;=140,K474&gt;=90),2,0)</f>
        <v>2</v>
      </c>
      <c r="R474" s="29">
        <f ca="1">SUM(L474:Q474)</f>
        <v>9</v>
      </c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5" t="s">
        <v>1393</v>
      </c>
      <c r="AE474" s="33"/>
      <c r="AF474" s="59" t="str">
        <f t="shared" si="22"/>
        <v>Không</v>
      </c>
      <c r="AG474" s="59" t="str">
        <f t="shared" si="23"/>
        <v>Không</v>
      </c>
      <c r="AH474" s="29" t="str">
        <f t="shared" ca="1" si="21"/>
        <v>Có</v>
      </c>
      <c r="AI474" s="29" t="str">
        <f ca="1">IF((R474)&gt;=6,"Có","Không")</f>
        <v>Có</v>
      </c>
      <c r="AJ474" s="29" t="str">
        <f>IF(OR(J474&gt;=140,K474&gt;=90),"Có","Không")</f>
        <v>Có</v>
      </c>
      <c r="AK474" s="5" t="s">
        <v>28</v>
      </c>
      <c r="AL474" s="32">
        <v>46112</v>
      </c>
      <c r="AM474" s="29" t="str">
        <f>"Tháng "&amp;MONTH(AL474)</f>
        <v>Tháng 3</v>
      </c>
      <c r="AN474" s="29" t="str">
        <f>LEFT(AK474,FIND(",",AK474)-1)</f>
        <v>Ấp Biển Đông A</v>
      </c>
    </row>
    <row r="475" spans="1:40" x14ac:dyDescent="0.25">
      <c r="A475" s="49" t="s">
        <v>758</v>
      </c>
      <c r="B475" s="5" t="s">
        <v>23</v>
      </c>
      <c r="C475" s="5" t="s">
        <v>93</v>
      </c>
      <c r="D475" s="29">
        <f ca="1">DATEDIF(C475,TODAY(),"Y")</f>
        <v>66</v>
      </c>
      <c r="E475" s="5" t="s">
        <v>26</v>
      </c>
      <c r="F475" s="30">
        <v>152</v>
      </c>
      <c r="G475" s="30">
        <v>56</v>
      </c>
      <c r="H475" s="31">
        <f>G475/((F475/100)*(F475/100))</f>
        <v>24.238227146814403</v>
      </c>
      <c r="I475" s="5">
        <v>71</v>
      </c>
      <c r="J475" s="30">
        <v>120</v>
      </c>
      <c r="K475" s="30">
        <v>70</v>
      </c>
      <c r="L475" s="29">
        <f>IF(B475="Nữ",0,2)</f>
        <v>0</v>
      </c>
      <c r="M475" s="29">
        <f ca="1">IF(D475&lt;45,0,IF(D475&lt;=49,1,2))</f>
        <v>2</v>
      </c>
      <c r="N475" s="29">
        <f>IF(E475="Có",4,0)</f>
        <v>0</v>
      </c>
      <c r="O475" s="29">
        <f>IF(H475&lt;23,0,IF(H475&lt;27.5,3,5))</f>
        <v>3</v>
      </c>
      <c r="P475" s="29">
        <f>IF(OR(AND(B475="Nam",I475&gt;=90),AND(B475="Nữ",I475&gt;=80)),2,0)</f>
        <v>0</v>
      </c>
      <c r="Q475" s="29">
        <f>IF(OR(J475&gt;=140,K475&gt;=90),2,0)</f>
        <v>0</v>
      </c>
      <c r="R475" s="29">
        <f ca="1">SUM(L475:Q475)</f>
        <v>5</v>
      </c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5" t="s">
        <v>1393</v>
      </c>
      <c r="AE475" s="33"/>
      <c r="AF475" s="59" t="str">
        <f t="shared" si="22"/>
        <v>Không</v>
      </c>
      <c r="AG475" s="59" t="str">
        <f t="shared" si="23"/>
        <v>Không</v>
      </c>
      <c r="AH475" s="29" t="str">
        <f t="shared" ca="1" si="21"/>
        <v>Không</v>
      </c>
      <c r="AI475" s="29" t="str">
        <f ca="1">IF((R475)&gt;=6,"Có","Không")</f>
        <v>Không</v>
      </c>
      <c r="AJ475" s="29" t="str">
        <f>IF(OR(J475&gt;=140,K475&gt;=90),"Có","Không")</f>
        <v>Không</v>
      </c>
      <c r="AK475" s="5" t="s">
        <v>166</v>
      </c>
      <c r="AL475" s="32">
        <v>46112</v>
      </c>
      <c r="AM475" s="29" t="str">
        <f>"Tháng "&amp;MONTH(AL475)</f>
        <v>Tháng 3</v>
      </c>
      <c r="AN475" s="29" t="str">
        <f>LEFT(AK475,FIND(",",AK475)-1)</f>
        <v>khóm Giồng Nhãn</v>
      </c>
    </row>
    <row r="476" spans="1:40" x14ac:dyDescent="0.25">
      <c r="A476" s="49" t="s">
        <v>768</v>
      </c>
      <c r="B476" s="5" t="s">
        <v>23</v>
      </c>
      <c r="C476" s="5" t="s">
        <v>42</v>
      </c>
      <c r="D476" s="29">
        <f ca="1">DATEDIF(C476,TODAY(),"Y")</f>
        <v>59</v>
      </c>
      <c r="E476" s="5" t="s">
        <v>26</v>
      </c>
      <c r="F476" s="30">
        <v>158</v>
      </c>
      <c r="G476" s="30">
        <v>58</v>
      </c>
      <c r="H476" s="31">
        <f>G476/((F476/100)*(F476/100))</f>
        <v>23.233456176894723</v>
      </c>
      <c r="I476" s="5">
        <v>85</v>
      </c>
      <c r="J476" s="30">
        <v>150</v>
      </c>
      <c r="K476" s="30">
        <v>80</v>
      </c>
      <c r="L476" s="29">
        <f>IF(B476="Nữ",0,2)</f>
        <v>0</v>
      </c>
      <c r="M476" s="29">
        <f ca="1">IF(D476&lt;45,0,IF(D476&lt;=49,1,2))</f>
        <v>2</v>
      </c>
      <c r="N476" s="29">
        <f>IF(E476="Có",4,0)</f>
        <v>0</v>
      </c>
      <c r="O476" s="29">
        <f>IF(H476&lt;23,0,IF(H476&lt;27.5,3,5))</f>
        <v>3</v>
      </c>
      <c r="P476" s="29">
        <f>IF(OR(AND(B476="Nam",I476&gt;=90),AND(B476="Nữ",I476&gt;=80)),2,0)</f>
        <v>2</v>
      </c>
      <c r="Q476" s="29">
        <f>IF(OR(J476&gt;=140,K476&gt;=90),2,0)</f>
        <v>2</v>
      </c>
      <c r="R476" s="29">
        <f ca="1">SUM(L476:Q476)</f>
        <v>9</v>
      </c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5" t="s">
        <v>1393</v>
      </c>
      <c r="AE476" s="33"/>
      <c r="AF476" s="59" t="str">
        <f t="shared" si="22"/>
        <v>Không</v>
      </c>
      <c r="AG476" s="59" t="str">
        <f t="shared" si="23"/>
        <v>Không</v>
      </c>
      <c r="AH476" s="29" t="str">
        <f t="shared" ca="1" si="21"/>
        <v>Có</v>
      </c>
      <c r="AI476" s="29" t="str">
        <f ca="1">IF((R476)&gt;=6,"Có","Không")</f>
        <v>Có</v>
      </c>
      <c r="AJ476" s="29" t="str">
        <f>IF(OR(J476&gt;=140,K476&gt;=90),"Có","Không")</f>
        <v>Có</v>
      </c>
      <c r="AK476" s="5" t="s">
        <v>246</v>
      </c>
      <c r="AL476" s="32">
        <v>46112</v>
      </c>
      <c r="AM476" s="29" t="str">
        <f>"Tháng "&amp;MONTH(AL476)</f>
        <v>Tháng 3</v>
      </c>
      <c r="AN476" s="29" t="str">
        <f>LEFT(AK476,FIND(",",AK476)-1)</f>
        <v>ấp Biển Tây B</v>
      </c>
    </row>
    <row r="477" spans="1:40" x14ac:dyDescent="0.25">
      <c r="A477" s="49" t="s">
        <v>769</v>
      </c>
      <c r="B477" s="5" t="s">
        <v>23</v>
      </c>
      <c r="C477" s="5" t="s">
        <v>138</v>
      </c>
      <c r="D477" s="29">
        <f ca="1">DATEDIF(C477,TODAY(),"Y")</f>
        <v>67</v>
      </c>
      <c r="E477" s="5" t="s">
        <v>26</v>
      </c>
      <c r="F477" s="30">
        <v>162</v>
      </c>
      <c r="G477" s="30">
        <v>56</v>
      </c>
      <c r="H477" s="31">
        <f>G477/((F477/100)*(F477/100))</f>
        <v>21.338210638622158</v>
      </c>
      <c r="I477" s="5">
        <v>90</v>
      </c>
      <c r="J477" s="30">
        <v>130</v>
      </c>
      <c r="K477" s="30">
        <v>80</v>
      </c>
      <c r="L477" s="29">
        <f>IF(B477="Nữ",0,2)</f>
        <v>0</v>
      </c>
      <c r="M477" s="29">
        <f ca="1">IF(D477&lt;45,0,IF(D477&lt;=49,1,2))</f>
        <v>2</v>
      </c>
      <c r="N477" s="29">
        <f>IF(E477="Có",4,0)</f>
        <v>0</v>
      </c>
      <c r="O477" s="29">
        <f>IF(H477&lt;23,0,IF(H477&lt;27.5,3,5))</f>
        <v>0</v>
      </c>
      <c r="P477" s="29">
        <f>IF(OR(AND(B477="Nam",I477&gt;=90),AND(B477="Nữ",I477&gt;=80)),2,0)</f>
        <v>2</v>
      </c>
      <c r="Q477" s="29">
        <f>IF(OR(J477&gt;=140,K477&gt;=90),2,0)</f>
        <v>0</v>
      </c>
      <c r="R477" s="29">
        <f ca="1">SUM(L477:Q477)</f>
        <v>4</v>
      </c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5" t="s">
        <v>1393</v>
      </c>
      <c r="AE477" s="33"/>
      <c r="AF477" s="59" t="str">
        <f t="shared" si="22"/>
        <v>Không</v>
      </c>
      <c r="AG477" s="59" t="str">
        <f t="shared" si="23"/>
        <v>Không</v>
      </c>
      <c r="AH477" s="29" t="str">
        <f t="shared" ca="1" si="21"/>
        <v>Không</v>
      </c>
      <c r="AI477" s="29" t="str">
        <f ca="1">IF((R477)&gt;=6,"Có","Không")</f>
        <v>Không</v>
      </c>
      <c r="AJ477" s="29" t="str">
        <f>IF(OR(J477&gt;=140,K477&gt;=90),"Có","Không")</f>
        <v>Không</v>
      </c>
      <c r="AK477" s="5" t="s">
        <v>51</v>
      </c>
      <c r="AL477" s="32">
        <v>46112</v>
      </c>
      <c r="AM477" s="29" t="str">
        <f>"Tháng "&amp;MONTH(AL477)</f>
        <v>Tháng 3</v>
      </c>
      <c r="AN477" s="29" t="str">
        <f>LEFT(AK477,FIND(",",AK477)-1)</f>
        <v>Phường Hiệp Thành</v>
      </c>
    </row>
    <row r="478" spans="1:40" x14ac:dyDescent="0.25">
      <c r="A478" s="49" t="s">
        <v>772</v>
      </c>
      <c r="B478" s="5" t="s">
        <v>23</v>
      </c>
      <c r="C478" s="5" t="s">
        <v>50</v>
      </c>
      <c r="D478" s="29">
        <f ca="1">DATEDIF(C478,TODAY(),"Y")</f>
        <v>58</v>
      </c>
      <c r="E478" s="5" t="s">
        <v>26</v>
      </c>
      <c r="F478" s="30">
        <v>158</v>
      </c>
      <c r="G478" s="30">
        <v>58</v>
      </c>
      <c r="H478" s="31">
        <f>G478/((F478/100)*(F478/100))</f>
        <v>23.233456176894723</v>
      </c>
      <c r="I478" s="5">
        <v>78</v>
      </c>
      <c r="J478" s="30">
        <v>150</v>
      </c>
      <c r="K478" s="30" t="s">
        <v>27</v>
      </c>
      <c r="L478" s="29">
        <f>IF(B478="Nữ",0,2)</f>
        <v>0</v>
      </c>
      <c r="M478" s="29">
        <f ca="1">IF(D478&lt;45,0,IF(D478&lt;=49,1,2))</f>
        <v>2</v>
      </c>
      <c r="N478" s="29">
        <f>IF(E478="Có",4,0)</f>
        <v>0</v>
      </c>
      <c r="O478" s="29">
        <f>IF(H478&lt;23,0,IF(H478&lt;27.5,3,5))</f>
        <v>3</v>
      </c>
      <c r="P478" s="29">
        <f>IF(OR(AND(B478="Nam",I478&gt;=90),AND(B478="Nữ",I478&gt;=80)),2,0)</f>
        <v>0</v>
      </c>
      <c r="Q478" s="29">
        <f>IF(OR(J478&gt;=140,K478&gt;=90),2,0)</f>
        <v>2</v>
      </c>
      <c r="R478" s="29">
        <f ca="1">SUM(L478:Q478)</f>
        <v>7</v>
      </c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5" t="s">
        <v>1393</v>
      </c>
      <c r="AE478" s="33"/>
      <c r="AF478" s="59" t="str">
        <f t="shared" si="22"/>
        <v>Không</v>
      </c>
      <c r="AG478" s="59" t="str">
        <f t="shared" si="23"/>
        <v>Không</v>
      </c>
      <c r="AH478" s="29" t="str">
        <f t="shared" ca="1" si="21"/>
        <v>Có</v>
      </c>
      <c r="AI478" s="29" t="str">
        <f ca="1">IF((R478)&gt;=6,"Có","Không")</f>
        <v>Có</v>
      </c>
      <c r="AJ478" s="29" t="str">
        <f>IF(OR(J478&gt;=140,K478&gt;=90),"Có","Không")</f>
        <v>Có</v>
      </c>
      <c r="AK478" s="5" t="s">
        <v>51</v>
      </c>
      <c r="AL478" s="32">
        <v>46112</v>
      </c>
      <c r="AM478" s="29" t="str">
        <f>"Tháng "&amp;MONTH(AL478)</f>
        <v>Tháng 3</v>
      </c>
      <c r="AN478" s="29" t="str">
        <f>LEFT(AK478,FIND(",",AK478)-1)</f>
        <v>Phường Hiệp Thành</v>
      </c>
    </row>
    <row r="479" spans="1:40" x14ac:dyDescent="0.25">
      <c r="A479" s="49" t="s">
        <v>779</v>
      </c>
      <c r="B479" s="5" t="s">
        <v>30</v>
      </c>
      <c r="C479" s="5" t="s">
        <v>203</v>
      </c>
      <c r="D479" s="29">
        <f ca="1">DATEDIF(C479,TODAY(),"Y")</f>
        <v>43</v>
      </c>
      <c r="E479" s="5" t="s">
        <v>26</v>
      </c>
      <c r="F479" s="30">
        <v>169</v>
      </c>
      <c r="G479" s="30">
        <v>68</v>
      </c>
      <c r="H479" s="31">
        <f>G479/((F479/100)*(F479/100))</f>
        <v>23.808690171912751</v>
      </c>
      <c r="I479" s="5">
        <v>82</v>
      </c>
      <c r="J479" s="30">
        <v>130</v>
      </c>
      <c r="K479" s="30">
        <v>80</v>
      </c>
      <c r="L479" s="29">
        <f>IF(B479="Nữ",0,2)</f>
        <v>2</v>
      </c>
      <c r="M479" s="29">
        <f ca="1">IF(D479&lt;45,0,IF(D479&lt;=49,1,2))</f>
        <v>0</v>
      </c>
      <c r="N479" s="29">
        <f>IF(E479="Có",4,0)</f>
        <v>0</v>
      </c>
      <c r="O479" s="29">
        <f>IF(H479&lt;23,0,IF(H479&lt;27.5,3,5))</f>
        <v>3</v>
      </c>
      <c r="P479" s="29">
        <f>IF(OR(AND(B479="Nam",I479&gt;=90),AND(B479="Nữ",I479&gt;=80)),2,0)</f>
        <v>0</v>
      </c>
      <c r="Q479" s="29">
        <f>IF(OR(J479&gt;=140,K479&gt;=90),2,0)</f>
        <v>0</v>
      </c>
      <c r="R479" s="29">
        <f ca="1">SUM(L479:Q479)</f>
        <v>5</v>
      </c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5" t="s">
        <v>1393</v>
      </c>
      <c r="AE479" s="33"/>
      <c r="AF479" s="59" t="str">
        <f t="shared" si="22"/>
        <v>Không</v>
      </c>
      <c r="AG479" s="59" t="str">
        <f t="shared" si="23"/>
        <v>Không</v>
      </c>
      <c r="AH479" s="29" t="str">
        <f t="shared" ca="1" si="21"/>
        <v>Không</v>
      </c>
      <c r="AI479" s="29" t="str">
        <f ca="1">IF((R479)&gt;=6,"Có","Không")</f>
        <v>Không</v>
      </c>
      <c r="AJ479" s="29" t="str">
        <f>IF(OR(J479&gt;=140,K479&gt;=90),"Có","Không")</f>
        <v>Không</v>
      </c>
      <c r="AK479" s="5" t="s">
        <v>780</v>
      </c>
      <c r="AL479" s="32">
        <v>46112</v>
      </c>
      <c r="AM479" s="29" t="str">
        <f>"Tháng "&amp;MONTH(AL479)</f>
        <v>Tháng 3</v>
      </c>
      <c r="AN479" s="29" t="str">
        <f>LEFT(AK479,FIND(",",AK479)-1)</f>
        <v>ấp giồng Giữa B</v>
      </c>
    </row>
    <row r="480" spans="1:40" x14ac:dyDescent="0.25">
      <c r="A480" s="49" t="s">
        <v>782</v>
      </c>
      <c r="B480" s="5" t="s">
        <v>23</v>
      </c>
      <c r="C480" s="5" t="s">
        <v>130</v>
      </c>
      <c r="D480" s="29">
        <f ca="1">DATEDIF(C480,TODAY(),"Y")</f>
        <v>57</v>
      </c>
      <c r="E480" s="5" t="s">
        <v>26</v>
      </c>
      <c r="F480" s="30">
        <v>160</v>
      </c>
      <c r="G480" s="30">
        <v>70</v>
      </c>
      <c r="H480" s="31">
        <f>G480/((F480/100)*(F480/100))</f>
        <v>27.343749999999996</v>
      </c>
      <c r="I480" s="5">
        <v>76</v>
      </c>
      <c r="J480" s="30">
        <v>120</v>
      </c>
      <c r="K480" s="30">
        <v>80</v>
      </c>
      <c r="L480" s="29">
        <f>IF(B480="Nữ",0,2)</f>
        <v>0</v>
      </c>
      <c r="M480" s="29">
        <f ca="1">IF(D480&lt;45,0,IF(D480&lt;=49,1,2))</f>
        <v>2</v>
      </c>
      <c r="N480" s="29">
        <f>IF(E480="Có",4,0)</f>
        <v>0</v>
      </c>
      <c r="O480" s="29">
        <f>IF(H480&lt;23,0,IF(H480&lt;27.5,3,5))</f>
        <v>3</v>
      </c>
      <c r="P480" s="29">
        <f>IF(OR(AND(B480="Nam",I480&gt;=90),AND(B480="Nữ",I480&gt;=80)),2,0)</f>
        <v>0</v>
      </c>
      <c r="Q480" s="29">
        <f>IF(OR(J480&gt;=140,K480&gt;=90),2,0)</f>
        <v>0</v>
      </c>
      <c r="R480" s="29">
        <f ca="1">SUM(L480:Q480)</f>
        <v>5</v>
      </c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5" t="s">
        <v>1393</v>
      </c>
      <c r="AE480" s="33"/>
      <c r="AF480" s="59" t="str">
        <f t="shared" si="22"/>
        <v>Không</v>
      </c>
      <c r="AG480" s="59" t="str">
        <f t="shared" si="23"/>
        <v>Không</v>
      </c>
      <c r="AH480" s="29" t="str">
        <f t="shared" ca="1" si="21"/>
        <v>Không</v>
      </c>
      <c r="AI480" s="29" t="str">
        <f ca="1">IF((R480)&gt;=6,"Có","Không")</f>
        <v>Không</v>
      </c>
      <c r="AJ480" s="29" t="str">
        <f>IF(OR(J480&gt;=140,K480&gt;=90),"Có","Không")</f>
        <v>Không</v>
      </c>
      <c r="AK480" s="5" t="s">
        <v>783</v>
      </c>
      <c r="AL480" s="32">
        <v>46112</v>
      </c>
      <c r="AM480" s="29" t="str">
        <f>"Tháng "&amp;MONTH(AL480)</f>
        <v>Tháng 3</v>
      </c>
      <c r="AN480" s="29" t="str">
        <f>LEFT(AK480,FIND(",",AK480)-1)</f>
        <v>khóm Nhà Mát</v>
      </c>
    </row>
    <row r="481" spans="1:40" x14ac:dyDescent="0.25">
      <c r="A481" s="49" t="s">
        <v>784</v>
      </c>
      <c r="B481" s="5" t="s">
        <v>23</v>
      </c>
      <c r="C481" s="5" t="s">
        <v>50</v>
      </c>
      <c r="D481" s="29">
        <f ca="1">DATEDIF(C481,TODAY(),"Y")</f>
        <v>58</v>
      </c>
      <c r="E481" s="5" t="s">
        <v>25</v>
      </c>
      <c r="F481" s="30">
        <v>158</v>
      </c>
      <c r="G481" s="30">
        <v>58</v>
      </c>
      <c r="H481" s="31">
        <f>G481/((F481/100)*(F481/100))</f>
        <v>23.233456176894723</v>
      </c>
      <c r="I481" s="5">
        <v>88</v>
      </c>
      <c r="J481" s="30">
        <v>120</v>
      </c>
      <c r="K481" s="30">
        <v>80</v>
      </c>
      <c r="L481" s="29">
        <f>IF(B481="Nữ",0,2)</f>
        <v>0</v>
      </c>
      <c r="M481" s="29">
        <f ca="1">IF(D481&lt;45,0,IF(D481&lt;=49,1,2))</f>
        <v>2</v>
      </c>
      <c r="N481" s="29">
        <f>IF(E481="Có",4,0)</f>
        <v>4</v>
      </c>
      <c r="O481" s="29">
        <f>IF(H481&lt;23,0,IF(H481&lt;27.5,3,5))</f>
        <v>3</v>
      </c>
      <c r="P481" s="29">
        <f>IF(OR(AND(B481="Nam",I481&gt;=90),AND(B481="Nữ",I481&gt;=80)),2,0)</f>
        <v>2</v>
      </c>
      <c r="Q481" s="29">
        <f>IF(OR(J481&gt;=140,K481&gt;=90),2,0)</f>
        <v>0</v>
      </c>
      <c r="R481" s="29">
        <f ca="1">SUM(L481:Q481)</f>
        <v>11</v>
      </c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5" t="s">
        <v>1393</v>
      </c>
      <c r="AE481" s="33"/>
      <c r="AF481" s="59" t="str">
        <f t="shared" si="22"/>
        <v>Không</v>
      </c>
      <c r="AG481" s="59" t="str">
        <f t="shared" si="23"/>
        <v>Không</v>
      </c>
      <c r="AH481" s="29" t="str">
        <f t="shared" ca="1" si="21"/>
        <v>Có</v>
      </c>
      <c r="AI481" s="29" t="str">
        <f ca="1">IF((R481)&gt;=6,"Có","Không")</f>
        <v>Có</v>
      </c>
      <c r="AJ481" s="29" t="str">
        <f>IF(OR(J481&gt;=140,K481&gt;=90),"Có","Không")</f>
        <v>Không</v>
      </c>
      <c r="AK481" s="5" t="s">
        <v>51</v>
      </c>
      <c r="AL481" s="32">
        <v>46112</v>
      </c>
      <c r="AM481" s="29" t="str">
        <f>"Tháng "&amp;MONTH(AL481)</f>
        <v>Tháng 3</v>
      </c>
      <c r="AN481" s="29" t="str">
        <f>LEFT(AK481,FIND(",",AK481)-1)</f>
        <v>Phường Hiệp Thành</v>
      </c>
    </row>
    <row r="482" spans="1:40" x14ac:dyDescent="0.25">
      <c r="A482" s="49" t="s">
        <v>785</v>
      </c>
      <c r="B482" s="5" t="s">
        <v>30</v>
      </c>
      <c r="C482" s="5" t="s">
        <v>115</v>
      </c>
      <c r="D482" s="29">
        <f ca="1">DATEDIF(C482,TODAY(),"Y")</f>
        <v>40</v>
      </c>
      <c r="E482" s="5" t="s">
        <v>26</v>
      </c>
      <c r="F482" s="30">
        <v>169</v>
      </c>
      <c r="G482" s="30">
        <v>68</v>
      </c>
      <c r="H482" s="31">
        <f>G482/((F482/100)*(F482/100))</f>
        <v>23.808690171912751</v>
      </c>
      <c r="I482" s="5">
        <v>95</v>
      </c>
      <c r="J482" s="30">
        <v>120</v>
      </c>
      <c r="K482" s="30">
        <v>80</v>
      </c>
      <c r="L482" s="29">
        <f>IF(B482="Nữ",0,2)</f>
        <v>2</v>
      </c>
      <c r="M482" s="29">
        <f ca="1">IF(D482&lt;45,0,IF(D482&lt;=49,1,2))</f>
        <v>0</v>
      </c>
      <c r="N482" s="29">
        <f>IF(E482="Có",4,0)</f>
        <v>0</v>
      </c>
      <c r="O482" s="29">
        <f>IF(H482&lt;23,0,IF(H482&lt;27.5,3,5))</f>
        <v>3</v>
      </c>
      <c r="P482" s="29">
        <f>IF(OR(AND(B482="Nam",I482&gt;=90),AND(B482="Nữ",I482&gt;=80)),2,0)</f>
        <v>2</v>
      </c>
      <c r="Q482" s="29">
        <f>IF(OR(J482&gt;=140,K482&gt;=90),2,0)</f>
        <v>0</v>
      </c>
      <c r="R482" s="29">
        <f ca="1">SUM(L482:Q482)</f>
        <v>7</v>
      </c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5" t="s">
        <v>1393</v>
      </c>
      <c r="AE482" s="33"/>
      <c r="AF482" s="59" t="str">
        <f t="shared" si="22"/>
        <v>Không</v>
      </c>
      <c r="AG482" s="59" t="str">
        <f t="shared" si="23"/>
        <v>Không</v>
      </c>
      <c r="AH482" s="29" t="str">
        <f t="shared" ca="1" si="21"/>
        <v>Có</v>
      </c>
      <c r="AI482" s="29" t="str">
        <f ca="1">IF((R482)&gt;=6,"Có","Không")</f>
        <v>Có</v>
      </c>
      <c r="AJ482" s="29" t="str">
        <f>IF(OR(J482&gt;=140,K482&gt;=90),"Có","Không")</f>
        <v>Không</v>
      </c>
      <c r="AK482" s="5" t="s">
        <v>51</v>
      </c>
      <c r="AL482" s="32">
        <v>46112</v>
      </c>
      <c r="AM482" s="29" t="str">
        <f>"Tháng "&amp;MONTH(AL482)</f>
        <v>Tháng 3</v>
      </c>
      <c r="AN482" s="29" t="str">
        <f>LEFT(AK482,FIND(",",AK482)-1)</f>
        <v>Phường Hiệp Thành</v>
      </c>
    </row>
    <row r="483" spans="1:40" x14ac:dyDescent="0.25">
      <c r="A483" s="49" t="s">
        <v>786</v>
      </c>
      <c r="B483" s="5" t="s">
        <v>30</v>
      </c>
      <c r="C483" s="5" t="s">
        <v>341</v>
      </c>
      <c r="D483" s="29">
        <f ca="1">DATEDIF(C483,TODAY(),"Y")</f>
        <v>51</v>
      </c>
      <c r="E483" s="5" t="s">
        <v>26</v>
      </c>
      <c r="F483" s="30">
        <v>60</v>
      </c>
      <c r="G483" s="30">
        <v>167</v>
      </c>
      <c r="H483" s="31">
        <f>G483/((F483/100)*(F483/100))</f>
        <v>463.88888888888891</v>
      </c>
      <c r="I483" s="5">
        <v>88</v>
      </c>
      <c r="J483" s="30">
        <v>160</v>
      </c>
      <c r="K483" s="30">
        <v>90</v>
      </c>
      <c r="L483" s="29">
        <f>IF(B483="Nữ",0,2)</f>
        <v>2</v>
      </c>
      <c r="M483" s="29">
        <f ca="1">IF(D483&lt;45,0,IF(D483&lt;=49,1,2))</f>
        <v>2</v>
      </c>
      <c r="N483" s="29">
        <f>IF(E483="Có",4,0)</f>
        <v>0</v>
      </c>
      <c r="O483" s="29">
        <f>IF(H483&lt;23,0,IF(H483&lt;27.5,3,5))</f>
        <v>5</v>
      </c>
      <c r="P483" s="29">
        <f>IF(OR(AND(B483="Nam",I483&gt;=90),AND(B483="Nữ",I483&gt;=80)),2,0)</f>
        <v>0</v>
      </c>
      <c r="Q483" s="29">
        <f>IF(OR(J483&gt;=140,K483&gt;=90),2,0)</f>
        <v>2</v>
      </c>
      <c r="R483" s="29">
        <f ca="1">SUM(L483:Q483)</f>
        <v>11</v>
      </c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5" t="s">
        <v>1393</v>
      </c>
      <c r="AE483" s="33"/>
      <c r="AF483" s="59" t="str">
        <f t="shared" si="22"/>
        <v>Không</v>
      </c>
      <c r="AG483" s="59" t="str">
        <f t="shared" si="23"/>
        <v>Không</v>
      </c>
      <c r="AH483" s="29" t="str">
        <f t="shared" ca="1" si="21"/>
        <v>Có</v>
      </c>
      <c r="AI483" s="29" t="str">
        <f ca="1">IF((R483)&gt;=6,"Có","Không")</f>
        <v>Có</v>
      </c>
      <c r="AJ483" s="29" t="str">
        <f>IF(OR(J483&gt;=140,K483&gt;=90),"Có","Không")</f>
        <v>Có</v>
      </c>
      <c r="AK483" s="5" t="s">
        <v>395</v>
      </c>
      <c r="AL483" s="32">
        <v>46112</v>
      </c>
      <c r="AM483" s="29" t="str">
        <f>"Tháng "&amp;MONTH(AL483)</f>
        <v>Tháng 3</v>
      </c>
      <c r="AN483" s="29" t="str">
        <f>LEFT(AK483,FIND(",",AK483)-1)</f>
        <v>Khóm Chòm Xoài</v>
      </c>
    </row>
    <row r="484" spans="1:40" x14ac:dyDescent="0.25">
      <c r="A484" s="49" t="s">
        <v>788</v>
      </c>
      <c r="B484" s="5" t="s">
        <v>30</v>
      </c>
      <c r="C484" s="5" t="s">
        <v>133</v>
      </c>
      <c r="D484" s="29">
        <f ca="1">DATEDIF(C484,TODAY(),"Y")</f>
        <v>56</v>
      </c>
      <c r="E484" s="5" t="s">
        <v>26</v>
      </c>
      <c r="F484" s="30">
        <v>169</v>
      </c>
      <c r="G484" s="30">
        <v>68</v>
      </c>
      <c r="H484" s="31">
        <f>G484/((F484/100)*(F484/100))</f>
        <v>23.808690171912751</v>
      </c>
      <c r="I484" s="5">
        <v>96</v>
      </c>
      <c r="J484" s="30">
        <v>90</v>
      </c>
      <c r="K484" s="30">
        <v>60</v>
      </c>
      <c r="L484" s="29">
        <f>IF(B484="Nữ",0,2)</f>
        <v>2</v>
      </c>
      <c r="M484" s="29">
        <f ca="1">IF(D484&lt;45,0,IF(D484&lt;=49,1,2))</f>
        <v>2</v>
      </c>
      <c r="N484" s="29">
        <f>IF(E484="Có",4,0)</f>
        <v>0</v>
      </c>
      <c r="O484" s="29">
        <f>IF(H484&lt;23,0,IF(H484&lt;27.5,3,5))</f>
        <v>3</v>
      </c>
      <c r="P484" s="29">
        <f>IF(OR(AND(B484="Nam",I484&gt;=90),AND(B484="Nữ",I484&gt;=80)),2,0)</f>
        <v>2</v>
      </c>
      <c r="Q484" s="29">
        <f>IF(OR(J484&gt;=140,K484&gt;=90),2,0)</f>
        <v>0</v>
      </c>
      <c r="R484" s="29">
        <f ca="1">SUM(L484:Q484)</f>
        <v>9</v>
      </c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5" t="s">
        <v>1393</v>
      </c>
      <c r="AE484" s="33"/>
      <c r="AF484" s="59" t="str">
        <f t="shared" si="22"/>
        <v>Không</v>
      </c>
      <c r="AG484" s="59" t="str">
        <f t="shared" si="23"/>
        <v>Không</v>
      </c>
      <c r="AH484" s="29" t="str">
        <f t="shared" ca="1" si="21"/>
        <v>Có</v>
      </c>
      <c r="AI484" s="29" t="str">
        <f ca="1">IF((R484)&gt;=6,"Có","Không")</f>
        <v>Có</v>
      </c>
      <c r="AJ484" s="29" t="str">
        <f>IF(OR(J484&gt;=140,K484&gt;=90),"Có","Không")</f>
        <v>Không</v>
      </c>
      <c r="AK484" s="5" t="s">
        <v>218</v>
      </c>
      <c r="AL484" s="32">
        <v>46112</v>
      </c>
      <c r="AM484" s="29" t="str">
        <f>"Tháng "&amp;MONTH(AL484)</f>
        <v>Tháng 3</v>
      </c>
      <c r="AN484" s="29" t="str">
        <f>LEFT(AK484,FIND(",",AK484)-1)</f>
        <v>Biển Đông B</v>
      </c>
    </row>
    <row r="485" spans="1:40" x14ac:dyDescent="0.25">
      <c r="A485" s="49" t="s">
        <v>820</v>
      </c>
      <c r="B485" s="5" t="s">
        <v>23</v>
      </c>
      <c r="C485" s="5" t="s">
        <v>273</v>
      </c>
      <c r="D485" s="29">
        <f ca="1">DATEDIF(C485,TODAY(),"Y")</f>
        <v>47</v>
      </c>
      <c r="E485" s="5" t="s">
        <v>26</v>
      </c>
      <c r="F485" s="30">
        <v>158</v>
      </c>
      <c r="G485" s="30">
        <v>58</v>
      </c>
      <c r="H485" s="31">
        <f>G485/((F485/100)*(F485/100))</f>
        <v>23.233456176894723</v>
      </c>
      <c r="I485" s="5">
        <v>89</v>
      </c>
      <c r="J485" s="30">
        <v>150</v>
      </c>
      <c r="K485" s="30">
        <v>80</v>
      </c>
      <c r="L485" s="29">
        <f>IF(B485="Nữ",0,2)</f>
        <v>0</v>
      </c>
      <c r="M485" s="29">
        <f ca="1">IF(D485&lt;45,0,IF(D485&lt;=49,1,2))</f>
        <v>1</v>
      </c>
      <c r="N485" s="29">
        <f>IF(E485="Có",4,0)</f>
        <v>0</v>
      </c>
      <c r="O485" s="29">
        <f>IF(H485&lt;23,0,IF(H485&lt;27.5,3,5))</f>
        <v>3</v>
      </c>
      <c r="P485" s="29">
        <f>IF(OR(AND(B485="Nam",I485&gt;=90),AND(B485="Nữ",I485&gt;=80)),2,0)</f>
        <v>2</v>
      </c>
      <c r="Q485" s="29">
        <f>IF(OR(J485&gt;=140,K485&gt;=90),2,0)</f>
        <v>2</v>
      </c>
      <c r="R485" s="29">
        <f ca="1">SUM(L485:Q485)</f>
        <v>8</v>
      </c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5" t="s">
        <v>1393</v>
      </c>
      <c r="AE485" s="33"/>
      <c r="AF485" s="59" t="str">
        <f t="shared" si="22"/>
        <v>Không</v>
      </c>
      <c r="AG485" s="59" t="str">
        <f t="shared" si="23"/>
        <v>Không</v>
      </c>
      <c r="AH485" s="29" t="str">
        <f t="shared" ca="1" si="21"/>
        <v>Có</v>
      </c>
      <c r="AI485" s="29" t="str">
        <f ca="1">IF((R485)&gt;=6,"Có","Không")</f>
        <v>Có</v>
      </c>
      <c r="AJ485" s="29" t="str">
        <f>IF(OR(J485&gt;=140,K485&gt;=90),"Có","Không")</f>
        <v>Có</v>
      </c>
      <c r="AK485" s="5" t="s">
        <v>68</v>
      </c>
      <c r="AL485" s="32">
        <v>46112</v>
      </c>
      <c r="AM485" s="29" t="str">
        <f>"Tháng "&amp;MONTH(AL485)</f>
        <v>Tháng 3</v>
      </c>
      <c r="AN485" s="29" t="str">
        <f>LEFT(AK485,FIND(",",AK485)-1)</f>
        <v>Ấp Biển Tây B</v>
      </c>
    </row>
    <row r="486" spans="1:40" x14ac:dyDescent="0.25">
      <c r="A486" s="49" t="s">
        <v>830</v>
      </c>
      <c r="B486" s="5" t="s">
        <v>23</v>
      </c>
      <c r="C486" s="5" t="s">
        <v>93</v>
      </c>
      <c r="D486" s="29">
        <f ca="1">DATEDIF(C486,TODAY(),"Y")</f>
        <v>66</v>
      </c>
      <c r="E486" s="5" t="s">
        <v>26</v>
      </c>
      <c r="F486" s="30">
        <v>158</v>
      </c>
      <c r="G486" s="30">
        <v>58</v>
      </c>
      <c r="H486" s="31">
        <f>G486/((F486/100)*(F486/100))</f>
        <v>23.233456176894723</v>
      </c>
      <c r="I486" s="5">
        <v>86</v>
      </c>
      <c r="J486" s="30">
        <v>110</v>
      </c>
      <c r="K486" s="30">
        <v>70</v>
      </c>
      <c r="L486" s="29">
        <f>IF(B486="Nữ",0,2)</f>
        <v>0</v>
      </c>
      <c r="M486" s="29">
        <f ca="1">IF(D486&lt;45,0,IF(D486&lt;=49,1,2))</f>
        <v>2</v>
      </c>
      <c r="N486" s="29">
        <f>IF(E486="Có",4,0)</f>
        <v>0</v>
      </c>
      <c r="O486" s="29">
        <f>IF(H486&lt;23,0,IF(H486&lt;27.5,3,5))</f>
        <v>3</v>
      </c>
      <c r="P486" s="29">
        <f>IF(OR(AND(B486="Nam",I486&gt;=90),AND(B486="Nữ",I486&gt;=80)),2,0)</f>
        <v>2</v>
      </c>
      <c r="Q486" s="29">
        <f>IF(OR(J486&gt;=140,K486&gt;=90),2,0)</f>
        <v>0</v>
      </c>
      <c r="R486" s="29">
        <f ca="1">SUM(L486:Q486)</f>
        <v>7</v>
      </c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5" t="s">
        <v>1393</v>
      </c>
      <c r="AE486" s="33"/>
      <c r="AF486" s="59" t="str">
        <f t="shared" si="22"/>
        <v>Không</v>
      </c>
      <c r="AG486" s="59" t="str">
        <f t="shared" si="23"/>
        <v>Không</v>
      </c>
      <c r="AH486" s="29" t="str">
        <f t="shared" ca="1" si="21"/>
        <v>Có</v>
      </c>
      <c r="AI486" s="29" t="str">
        <f ca="1">IF((R486)&gt;=6,"Có","Không")</f>
        <v>Có</v>
      </c>
      <c r="AJ486" s="29" t="str">
        <f>IF(OR(J486&gt;=140,K486&gt;=90),"Có","Không")</f>
        <v>Không</v>
      </c>
      <c r="AK486" s="5" t="s">
        <v>38</v>
      </c>
      <c r="AL486" s="32">
        <v>46112</v>
      </c>
      <c r="AM486" s="29" t="str">
        <f>"Tháng "&amp;MONTH(AL486)</f>
        <v>Tháng 3</v>
      </c>
      <c r="AN486" s="29" t="str">
        <f>LEFT(AK486,FIND(",",AK486)-1)</f>
        <v>Ấp Biển Đông B</v>
      </c>
    </row>
    <row r="487" spans="1:40" x14ac:dyDescent="0.25">
      <c r="A487" s="49" t="s">
        <v>832</v>
      </c>
      <c r="B487" s="5" t="s">
        <v>30</v>
      </c>
      <c r="C487" s="5" t="s">
        <v>40</v>
      </c>
      <c r="D487" s="29">
        <f ca="1">DATEDIF(C487,TODAY(),"Y")</f>
        <v>70</v>
      </c>
      <c r="E487" s="5" t="s">
        <v>26</v>
      </c>
      <c r="F487" s="30">
        <v>169</v>
      </c>
      <c r="G487" s="30">
        <v>58</v>
      </c>
      <c r="H487" s="31">
        <f>G487/((F487/100)*(F487/100))</f>
        <v>20.307412205454995</v>
      </c>
      <c r="I487" s="5">
        <v>96</v>
      </c>
      <c r="J487" s="30">
        <v>140</v>
      </c>
      <c r="K487" s="30">
        <v>80</v>
      </c>
      <c r="L487" s="29">
        <f>IF(B487="Nữ",0,2)</f>
        <v>2</v>
      </c>
      <c r="M487" s="29">
        <f ca="1">IF(D487&lt;45,0,IF(D487&lt;=49,1,2))</f>
        <v>2</v>
      </c>
      <c r="N487" s="29">
        <f>IF(E487="Có",4,0)</f>
        <v>0</v>
      </c>
      <c r="O487" s="29">
        <f>IF(H487&lt;23,0,IF(H487&lt;27.5,3,5))</f>
        <v>0</v>
      </c>
      <c r="P487" s="29">
        <f>IF(OR(AND(B487="Nam",I487&gt;=90),AND(B487="Nữ",I487&gt;=80)),2,0)</f>
        <v>2</v>
      </c>
      <c r="Q487" s="29">
        <f>IF(OR(J487&gt;=140,K487&gt;=90),2,0)</f>
        <v>2</v>
      </c>
      <c r="R487" s="29">
        <f ca="1">SUM(L487:Q487)</f>
        <v>8</v>
      </c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5" t="s">
        <v>1393</v>
      </c>
      <c r="AE487" s="33"/>
      <c r="AF487" s="59" t="str">
        <f t="shared" si="22"/>
        <v>Không</v>
      </c>
      <c r="AG487" s="59" t="str">
        <f t="shared" si="23"/>
        <v>Không</v>
      </c>
      <c r="AH487" s="29" t="str">
        <f t="shared" ca="1" si="21"/>
        <v>Có</v>
      </c>
      <c r="AI487" s="29" t="str">
        <f ca="1">IF((R487)&gt;=6,"Có","Không")</f>
        <v>Có</v>
      </c>
      <c r="AJ487" s="29" t="str">
        <f>IF(OR(J487&gt;=140,K487&gt;=90),"Có","Không")</f>
        <v>Có</v>
      </c>
      <c r="AK487" s="5" t="s">
        <v>51</v>
      </c>
      <c r="AL487" s="32">
        <v>46112</v>
      </c>
      <c r="AM487" s="29" t="str">
        <f>"Tháng "&amp;MONTH(AL487)</f>
        <v>Tháng 3</v>
      </c>
      <c r="AN487" s="29" t="str">
        <f>LEFT(AK487,FIND(",",AK487)-1)</f>
        <v>Phường Hiệp Thành</v>
      </c>
    </row>
    <row r="488" spans="1:40" x14ac:dyDescent="0.25">
      <c r="A488" s="49" t="s">
        <v>836</v>
      </c>
      <c r="B488" s="5" t="s">
        <v>23</v>
      </c>
      <c r="C488" s="5" t="s">
        <v>133</v>
      </c>
      <c r="D488" s="29">
        <f ca="1">DATEDIF(C488,TODAY(),"Y")</f>
        <v>56</v>
      </c>
      <c r="E488" s="5" t="s">
        <v>25</v>
      </c>
      <c r="F488" s="30">
        <v>158</v>
      </c>
      <c r="G488" s="30">
        <v>58</v>
      </c>
      <c r="H488" s="31">
        <f>G488/((F488/100)*(F488/100))</f>
        <v>23.233456176894723</v>
      </c>
      <c r="I488" s="5">
        <v>79</v>
      </c>
      <c r="J488" s="30">
        <v>150</v>
      </c>
      <c r="K488" s="30">
        <v>80</v>
      </c>
      <c r="L488" s="29">
        <f>IF(B488="Nữ",0,2)</f>
        <v>0</v>
      </c>
      <c r="M488" s="29">
        <f ca="1">IF(D488&lt;45,0,IF(D488&lt;=49,1,2))</f>
        <v>2</v>
      </c>
      <c r="N488" s="29">
        <f>IF(E488="Có",4,0)</f>
        <v>4</v>
      </c>
      <c r="O488" s="29">
        <f>IF(H488&lt;23,0,IF(H488&lt;27.5,3,5))</f>
        <v>3</v>
      </c>
      <c r="P488" s="29">
        <f>IF(OR(AND(B488="Nam",I488&gt;=90),AND(B488="Nữ",I488&gt;=80)),2,0)</f>
        <v>0</v>
      </c>
      <c r="Q488" s="29">
        <f>IF(OR(J488&gt;=140,K488&gt;=90),2,0)</f>
        <v>2</v>
      </c>
      <c r="R488" s="29">
        <f ca="1">SUM(L488:Q488)</f>
        <v>11</v>
      </c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5" t="s">
        <v>1393</v>
      </c>
      <c r="AE488" s="33"/>
      <c r="AF488" s="59" t="str">
        <f t="shared" si="22"/>
        <v>Không</v>
      </c>
      <c r="AG488" s="59" t="str">
        <f t="shared" si="23"/>
        <v>Không</v>
      </c>
      <c r="AH488" s="29" t="str">
        <f t="shared" ca="1" si="21"/>
        <v>Có</v>
      </c>
      <c r="AI488" s="29" t="str">
        <f ca="1">IF((R488)&gt;=6,"Có","Không")</f>
        <v>Có</v>
      </c>
      <c r="AJ488" s="29" t="str">
        <f>IF(OR(J488&gt;=140,K488&gt;=90),"Có","Không")</f>
        <v>Có</v>
      </c>
      <c r="AK488" s="5" t="s">
        <v>243</v>
      </c>
      <c r="AL488" s="32">
        <v>46112</v>
      </c>
      <c r="AM488" s="29" t="str">
        <f>"Tháng "&amp;MONTH(AL488)</f>
        <v>Tháng 3</v>
      </c>
      <c r="AN488" s="29" t="str">
        <f>LEFT(AK488,FIND(",",AK488)-1)</f>
        <v>ấp Giồng Giữa B</v>
      </c>
    </row>
    <row r="489" spans="1:40" x14ac:dyDescent="0.25">
      <c r="A489" s="49" t="s">
        <v>839</v>
      </c>
      <c r="B489" s="5" t="s">
        <v>30</v>
      </c>
      <c r="C489" s="5" t="s">
        <v>373</v>
      </c>
      <c r="D489" s="29">
        <f ca="1">DATEDIF(C489,TODAY(),"Y")</f>
        <v>61</v>
      </c>
      <c r="E489" s="5" t="s">
        <v>26</v>
      </c>
      <c r="F489" s="30">
        <v>170</v>
      </c>
      <c r="G489" s="30">
        <v>66</v>
      </c>
      <c r="H489" s="31">
        <f>G489/((F489/100)*(F489/100))</f>
        <v>22.837370242214536</v>
      </c>
      <c r="I489" s="5">
        <v>65</v>
      </c>
      <c r="J489" s="30">
        <v>120</v>
      </c>
      <c r="K489" s="30">
        <v>80</v>
      </c>
      <c r="L489" s="29">
        <f>IF(B489="Nữ",0,2)</f>
        <v>2</v>
      </c>
      <c r="M489" s="29">
        <f ca="1">IF(D489&lt;45,0,IF(D489&lt;=49,1,2))</f>
        <v>2</v>
      </c>
      <c r="N489" s="29">
        <f>IF(E489="Có",4,0)</f>
        <v>0</v>
      </c>
      <c r="O489" s="29">
        <f>IF(H489&lt;23,0,IF(H489&lt;27.5,3,5))</f>
        <v>0</v>
      </c>
      <c r="P489" s="29">
        <f>IF(OR(AND(B489="Nam",I489&gt;=90),AND(B489="Nữ",I489&gt;=80)),2,0)</f>
        <v>0</v>
      </c>
      <c r="Q489" s="29">
        <f>IF(OR(J489&gt;=140,K489&gt;=90),2,0)</f>
        <v>0</v>
      </c>
      <c r="R489" s="29">
        <f ca="1">SUM(L489:Q489)</f>
        <v>4</v>
      </c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5" t="s">
        <v>1393</v>
      </c>
      <c r="AE489" s="33"/>
      <c r="AF489" s="59" t="str">
        <f t="shared" si="22"/>
        <v>Không</v>
      </c>
      <c r="AG489" s="59" t="str">
        <f t="shared" si="23"/>
        <v>Không</v>
      </c>
      <c r="AH489" s="29" t="str">
        <f t="shared" ca="1" si="21"/>
        <v>Không</v>
      </c>
      <c r="AI489" s="29" t="str">
        <f ca="1">IF((R489)&gt;=6,"Có","Không")</f>
        <v>Không</v>
      </c>
      <c r="AJ489" s="29" t="str">
        <f>IF(OR(J489&gt;=140,K489&gt;=90),"Có","Không")</f>
        <v>Không</v>
      </c>
      <c r="AK489" s="5" t="s">
        <v>51</v>
      </c>
      <c r="AL489" s="32">
        <v>46112</v>
      </c>
      <c r="AM489" s="29" t="str">
        <f>"Tháng "&amp;MONTH(AL489)</f>
        <v>Tháng 3</v>
      </c>
      <c r="AN489" s="29" t="str">
        <f>LEFT(AK489,FIND(",",AK489)-1)</f>
        <v>Phường Hiệp Thành</v>
      </c>
    </row>
    <row r="490" spans="1:40" x14ac:dyDescent="0.25">
      <c r="A490" s="49" t="s">
        <v>840</v>
      </c>
      <c r="B490" s="5" t="s">
        <v>23</v>
      </c>
      <c r="C490" s="5" t="s">
        <v>59</v>
      </c>
      <c r="D490" s="29">
        <f ca="1">DATEDIF(C490,TODAY(),"Y")</f>
        <v>74</v>
      </c>
      <c r="E490" s="5" t="s">
        <v>26</v>
      </c>
      <c r="F490" s="30">
        <v>158</v>
      </c>
      <c r="G490" s="30">
        <v>58</v>
      </c>
      <c r="H490" s="31">
        <f>G490/((F490/100)*(F490/100))</f>
        <v>23.233456176894723</v>
      </c>
      <c r="I490" s="5">
        <v>85</v>
      </c>
      <c r="J490" s="30">
        <v>130</v>
      </c>
      <c r="K490" s="30">
        <v>80</v>
      </c>
      <c r="L490" s="29">
        <f>IF(B490="Nữ",0,2)</f>
        <v>0</v>
      </c>
      <c r="M490" s="29">
        <f ca="1">IF(D490&lt;45,0,IF(D490&lt;=49,1,2))</f>
        <v>2</v>
      </c>
      <c r="N490" s="29">
        <f>IF(E490="Có",4,0)</f>
        <v>0</v>
      </c>
      <c r="O490" s="29">
        <f>IF(H490&lt;23,0,IF(H490&lt;27.5,3,5))</f>
        <v>3</v>
      </c>
      <c r="P490" s="29">
        <f>IF(OR(AND(B490="Nam",I490&gt;=90),AND(B490="Nữ",I490&gt;=80)),2,0)</f>
        <v>2</v>
      </c>
      <c r="Q490" s="29">
        <f>IF(OR(J490&gt;=140,K490&gt;=90),2,0)</f>
        <v>0</v>
      </c>
      <c r="R490" s="29">
        <f ca="1">SUM(L490:Q490)</f>
        <v>7</v>
      </c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5" t="s">
        <v>1393</v>
      </c>
      <c r="AE490" s="33"/>
      <c r="AF490" s="59" t="str">
        <f t="shared" si="22"/>
        <v>Không</v>
      </c>
      <c r="AG490" s="59" t="str">
        <f t="shared" si="23"/>
        <v>Không</v>
      </c>
      <c r="AH490" s="29" t="str">
        <f t="shared" ca="1" si="21"/>
        <v>Có</v>
      </c>
      <c r="AI490" s="29" t="str">
        <f ca="1">IF((R490)&gt;=6,"Có","Không")</f>
        <v>Có</v>
      </c>
      <c r="AJ490" s="29" t="str">
        <f>IF(OR(J490&gt;=140,K490&gt;=90),"Có","Không")</f>
        <v>Không</v>
      </c>
      <c r="AK490" s="5" t="s">
        <v>28</v>
      </c>
      <c r="AL490" s="32">
        <v>46112</v>
      </c>
      <c r="AM490" s="29" t="str">
        <f>"Tháng "&amp;MONTH(AL490)</f>
        <v>Tháng 3</v>
      </c>
      <c r="AN490" s="29" t="str">
        <f>LEFT(AK490,FIND(",",AK490)-1)</f>
        <v>Ấp Biển Đông A</v>
      </c>
    </row>
    <row r="491" spans="1:40" x14ac:dyDescent="0.25">
      <c r="A491" s="49" t="s">
        <v>841</v>
      </c>
      <c r="B491" s="5" t="s">
        <v>23</v>
      </c>
      <c r="C491" s="5" t="s">
        <v>67</v>
      </c>
      <c r="D491" s="29">
        <f ca="1">DATEDIF(C491,TODAY(),"Y")</f>
        <v>48</v>
      </c>
      <c r="E491" s="5" t="s">
        <v>26</v>
      </c>
      <c r="F491" s="30">
        <v>157</v>
      </c>
      <c r="G491" s="30">
        <v>55</v>
      </c>
      <c r="H491" s="31">
        <f>G491/((F491/100)*(F491/100))</f>
        <v>22.313278429145196</v>
      </c>
      <c r="I491" s="5">
        <v>71</v>
      </c>
      <c r="J491" s="30">
        <v>120</v>
      </c>
      <c r="K491" s="30">
        <v>80</v>
      </c>
      <c r="L491" s="29">
        <f>IF(B491="Nữ",0,2)</f>
        <v>0</v>
      </c>
      <c r="M491" s="29">
        <f ca="1">IF(D491&lt;45,0,IF(D491&lt;=49,1,2))</f>
        <v>1</v>
      </c>
      <c r="N491" s="29">
        <f>IF(E491="Có",4,0)</f>
        <v>0</v>
      </c>
      <c r="O491" s="29">
        <f>IF(H491&lt;23,0,IF(H491&lt;27.5,3,5))</f>
        <v>0</v>
      </c>
      <c r="P491" s="29">
        <f>IF(OR(AND(B491="Nam",I491&gt;=90),AND(B491="Nữ",I491&gt;=80)),2,0)</f>
        <v>0</v>
      </c>
      <c r="Q491" s="29">
        <f>IF(OR(J491&gt;=140,K491&gt;=90),2,0)</f>
        <v>0</v>
      </c>
      <c r="R491" s="29">
        <f ca="1">SUM(L491:Q491)</f>
        <v>1</v>
      </c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5" t="s">
        <v>1393</v>
      </c>
      <c r="AE491" s="33"/>
      <c r="AF491" s="59" t="str">
        <f t="shared" si="22"/>
        <v>Không</v>
      </c>
      <c r="AG491" s="59" t="str">
        <f t="shared" si="23"/>
        <v>Không</v>
      </c>
      <c r="AH491" s="29" t="str">
        <f t="shared" ca="1" si="21"/>
        <v>Không</v>
      </c>
      <c r="AI491" s="29" t="str">
        <f ca="1">IF((R491)&gt;=6,"Có","Không")</f>
        <v>Không</v>
      </c>
      <c r="AJ491" s="29" t="str">
        <f>IF(OR(J491&gt;=140,K491&gt;=90),"Có","Không")</f>
        <v>Không</v>
      </c>
      <c r="AK491" s="5" t="s">
        <v>166</v>
      </c>
      <c r="AL491" s="32">
        <v>46112</v>
      </c>
      <c r="AM491" s="29" t="str">
        <f>"Tháng "&amp;MONTH(AL491)</f>
        <v>Tháng 3</v>
      </c>
      <c r="AN491" s="29" t="str">
        <f>LEFT(AK491,FIND(",",AK491)-1)</f>
        <v>khóm Giồng Nhãn</v>
      </c>
    </row>
    <row r="492" spans="1:40" x14ac:dyDescent="0.25">
      <c r="A492" s="49" t="s">
        <v>842</v>
      </c>
      <c r="B492" s="5" t="s">
        <v>23</v>
      </c>
      <c r="C492" s="5" t="s">
        <v>62</v>
      </c>
      <c r="D492" s="29">
        <f ca="1">DATEDIF(C492,TODAY(),"Y")</f>
        <v>64</v>
      </c>
      <c r="E492" s="5" t="s">
        <v>26</v>
      </c>
      <c r="F492" s="30">
        <v>150</v>
      </c>
      <c r="G492" s="30">
        <v>71</v>
      </c>
      <c r="H492" s="31">
        <f>G492/((F492/100)*(F492/100))</f>
        <v>31.555555555555557</v>
      </c>
      <c r="I492" s="5">
        <v>83</v>
      </c>
      <c r="J492" s="30">
        <v>130</v>
      </c>
      <c r="K492" s="30">
        <v>80</v>
      </c>
      <c r="L492" s="29">
        <f>IF(B492="Nữ",0,2)</f>
        <v>0</v>
      </c>
      <c r="M492" s="29">
        <f ca="1">IF(D492&lt;45,0,IF(D492&lt;=49,1,2))</f>
        <v>2</v>
      </c>
      <c r="N492" s="29">
        <f>IF(E492="Có",4,0)</f>
        <v>0</v>
      </c>
      <c r="O492" s="29">
        <f>IF(H492&lt;23,0,IF(H492&lt;27.5,3,5))</f>
        <v>5</v>
      </c>
      <c r="P492" s="29">
        <f>IF(OR(AND(B492="Nam",I492&gt;=90),AND(B492="Nữ",I492&gt;=80)),2,0)</f>
        <v>2</v>
      </c>
      <c r="Q492" s="29">
        <f>IF(OR(J492&gt;=140,K492&gt;=90),2,0)</f>
        <v>0</v>
      </c>
      <c r="R492" s="29">
        <f ca="1">SUM(L492:Q492)</f>
        <v>9</v>
      </c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5" t="s">
        <v>1393</v>
      </c>
      <c r="AE492" s="33"/>
      <c r="AF492" s="59" t="str">
        <f t="shared" si="22"/>
        <v>Không</v>
      </c>
      <c r="AG492" s="59" t="str">
        <f t="shared" si="23"/>
        <v>Không</v>
      </c>
      <c r="AH492" s="29" t="str">
        <f t="shared" ca="1" si="21"/>
        <v>Có</v>
      </c>
      <c r="AI492" s="29" t="str">
        <f ca="1">IF((R492)&gt;=6,"Có","Không")</f>
        <v>Có</v>
      </c>
      <c r="AJ492" s="29" t="str">
        <f>IF(OR(J492&gt;=140,K492&gt;=90),"Có","Không")</f>
        <v>Không</v>
      </c>
      <c r="AK492" s="5" t="s">
        <v>51</v>
      </c>
      <c r="AL492" s="32">
        <v>46112</v>
      </c>
      <c r="AM492" s="29" t="str">
        <f>"Tháng "&amp;MONTH(AL492)</f>
        <v>Tháng 3</v>
      </c>
      <c r="AN492" s="29" t="str">
        <f>LEFT(AK492,FIND(",",AK492)-1)</f>
        <v>Phường Hiệp Thành</v>
      </c>
    </row>
    <row r="493" spans="1:40" x14ac:dyDescent="0.25">
      <c r="A493" s="49" t="s">
        <v>156</v>
      </c>
      <c r="B493" s="5" t="s">
        <v>23</v>
      </c>
      <c r="C493" s="5" t="s">
        <v>341</v>
      </c>
      <c r="D493" s="29">
        <f ca="1">DATEDIF(C493,TODAY(),"Y")</f>
        <v>51</v>
      </c>
      <c r="E493" s="5" t="s">
        <v>26</v>
      </c>
      <c r="F493" s="30">
        <v>155</v>
      </c>
      <c r="G493" s="30">
        <v>52</v>
      </c>
      <c r="H493" s="31">
        <f>G493/((F493/100)*(F493/100))</f>
        <v>21.644120707596251</v>
      </c>
      <c r="I493" s="5">
        <v>84</v>
      </c>
      <c r="J493" s="30">
        <v>20</v>
      </c>
      <c r="K493" s="30">
        <v>80</v>
      </c>
      <c r="L493" s="29">
        <f>IF(B493="Nữ",0,2)</f>
        <v>0</v>
      </c>
      <c r="M493" s="29">
        <f ca="1">IF(D493&lt;45,0,IF(D493&lt;=49,1,2))</f>
        <v>2</v>
      </c>
      <c r="N493" s="29">
        <f>IF(E493="Có",4,0)</f>
        <v>0</v>
      </c>
      <c r="O493" s="29">
        <f>IF(H493&lt;23,0,IF(H493&lt;27.5,3,5))</f>
        <v>0</v>
      </c>
      <c r="P493" s="29">
        <f>IF(OR(AND(B493="Nam",I493&gt;=90),AND(B493="Nữ",I493&gt;=80)),2,0)</f>
        <v>2</v>
      </c>
      <c r="Q493" s="29">
        <f>IF(OR(J493&gt;=140,K493&gt;=90),2,0)</f>
        <v>0</v>
      </c>
      <c r="R493" s="29">
        <f ca="1">SUM(L493:Q493)</f>
        <v>4</v>
      </c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5" t="s">
        <v>1393</v>
      </c>
      <c r="AE493" s="33"/>
      <c r="AF493" s="59" t="str">
        <f t="shared" si="22"/>
        <v>Không</v>
      </c>
      <c r="AG493" s="59" t="str">
        <f t="shared" si="23"/>
        <v>Không</v>
      </c>
      <c r="AH493" s="29" t="str">
        <f t="shared" ca="1" si="21"/>
        <v>Không</v>
      </c>
      <c r="AI493" s="29" t="str">
        <f ca="1">IF((R493)&gt;=6,"Có","Không")</f>
        <v>Không</v>
      </c>
      <c r="AJ493" s="29" t="str">
        <f>IF(OR(J493&gt;=140,K493&gt;=90),"Có","Không")</f>
        <v>Không</v>
      </c>
      <c r="AK493" s="5" t="s">
        <v>43</v>
      </c>
      <c r="AL493" s="32">
        <v>46112</v>
      </c>
      <c r="AM493" s="29" t="str">
        <f>"Tháng "&amp;MONTH(AL493)</f>
        <v>Tháng 3</v>
      </c>
      <c r="AN493" s="29" t="str">
        <f>LEFT(AK493,FIND(",",AK493)-1)</f>
        <v>Ấp Giồng Nhãn A</v>
      </c>
    </row>
    <row r="494" spans="1:40" x14ac:dyDescent="0.25">
      <c r="A494" s="49" t="s">
        <v>845</v>
      </c>
      <c r="B494" s="5" t="s">
        <v>30</v>
      </c>
      <c r="C494" s="5" t="s">
        <v>133</v>
      </c>
      <c r="D494" s="29">
        <f ca="1">DATEDIF(C494,TODAY(),"Y")</f>
        <v>56</v>
      </c>
      <c r="E494" s="5" t="s">
        <v>26</v>
      </c>
      <c r="F494" s="30">
        <v>169</v>
      </c>
      <c r="G494" s="30">
        <v>68</v>
      </c>
      <c r="H494" s="31">
        <f>G494/((F494/100)*(F494/100))</f>
        <v>23.808690171912751</v>
      </c>
      <c r="I494" s="5">
        <v>91</v>
      </c>
      <c r="J494" s="30">
        <v>140</v>
      </c>
      <c r="K494" s="30">
        <v>80</v>
      </c>
      <c r="L494" s="29">
        <f>IF(B494="Nữ",0,2)</f>
        <v>2</v>
      </c>
      <c r="M494" s="29">
        <f ca="1">IF(D494&lt;45,0,IF(D494&lt;=49,1,2))</f>
        <v>2</v>
      </c>
      <c r="N494" s="29">
        <f>IF(E494="Có",4,0)</f>
        <v>0</v>
      </c>
      <c r="O494" s="29">
        <f>IF(H494&lt;23,0,IF(H494&lt;27.5,3,5))</f>
        <v>3</v>
      </c>
      <c r="P494" s="29">
        <f>IF(OR(AND(B494="Nam",I494&gt;=90),AND(B494="Nữ",I494&gt;=80)),2,0)</f>
        <v>2</v>
      </c>
      <c r="Q494" s="29">
        <f>IF(OR(J494&gt;=140,K494&gt;=90),2,0)</f>
        <v>2</v>
      </c>
      <c r="R494" s="29">
        <f ca="1">SUM(L494:Q494)</f>
        <v>11</v>
      </c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5" t="s">
        <v>1393</v>
      </c>
      <c r="AE494" s="33"/>
      <c r="AF494" s="59" t="str">
        <f t="shared" si="22"/>
        <v>Không</v>
      </c>
      <c r="AG494" s="59" t="str">
        <f t="shared" si="23"/>
        <v>Không</v>
      </c>
      <c r="AH494" s="29" t="str">
        <f t="shared" ca="1" si="21"/>
        <v>Có</v>
      </c>
      <c r="AI494" s="29" t="str">
        <f ca="1">IF((R494)&gt;=6,"Có","Không")</f>
        <v>Có</v>
      </c>
      <c r="AJ494" s="29" t="str">
        <f>IF(OR(J494&gt;=140,K494&gt;=90),"Có","Không")</f>
        <v>Có</v>
      </c>
      <c r="AK494" s="5" t="s">
        <v>70</v>
      </c>
      <c r="AL494" s="32">
        <v>46112</v>
      </c>
      <c r="AM494" s="29" t="str">
        <f>"Tháng "&amp;MONTH(AL494)</f>
        <v>Tháng 3</v>
      </c>
      <c r="AN494" s="29" t="str">
        <f>LEFT(AK494,FIND(",",AK494)-1)</f>
        <v>Ấp Biển Tây A</v>
      </c>
    </row>
    <row r="495" spans="1:40" x14ac:dyDescent="0.25">
      <c r="A495" s="49" t="s">
        <v>846</v>
      </c>
      <c r="B495" s="5" t="s">
        <v>30</v>
      </c>
      <c r="C495" s="5" t="s">
        <v>76</v>
      </c>
      <c r="D495" s="29">
        <f ca="1">DATEDIF(C495,TODAY(),"Y")</f>
        <v>68</v>
      </c>
      <c r="E495" s="5" t="s">
        <v>26</v>
      </c>
      <c r="F495" s="30">
        <v>169</v>
      </c>
      <c r="G495" s="30">
        <v>68</v>
      </c>
      <c r="H495" s="31">
        <f>G495/((F495/100)*(F495/100))</f>
        <v>23.808690171912751</v>
      </c>
      <c r="I495" s="5">
        <v>75</v>
      </c>
      <c r="J495" s="30">
        <v>120</v>
      </c>
      <c r="K495" s="30">
        <v>80</v>
      </c>
      <c r="L495" s="29">
        <f>IF(B495="Nữ",0,2)</f>
        <v>2</v>
      </c>
      <c r="M495" s="29">
        <f ca="1">IF(D495&lt;45,0,IF(D495&lt;=49,1,2))</f>
        <v>2</v>
      </c>
      <c r="N495" s="29">
        <f>IF(E495="Có",4,0)</f>
        <v>0</v>
      </c>
      <c r="O495" s="29">
        <f>IF(H495&lt;23,0,IF(H495&lt;27.5,3,5))</f>
        <v>3</v>
      </c>
      <c r="P495" s="29">
        <f>IF(OR(AND(B495="Nam",I495&gt;=90),AND(B495="Nữ",I495&gt;=80)),2,0)</f>
        <v>0</v>
      </c>
      <c r="Q495" s="29">
        <f>IF(OR(J495&gt;=140,K495&gt;=90),2,0)</f>
        <v>0</v>
      </c>
      <c r="R495" s="29">
        <f ca="1">SUM(L495:Q495)</f>
        <v>7</v>
      </c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5" t="s">
        <v>1393</v>
      </c>
      <c r="AE495" s="33"/>
      <c r="AF495" s="59" t="str">
        <f t="shared" si="22"/>
        <v>Không</v>
      </c>
      <c r="AG495" s="59" t="str">
        <f t="shared" si="23"/>
        <v>Không</v>
      </c>
      <c r="AH495" s="29" t="str">
        <f t="shared" ca="1" si="21"/>
        <v>Có</v>
      </c>
      <c r="AI495" s="29" t="str">
        <f ca="1">IF((R495)&gt;=6,"Có","Không")</f>
        <v>Có</v>
      </c>
      <c r="AJ495" s="29" t="str">
        <f>IF(OR(J495&gt;=140,K495&gt;=90),"Có","Không")</f>
        <v>Không</v>
      </c>
      <c r="AK495" s="5" t="s">
        <v>68</v>
      </c>
      <c r="AL495" s="32">
        <v>46112</v>
      </c>
      <c r="AM495" s="29" t="str">
        <f>"Tháng "&amp;MONTH(AL495)</f>
        <v>Tháng 3</v>
      </c>
      <c r="AN495" s="29" t="str">
        <f>LEFT(AK495,FIND(",",AK495)-1)</f>
        <v>Ấp Biển Tây B</v>
      </c>
    </row>
    <row r="496" spans="1:40" x14ac:dyDescent="0.25">
      <c r="A496" s="49" t="s">
        <v>856</v>
      </c>
      <c r="B496" s="5" t="s">
        <v>23</v>
      </c>
      <c r="C496" s="5" t="s">
        <v>163</v>
      </c>
      <c r="D496" s="29">
        <f ca="1">DATEDIF(C496,TODAY(),"Y")</f>
        <v>46</v>
      </c>
      <c r="E496" s="5" t="s">
        <v>26</v>
      </c>
      <c r="F496" s="30">
        <v>158</v>
      </c>
      <c r="G496" s="30">
        <v>58</v>
      </c>
      <c r="H496" s="31">
        <f>G496/((F496/100)*(F496/100))</f>
        <v>23.233456176894723</v>
      </c>
      <c r="I496" s="5">
        <v>75</v>
      </c>
      <c r="J496" s="30">
        <v>120</v>
      </c>
      <c r="K496" s="30">
        <v>80</v>
      </c>
      <c r="L496" s="29">
        <f>IF(B496="Nữ",0,2)</f>
        <v>0</v>
      </c>
      <c r="M496" s="29">
        <f ca="1">IF(D496&lt;45,0,IF(D496&lt;=49,1,2))</f>
        <v>1</v>
      </c>
      <c r="N496" s="29">
        <f>IF(E496="Có",4,0)</f>
        <v>0</v>
      </c>
      <c r="O496" s="29">
        <f>IF(H496&lt;23,0,IF(H496&lt;27.5,3,5))</f>
        <v>3</v>
      </c>
      <c r="P496" s="29">
        <f>IF(OR(AND(B496="Nam",I496&gt;=90),AND(B496="Nữ",I496&gt;=80)),2,0)</f>
        <v>0</v>
      </c>
      <c r="Q496" s="29">
        <f>IF(OR(J496&gt;=140,K496&gt;=90),2,0)</f>
        <v>0</v>
      </c>
      <c r="R496" s="29">
        <f ca="1">SUM(L496:Q496)</f>
        <v>4</v>
      </c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5" t="s">
        <v>1393</v>
      </c>
      <c r="AE496" s="33"/>
      <c r="AF496" s="59" t="str">
        <f t="shared" si="22"/>
        <v>Không</v>
      </c>
      <c r="AG496" s="59" t="str">
        <f t="shared" si="23"/>
        <v>Không</v>
      </c>
      <c r="AH496" s="29" t="str">
        <f t="shared" ca="1" si="21"/>
        <v>Không</v>
      </c>
      <c r="AI496" s="29" t="str">
        <f ca="1">IF((R496)&gt;=6,"Có","Không")</f>
        <v>Không</v>
      </c>
      <c r="AJ496" s="29" t="str">
        <f>IF(OR(J496&gt;=140,K496&gt;=90),"Có","Không")</f>
        <v>Không</v>
      </c>
      <c r="AK496" s="5" t="s">
        <v>857</v>
      </c>
      <c r="AL496" s="32">
        <v>46112</v>
      </c>
      <c r="AM496" s="29" t="str">
        <f>"Tháng "&amp;MONTH(AL496)</f>
        <v>Tháng 3</v>
      </c>
      <c r="AN496" s="29" t="str">
        <f>LEFT(AK496,FIND(",",AK496)-1)</f>
        <v>Xã Vĩnh Hậu</v>
      </c>
    </row>
    <row r="497" spans="1:40" x14ac:dyDescent="0.25">
      <c r="A497" s="49" t="s">
        <v>858</v>
      </c>
      <c r="B497" s="5" t="s">
        <v>30</v>
      </c>
      <c r="C497" s="5" t="s">
        <v>40</v>
      </c>
      <c r="D497" s="29">
        <f ca="1">DATEDIF(C497,TODAY(),"Y")</f>
        <v>70</v>
      </c>
      <c r="E497" s="5" t="s">
        <v>26</v>
      </c>
      <c r="F497" s="30">
        <v>169</v>
      </c>
      <c r="G497" s="30">
        <v>68</v>
      </c>
      <c r="H497" s="31">
        <f>G497/((F497/100)*(F497/100))</f>
        <v>23.808690171912751</v>
      </c>
      <c r="I497" s="5">
        <v>69</v>
      </c>
      <c r="J497" s="30">
        <v>160</v>
      </c>
      <c r="K497" s="30">
        <v>80</v>
      </c>
      <c r="L497" s="29">
        <f>IF(B497="Nữ",0,2)</f>
        <v>2</v>
      </c>
      <c r="M497" s="29">
        <f ca="1">IF(D497&lt;45,0,IF(D497&lt;=49,1,2))</f>
        <v>2</v>
      </c>
      <c r="N497" s="29">
        <f>IF(E497="Có",4,0)</f>
        <v>0</v>
      </c>
      <c r="O497" s="29">
        <f>IF(H497&lt;23,0,IF(H497&lt;27.5,3,5))</f>
        <v>3</v>
      </c>
      <c r="P497" s="29">
        <f>IF(OR(AND(B497="Nam",I497&gt;=90),AND(B497="Nữ",I497&gt;=80)),2,0)</f>
        <v>0</v>
      </c>
      <c r="Q497" s="29">
        <f>IF(OR(J497&gt;=140,K497&gt;=90),2,0)</f>
        <v>2</v>
      </c>
      <c r="R497" s="29">
        <f ca="1">SUM(L497:Q497)</f>
        <v>9</v>
      </c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5" t="s">
        <v>1393</v>
      </c>
      <c r="AE497" s="33"/>
      <c r="AF497" s="59" t="str">
        <f t="shared" si="22"/>
        <v>Không</v>
      </c>
      <c r="AG497" s="59" t="str">
        <f t="shared" si="23"/>
        <v>Không</v>
      </c>
      <c r="AH497" s="29" t="str">
        <f t="shared" ca="1" si="21"/>
        <v>Có</v>
      </c>
      <c r="AI497" s="29" t="str">
        <f ca="1">IF((R497)&gt;=6,"Có","Không")</f>
        <v>Có</v>
      </c>
      <c r="AJ497" s="29" t="str">
        <f>IF(OR(J497&gt;=140,K497&gt;=90),"Có","Không")</f>
        <v>Có</v>
      </c>
      <c r="AK497" s="5" t="s">
        <v>60</v>
      </c>
      <c r="AL497" s="32">
        <v>46112</v>
      </c>
      <c r="AM497" s="29" t="str">
        <f>"Tháng "&amp;MONTH(AL497)</f>
        <v>Tháng 3</v>
      </c>
      <c r="AN497" s="29" t="str">
        <f>LEFT(AK497,FIND(",",AK497)-1)</f>
        <v>ấp Biển Đông A</v>
      </c>
    </row>
    <row r="498" spans="1:40" x14ac:dyDescent="0.25">
      <c r="A498" s="49" t="s">
        <v>860</v>
      </c>
      <c r="B498" s="5" t="s">
        <v>23</v>
      </c>
      <c r="C498" s="5" t="s">
        <v>110</v>
      </c>
      <c r="D498" s="29">
        <f ca="1">DATEDIF(C498,TODAY(),"Y")</f>
        <v>62</v>
      </c>
      <c r="E498" s="5" t="s">
        <v>25</v>
      </c>
      <c r="F498" s="30">
        <v>158</v>
      </c>
      <c r="G498" s="30">
        <v>58</v>
      </c>
      <c r="H498" s="31">
        <f>G498/((F498/100)*(F498/100))</f>
        <v>23.233456176894723</v>
      </c>
      <c r="I498" s="5">
        <v>65</v>
      </c>
      <c r="J498" s="30">
        <v>130</v>
      </c>
      <c r="K498" s="30">
        <v>80</v>
      </c>
      <c r="L498" s="29">
        <f>IF(B498="Nữ",0,2)</f>
        <v>0</v>
      </c>
      <c r="M498" s="29">
        <f ca="1">IF(D498&lt;45,0,IF(D498&lt;=49,1,2))</f>
        <v>2</v>
      </c>
      <c r="N498" s="29">
        <f>IF(E498="Có",4,0)</f>
        <v>4</v>
      </c>
      <c r="O498" s="29">
        <f>IF(H498&lt;23,0,IF(H498&lt;27.5,3,5))</f>
        <v>3</v>
      </c>
      <c r="P498" s="29">
        <f>IF(OR(AND(B498="Nam",I498&gt;=90),AND(B498="Nữ",I498&gt;=80)),2,0)</f>
        <v>0</v>
      </c>
      <c r="Q498" s="29">
        <f>IF(OR(J498&gt;=140,K498&gt;=90),2,0)</f>
        <v>0</v>
      </c>
      <c r="R498" s="29">
        <f ca="1">SUM(L498:Q498)</f>
        <v>9</v>
      </c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5" t="s">
        <v>1393</v>
      </c>
      <c r="AE498" s="33"/>
      <c r="AF498" s="59" t="str">
        <f t="shared" si="22"/>
        <v>Không</v>
      </c>
      <c r="AG498" s="59" t="str">
        <f t="shared" si="23"/>
        <v>Không</v>
      </c>
      <c r="AH498" s="29" t="str">
        <f t="shared" ca="1" si="21"/>
        <v>Có</v>
      </c>
      <c r="AI498" s="29" t="str">
        <f ca="1">IF((R498)&gt;=6,"Có","Không")</f>
        <v>Có</v>
      </c>
      <c r="AJ498" s="29" t="str">
        <f>IF(OR(J498&gt;=140,K498&gt;=90),"Có","Không")</f>
        <v>Không</v>
      </c>
      <c r="AK498" s="5" t="s">
        <v>206</v>
      </c>
      <c r="AL498" s="32">
        <v>46112</v>
      </c>
      <c r="AM498" s="29" t="str">
        <f>"Tháng "&amp;MONTH(AL498)</f>
        <v>Tháng 3</v>
      </c>
      <c r="AN498" s="29" t="str">
        <f>LEFT(AK498,FIND(",",AK498)-1)</f>
        <v>Prey Chóp B</v>
      </c>
    </row>
    <row r="499" spans="1:40" x14ac:dyDescent="0.25">
      <c r="A499" s="49" t="s">
        <v>861</v>
      </c>
      <c r="B499" s="5" t="s">
        <v>23</v>
      </c>
      <c r="C499" s="5" t="s">
        <v>115</v>
      </c>
      <c r="D499" s="29">
        <f ca="1">DATEDIF(C499,TODAY(),"Y")</f>
        <v>40</v>
      </c>
      <c r="E499" s="5" t="s">
        <v>26</v>
      </c>
      <c r="F499" s="30">
        <v>158</v>
      </c>
      <c r="G499" s="30">
        <v>58</v>
      </c>
      <c r="H499" s="31">
        <f>G499/((F499/100)*(F499/100))</f>
        <v>23.233456176894723</v>
      </c>
      <c r="I499" s="5">
        <v>70</v>
      </c>
      <c r="J499" s="30">
        <v>120</v>
      </c>
      <c r="K499" s="30">
        <v>80</v>
      </c>
      <c r="L499" s="29">
        <f>IF(B499="Nữ",0,2)</f>
        <v>0</v>
      </c>
      <c r="M499" s="29">
        <f ca="1">IF(D499&lt;45,0,IF(D499&lt;=49,1,2))</f>
        <v>0</v>
      </c>
      <c r="N499" s="29">
        <f>IF(E499="Có",4,0)</f>
        <v>0</v>
      </c>
      <c r="O499" s="29">
        <f>IF(H499&lt;23,0,IF(H499&lt;27.5,3,5))</f>
        <v>3</v>
      </c>
      <c r="P499" s="29">
        <f>IF(OR(AND(B499="Nam",I499&gt;=90),AND(B499="Nữ",I499&gt;=80)),2,0)</f>
        <v>0</v>
      </c>
      <c r="Q499" s="29">
        <f>IF(OR(J499&gt;=140,K499&gt;=90),2,0)</f>
        <v>0</v>
      </c>
      <c r="R499" s="29">
        <f ca="1">SUM(L499:Q499)</f>
        <v>3</v>
      </c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5" t="s">
        <v>1393</v>
      </c>
      <c r="AE499" s="33"/>
      <c r="AF499" s="59" t="str">
        <f t="shared" si="22"/>
        <v>Không</v>
      </c>
      <c r="AG499" s="59" t="str">
        <f t="shared" si="23"/>
        <v>Không</v>
      </c>
      <c r="AH499" s="29" t="str">
        <f t="shared" ca="1" si="21"/>
        <v>Không</v>
      </c>
      <c r="AI499" s="29" t="str">
        <f ca="1">IF((R499)&gt;=6,"Có","Không")</f>
        <v>Không</v>
      </c>
      <c r="AJ499" s="29" t="str">
        <f>IF(OR(J499&gt;=140,K499&gt;=90),"Có","Không")</f>
        <v>Không</v>
      </c>
      <c r="AK499" s="5" t="s">
        <v>206</v>
      </c>
      <c r="AL499" s="32">
        <v>46112</v>
      </c>
      <c r="AM499" s="29" t="str">
        <f>"Tháng "&amp;MONTH(AL499)</f>
        <v>Tháng 3</v>
      </c>
      <c r="AN499" s="29" t="str">
        <f>LEFT(AK499,FIND(",",AK499)-1)</f>
        <v>Prey Chóp B</v>
      </c>
    </row>
    <row r="500" spans="1:40" x14ac:dyDescent="0.25">
      <c r="A500" s="49" t="s">
        <v>862</v>
      </c>
      <c r="B500" s="5" t="s">
        <v>23</v>
      </c>
      <c r="C500" s="5" t="s">
        <v>110</v>
      </c>
      <c r="D500" s="29">
        <f ca="1">DATEDIF(C500,TODAY(),"Y")</f>
        <v>62</v>
      </c>
      <c r="E500" s="5" t="s">
        <v>26</v>
      </c>
      <c r="F500" s="30">
        <v>160</v>
      </c>
      <c r="G500" s="30">
        <v>70</v>
      </c>
      <c r="H500" s="31">
        <f>G500/((F500/100)*(F500/100))</f>
        <v>27.343749999999996</v>
      </c>
      <c r="I500" s="5">
        <v>85</v>
      </c>
      <c r="J500" s="30">
        <v>140</v>
      </c>
      <c r="K500" s="30">
        <v>80</v>
      </c>
      <c r="L500" s="29">
        <f>IF(B500="Nữ",0,2)</f>
        <v>0</v>
      </c>
      <c r="M500" s="29">
        <f ca="1">IF(D500&lt;45,0,IF(D500&lt;=49,1,2))</f>
        <v>2</v>
      </c>
      <c r="N500" s="29">
        <f>IF(E500="Có",4,0)</f>
        <v>0</v>
      </c>
      <c r="O500" s="29">
        <f>IF(H500&lt;23,0,IF(H500&lt;27.5,3,5))</f>
        <v>3</v>
      </c>
      <c r="P500" s="29">
        <f>IF(OR(AND(B500="Nam",I500&gt;=90),AND(B500="Nữ",I500&gt;=80)),2,0)</f>
        <v>2</v>
      </c>
      <c r="Q500" s="29">
        <f>IF(OR(J500&gt;=140,K500&gt;=90),2,0)</f>
        <v>2</v>
      </c>
      <c r="R500" s="29">
        <f ca="1">SUM(L500:Q500)</f>
        <v>9</v>
      </c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5" t="s">
        <v>1393</v>
      </c>
      <c r="AE500" s="33"/>
      <c r="AF500" s="59" t="str">
        <f t="shared" si="22"/>
        <v>Không</v>
      </c>
      <c r="AG500" s="59" t="str">
        <f t="shared" si="23"/>
        <v>Không</v>
      </c>
      <c r="AH500" s="29" t="str">
        <f t="shared" ca="1" si="21"/>
        <v>Có</v>
      </c>
      <c r="AI500" s="29" t="str">
        <f ca="1">IF((R500)&gt;=6,"Có","Không")</f>
        <v>Có</v>
      </c>
      <c r="AJ500" s="29" t="str">
        <f>IF(OR(J500&gt;=140,K500&gt;=90),"Có","Không")</f>
        <v>Có</v>
      </c>
      <c r="AK500" s="5" t="s">
        <v>91</v>
      </c>
      <c r="AL500" s="32">
        <v>46112</v>
      </c>
      <c r="AM500" s="29" t="str">
        <f>"Tháng "&amp;MONTH(AL500)</f>
        <v>Tháng 3</v>
      </c>
      <c r="AN500" s="29" t="str">
        <f>LEFT(AK500,FIND(",",AK500)-1)</f>
        <v>Ấp Giồng Giữa</v>
      </c>
    </row>
    <row r="501" spans="1:40" x14ac:dyDescent="0.25">
      <c r="A501" s="49" t="s">
        <v>863</v>
      </c>
      <c r="B501" s="5" t="s">
        <v>30</v>
      </c>
      <c r="C501" s="5" t="s">
        <v>110</v>
      </c>
      <c r="D501" s="29">
        <f ca="1">DATEDIF(C501,TODAY(),"Y")</f>
        <v>62</v>
      </c>
      <c r="E501" s="5" t="s">
        <v>25</v>
      </c>
      <c r="F501" s="30">
        <v>169</v>
      </c>
      <c r="G501" s="30">
        <v>68</v>
      </c>
      <c r="H501" s="31">
        <f>G501/((F501/100)*(F501/100))</f>
        <v>23.808690171912751</v>
      </c>
      <c r="I501" s="5">
        <v>82</v>
      </c>
      <c r="J501" s="30">
        <v>120</v>
      </c>
      <c r="K501" s="30">
        <v>80</v>
      </c>
      <c r="L501" s="29">
        <f>IF(B501="Nữ",0,2)</f>
        <v>2</v>
      </c>
      <c r="M501" s="29">
        <f ca="1">IF(D501&lt;45,0,IF(D501&lt;=49,1,2))</f>
        <v>2</v>
      </c>
      <c r="N501" s="29">
        <f>IF(E501="Có",4,0)</f>
        <v>4</v>
      </c>
      <c r="O501" s="29">
        <f>IF(H501&lt;23,0,IF(H501&lt;27.5,3,5))</f>
        <v>3</v>
      </c>
      <c r="P501" s="29">
        <f>IF(OR(AND(B501="Nam",I501&gt;=90),AND(B501="Nữ",I501&gt;=80)),2,0)</f>
        <v>0</v>
      </c>
      <c r="Q501" s="29">
        <f>IF(OR(J501&gt;=140,K501&gt;=90),2,0)</f>
        <v>0</v>
      </c>
      <c r="R501" s="29">
        <f ca="1">SUM(L501:Q501)</f>
        <v>11</v>
      </c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5" t="s">
        <v>1393</v>
      </c>
      <c r="AE501" s="33"/>
      <c r="AF501" s="59" t="str">
        <f t="shared" si="22"/>
        <v>Không</v>
      </c>
      <c r="AG501" s="59" t="str">
        <f t="shared" si="23"/>
        <v>Không</v>
      </c>
      <c r="AH501" s="29" t="str">
        <f t="shared" ca="1" si="21"/>
        <v>Có</v>
      </c>
      <c r="AI501" s="29" t="str">
        <f ca="1">IF((R501)&gt;=6,"Có","Không")</f>
        <v>Có</v>
      </c>
      <c r="AJ501" s="29" t="str">
        <f>IF(OR(J501&gt;=140,K501&gt;=90),"Có","Không")</f>
        <v>Không</v>
      </c>
      <c r="AK501" s="5" t="s">
        <v>850</v>
      </c>
      <c r="AL501" s="32">
        <v>46112</v>
      </c>
      <c r="AM501" s="29" t="str">
        <f>"Tháng "&amp;MONTH(AL501)</f>
        <v>Tháng 3</v>
      </c>
      <c r="AN501" s="29" t="str">
        <f>LEFT(AK501,FIND(",",AK501)-1)</f>
        <v>Hiệp Thành</v>
      </c>
    </row>
    <row r="502" spans="1:40" x14ac:dyDescent="0.25">
      <c r="A502" s="49" t="s">
        <v>873</v>
      </c>
      <c r="B502" s="5" t="s">
        <v>30</v>
      </c>
      <c r="C502" s="5" t="s">
        <v>163</v>
      </c>
      <c r="D502" s="29">
        <f ca="1">DATEDIF(C502,TODAY(),"Y")</f>
        <v>46</v>
      </c>
      <c r="E502" s="5" t="s">
        <v>26</v>
      </c>
      <c r="F502" s="30">
        <v>163</v>
      </c>
      <c r="G502" s="30">
        <v>52</v>
      </c>
      <c r="H502" s="31">
        <f>G502/((F502/100)*(F502/100))</f>
        <v>19.571681282697881</v>
      </c>
      <c r="I502" s="5">
        <v>86</v>
      </c>
      <c r="J502" s="30">
        <v>120</v>
      </c>
      <c r="K502" s="30">
        <v>80</v>
      </c>
      <c r="L502" s="29">
        <f>IF(B502="Nữ",0,2)</f>
        <v>2</v>
      </c>
      <c r="M502" s="29">
        <f ca="1">IF(D502&lt;45,0,IF(D502&lt;=49,1,2))</f>
        <v>1</v>
      </c>
      <c r="N502" s="29">
        <f>IF(E502="Có",4,0)</f>
        <v>0</v>
      </c>
      <c r="O502" s="29">
        <f>IF(H502&lt;23,0,IF(H502&lt;27.5,3,5))</f>
        <v>0</v>
      </c>
      <c r="P502" s="29">
        <f>IF(OR(AND(B502="Nam",I502&gt;=90),AND(B502="Nữ",I502&gt;=80)),2,0)</f>
        <v>0</v>
      </c>
      <c r="Q502" s="29">
        <f>IF(OR(J502&gt;=140,K502&gt;=90),2,0)</f>
        <v>0</v>
      </c>
      <c r="R502" s="29">
        <f ca="1">SUM(L502:Q502)</f>
        <v>3</v>
      </c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5" t="s">
        <v>1393</v>
      </c>
      <c r="AE502" s="33"/>
      <c r="AF502" s="59" t="str">
        <f t="shared" si="22"/>
        <v>Không</v>
      </c>
      <c r="AG502" s="59" t="str">
        <f t="shared" si="23"/>
        <v>Không</v>
      </c>
      <c r="AH502" s="29" t="str">
        <f t="shared" ca="1" si="21"/>
        <v>Không</v>
      </c>
      <c r="AI502" s="29" t="str">
        <f ca="1">IF((R502)&gt;=6,"Có","Không")</f>
        <v>Không</v>
      </c>
      <c r="AJ502" s="29" t="str">
        <f>IF(OR(J502&gt;=140,K502&gt;=90),"Có","Không")</f>
        <v>Không</v>
      </c>
      <c r="AK502" s="5" t="s">
        <v>38</v>
      </c>
      <c r="AL502" s="32">
        <v>46112</v>
      </c>
      <c r="AM502" s="29" t="str">
        <f>"Tháng "&amp;MONTH(AL502)</f>
        <v>Tháng 3</v>
      </c>
      <c r="AN502" s="29" t="str">
        <f>LEFT(AK502,FIND(",",AK502)-1)</f>
        <v>Ấp Biển Đông B</v>
      </c>
    </row>
    <row r="503" spans="1:40" x14ac:dyDescent="0.25">
      <c r="A503" s="49" t="s">
        <v>874</v>
      </c>
      <c r="B503" s="5" t="s">
        <v>30</v>
      </c>
      <c r="C503" s="5" t="s">
        <v>394</v>
      </c>
      <c r="D503" s="29">
        <f ca="1">DATEDIF(C503,TODAY(),"Y")</f>
        <v>45</v>
      </c>
      <c r="E503" s="5" t="s">
        <v>26</v>
      </c>
      <c r="F503" s="30">
        <v>168</v>
      </c>
      <c r="G503" s="30">
        <v>62</v>
      </c>
      <c r="H503" s="31">
        <f>G503/((F503/100)*(F503/100))</f>
        <v>21.9671201814059</v>
      </c>
      <c r="I503" s="5">
        <v>85</v>
      </c>
      <c r="J503" s="30">
        <v>120</v>
      </c>
      <c r="K503" s="30">
        <v>70</v>
      </c>
      <c r="L503" s="29">
        <f>IF(B503="Nữ",0,2)</f>
        <v>2</v>
      </c>
      <c r="M503" s="29">
        <f ca="1">IF(D503&lt;45,0,IF(D503&lt;=49,1,2))</f>
        <v>1</v>
      </c>
      <c r="N503" s="29">
        <f>IF(E503="Có",4,0)</f>
        <v>0</v>
      </c>
      <c r="O503" s="29">
        <f>IF(H503&lt;23,0,IF(H503&lt;27.5,3,5))</f>
        <v>0</v>
      </c>
      <c r="P503" s="29">
        <f>IF(OR(AND(B503="Nam",I503&gt;=90),AND(B503="Nữ",I503&gt;=80)),2,0)</f>
        <v>0</v>
      </c>
      <c r="Q503" s="29">
        <f>IF(OR(J503&gt;=140,K503&gt;=90),2,0)</f>
        <v>0</v>
      </c>
      <c r="R503" s="29">
        <f ca="1">SUM(L503:Q503)</f>
        <v>3</v>
      </c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5" t="s">
        <v>1393</v>
      </c>
      <c r="AE503" s="33"/>
      <c r="AF503" s="59" t="str">
        <f t="shared" si="22"/>
        <v>Không</v>
      </c>
      <c r="AG503" s="59" t="str">
        <f t="shared" si="23"/>
        <v>Không</v>
      </c>
      <c r="AH503" s="29" t="str">
        <f t="shared" ca="1" si="21"/>
        <v>Không</v>
      </c>
      <c r="AI503" s="29" t="str">
        <f ca="1">IF((R503)&gt;=6,"Có","Không")</f>
        <v>Không</v>
      </c>
      <c r="AJ503" s="29" t="str">
        <f>IF(OR(J503&gt;=140,K503&gt;=90),"Có","Không")</f>
        <v>Không</v>
      </c>
      <c r="AK503" s="5" t="s">
        <v>51</v>
      </c>
      <c r="AL503" s="32">
        <v>46112</v>
      </c>
      <c r="AM503" s="29" t="str">
        <f>"Tháng "&amp;MONTH(AL503)</f>
        <v>Tháng 3</v>
      </c>
      <c r="AN503" s="29" t="str">
        <f>LEFT(AK503,FIND(",",AK503)-1)</f>
        <v>Phường Hiệp Thành</v>
      </c>
    </row>
    <row r="504" spans="1:40" x14ac:dyDescent="0.25">
      <c r="A504" s="49" t="s">
        <v>875</v>
      </c>
      <c r="B504" s="5" t="s">
        <v>23</v>
      </c>
      <c r="C504" s="5" t="s">
        <v>373</v>
      </c>
      <c r="D504" s="29">
        <f ca="1">DATEDIF(C504,TODAY(),"Y")</f>
        <v>61</v>
      </c>
      <c r="E504" s="5" t="s">
        <v>26</v>
      </c>
      <c r="F504" s="30">
        <v>158</v>
      </c>
      <c r="G504" s="30">
        <v>58</v>
      </c>
      <c r="H504" s="31">
        <f>G504/((F504/100)*(F504/100))</f>
        <v>23.233456176894723</v>
      </c>
      <c r="I504" s="5">
        <v>72</v>
      </c>
      <c r="J504" s="30">
        <v>120</v>
      </c>
      <c r="K504" s="30">
        <v>80</v>
      </c>
      <c r="L504" s="29">
        <f>IF(B504="Nữ",0,2)</f>
        <v>0</v>
      </c>
      <c r="M504" s="29">
        <f ca="1">IF(D504&lt;45,0,IF(D504&lt;=49,1,2))</f>
        <v>2</v>
      </c>
      <c r="N504" s="29">
        <f>IF(E504="Có",4,0)</f>
        <v>0</v>
      </c>
      <c r="O504" s="29">
        <f>IF(H504&lt;23,0,IF(H504&lt;27.5,3,5))</f>
        <v>3</v>
      </c>
      <c r="P504" s="29">
        <f>IF(OR(AND(B504="Nam",I504&gt;=90),AND(B504="Nữ",I504&gt;=80)),2,0)</f>
        <v>0</v>
      </c>
      <c r="Q504" s="29">
        <f>IF(OR(J504&gt;=140,K504&gt;=90),2,0)</f>
        <v>0</v>
      </c>
      <c r="R504" s="29">
        <f ca="1">SUM(L504:Q504)</f>
        <v>5</v>
      </c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5" t="s">
        <v>1393</v>
      </c>
      <c r="AE504" s="33"/>
      <c r="AF504" s="59" t="str">
        <f t="shared" si="22"/>
        <v>Không</v>
      </c>
      <c r="AG504" s="59" t="str">
        <f t="shared" si="23"/>
        <v>Không</v>
      </c>
      <c r="AH504" s="29" t="str">
        <f t="shared" ca="1" si="21"/>
        <v>Không</v>
      </c>
      <c r="AI504" s="29" t="str">
        <f ca="1">IF((R504)&gt;=6,"Có","Không")</f>
        <v>Không</v>
      </c>
      <c r="AJ504" s="29" t="str">
        <f>IF(OR(J504&gt;=140,K504&gt;=90),"Có","Không")</f>
        <v>Không</v>
      </c>
      <c r="AK504" s="5" t="s">
        <v>210</v>
      </c>
      <c r="AL504" s="32">
        <v>46112</v>
      </c>
      <c r="AM504" s="29" t="str">
        <f>"Tháng "&amp;MONTH(AL504)</f>
        <v>Tháng 3</v>
      </c>
      <c r="AN504" s="29" t="str">
        <f>LEFT(AK504,FIND(",",AK504)-1)</f>
        <v>Biển Đông A</v>
      </c>
    </row>
    <row r="505" spans="1:40" x14ac:dyDescent="0.25">
      <c r="A505" s="49" t="s">
        <v>876</v>
      </c>
      <c r="B505" s="5" t="s">
        <v>30</v>
      </c>
      <c r="C505" s="5" t="s">
        <v>64</v>
      </c>
      <c r="D505" s="29">
        <f ca="1">DATEDIF(C505,TODAY(),"Y")</f>
        <v>42</v>
      </c>
      <c r="E505" s="5" t="s">
        <v>26</v>
      </c>
      <c r="F505" s="30">
        <v>169</v>
      </c>
      <c r="G505" s="30">
        <v>68</v>
      </c>
      <c r="H505" s="31">
        <f>G505/((F505/100)*(F505/100))</f>
        <v>23.808690171912751</v>
      </c>
      <c r="I505" s="5">
        <v>90</v>
      </c>
      <c r="J505" s="30">
        <v>120</v>
      </c>
      <c r="K505" s="30">
        <v>80</v>
      </c>
      <c r="L505" s="29">
        <f>IF(B505="Nữ",0,2)</f>
        <v>2</v>
      </c>
      <c r="M505" s="29">
        <f ca="1">IF(D505&lt;45,0,IF(D505&lt;=49,1,2))</f>
        <v>0</v>
      </c>
      <c r="N505" s="29">
        <f>IF(E505="Có",4,0)</f>
        <v>0</v>
      </c>
      <c r="O505" s="29">
        <f>IF(H505&lt;23,0,IF(H505&lt;27.5,3,5))</f>
        <v>3</v>
      </c>
      <c r="P505" s="29">
        <f>IF(OR(AND(B505="Nam",I505&gt;=90),AND(B505="Nữ",I505&gt;=80)),2,0)</f>
        <v>2</v>
      </c>
      <c r="Q505" s="29">
        <f>IF(OR(J505&gt;=140,K505&gt;=90),2,0)</f>
        <v>0</v>
      </c>
      <c r="R505" s="29">
        <f ca="1">SUM(L505:Q505)</f>
        <v>7</v>
      </c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5" t="s">
        <v>1393</v>
      </c>
      <c r="AE505" s="33"/>
      <c r="AF505" s="59" t="str">
        <f t="shared" si="22"/>
        <v>Không</v>
      </c>
      <c r="AG505" s="59" t="str">
        <f t="shared" si="23"/>
        <v>Không</v>
      </c>
      <c r="AH505" s="29" t="str">
        <f t="shared" ca="1" si="21"/>
        <v>Có</v>
      </c>
      <c r="AI505" s="29" t="str">
        <f ca="1">IF((R505)&gt;=6,"Có","Không")</f>
        <v>Có</v>
      </c>
      <c r="AJ505" s="29" t="str">
        <f>IF(OR(J505&gt;=140,K505&gt;=90),"Có","Không")</f>
        <v>Không</v>
      </c>
      <c r="AK505" s="5" t="s">
        <v>218</v>
      </c>
      <c r="AL505" s="32">
        <v>46112</v>
      </c>
      <c r="AM505" s="29" t="str">
        <f>"Tháng "&amp;MONTH(AL505)</f>
        <v>Tháng 3</v>
      </c>
      <c r="AN505" s="29" t="str">
        <f>LEFT(AK505,FIND(",",AK505)-1)</f>
        <v>Biển Đông B</v>
      </c>
    </row>
    <row r="506" spans="1:40" x14ac:dyDescent="0.25">
      <c r="A506" s="49" t="s">
        <v>877</v>
      </c>
      <c r="B506" s="5" t="s">
        <v>30</v>
      </c>
      <c r="C506" s="5" t="s">
        <v>155</v>
      </c>
      <c r="D506" s="29">
        <f ca="1">DATEDIF(C506,TODAY(),"Y")</f>
        <v>53</v>
      </c>
      <c r="E506" s="5" t="s">
        <v>26</v>
      </c>
      <c r="F506" s="30">
        <v>169</v>
      </c>
      <c r="G506" s="30">
        <v>68</v>
      </c>
      <c r="H506" s="31">
        <f>G506/((F506/100)*(F506/100))</f>
        <v>23.808690171912751</v>
      </c>
      <c r="I506" s="5">
        <v>68</v>
      </c>
      <c r="J506" s="30">
        <v>150</v>
      </c>
      <c r="K506" s="30">
        <v>80</v>
      </c>
      <c r="L506" s="29">
        <f>IF(B506="Nữ",0,2)</f>
        <v>2</v>
      </c>
      <c r="M506" s="29">
        <f ca="1">IF(D506&lt;45,0,IF(D506&lt;=49,1,2))</f>
        <v>2</v>
      </c>
      <c r="N506" s="29">
        <f>IF(E506="Có",4,0)</f>
        <v>0</v>
      </c>
      <c r="O506" s="29">
        <f>IF(H506&lt;23,0,IF(H506&lt;27.5,3,5))</f>
        <v>3</v>
      </c>
      <c r="P506" s="29">
        <f>IF(OR(AND(B506="Nam",I506&gt;=90),AND(B506="Nữ",I506&gt;=80)),2,0)</f>
        <v>0</v>
      </c>
      <c r="Q506" s="29">
        <f>IF(OR(J506&gt;=140,K506&gt;=90),2,0)</f>
        <v>2</v>
      </c>
      <c r="R506" s="29">
        <f ca="1">SUM(L506:Q506)</f>
        <v>9</v>
      </c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5" t="s">
        <v>1393</v>
      </c>
      <c r="AE506" s="33"/>
      <c r="AF506" s="59" t="str">
        <f t="shared" si="22"/>
        <v>Không</v>
      </c>
      <c r="AG506" s="59" t="str">
        <f t="shared" si="23"/>
        <v>Không</v>
      </c>
      <c r="AH506" s="29" t="str">
        <f t="shared" ca="1" si="21"/>
        <v>Có</v>
      </c>
      <c r="AI506" s="29" t="str">
        <f ca="1">IF((R506)&gt;=6,"Có","Không")</f>
        <v>Có</v>
      </c>
      <c r="AJ506" s="29" t="str">
        <f>IF(OR(J506&gt;=140,K506&gt;=90),"Có","Không")</f>
        <v>Có</v>
      </c>
      <c r="AK506" s="5" t="s">
        <v>878</v>
      </c>
      <c r="AL506" s="32">
        <v>46112</v>
      </c>
      <c r="AM506" s="29" t="str">
        <f>"Tháng "&amp;MONTH(AL506)</f>
        <v>Tháng 3</v>
      </c>
      <c r="AN506" s="29" t="str">
        <f>LEFT(AK506,FIND(",",AK506)-1)</f>
        <v>Ấp Biển Đông A</v>
      </c>
    </row>
    <row r="507" spans="1:40" x14ac:dyDescent="0.25">
      <c r="A507" s="49" t="s">
        <v>879</v>
      </c>
      <c r="B507" s="5" t="s">
        <v>30</v>
      </c>
      <c r="C507" s="5" t="s">
        <v>373</v>
      </c>
      <c r="D507" s="29">
        <f ca="1">DATEDIF(C507,TODAY(),"Y")</f>
        <v>61</v>
      </c>
      <c r="E507" s="5" t="s">
        <v>25</v>
      </c>
      <c r="F507" s="30">
        <v>169</v>
      </c>
      <c r="G507" s="30">
        <v>69</v>
      </c>
      <c r="H507" s="31">
        <f>G507/((F507/100)*(F507/100))</f>
        <v>24.158817968558527</v>
      </c>
      <c r="I507" s="5">
        <v>86</v>
      </c>
      <c r="J507" s="30">
        <v>160</v>
      </c>
      <c r="K507" s="30">
        <v>80</v>
      </c>
      <c r="L507" s="29">
        <f>IF(B507="Nữ",0,2)</f>
        <v>2</v>
      </c>
      <c r="M507" s="29">
        <f ca="1">IF(D507&lt;45,0,IF(D507&lt;=49,1,2))</f>
        <v>2</v>
      </c>
      <c r="N507" s="29">
        <f>IF(E507="Có",4,0)</f>
        <v>4</v>
      </c>
      <c r="O507" s="29">
        <f>IF(H507&lt;23,0,IF(H507&lt;27.5,3,5))</f>
        <v>3</v>
      </c>
      <c r="P507" s="29">
        <f>IF(OR(AND(B507="Nam",I507&gt;=90),AND(B507="Nữ",I507&gt;=80)),2,0)</f>
        <v>0</v>
      </c>
      <c r="Q507" s="29">
        <f>IF(OR(J507&gt;=140,K507&gt;=90),2,0)</f>
        <v>2</v>
      </c>
      <c r="R507" s="29">
        <f ca="1">SUM(L507:Q507)</f>
        <v>13</v>
      </c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5" t="s">
        <v>1393</v>
      </c>
      <c r="AE507" s="33"/>
      <c r="AF507" s="59" t="str">
        <f t="shared" si="22"/>
        <v>Không</v>
      </c>
      <c r="AG507" s="59" t="str">
        <f t="shared" si="23"/>
        <v>Không</v>
      </c>
      <c r="AH507" s="29" t="str">
        <f t="shared" ca="1" si="21"/>
        <v>Có</v>
      </c>
      <c r="AI507" s="29" t="str">
        <f ca="1">IF((R507)&gt;=6,"Có","Không")</f>
        <v>Có</v>
      </c>
      <c r="AJ507" s="29" t="str">
        <f>IF(OR(J507&gt;=140,K507&gt;=90),"Có","Không")</f>
        <v>Có</v>
      </c>
      <c r="AK507" s="5" t="s">
        <v>68</v>
      </c>
      <c r="AL507" s="32">
        <v>46112</v>
      </c>
      <c r="AM507" s="29" t="str">
        <f>"Tháng "&amp;MONTH(AL507)</f>
        <v>Tháng 3</v>
      </c>
      <c r="AN507" s="29" t="str">
        <f>LEFT(AK507,FIND(",",AK507)-1)</f>
        <v>Ấp Biển Tây B</v>
      </c>
    </row>
    <row r="508" spans="1:40" x14ac:dyDescent="0.25">
      <c r="A508" s="49" t="s">
        <v>880</v>
      </c>
      <c r="B508" s="5" t="s">
        <v>23</v>
      </c>
      <c r="C508" s="5" t="s">
        <v>87</v>
      </c>
      <c r="D508" s="29">
        <f ca="1">DATEDIF(C508,TODAY(),"Y")</f>
        <v>49</v>
      </c>
      <c r="E508" s="5" t="s">
        <v>25</v>
      </c>
      <c r="F508" s="30">
        <v>158</v>
      </c>
      <c r="G508" s="30">
        <v>55</v>
      </c>
      <c r="H508" s="31">
        <f>G508/((F508/100)*(F508/100))</f>
        <v>22.031725684986377</v>
      </c>
      <c r="I508" s="5">
        <v>67</v>
      </c>
      <c r="J508" s="30">
        <v>120</v>
      </c>
      <c r="K508" s="30">
        <v>80</v>
      </c>
      <c r="L508" s="29">
        <f>IF(B508="Nữ",0,2)</f>
        <v>0</v>
      </c>
      <c r="M508" s="29">
        <f ca="1">IF(D508&lt;45,0,IF(D508&lt;=49,1,2))</f>
        <v>1</v>
      </c>
      <c r="N508" s="29">
        <f>IF(E508="Có",4,0)</f>
        <v>4</v>
      </c>
      <c r="O508" s="29">
        <f>IF(H508&lt;23,0,IF(H508&lt;27.5,3,5))</f>
        <v>0</v>
      </c>
      <c r="P508" s="29">
        <f>IF(OR(AND(B508="Nam",I508&gt;=90),AND(B508="Nữ",I508&gt;=80)),2,0)</f>
        <v>0</v>
      </c>
      <c r="Q508" s="29">
        <f>IF(OR(J508&gt;=140,K508&gt;=90),2,0)</f>
        <v>0</v>
      </c>
      <c r="R508" s="29">
        <f ca="1">SUM(L508:Q508)</f>
        <v>5</v>
      </c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5" t="s">
        <v>1393</v>
      </c>
      <c r="AE508" s="33"/>
      <c r="AF508" s="59" t="str">
        <f t="shared" si="22"/>
        <v>Không</v>
      </c>
      <c r="AG508" s="59" t="str">
        <f t="shared" si="23"/>
        <v>Không</v>
      </c>
      <c r="AH508" s="29" t="str">
        <f t="shared" ca="1" si="21"/>
        <v>Không</v>
      </c>
      <c r="AI508" s="29" t="str">
        <f ca="1">IF((R508)&gt;=6,"Có","Không")</f>
        <v>Không</v>
      </c>
      <c r="AJ508" s="29" t="str">
        <f>IF(OR(J508&gt;=140,K508&gt;=90),"Có","Không")</f>
        <v>Không</v>
      </c>
      <c r="AK508" s="5" t="s">
        <v>881</v>
      </c>
      <c r="AL508" s="32">
        <v>46112</v>
      </c>
      <c r="AM508" s="29" t="str">
        <f>"Tháng "&amp;MONTH(AL508)</f>
        <v>Tháng 3</v>
      </c>
      <c r="AN508" s="29" t="str">
        <f>LEFT(AK508,FIND(",",AK508)-1)</f>
        <v>bưu điện hiệp thành</v>
      </c>
    </row>
    <row r="509" spans="1:40" x14ac:dyDescent="0.25">
      <c r="A509" s="49" t="s">
        <v>889</v>
      </c>
      <c r="B509" s="5" t="s">
        <v>23</v>
      </c>
      <c r="C509" s="5" t="s">
        <v>93</v>
      </c>
      <c r="D509" s="29">
        <f ca="1">DATEDIF(C509,TODAY(),"Y")</f>
        <v>66</v>
      </c>
      <c r="E509" s="5" t="s">
        <v>26</v>
      </c>
      <c r="F509" s="30">
        <v>158</v>
      </c>
      <c r="G509" s="30">
        <v>58</v>
      </c>
      <c r="H509" s="31">
        <f>G509/((F509/100)*(F509/100))</f>
        <v>23.233456176894723</v>
      </c>
      <c r="I509" s="5">
        <v>93</v>
      </c>
      <c r="J509" s="30">
        <v>150</v>
      </c>
      <c r="K509" s="30">
        <v>80</v>
      </c>
      <c r="L509" s="29">
        <f>IF(B509="Nữ",0,2)</f>
        <v>0</v>
      </c>
      <c r="M509" s="29">
        <f ca="1">IF(D509&lt;45,0,IF(D509&lt;=49,1,2))</f>
        <v>2</v>
      </c>
      <c r="N509" s="29">
        <f>IF(E509="Có",4,0)</f>
        <v>0</v>
      </c>
      <c r="O509" s="29">
        <f>IF(H509&lt;23,0,IF(H509&lt;27.5,3,5))</f>
        <v>3</v>
      </c>
      <c r="P509" s="29">
        <f>IF(OR(AND(B509="Nam",I509&gt;=90),AND(B509="Nữ",I509&gt;=80)),2,0)</f>
        <v>2</v>
      </c>
      <c r="Q509" s="29">
        <f>IF(OR(J509&gt;=140,K509&gt;=90),2,0)</f>
        <v>2</v>
      </c>
      <c r="R509" s="29">
        <f ca="1">SUM(L509:Q509)</f>
        <v>9</v>
      </c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5" t="s">
        <v>1393</v>
      </c>
      <c r="AE509" s="33"/>
      <c r="AF509" s="59" t="str">
        <f t="shared" si="22"/>
        <v>Không</v>
      </c>
      <c r="AG509" s="59" t="str">
        <f t="shared" si="23"/>
        <v>Không</v>
      </c>
      <c r="AH509" s="29" t="str">
        <f t="shared" ca="1" si="21"/>
        <v>Có</v>
      </c>
      <c r="AI509" s="29" t="str">
        <f ca="1">IF((R509)&gt;=6,"Có","Không")</f>
        <v>Có</v>
      </c>
      <c r="AJ509" s="29" t="str">
        <f>IF(OR(J509&gt;=140,K509&gt;=90),"Có","Không")</f>
        <v>Có</v>
      </c>
      <c r="AK509" s="5" t="s">
        <v>38</v>
      </c>
      <c r="AL509" s="32">
        <v>46112</v>
      </c>
      <c r="AM509" s="29" t="str">
        <f>"Tháng "&amp;MONTH(AL509)</f>
        <v>Tháng 3</v>
      </c>
      <c r="AN509" s="29" t="str">
        <f>LEFT(AK509,FIND(",",AK509)-1)</f>
        <v>Ấp Biển Đông B</v>
      </c>
    </row>
    <row r="510" spans="1:40" x14ac:dyDescent="0.25">
      <c r="A510" s="49" t="s">
        <v>898</v>
      </c>
      <c r="B510" s="5" t="s">
        <v>23</v>
      </c>
      <c r="C510" s="5" t="s">
        <v>64</v>
      </c>
      <c r="D510" s="29">
        <f ca="1">DATEDIF(C510,TODAY(),"Y")</f>
        <v>42</v>
      </c>
      <c r="E510" s="5" t="s">
        <v>25</v>
      </c>
      <c r="F510" s="30">
        <v>150</v>
      </c>
      <c r="G510" s="30">
        <v>54</v>
      </c>
      <c r="H510" s="31">
        <f>G510/((F510/100)*(F510/100))</f>
        <v>24</v>
      </c>
      <c r="I510" s="5">
        <v>73</v>
      </c>
      <c r="J510" s="30">
        <v>120</v>
      </c>
      <c r="K510" s="30">
        <v>80</v>
      </c>
      <c r="L510" s="29">
        <f>IF(B510="Nữ",0,2)</f>
        <v>0</v>
      </c>
      <c r="M510" s="29">
        <f ca="1">IF(D510&lt;45,0,IF(D510&lt;=49,1,2))</f>
        <v>0</v>
      </c>
      <c r="N510" s="29">
        <f>IF(E510="Có",4,0)</f>
        <v>4</v>
      </c>
      <c r="O510" s="29">
        <f>IF(H510&lt;23,0,IF(H510&lt;27.5,3,5))</f>
        <v>3</v>
      </c>
      <c r="P510" s="29">
        <f>IF(OR(AND(B510="Nam",I510&gt;=90),AND(B510="Nữ",I510&gt;=80)),2,0)</f>
        <v>0</v>
      </c>
      <c r="Q510" s="29">
        <f>IF(OR(J510&gt;=140,K510&gt;=90),2,0)</f>
        <v>0</v>
      </c>
      <c r="R510" s="29">
        <f ca="1">SUM(L510:Q510)</f>
        <v>7</v>
      </c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5" t="s">
        <v>1393</v>
      </c>
      <c r="AE510" s="33"/>
      <c r="AF510" s="59" t="str">
        <f t="shared" si="22"/>
        <v>Không</v>
      </c>
      <c r="AG510" s="59" t="str">
        <f t="shared" si="23"/>
        <v>Không</v>
      </c>
      <c r="AH510" s="29" t="str">
        <f t="shared" ca="1" si="21"/>
        <v>Có</v>
      </c>
      <c r="AI510" s="29" t="str">
        <f ca="1">IF((R510)&gt;=6,"Có","Không")</f>
        <v>Có</v>
      </c>
      <c r="AJ510" s="29" t="str">
        <f>IF(OR(J510&gt;=140,K510&gt;=90),"Có","Không")</f>
        <v>Không</v>
      </c>
      <c r="AK510" s="5" t="s">
        <v>111</v>
      </c>
      <c r="AL510" s="32">
        <v>46112</v>
      </c>
      <c r="AM510" s="29" t="str">
        <f>"Tháng "&amp;MONTH(AL510)</f>
        <v>Tháng 3</v>
      </c>
      <c r="AN510" s="29" t="str">
        <f>LEFT(AK510,FIND(",",AK510)-1)</f>
        <v>Phường Vĩnh Trạch</v>
      </c>
    </row>
    <row r="511" spans="1:40" x14ac:dyDescent="0.25">
      <c r="A511" s="49" t="s">
        <v>900</v>
      </c>
      <c r="B511" s="5" t="s">
        <v>23</v>
      </c>
      <c r="C511" s="5" t="s">
        <v>82</v>
      </c>
      <c r="D511" s="29">
        <f ca="1">DATEDIF(C511,TODAY(),"Y")</f>
        <v>73</v>
      </c>
      <c r="E511" s="5" t="s">
        <v>26</v>
      </c>
      <c r="F511" s="30">
        <v>160</v>
      </c>
      <c r="G511" s="30">
        <v>69</v>
      </c>
      <c r="H511" s="31">
        <f>G511/((F511/100)*(F511/100))</f>
        <v>26.953124999999996</v>
      </c>
      <c r="I511" s="5">
        <v>73</v>
      </c>
      <c r="J511" s="30">
        <v>120</v>
      </c>
      <c r="K511" s="30">
        <v>80</v>
      </c>
      <c r="L511" s="29">
        <f>IF(B511="Nữ",0,2)</f>
        <v>0</v>
      </c>
      <c r="M511" s="29">
        <f ca="1">IF(D511&lt;45,0,IF(D511&lt;=49,1,2))</f>
        <v>2</v>
      </c>
      <c r="N511" s="29">
        <f>IF(E511="Có",4,0)</f>
        <v>0</v>
      </c>
      <c r="O511" s="29">
        <f>IF(H511&lt;23,0,IF(H511&lt;27.5,3,5))</f>
        <v>3</v>
      </c>
      <c r="P511" s="29">
        <f>IF(OR(AND(B511="Nam",I511&gt;=90),AND(B511="Nữ",I511&gt;=80)),2,0)</f>
        <v>0</v>
      </c>
      <c r="Q511" s="29">
        <f>IF(OR(J511&gt;=140,K511&gt;=90),2,0)</f>
        <v>0</v>
      </c>
      <c r="R511" s="29">
        <f ca="1">SUM(L511:Q511)</f>
        <v>5</v>
      </c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5" t="s">
        <v>1393</v>
      </c>
      <c r="AE511" s="33"/>
      <c r="AF511" s="59" t="str">
        <f t="shared" si="22"/>
        <v>Không</v>
      </c>
      <c r="AG511" s="59" t="str">
        <f t="shared" si="23"/>
        <v>Không</v>
      </c>
      <c r="AH511" s="29" t="str">
        <f t="shared" ca="1" si="21"/>
        <v>Không</v>
      </c>
      <c r="AI511" s="29" t="str">
        <f ca="1">IF((R511)&gt;=6,"Có","Không")</f>
        <v>Không</v>
      </c>
      <c r="AJ511" s="29" t="str">
        <f>IF(OR(J511&gt;=140,K511&gt;=90),"Có","Không")</f>
        <v>Không</v>
      </c>
      <c r="AK511" s="5" t="s">
        <v>70</v>
      </c>
      <c r="AL511" s="32">
        <v>46112</v>
      </c>
      <c r="AM511" s="29" t="str">
        <f>"Tháng "&amp;MONTH(AL511)</f>
        <v>Tháng 3</v>
      </c>
      <c r="AN511" s="29" t="str">
        <f>LEFT(AK511,FIND(",",AK511)-1)</f>
        <v>Ấp Biển Tây A</v>
      </c>
    </row>
    <row r="512" spans="1:40" x14ac:dyDescent="0.25">
      <c r="A512" s="49" t="s">
        <v>901</v>
      </c>
      <c r="B512" s="5" t="s">
        <v>23</v>
      </c>
      <c r="C512" s="5" t="s">
        <v>146</v>
      </c>
      <c r="D512" s="29">
        <f ca="1">DATEDIF(C512,TODAY(),"Y")</f>
        <v>52</v>
      </c>
      <c r="E512" s="5" t="s">
        <v>26</v>
      </c>
      <c r="F512" s="30">
        <v>158</v>
      </c>
      <c r="G512" s="30">
        <v>58</v>
      </c>
      <c r="H512" s="31">
        <f>G512/((F512/100)*(F512/100))</f>
        <v>23.233456176894723</v>
      </c>
      <c r="I512" s="5">
        <v>79</v>
      </c>
      <c r="J512" s="30">
        <v>120</v>
      </c>
      <c r="K512" s="30">
        <v>80</v>
      </c>
      <c r="L512" s="29">
        <f>IF(B512="Nữ",0,2)</f>
        <v>0</v>
      </c>
      <c r="M512" s="29">
        <f ca="1">IF(D512&lt;45,0,IF(D512&lt;=49,1,2))</f>
        <v>2</v>
      </c>
      <c r="N512" s="29">
        <f>IF(E512="Có",4,0)</f>
        <v>0</v>
      </c>
      <c r="O512" s="29">
        <f>IF(H512&lt;23,0,IF(H512&lt;27.5,3,5))</f>
        <v>3</v>
      </c>
      <c r="P512" s="29">
        <f>IF(OR(AND(B512="Nam",I512&gt;=90),AND(B512="Nữ",I512&gt;=80)),2,0)</f>
        <v>0</v>
      </c>
      <c r="Q512" s="29">
        <f>IF(OR(J512&gt;=140,K512&gt;=90),2,0)</f>
        <v>0</v>
      </c>
      <c r="R512" s="29">
        <f ca="1">SUM(L512:Q512)</f>
        <v>5</v>
      </c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5" t="s">
        <v>1393</v>
      </c>
      <c r="AE512" s="33"/>
      <c r="AF512" s="59" t="str">
        <f t="shared" si="22"/>
        <v>Không</v>
      </c>
      <c r="AG512" s="59" t="str">
        <f t="shared" si="23"/>
        <v>Không</v>
      </c>
      <c r="AH512" s="29" t="str">
        <f t="shared" ca="1" si="21"/>
        <v>Không</v>
      </c>
      <c r="AI512" s="29" t="str">
        <f ca="1">IF((R512)&gt;=6,"Có","Không")</f>
        <v>Không</v>
      </c>
      <c r="AJ512" s="29" t="str">
        <f>IF(OR(J512&gt;=140,K512&gt;=90),"Có","Không")</f>
        <v>Không</v>
      </c>
      <c r="AK512" s="5" t="s">
        <v>218</v>
      </c>
      <c r="AL512" s="32">
        <v>46112</v>
      </c>
      <c r="AM512" s="29" t="str">
        <f>"Tháng "&amp;MONTH(AL512)</f>
        <v>Tháng 3</v>
      </c>
      <c r="AN512" s="29" t="str">
        <f>LEFT(AK512,FIND(",",AK512)-1)</f>
        <v>Biển Đông B</v>
      </c>
    </row>
    <row r="513" spans="1:40" x14ac:dyDescent="0.25">
      <c r="A513" s="49" t="s">
        <v>902</v>
      </c>
      <c r="B513" s="5" t="s">
        <v>23</v>
      </c>
      <c r="C513" s="5" t="s">
        <v>273</v>
      </c>
      <c r="D513" s="29">
        <f ca="1">DATEDIF(C513,TODAY(),"Y")</f>
        <v>47</v>
      </c>
      <c r="E513" s="5" t="s">
        <v>26</v>
      </c>
      <c r="F513" s="30">
        <v>158</v>
      </c>
      <c r="G513" s="30">
        <v>58</v>
      </c>
      <c r="H513" s="31">
        <f>G513/((F513/100)*(F513/100))</f>
        <v>23.233456176894723</v>
      </c>
      <c r="I513" s="5">
        <v>81</v>
      </c>
      <c r="J513" s="30">
        <v>180</v>
      </c>
      <c r="K513" s="30">
        <v>80</v>
      </c>
      <c r="L513" s="29">
        <f>IF(B513="Nữ",0,2)</f>
        <v>0</v>
      </c>
      <c r="M513" s="29">
        <f ca="1">IF(D513&lt;45,0,IF(D513&lt;=49,1,2))</f>
        <v>1</v>
      </c>
      <c r="N513" s="29">
        <f>IF(E513="Có",4,0)</f>
        <v>0</v>
      </c>
      <c r="O513" s="29">
        <f>IF(H513&lt;23,0,IF(H513&lt;27.5,3,5))</f>
        <v>3</v>
      </c>
      <c r="P513" s="29">
        <f>IF(OR(AND(B513="Nam",I513&gt;=90),AND(B513="Nữ",I513&gt;=80)),2,0)</f>
        <v>2</v>
      </c>
      <c r="Q513" s="29">
        <f>IF(OR(J513&gt;=140,K513&gt;=90),2,0)</f>
        <v>2</v>
      </c>
      <c r="R513" s="29">
        <f ca="1">SUM(L513:Q513)</f>
        <v>8</v>
      </c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5" t="s">
        <v>1393</v>
      </c>
      <c r="AE513" s="33"/>
      <c r="AF513" s="59" t="str">
        <f t="shared" si="22"/>
        <v>Không</v>
      </c>
      <c r="AG513" s="59" t="str">
        <f t="shared" si="23"/>
        <v>Không</v>
      </c>
      <c r="AH513" s="29" t="str">
        <f t="shared" ca="1" si="21"/>
        <v>Có</v>
      </c>
      <c r="AI513" s="29" t="str">
        <f ca="1">IF((R513)&gt;=6,"Có","Không")</f>
        <v>Có</v>
      </c>
      <c r="AJ513" s="29" t="str">
        <f>IF(OR(J513&gt;=140,K513&gt;=90),"Có","Không")</f>
        <v>Có</v>
      </c>
      <c r="AK513" s="5" t="s">
        <v>48</v>
      </c>
      <c r="AL513" s="32">
        <v>46112</v>
      </c>
      <c r="AM513" s="29" t="str">
        <f>"Tháng "&amp;MONTH(AL513)</f>
        <v>Tháng 3</v>
      </c>
      <c r="AN513" s="29" t="str">
        <f>LEFT(AK513,FIND(",",AK513)-1)</f>
        <v>ấp Giồng Giữa A</v>
      </c>
    </row>
    <row r="514" spans="1:40" x14ac:dyDescent="0.25">
      <c r="A514" s="49" t="s">
        <v>903</v>
      </c>
      <c r="B514" s="5" t="s">
        <v>30</v>
      </c>
      <c r="C514" s="5" t="s">
        <v>155</v>
      </c>
      <c r="D514" s="29">
        <f ca="1">DATEDIF(C514,TODAY(),"Y")</f>
        <v>53</v>
      </c>
      <c r="E514" s="5" t="s">
        <v>26</v>
      </c>
      <c r="F514" s="30">
        <v>165</v>
      </c>
      <c r="G514" s="30">
        <v>70</v>
      </c>
      <c r="H514" s="31">
        <f>G514/((F514/100)*(F514/100))</f>
        <v>25.711662075298442</v>
      </c>
      <c r="I514" s="5">
        <v>78</v>
      </c>
      <c r="J514" s="30">
        <v>150</v>
      </c>
      <c r="K514" s="30">
        <v>100</v>
      </c>
      <c r="L514" s="29">
        <f>IF(B514="Nữ",0,2)</f>
        <v>2</v>
      </c>
      <c r="M514" s="29">
        <f ca="1">IF(D514&lt;45,0,IF(D514&lt;=49,1,2))</f>
        <v>2</v>
      </c>
      <c r="N514" s="29">
        <f>IF(E514="Có",4,0)</f>
        <v>0</v>
      </c>
      <c r="O514" s="29">
        <f>IF(H514&lt;23,0,IF(H514&lt;27.5,3,5))</f>
        <v>3</v>
      </c>
      <c r="P514" s="29">
        <f>IF(OR(AND(B514="Nam",I514&gt;=90),AND(B514="Nữ",I514&gt;=80)),2,0)</f>
        <v>0</v>
      </c>
      <c r="Q514" s="29">
        <f>IF(OR(J514&gt;=140,K514&gt;=90),2,0)</f>
        <v>2</v>
      </c>
      <c r="R514" s="29">
        <f ca="1">SUM(L514:Q514)</f>
        <v>9</v>
      </c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5" t="s">
        <v>1393</v>
      </c>
      <c r="AE514" s="33"/>
      <c r="AF514" s="59" t="str">
        <f t="shared" si="22"/>
        <v>Không</v>
      </c>
      <c r="AG514" s="59" t="str">
        <f t="shared" si="23"/>
        <v>Không</v>
      </c>
      <c r="AH514" s="29" t="str">
        <f t="shared" ca="1" si="21"/>
        <v>Có</v>
      </c>
      <c r="AI514" s="29" t="str">
        <f ca="1">IF((R514)&gt;=6,"Có","Không")</f>
        <v>Có</v>
      </c>
      <c r="AJ514" s="29" t="str">
        <f>IF(OR(J514&gt;=140,K514&gt;=90),"Có","Không")</f>
        <v>Có</v>
      </c>
      <c r="AK514" s="5" t="s">
        <v>215</v>
      </c>
      <c r="AL514" s="32">
        <v>46112</v>
      </c>
      <c r="AM514" s="29" t="str">
        <f>"Tháng "&amp;MONTH(AL514)</f>
        <v>Tháng 3</v>
      </c>
      <c r="AN514" s="29" t="str">
        <f>LEFT(AK514,FIND(",",AK514)-1)</f>
        <v>Giồng Nhãn A</v>
      </c>
    </row>
    <row r="515" spans="1:40" x14ac:dyDescent="0.25">
      <c r="A515" s="49" t="s">
        <v>911</v>
      </c>
      <c r="B515" s="5" t="s">
        <v>23</v>
      </c>
      <c r="C515" s="5" t="s">
        <v>90</v>
      </c>
      <c r="D515" s="29">
        <f ca="1">DATEDIF(C515,TODAY(),"Y")</f>
        <v>54</v>
      </c>
      <c r="E515" s="5" t="s">
        <v>26</v>
      </c>
      <c r="F515" s="30">
        <v>160</v>
      </c>
      <c r="G515" s="30">
        <v>50</v>
      </c>
      <c r="H515" s="31">
        <f>G515/((F515/100)*(F515/100))</f>
        <v>19.531249999999996</v>
      </c>
      <c r="I515" s="5">
        <v>89</v>
      </c>
      <c r="J515" s="30">
        <v>120</v>
      </c>
      <c r="K515" s="30">
        <v>70</v>
      </c>
      <c r="L515" s="29">
        <f>IF(B515="Nữ",0,2)</f>
        <v>0</v>
      </c>
      <c r="M515" s="29">
        <f ca="1">IF(D515&lt;45,0,IF(D515&lt;=49,1,2))</f>
        <v>2</v>
      </c>
      <c r="N515" s="29">
        <f>IF(E515="Có",4,0)</f>
        <v>0</v>
      </c>
      <c r="O515" s="29">
        <f>IF(H515&lt;23,0,IF(H515&lt;27.5,3,5))</f>
        <v>0</v>
      </c>
      <c r="P515" s="29">
        <f>IF(OR(AND(B515="Nam",I515&gt;=90),AND(B515="Nữ",I515&gt;=80)),2,0)</f>
        <v>2</v>
      </c>
      <c r="Q515" s="29">
        <f>IF(OR(J515&gt;=140,K515&gt;=90),2,0)</f>
        <v>0</v>
      </c>
      <c r="R515" s="29">
        <f ca="1">SUM(L515:Q515)</f>
        <v>4</v>
      </c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5" t="s">
        <v>1393</v>
      </c>
      <c r="AE515" s="33"/>
      <c r="AF515" s="59" t="str">
        <f t="shared" si="22"/>
        <v>Không</v>
      </c>
      <c r="AG515" s="59" t="str">
        <f t="shared" si="23"/>
        <v>Không</v>
      </c>
      <c r="AH515" s="29" t="str">
        <f t="shared" ca="1" si="21"/>
        <v>Không</v>
      </c>
      <c r="AI515" s="29" t="str">
        <f ca="1">IF((R515)&gt;=6,"Có","Không")</f>
        <v>Không</v>
      </c>
      <c r="AJ515" s="29" t="str">
        <f>IF(OR(J515&gt;=140,K515&gt;=90),"Có","Không")</f>
        <v>Không</v>
      </c>
      <c r="AK515" s="5" t="s">
        <v>122</v>
      </c>
      <c r="AL515" s="32">
        <v>46112</v>
      </c>
      <c r="AM515" s="29" t="str">
        <f>"Tháng "&amp;MONTH(AL515)</f>
        <v>Tháng 3</v>
      </c>
      <c r="AN515" s="29" t="str">
        <f>LEFT(AK515,FIND(",",AK515)-1)</f>
        <v>Giồng Nhãn</v>
      </c>
    </row>
    <row r="516" spans="1:40" x14ac:dyDescent="0.25">
      <c r="A516" s="49" t="s">
        <v>912</v>
      </c>
      <c r="B516" s="5" t="s">
        <v>30</v>
      </c>
      <c r="C516" s="5" t="s">
        <v>913</v>
      </c>
      <c r="D516" s="29">
        <f ca="1">DATEDIF(C516,TODAY(),"Y")</f>
        <v>93</v>
      </c>
      <c r="E516" s="5" t="s">
        <v>26</v>
      </c>
      <c r="F516" s="30">
        <v>169</v>
      </c>
      <c r="G516" s="30">
        <v>68</v>
      </c>
      <c r="H516" s="31">
        <f>G516/((F516/100)*(F516/100))</f>
        <v>23.808690171912751</v>
      </c>
      <c r="I516" s="5">
        <v>77</v>
      </c>
      <c r="J516" s="30">
        <v>150</v>
      </c>
      <c r="K516" s="30">
        <v>80</v>
      </c>
      <c r="L516" s="29">
        <f>IF(B516="Nữ",0,2)</f>
        <v>2</v>
      </c>
      <c r="M516" s="29">
        <f ca="1">IF(D516&lt;45,0,IF(D516&lt;=49,1,2))</f>
        <v>2</v>
      </c>
      <c r="N516" s="29">
        <f>IF(E516="Có",4,0)</f>
        <v>0</v>
      </c>
      <c r="O516" s="29">
        <f>IF(H516&lt;23,0,IF(H516&lt;27.5,3,5))</f>
        <v>3</v>
      </c>
      <c r="P516" s="29">
        <f>IF(OR(AND(B516="Nam",I516&gt;=90),AND(B516="Nữ",I516&gt;=80)),2,0)</f>
        <v>0</v>
      </c>
      <c r="Q516" s="29">
        <f>IF(OR(J516&gt;=140,K516&gt;=90),2,0)</f>
        <v>2</v>
      </c>
      <c r="R516" s="29">
        <f ca="1">SUM(L516:Q516)</f>
        <v>9</v>
      </c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5" t="s">
        <v>1393</v>
      </c>
      <c r="AE516" s="33"/>
      <c r="AF516" s="59" t="str">
        <f t="shared" si="22"/>
        <v>Không</v>
      </c>
      <c r="AG516" s="59" t="str">
        <f t="shared" si="23"/>
        <v>Không</v>
      </c>
      <c r="AH516" s="29" t="str">
        <f t="shared" ref="AH516:AH579" ca="1" si="24">IF((R516)&gt;=6,"Có","Không")</f>
        <v>Có</v>
      </c>
      <c r="AI516" s="29" t="str">
        <f ca="1">IF((R516)&gt;=6,"Có","Không")</f>
        <v>Có</v>
      </c>
      <c r="AJ516" s="29" t="str">
        <f>IF(OR(J516&gt;=140,K516&gt;=90),"Có","Không")</f>
        <v>Có</v>
      </c>
      <c r="AK516" s="5" t="s">
        <v>51</v>
      </c>
      <c r="AL516" s="32">
        <v>46112</v>
      </c>
      <c r="AM516" s="29" t="str">
        <f>"Tháng "&amp;MONTH(AL516)</f>
        <v>Tháng 3</v>
      </c>
      <c r="AN516" s="29" t="str">
        <f>LEFT(AK516,FIND(",",AK516)-1)</f>
        <v>Phường Hiệp Thành</v>
      </c>
    </row>
    <row r="517" spans="1:40" x14ac:dyDescent="0.25">
      <c r="A517" s="49" t="s">
        <v>917</v>
      </c>
      <c r="B517" s="5" t="s">
        <v>30</v>
      </c>
      <c r="C517" s="5" t="s">
        <v>146</v>
      </c>
      <c r="D517" s="29">
        <f ca="1">DATEDIF(C517,TODAY(),"Y")</f>
        <v>52</v>
      </c>
      <c r="E517" s="5" t="s">
        <v>26</v>
      </c>
      <c r="F517" s="30">
        <v>169</v>
      </c>
      <c r="G517" s="30">
        <v>68</v>
      </c>
      <c r="H517" s="31">
        <f>G517/((F517/100)*(F517/100))</f>
        <v>23.808690171912751</v>
      </c>
      <c r="I517" s="5">
        <v>75</v>
      </c>
      <c r="J517" s="30">
        <v>150</v>
      </c>
      <c r="K517" s="30">
        <v>80</v>
      </c>
      <c r="L517" s="29">
        <f>IF(B517="Nữ",0,2)</f>
        <v>2</v>
      </c>
      <c r="M517" s="29">
        <f ca="1">IF(D517&lt;45,0,IF(D517&lt;=49,1,2))</f>
        <v>2</v>
      </c>
      <c r="N517" s="29">
        <f>IF(E517="Có",4,0)</f>
        <v>0</v>
      </c>
      <c r="O517" s="29">
        <f>IF(H517&lt;23,0,IF(H517&lt;27.5,3,5))</f>
        <v>3</v>
      </c>
      <c r="P517" s="29">
        <f>IF(OR(AND(B517="Nam",I517&gt;=90),AND(B517="Nữ",I517&gt;=80)),2,0)</f>
        <v>0</v>
      </c>
      <c r="Q517" s="29">
        <f>IF(OR(J517&gt;=140,K517&gt;=90),2,0)</f>
        <v>2</v>
      </c>
      <c r="R517" s="29">
        <f ca="1">SUM(L517:Q517)</f>
        <v>9</v>
      </c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5" t="s">
        <v>1393</v>
      </c>
      <c r="AE517" s="33"/>
      <c r="AF517" s="59" t="str">
        <f t="shared" ref="AF517:AF580" si="25">IF(COUNTIF(S517:Z517,"X")&gt;=2,"Có","Không")</f>
        <v>Không</v>
      </c>
      <c r="AG517" s="59" t="str">
        <f t="shared" ref="AG517:AG580" si="26">IF(COUNTIF(AA517:AE517,"X")&gt;=3,"Có","Không")</f>
        <v>Không</v>
      </c>
      <c r="AH517" s="29" t="str">
        <f t="shared" ca="1" si="24"/>
        <v>Có</v>
      </c>
      <c r="AI517" s="29" t="str">
        <f ca="1">IF((R517)&gt;=6,"Có","Không")</f>
        <v>Có</v>
      </c>
      <c r="AJ517" s="29" t="str">
        <f>IF(OR(J517&gt;=140,K517&gt;=90),"Có","Không")</f>
        <v>Có</v>
      </c>
      <c r="AK517" s="5" t="s">
        <v>246</v>
      </c>
      <c r="AL517" s="32">
        <v>46112</v>
      </c>
      <c r="AM517" s="29" t="str">
        <f>"Tháng "&amp;MONTH(AL517)</f>
        <v>Tháng 3</v>
      </c>
      <c r="AN517" s="29" t="str">
        <f>LEFT(AK517,FIND(",",AK517)-1)</f>
        <v>ấp Biển Tây B</v>
      </c>
    </row>
    <row r="518" spans="1:40" x14ac:dyDescent="0.25">
      <c r="A518" s="49" t="s">
        <v>920</v>
      </c>
      <c r="B518" s="5" t="s">
        <v>23</v>
      </c>
      <c r="C518" s="5" t="s">
        <v>42</v>
      </c>
      <c r="D518" s="29">
        <f ca="1">DATEDIF(C518,TODAY(),"Y")</f>
        <v>59</v>
      </c>
      <c r="E518" s="5" t="s">
        <v>26</v>
      </c>
      <c r="F518" s="30">
        <v>158</v>
      </c>
      <c r="G518" s="30">
        <v>58</v>
      </c>
      <c r="H518" s="31">
        <f>G518/((F518/100)*(F518/100))</f>
        <v>23.233456176894723</v>
      </c>
      <c r="I518" s="5">
        <v>79</v>
      </c>
      <c r="J518" s="30">
        <v>140</v>
      </c>
      <c r="K518" s="30">
        <v>80</v>
      </c>
      <c r="L518" s="29">
        <f>IF(B518="Nữ",0,2)</f>
        <v>0</v>
      </c>
      <c r="M518" s="29">
        <f ca="1">IF(D518&lt;45,0,IF(D518&lt;=49,1,2))</f>
        <v>2</v>
      </c>
      <c r="N518" s="29">
        <f>IF(E518="Có",4,0)</f>
        <v>0</v>
      </c>
      <c r="O518" s="29">
        <f>IF(H518&lt;23,0,IF(H518&lt;27.5,3,5))</f>
        <v>3</v>
      </c>
      <c r="P518" s="29">
        <f>IF(OR(AND(B518="Nam",I518&gt;=90),AND(B518="Nữ",I518&gt;=80)),2,0)</f>
        <v>0</v>
      </c>
      <c r="Q518" s="29">
        <f>IF(OR(J518&gt;=140,K518&gt;=90),2,0)</f>
        <v>2</v>
      </c>
      <c r="R518" s="29">
        <f ca="1">SUM(L518:Q518)</f>
        <v>7</v>
      </c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5" t="s">
        <v>1393</v>
      </c>
      <c r="AE518" s="33"/>
      <c r="AF518" s="59" t="str">
        <f t="shared" si="25"/>
        <v>Không</v>
      </c>
      <c r="AG518" s="59" t="str">
        <f t="shared" si="26"/>
        <v>Không</v>
      </c>
      <c r="AH518" s="29" t="str">
        <f t="shared" ca="1" si="24"/>
        <v>Có</v>
      </c>
      <c r="AI518" s="29" t="str">
        <f ca="1">IF((R518)&gt;=6,"Có","Không")</f>
        <v>Có</v>
      </c>
      <c r="AJ518" s="29" t="str">
        <f>IF(OR(J518&gt;=140,K518&gt;=90),"Có","Không")</f>
        <v>Có</v>
      </c>
      <c r="AK518" s="5" t="s">
        <v>68</v>
      </c>
      <c r="AL518" s="32">
        <v>46112</v>
      </c>
      <c r="AM518" s="29" t="str">
        <f>"Tháng "&amp;MONTH(AL518)</f>
        <v>Tháng 3</v>
      </c>
      <c r="AN518" s="29" t="str">
        <f>LEFT(AK518,FIND(",",AK518)-1)</f>
        <v>Ấp Biển Tây B</v>
      </c>
    </row>
    <row r="519" spans="1:40" x14ac:dyDescent="0.25">
      <c r="A519" s="49" t="s">
        <v>921</v>
      </c>
      <c r="B519" s="5" t="s">
        <v>23</v>
      </c>
      <c r="C519" s="5" t="s">
        <v>45</v>
      </c>
      <c r="D519" s="29">
        <f ca="1">DATEDIF(C519,TODAY(),"Y")</f>
        <v>50</v>
      </c>
      <c r="E519" s="5" t="s">
        <v>25</v>
      </c>
      <c r="F519" s="30">
        <v>158</v>
      </c>
      <c r="G519" s="30">
        <v>58</v>
      </c>
      <c r="H519" s="31">
        <f>G519/((F519/100)*(F519/100))</f>
        <v>23.233456176894723</v>
      </c>
      <c r="I519" s="5">
        <v>90</v>
      </c>
      <c r="J519" s="30">
        <v>130</v>
      </c>
      <c r="K519" s="30">
        <v>80</v>
      </c>
      <c r="L519" s="29">
        <f>IF(B519="Nữ",0,2)</f>
        <v>0</v>
      </c>
      <c r="M519" s="29">
        <f ca="1">IF(D519&lt;45,0,IF(D519&lt;=49,1,2))</f>
        <v>2</v>
      </c>
      <c r="N519" s="29">
        <f>IF(E519="Có",4,0)</f>
        <v>4</v>
      </c>
      <c r="O519" s="29">
        <f>IF(H519&lt;23,0,IF(H519&lt;27.5,3,5))</f>
        <v>3</v>
      </c>
      <c r="P519" s="29">
        <f>IF(OR(AND(B519="Nam",I519&gt;=90),AND(B519="Nữ",I519&gt;=80)),2,0)</f>
        <v>2</v>
      </c>
      <c r="Q519" s="29">
        <f>IF(OR(J519&gt;=140,K519&gt;=90),2,0)</f>
        <v>0</v>
      </c>
      <c r="R519" s="29">
        <f ca="1">SUM(L519:Q519)</f>
        <v>11</v>
      </c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5" t="s">
        <v>1393</v>
      </c>
      <c r="AE519" s="33"/>
      <c r="AF519" s="59" t="str">
        <f t="shared" si="25"/>
        <v>Không</v>
      </c>
      <c r="AG519" s="59" t="str">
        <f t="shared" si="26"/>
        <v>Không</v>
      </c>
      <c r="AH519" s="29" t="str">
        <f t="shared" ca="1" si="24"/>
        <v>Có</v>
      </c>
      <c r="AI519" s="29" t="str">
        <f ca="1">IF((R519)&gt;=6,"Có","Không")</f>
        <v>Có</v>
      </c>
      <c r="AJ519" s="29" t="str">
        <f>IF(OR(J519&gt;=140,K519&gt;=90),"Có","Không")</f>
        <v>Không</v>
      </c>
      <c r="AK519" s="5" t="s">
        <v>447</v>
      </c>
      <c r="AL519" s="32">
        <v>46112</v>
      </c>
      <c r="AM519" s="29" t="str">
        <f>"Tháng "&amp;MONTH(AL519)</f>
        <v>Tháng 3</v>
      </c>
      <c r="AN519" s="29" t="str">
        <f>LEFT(AK519,FIND(",",AK519)-1)</f>
        <v>Ấp Giáp Nước</v>
      </c>
    </row>
    <row r="520" spans="1:40" x14ac:dyDescent="0.25">
      <c r="A520" s="49" t="s">
        <v>922</v>
      </c>
      <c r="B520" s="5" t="s">
        <v>23</v>
      </c>
      <c r="C520" s="5" t="s">
        <v>923</v>
      </c>
      <c r="D520" s="29">
        <f ca="1">DATEDIF(C520,TODAY(),"Y")</f>
        <v>89</v>
      </c>
      <c r="E520" s="5" t="s">
        <v>26</v>
      </c>
      <c r="F520" s="30">
        <v>150</v>
      </c>
      <c r="G520" s="30">
        <v>49</v>
      </c>
      <c r="H520" s="31">
        <f>G520/((F520/100)*(F520/100))</f>
        <v>21.777777777777779</v>
      </c>
      <c r="I520" s="5">
        <v>80</v>
      </c>
      <c r="J520" s="30">
        <v>120</v>
      </c>
      <c r="K520" s="30">
        <v>80</v>
      </c>
      <c r="L520" s="29">
        <f>IF(B520="Nữ",0,2)</f>
        <v>0</v>
      </c>
      <c r="M520" s="29">
        <f ca="1">IF(D520&lt;45,0,IF(D520&lt;=49,1,2))</f>
        <v>2</v>
      </c>
      <c r="N520" s="29">
        <f>IF(E520="Có",4,0)</f>
        <v>0</v>
      </c>
      <c r="O520" s="29">
        <f>IF(H520&lt;23,0,IF(H520&lt;27.5,3,5))</f>
        <v>0</v>
      </c>
      <c r="P520" s="29">
        <f>IF(OR(AND(B520="Nam",I520&gt;=90),AND(B520="Nữ",I520&gt;=80)),2,0)</f>
        <v>2</v>
      </c>
      <c r="Q520" s="29">
        <f>IF(OR(J520&gt;=140,K520&gt;=90),2,0)</f>
        <v>0</v>
      </c>
      <c r="R520" s="29">
        <f ca="1">SUM(L520:Q520)</f>
        <v>4</v>
      </c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5" t="s">
        <v>1393</v>
      </c>
      <c r="AE520" s="33"/>
      <c r="AF520" s="59" t="str">
        <f t="shared" si="25"/>
        <v>Không</v>
      </c>
      <c r="AG520" s="59" t="str">
        <f t="shared" si="26"/>
        <v>Không</v>
      </c>
      <c r="AH520" s="29" t="str">
        <f t="shared" ca="1" si="24"/>
        <v>Không</v>
      </c>
      <c r="AI520" s="29" t="str">
        <f ca="1">IF((R520)&gt;=6,"Có","Không")</f>
        <v>Không</v>
      </c>
      <c r="AJ520" s="29" t="str">
        <f>IF(OR(J520&gt;=140,K520&gt;=90),"Có","Không")</f>
        <v>Không</v>
      </c>
      <c r="AK520" s="5" t="s">
        <v>51</v>
      </c>
      <c r="AL520" s="32">
        <v>46112</v>
      </c>
      <c r="AM520" s="29" t="str">
        <f>"Tháng "&amp;MONTH(AL520)</f>
        <v>Tháng 3</v>
      </c>
      <c r="AN520" s="29" t="str">
        <f>LEFT(AK520,FIND(",",AK520)-1)</f>
        <v>Phường Hiệp Thành</v>
      </c>
    </row>
    <row r="521" spans="1:40" x14ac:dyDescent="0.25">
      <c r="A521" s="49" t="s">
        <v>924</v>
      </c>
      <c r="B521" s="5" t="s">
        <v>30</v>
      </c>
      <c r="C521" s="5" t="s">
        <v>394</v>
      </c>
      <c r="D521" s="29">
        <f ca="1">DATEDIF(C521,TODAY(),"Y")</f>
        <v>45</v>
      </c>
      <c r="E521" s="5" t="s">
        <v>26</v>
      </c>
      <c r="F521" s="30">
        <v>169</v>
      </c>
      <c r="G521" s="30">
        <v>58</v>
      </c>
      <c r="H521" s="31">
        <f>G521/((F521/100)*(F521/100))</f>
        <v>20.307412205454995</v>
      </c>
      <c r="I521" s="5">
        <v>95</v>
      </c>
      <c r="J521" s="30">
        <v>120</v>
      </c>
      <c r="K521" s="30">
        <v>80</v>
      </c>
      <c r="L521" s="29">
        <f>IF(B521="Nữ",0,2)</f>
        <v>2</v>
      </c>
      <c r="M521" s="29">
        <f ca="1">IF(D521&lt;45,0,IF(D521&lt;=49,1,2))</f>
        <v>1</v>
      </c>
      <c r="N521" s="29">
        <f>IF(E521="Có",4,0)</f>
        <v>0</v>
      </c>
      <c r="O521" s="29">
        <f>IF(H521&lt;23,0,IF(H521&lt;27.5,3,5))</f>
        <v>0</v>
      </c>
      <c r="P521" s="29">
        <f>IF(OR(AND(B521="Nam",I521&gt;=90),AND(B521="Nữ",I521&gt;=80)),2,0)</f>
        <v>2</v>
      </c>
      <c r="Q521" s="29">
        <f>IF(OR(J521&gt;=140,K521&gt;=90),2,0)</f>
        <v>0</v>
      </c>
      <c r="R521" s="29">
        <f ca="1">SUM(L521:Q521)</f>
        <v>5</v>
      </c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5" t="s">
        <v>1393</v>
      </c>
      <c r="AE521" s="33"/>
      <c r="AF521" s="59" t="str">
        <f t="shared" si="25"/>
        <v>Không</v>
      </c>
      <c r="AG521" s="59" t="str">
        <f t="shared" si="26"/>
        <v>Không</v>
      </c>
      <c r="AH521" s="29" t="str">
        <f t="shared" ca="1" si="24"/>
        <v>Không</v>
      </c>
      <c r="AI521" s="29" t="str">
        <f ca="1">IF((R521)&gt;=6,"Có","Không")</f>
        <v>Không</v>
      </c>
      <c r="AJ521" s="29" t="str">
        <f>IF(OR(J521&gt;=140,K521&gt;=90),"Có","Không")</f>
        <v>Không</v>
      </c>
      <c r="AK521" s="5" t="s">
        <v>925</v>
      </c>
      <c r="AL521" s="32">
        <v>46112</v>
      </c>
      <c r="AM521" s="29" t="str">
        <f>"Tháng "&amp;MONTH(AL521)</f>
        <v>Tháng 3</v>
      </c>
      <c r="AN521" s="29" t="str">
        <f>LEFT(AK521,FIND(",",AK521)-1)</f>
        <v>ẤP BIỂN ĐÔNG B</v>
      </c>
    </row>
    <row r="522" spans="1:40" x14ac:dyDescent="0.25">
      <c r="A522" s="49" t="s">
        <v>946</v>
      </c>
      <c r="B522" s="5" t="s">
        <v>30</v>
      </c>
      <c r="C522" s="5" t="s">
        <v>256</v>
      </c>
      <c r="D522" s="29">
        <f ca="1">DATEDIF(C522,TODAY(),"Y")</f>
        <v>41</v>
      </c>
      <c r="E522" s="5" t="s">
        <v>26</v>
      </c>
      <c r="F522" s="30">
        <v>170</v>
      </c>
      <c r="G522" s="30">
        <v>58</v>
      </c>
      <c r="H522" s="31">
        <f>G522/((F522/100)*(F522/100))</f>
        <v>20.069204152249139</v>
      </c>
      <c r="I522" s="5">
        <v>94</v>
      </c>
      <c r="J522" s="30">
        <v>120</v>
      </c>
      <c r="K522" s="30">
        <v>70</v>
      </c>
      <c r="L522" s="29">
        <f>IF(B522="Nữ",0,2)</f>
        <v>2</v>
      </c>
      <c r="M522" s="29">
        <f ca="1">IF(D522&lt;45,0,IF(D522&lt;=49,1,2))</f>
        <v>0</v>
      </c>
      <c r="N522" s="29">
        <f>IF(E522="Có",4,0)</f>
        <v>0</v>
      </c>
      <c r="O522" s="29">
        <f>IF(H522&lt;23,0,IF(H522&lt;27.5,3,5))</f>
        <v>0</v>
      </c>
      <c r="P522" s="29">
        <f>IF(OR(AND(B522="Nam",I522&gt;=90),AND(B522="Nữ",I522&gt;=80)),2,0)</f>
        <v>2</v>
      </c>
      <c r="Q522" s="29">
        <f>IF(OR(J522&gt;=140,K522&gt;=90),2,0)</f>
        <v>0</v>
      </c>
      <c r="R522" s="29">
        <f ca="1">SUM(L522:Q522)</f>
        <v>4</v>
      </c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5" t="s">
        <v>1393</v>
      </c>
      <c r="AE522" s="33"/>
      <c r="AF522" s="59" t="str">
        <f t="shared" si="25"/>
        <v>Không</v>
      </c>
      <c r="AG522" s="59" t="str">
        <f t="shared" si="26"/>
        <v>Không</v>
      </c>
      <c r="AH522" s="29" t="str">
        <f t="shared" ca="1" si="24"/>
        <v>Không</v>
      </c>
      <c r="AI522" s="29" t="str">
        <f ca="1">IF((R522)&gt;=6,"Có","Không")</f>
        <v>Không</v>
      </c>
      <c r="AJ522" s="29" t="str">
        <f>IF(OR(J522&gt;=140,K522&gt;=90),"Có","Không")</f>
        <v>Không</v>
      </c>
      <c r="AK522" s="5" t="s">
        <v>947</v>
      </c>
      <c r="AL522" s="32">
        <v>46112</v>
      </c>
      <c r="AM522" s="29" t="str">
        <f>"Tháng "&amp;MONTH(AL522)</f>
        <v>Tháng 3</v>
      </c>
      <c r="AN522" s="29" t="str">
        <f>LEFT(AK522,FIND(",",AK522)-1)</f>
        <v>Xã Vĩnh Hậu</v>
      </c>
    </row>
    <row r="523" spans="1:40" x14ac:dyDescent="0.25">
      <c r="A523" s="49" t="s">
        <v>948</v>
      </c>
      <c r="B523" s="5" t="s">
        <v>23</v>
      </c>
      <c r="C523" s="5" t="s">
        <v>45</v>
      </c>
      <c r="D523" s="29">
        <f ca="1">DATEDIF(C523,TODAY(),"Y")</f>
        <v>50</v>
      </c>
      <c r="E523" s="5" t="s">
        <v>26</v>
      </c>
      <c r="F523" s="30">
        <v>160</v>
      </c>
      <c r="G523" s="30">
        <v>64</v>
      </c>
      <c r="H523" s="31">
        <f>G523/((F523/100)*(F523/100))</f>
        <v>24.999999999999996</v>
      </c>
      <c r="I523" s="5">
        <v>84</v>
      </c>
      <c r="J523" s="30">
        <v>120</v>
      </c>
      <c r="K523" s="30">
        <v>70</v>
      </c>
      <c r="L523" s="29">
        <f>IF(B523="Nữ",0,2)</f>
        <v>0</v>
      </c>
      <c r="M523" s="29">
        <f ca="1">IF(D523&lt;45,0,IF(D523&lt;=49,1,2))</f>
        <v>2</v>
      </c>
      <c r="N523" s="29">
        <f>IF(E523="Có",4,0)</f>
        <v>0</v>
      </c>
      <c r="O523" s="29">
        <f>IF(H523&lt;23,0,IF(H523&lt;27.5,3,5))</f>
        <v>3</v>
      </c>
      <c r="P523" s="29">
        <f>IF(OR(AND(B523="Nam",I523&gt;=90),AND(B523="Nữ",I523&gt;=80)),2,0)</f>
        <v>2</v>
      </c>
      <c r="Q523" s="29">
        <f>IF(OR(J523&gt;=140,K523&gt;=90),2,0)</f>
        <v>0</v>
      </c>
      <c r="R523" s="29">
        <f ca="1">SUM(L523:Q523)</f>
        <v>7</v>
      </c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5" t="s">
        <v>1393</v>
      </c>
      <c r="AE523" s="33"/>
      <c r="AF523" s="59" t="str">
        <f t="shared" si="25"/>
        <v>Không</v>
      </c>
      <c r="AG523" s="59" t="str">
        <f t="shared" si="26"/>
        <v>Không</v>
      </c>
      <c r="AH523" s="29" t="str">
        <f t="shared" ca="1" si="24"/>
        <v>Có</v>
      </c>
      <c r="AI523" s="29" t="str">
        <f ca="1">IF((R523)&gt;=6,"Có","Không")</f>
        <v>Có</v>
      </c>
      <c r="AJ523" s="29" t="str">
        <f>IF(OR(J523&gt;=140,K523&gt;=90),"Có","Không")</f>
        <v>Không</v>
      </c>
      <c r="AK523" s="5" t="s">
        <v>88</v>
      </c>
      <c r="AL523" s="32">
        <v>46112</v>
      </c>
      <c r="AM523" s="29" t="str">
        <f>"Tháng "&amp;MONTH(AL523)</f>
        <v>Tháng 3</v>
      </c>
      <c r="AN523" s="29" t="str">
        <f>LEFT(AK523,FIND(",",AK523)-1)</f>
        <v>Giồng Giữa</v>
      </c>
    </row>
    <row r="524" spans="1:40" x14ac:dyDescent="0.25">
      <c r="A524" s="49" t="s">
        <v>953</v>
      </c>
      <c r="B524" s="5" t="s">
        <v>23</v>
      </c>
      <c r="C524" s="5" t="s">
        <v>87</v>
      </c>
      <c r="D524" s="29">
        <f ca="1">DATEDIF(C524,TODAY(),"Y")</f>
        <v>49</v>
      </c>
      <c r="E524" s="5" t="s">
        <v>26</v>
      </c>
      <c r="F524" s="30">
        <v>158</v>
      </c>
      <c r="G524" s="30">
        <v>58</v>
      </c>
      <c r="H524" s="31">
        <f>G524/((F524/100)*(F524/100))</f>
        <v>23.233456176894723</v>
      </c>
      <c r="I524" s="5">
        <v>86</v>
      </c>
      <c r="J524" s="30">
        <v>100</v>
      </c>
      <c r="K524" s="30">
        <v>80</v>
      </c>
      <c r="L524" s="29">
        <f>IF(B524="Nữ",0,2)</f>
        <v>0</v>
      </c>
      <c r="M524" s="29">
        <f ca="1">IF(D524&lt;45,0,IF(D524&lt;=49,1,2))</f>
        <v>1</v>
      </c>
      <c r="N524" s="29">
        <f>IF(E524="Có",4,0)</f>
        <v>0</v>
      </c>
      <c r="O524" s="29">
        <f>IF(H524&lt;23,0,IF(H524&lt;27.5,3,5))</f>
        <v>3</v>
      </c>
      <c r="P524" s="29">
        <f>IF(OR(AND(B524="Nam",I524&gt;=90),AND(B524="Nữ",I524&gt;=80)),2,0)</f>
        <v>2</v>
      </c>
      <c r="Q524" s="29">
        <f>IF(OR(J524&gt;=140,K524&gt;=90),2,0)</f>
        <v>0</v>
      </c>
      <c r="R524" s="29">
        <f ca="1">SUM(L524:Q524)</f>
        <v>6</v>
      </c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5" t="s">
        <v>1393</v>
      </c>
      <c r="AE524" s="33"/>
      <c r="AF524" s="59" t="str">
        <f t="shared" si="25"/>
        <v>Không</v>
      </c>
      <c r="AG524" s="59" t="str">
        <f t="shared" si="26"/>
        <v>Không</v>
      </c>
      <c r="AH524" s="29" t="str">
        <f t="shared" ca="1" si="24"/>
        <v>Có</v>
      </c>
      <c r="AI524" s="29" t="str">
        <f ca="1">IF((R524)&gt;=6,"Có","Không")</f>
        <v>Có</v>
      </c>
      <c r="AJ524" s="29" t="str">
        <f>IF(OR(J524&gt;=140,K524&gt;=90),"Có","Không")</f>
        <v>Không</v>
      </c>
      <c r="AK524" s="5" t="s">
        <v>48</v>
      </c>
      <c r="AL524" s="32">
        <v>46112</v>
      </c>
      <c r="AM524" s="29" t="str">
        <f>"Tháng "&amp;MONTH(AL524)</f>
        <v>Tháng 3</v>
      </c>
      <c r="AN524" s="29" t="str">
        <f>LEFT(AK524,FIND(",",AK524)-1)</f>
        <v>ấp Giồng Giữa A</v>
      </c>
    </row>
    <row r="525" spans="1:40" x14ac:dyDescent="0.25">
      <c r="A525" s="49" t="s">
        <v>955</v>
      </c>
      <c r="B525" s="5" t="s">
        <v>23</v>
      </c>
      <c r="C525" s="5" t="s">
        <v>37</v>
      </c>
      <c r="D525" s="29">
        <f ca="1">DATEDIF(C525,TODAY(),"Y")</f>
        <v>75</v>
      </c>
      <c r="E525" s="5" t="s">
        <v>26</v>
      </c>
      <c r="F525" s="30">
        <v>158</v>
      </c>
      <c r="G525" s="30">
        <v>58</v>
      </c>
      <c r="H525" s="31">
        <f>G525/((F525/100)*(F525/100))</f>
        <v>23.233456176894723</v>
      </c>
      <c r="I525" s="5">
        <v>82</v>
      </c>
      <c r="J525" s="30">
        <v>130</v>
      </c>
      <c r="K525" s="30">
        <v>80</v>
      </c>
      <c r="L525" s="29">
        <f>IF(B525="Nữ",0,2)</f>
        <v>0</v>
      </c>
      <c r="M525" s="29">
        <f ca="1">IF(D525&lt;45,0,IF(D525&lt;=49,1,2))</f>
        <v>2</v>
      </c>
      <c r="N525" s="29">
        <f>IF(E525="Có",4,0)</f>
        <v>0</v>
      </c>
      <c r="O525" s="29">
        <f>IF(H525&lt;23,0,IF(H525&lt;27.5,3,5))</f>
        <v>3</v>
      </c>
      <c r="P525" s="29">
        <f>IF(OR(AND(B525="Nam",I525&gt;=90),AND(B525="Nữ",I525&gt;=80)),2,0)</f>
        <v>2</v>
      </c>
      <c r="Q525" s="29">
        <f>IF(OR(J525&gt;=140,K525&gt;=90),2,0)</f>
        <v>0</v>
      </c>
      <c r="R525" s="29">
        <f ca="1">SUM(L525:Q525)</f>
        <v>7</v>
      </c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5" t="s">
        <v>1393</v>
      </c>
      <c r="AE525" s="33"/>
      <c r="AF525" s="59" t="str">
        <f t="shared" si="25"/>
        <v>Không</v>
      </c>
      <c r="AG525" s="59" t="str">
        <f t="shared" si="26"/>
        <v>Không</v>
      </c>
      <c r="AH525" s="29" t="str">
        <f t="shared" ca="1" si="24"/>
        <v>Có</v>
      </c>
      <c r="AI525" s="29" t="str">
        <f ca="1">IF((R525)&gt;=6,"Có","Không")</f>
        <v>Có</v>
      </c>
      <c r="AJ525" s="29" t="str">
        <f>IF(OR(J525&gt;=140,K525&gt;=90),"Có","Không")</f>
        <v>Không</v>
      </c>
      <c r="AK525" s="5" t="s">
        <v>32</v>
      </c>
      <c r="AL525" s="32">
        <v>46112</v>
      </c>
      <c r="AM525" s="29" t="str">
        <f>"Tháng "&amp;MONTH(AL525)</f>
        <v>Tháng 3</v>
      </c>
      <c r="AN525" s="29" t="str">
        <f>LEFT(AK525,FIND(",",AK525)-1)</f>
        <v>Ấp Giồng Giữa B</v>
      </c>
    </row>
    <row r="526" spans="1:40" x14ac:dyDescent="0.25">
      <c r="A526" s="49" t="s">
        <v>960</v>
      </c>
      <c r="B526" s="5" t="s">
        <v>30</v>
      </c>
      <c r="C526" s="5" t="s">
        <v>203</v>
      </c>
      <c r="D526" s="29">
        <f ca="1">DATEDIF(C526,TODAY(),"Y")</f>
        <v>43</v>
      </c>
      <c r="E526" s="5" t="s">
        <v>26</v>
      </c>
      <c r="F526" s="30">
        <v>169</v>
      </c>
      <c r="G526" s="30">
        <v>68</v>
      </c>
      <c r="H526" s="31">
        <f>G526/((F526/100)*(F526/100))</f>
        <v>23.808690171912751</v>
      </c>
      <c r="I526" s="5">
        <v>83</v>
      </c>
      <c r="J526" s="30">
        <v>120</v>
      </c>
      <c r="K526" s="30">
        <v>80</v>
      </c>
      <c r="L526" s="29">
        <f>IF(B526="Nữ",0,2)</f>
        <v>2</v>
      </c>
      <c r="M526" s="29">
        <f ca="1">IF(D526&lt;45,0,IF(D526&lt;=49,1,2))</f>
        <v>0</v>
      </c>
      <c r="N526" s="29">
        <f>IF(E526="Có",4,0)</f>
        <v>0</v>
      </c>
      <c r="O526" s="29">
        <f>IF(H526&lt;23,0,IF(H526&lt;27.5,3,5))</f>
        <v>3</v>
      </c>
      <c r="P526" s="29">
        <f>IF(OR(AND(B526="Nam",I526&gt;=90),AND(B526="Nữ",I526&gt;=80)),2,0)</f>
        <v>0</v>
      </c>
      <c r="Q526" s="29">
        <f>IF(OR(J526&gt;=140,K526&gt;=90),2,0)</f>
        <v>0</v>
      </c>
      <c r="R526" s="29">
        <f ca="1">SUM(L526:Q526)</f>
        <v>5</v>
      </c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5" t="s">
        <v>1393</v>
      </c>
      <c r="AE526" s="33"/>
      <c r="AF526" s="59" t="str">
        <f t="shared" si="25"/>
        <v>Không</v>
      </c>
      <c r="AG526" s="59" t="str">
        <f t="shared" si="26"/>
        <v>Không</v>
      </c>
      <c r="AH526" s="29" t="str">
        <f t="shared" ca="1" si="24"/>
        <v>Không</v>
      </c>
      <c r="AI526" s="29" t="str">
        <f ca="1">IF((R526)&gt;=6,"Có","Không")</f>
        <v>Không</v>
      </c>
      <c r="AJ526" s="29" t="str">
        <f>IF(OR(J526&gt;=140,K526&gt;=90),"Có","Không")</f>
        <v>Không</v>
      </c>
      <c r="AK526" s="5" t="s">
        <v>72</v>
      </c>
      <c r="AL526" s="32">
        <v>46112</v>
      </c>
      <c r="AM526" s="29" t="str">
        <f>"Tháng "&amp;MONTH(AL526)</f>
        <v>Tháng 3</v>
      </c>
      <c r="AN526" s="29" t="str">
        <f>LEFT(AK526,FIND(",",AK526)-1)</f>
        <v>Ấp Giồng Giữa A</v>
      </c>
    </row>
    <row r="527" spans="1:40" x14ac:dyDescent="0.25">
      <c r="A527" s="49" t="s">
        <v>961</v>
      </c>
      <c r="B527" s="5" t="s">
        <v>23</v>
      </c>
      <c r="C527" s="5" t="s">
        <v>130</v>
      </c>
      <c r="D527" s="29">
        <f ca="1">DATEDIF(C527,TODAY(),"Y")</f>
        <v>57</v>
      </c>
      <c r="E527" s="5" t="s">
        <v>26</v>
      </c>
      <c r="F527" s="30">
        <v>158</v>
      </c>
      <c r="G527" s="30">
        <v>58</v>
      </c>
      <c r="H527" s="31">
        <f>G527/((F527/100)*(F527/100))</f>
        <v>23.233456176894723</v>
      </c>
      <c r="I527" s="5">
        <v>74</v>
      </c>
      <c r="J527" s="30">
        <v>150</v>
      </c>
      <c r="K527" s="30">
        <v>80</v>
      </c>
      <c r="L527" s="29">
        <f>IF(B527="Nữ",0,2)</f>
        <v>0</v>
      </c>
      <c r="M527" s="29">
        <f ca="1">IF(D527&lt;45,0,IF(D527&lt;=49,1,2))</f>
        <v>2</v>
      </c>
      <c r="N527" s="29">
        <f>IF(E527="Có",4,0)</f>
        <v>0</v>
      </c>
      <c r="O527" s="29">
        <f>IF(H527&lt;23,0,IF(H527&lt;27.5,3,5))</f>
        <v>3</v>
      </c>
      <c r="P527" s="29">
        <f>IF(OR(AND(B527="Nam",I527&gt;=90),AND(B527="Nữ",I527&gt;=80)),2,0)</f>
        <v>0</v>
      </c>
      <c r="Q527" s="29">
        <f>IF(OR(J527&gt;=140,K527&gt;=90),2,0)</f>
        <v>2</v>
      </c>
      <c r="R527" s="29">
        <f ca="1">SUM(L527:Q527)</f>
        <v>7</v>
      </c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5" t="s">
        <v>1393</v>
      </c>
      <c r="AE527" s="33"/>
      <c r="AF527" s="59" t="str">
        <f t="shared" si="25"/>
        <v>Không</v>
      </c>
      <c r="AG527" s="59" t="str">
        <f t="shared" si="26"/>
        <v>Không</v>
      </c>
      <c r="AH527" s="29" t="str">
        <f t="shared" ca="1" si="24"/>
        <v>Có</v>
      </c>
      <c r="AI527" s="29" t="str">
        <f ca="1">IF((R527)&gt;=6,"Có","Không")</f>
        <v>Có</v>
      </c>
      <c r="AJ527" s="29" t="str">
        <f>IF(OR(J527&gt;=140,K527&gt;=90),"Có","Không")</f>
        <v>Có</v>
      </c>
      <c r="AK527" s="5" t="s">
        <v>51</v>
      </c>
      <c r="AL527" s="32">
        <v>46112</v>
      </c>
      <c r="AM527" s="29" t="str">
        <f>"Tháng "&amp;MONTH(AL527)</f>
        <v>Tháng 3</v>
      </c>
      <c r="AN527" s="29" t="str">
        <f>LEFT(AK527,FIND(",",AK527)-1)</f>
        <v>Phường Hiệp Thành</v>
      </c>
    </row>
    <row r="528" spans="1:40" x14ac:dyDescent="0.25">
      <c r="A528" s="49" t="s">
        <v>962</v>
      </c>
      <c r="B528" s="5" t="s">
        <v>30</v>
      </c>
      <c r="C528" s="5" t="s">
        <v>76</v>
      </c>
      <c r="D528" s="29">
        <f ca="1">DATEDIF(C528,TODAY(),"Y")</f>
        <v>68</v>
      </c>
      <c r="E528" s="5" t="s">
        <v>26</v>
      </c>
      <c r="F528" s="30">
        <v>169</v>
      </c>
      <c r="G528" s="30">
        <v>68</v>
      </c>
      <c r="H528" s="31">
        <f>G528/((F528/100)*(F528/100))</f>
        <v>23.808690171912751</v>
      </c>
      <c r="I528" s="5">
        <v>98</v>
      </c>
      <c r="J528" s="30">
        <v>130</v>
      </c>
      <c r="K528" s="30">
        <v>80</v>
      </c>
      <c r="L528" s="29">
        <f>IF(B528="Nữ",0,2)</f>
        <v>2</v>
      </c>
      <c r="M528" s="29">
        <f ca="1">IF(D528&lt;45,0,IF(D528&lt;=49,1,2))</f>
        <v>2</v>
      </c>
      <c r="N528" s="29">
        <f>IF(E528="Có",4,0)</f>
        <v>0</v>
      </c>
      <c r="O528" s="29">
        <f>IF(H528&lt;23,0,IF(H528&lt;27.5,3,5))</f>
        <v>3</v>
      </c>
      <c r="P528" s="29">
        <f>IF(OR(AND(B528="Nam",I528&gt;=90),AND(B528="Nữ",I528&gt;=80)),2,0)</f>
        <v>2</v>
      </c>
      <c r="Q528" s="29">
        <f>IF(OR(J528&gt;=140,K528&gt;=90),2,0)</f>
        <v>0</v>
      </c>
      <c r="R528" s="29">
        <f ca="1">SUM(L528:Q528)</f>
        <v>9</v>
      </c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5" t="s">
        <v>1393</v>
      </c>
      <c r="AE528" s="33"/>
      <c r="AF528" s="59" t="str">
        <f t="shared" si="25"/>
        <v>Không</v>
      </c>
      <c r="AG528" s="59" t="str">
        <f t="shared" si="26"/>
        <v>Không</v>
      </c>
      <c r="AH528" s="29" t="str">
        <f t="shared" ca="1" si="24"/>
        <v>Có</v>
      </c>
      <c r="AI528" s="29" t="str">
        <f ca="1">IF((R528)&gt;=6,"Có","Không")</f>
        <v>Có</v>
      </c>
      <c r="AJ528" s="29" t="str">
        <f>IF(OR(J528&gt;=140,K528&gt;=90),"Có","Không")</f>
        <v>Không</v>
      </c>
      <c r="AK528" s="5" t="s">
        <v>68</v>
      </c>
      <c r="AL528" s="32">
        <v>46112</v>
      </c>
      <c r="AM528" s="29" t="str">
        <f>"Tháng "&amp;MONTH(AL528)</f>
        <v>Tháng 3</v>
      </c>
      <c r="AN528" s="29" t="str">
        <f>LEFT(AK528,FIND(",",AK528)-1)</f>
        <v>Ấp Biển Tây B</v>
      </c>
    </row>
    <row r="529" spans="1:40" x14ac:dyDescent="0.25">
      <c r="A529" s="49" t="s">
        <v>963</v>
      </c>
      <c r="B529" s="5" t="s">
        <v>23</v>
      </c>
      <c r="C529" s="5" t="s">
        <v>47</v>
      </c>
      <c r="D529" s="29">
        <f ca="1">DATEDIF(C529,TODAY(),"Y")</f>
        <v>55</v>
      </c>
      <c r="E529" s="5" t="s">
        <v>25</v>
      </c>
      <c r="F529" s="30">
        <v>160</v>
      </c>
      <c r="G529" s="30">
        <v>55</v>
      </c>
      <c r="H529" s="31">
        <f>G529/((F529/100)*(F529/100))</f>
        <v>21.484374999999996</v>
      </c>
      <c r="I529" s="5">
        <v>69</v>
      </c>
      <c r="J529" s="30">
        <v>120</v>
      </c>
      <c r="K529" s="30">
        <v>70</v>
      </c>
      <c r="L529" s="29">
        <f>IF(B529="Nữ",0,2)</f>
        <v>0</v>
      </c>
      <c r="M529" s="29">
        <f ca="1">IF(D529&lt;45,0,IF(D529&lt;=49,1,2))</f>
        <v>2</v>
      </c>
      <c r="N529" s="29">
        <f>IF(E529="Có",4,0)</f>
        <v>4</v>
      </c>
      <c r="O529" s="29">
        <f>IF(H529&lt;23,0,IF(H529&lt;27.5,3,5))</f>
        <v>0</v>
      </c>
      <c r="P529" s="29">
        <f>IF(OR(AND(B529="Nam",I529&gt;=90),AND(B529="Nữ",I529&gt;=80)),2,0)</f>
        <v>0</v>
      </c>
      <c r="Q529" s="29">
        <f>IF(OR(J529&gt;=140,K529&gt;=90),2,0)</f>
        <v>0</v>
      </c>
      <c r="R529" s="29">
        <f ca="1">SUM(L529:Q529)</f>
        <v>6</v>
      </c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5" t="s">
        <v>1393</v>
      </c>
      <c r="AE529" s="33"/>
      <c r="AF529" s="59" t="str">
        <f t="shared" si="25"/>
        <v>Không</v>
      </c>
      <c r="AG529" s="59" t="str">
        <f t="shared" si="26"/>
        <v>Không</v>
      </c>
      <c r="AH529" s="29" t="str">
        <f t="shared" ca="1" si="24"/>
        <v>Có</v>
      </c>
      <c r="AI529" s="29" t="str">
        <f ca="1">IF((R529)&gt;=6,"Có","Không")</f>
        <v>Có</v>
      </c>
      <c r="AJ529" s="29" t="str">
        <f>IF(OR(J529&gt;=140,K529&gt;=90),"Có","Không")</f>
        <v>Không</v>
      </c>
      <c r="AK529" s="5" t="s">
        <v>88</v>
      </c>
      <c r="AL529" s="32">
        <v>46112</v>
      </c>
      <c r="AM529" s="29" t="str">
        <f>"Tháng "&amp;MONTH(AL529)</f>
        <v>Tháng 3</v>
      </c>
      <c r="AN529" s="29" t="str">
        <f>LEFT(AK529,FIND(",",AK529)-1)</f>
        <v>Giồng Giữa</v>
      </c>
    </row>
    <row r="530" spans="1:40" x14ac:dyDescent="0.25">
      <c r="A530" s="49" t="s">
        <v>964</v>
      </c>
      <c r="B530" s="5" t="s">
        <v>23</v>
      </c>
      <c r="C530" s="5" t="s">
        <v>373</v>
      </c>
      <c r="D530" s="29">
        <f ca="1">DATEDIF(C530,TODAY(),"Y")</f>
        <v>61</v>
      </c>
      <c r="E530" s="5" t="s">
        <v>26</v>
      </c>
      <c r="F530" s="30">
        <v>158</v>
      </c>
      <c r="G530" s="30">
        <v>58</v>
      </c>
      <c r="H530" s="31">
        <f>G530/((F530/100)*(F530/100))</f>
        <v>23.233456176894723</v>
      </c>
      <c r="I530" s="5">
        <v>77</v>
      </c>
      <c r="J530" s="30">
        <v>140</v>
      </c>
      <c r="K530" s="30">
        <v>80</v>
      </c>
      <c r="L530" s="29">
        <f>IF(B530="Nữ",0,2)</f>
        <v>0</v>
      </c>
      <c r="M530" s="29">
        <f ca="1">IF(D530&lt;45,0,IF(D530&lt;=49,1,2))</f>
        <v>2</v>
      </c>
      <c r="N530" s="29">
        <f>IF(E530="Có",4,0)</f>
        <v>0</v>
      </c>
      <c r="O530" s="29">
        <f>IF(H530&lt;23,0,IF(H530&lt;27.5,3,5))</f>
        <v>3</v>
      </c>
      <c r="P530" s="29">
        <f>IF(OR(AND(B530="Nam",I530&gt;=90),AND(B530="Nữ",I530&gt;=80)),2,0)</f>
        <v>0</v>
      </c>
      <c r="Q530" s="29">
        <f>IF(OR(J530&gt;=140,K530&gt;=90),2,0)</f>
        <v>2</v>
      </c>
      <c r="R530" s="29">
        <f ca="1">SUM(L530:Q530)</f>
        <v>7</v>
      </c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5" t="s">
        <v>1393</v>
      </c>
      <c r="AE530" s="33"/>
      <c r="AF530" s="59" t="str">
        <f t="shared" si="25"/>
        <v>Không</v>
      </c>
      <c r="AG530" s="59" t="str">
        <f t="shared" si="26"/>
        <v>Không</v>
      </c>
      <c r="AH530" s="29" t="str">
        <f t="shared" ca="1" si="24"/>
        <v>Có</v>
      </c>
      <c r="AI530" s="29" t="str">
        <f ca="1">IF((R530)&gt;=6,"Có","Không")</f>
        <v>Có</v>
      </c>
      <c r="AJ530" s="29" t="str">
        <f>IF(OR(J530&gt;=140,K530&gt;=90),"Có","Không")</f>
        <v>Có</v>
      </c>
      <c r="AK530" s="5" t="s">
        <v>965</v>
      </c>
      <c r="AL530" s="32">
        <v>46112</v>
      </c>
      <c r="AM530" s="29" t="str">
        <f>"Tháng "&amp;MONTH(AL530)</f>
        <v>Tháng 3</v>
      </c>
      <c r="AN530" s="29" t="str">
        <f>LEFT(AK530,FIND(",",AK530)-1)</f>
        <v>xã Vĩnh Trạch Đông</v>
      </c>
    </row>
    <row r="531" spans="1:40" x14ac:dyDescent="0.25">
      <c r="A531" s="49" t="s">
        <v>966</v>
      </c>
      <c r="B531" s="5" t="s">
        <v>30</v>
      </c>
      <c r="C531" s="5" t="s">
        <v>93</v>
      </c>
      <c r="D531" s="29">
        <f ca="1">DATEDIF(C531,TODAY(),"Y")</f>
        <v>66</v>
      </c>
      <c r="E531" s="5" t="s">
        <v>26</v>
      </c>
      <c r="F531" s="30">
        <v>158</v>
      </c>
      <c r="G531" s="30">
        <v>56</v>
      </c>
      <c r="H531" s="31">
        <f>G531/((F531/100)*(F531/100))</f>
        <v>22.432302515622492</v>
      </c>
      <c r="I531" s="5">
        <v>92</v>
      </c>
      <c r="J531" s="30">
        <v>120</v>
      </c>
      <c r="K531" s="30">
        <v>70</v>
      </c>
      <c r="L531" s="29">
        <f>IF(B531="Nữ",0,2)</f>
        <v>2</v>
      </c>
      <c r="M531" s="29">
        <f ca="1">IF(D531&lt;45,0,IF(D531&lt;=49,1,2))</f>
        <v>2</v>
      </c>
      <c r="N531" s="29">
        <f>IF(E531="Có",4,0)</f>
        <v>0</v>
      </c>
      <c r="O531" s="29">
        <f>IF(H531&lt;23,0,IF(H531&lt;27.5,3,5))</f>
        <v>0</v>
      </c>
      <c r="P531" s="29">
        <f>IF(OR(AND(B531="Nam",I531&gt;=90),AND(B531="Nữ",I531&gt;=80)),2,0)</f>
        <v>2</v>
      </c>
      <c r="Q531" s="29">
        <f>IF(OR(J531&gt;=140,K531&gt;=90),2,0)</f>
        <v>0</v>
      </c>
      <c r="R531" s="29">
        <f ca="1">SUM(L531:Q531)</f>
        <v>6</v>
      </c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5" t="s">
        <v>1393</v>
      </c>
      <c r="AE531" s="33"/>
      <c r="AF531" s="59" t="str">
        <f t="shared" si="25"/>
        <v>Không</v>
      </c>
      <c r="AG531" s="59" t="str">
        <f t="shared" si="26"/>
        <v>Không</v>
      </c>
      <c r="AH531" s="29" t="str">
        <f t="shared" ca="1" si="24"/>
        <v>Có</v>
      </c>
      <c r="AI531" s="29" t="str">
        <f ca="1">IF((R531)&gt;=6,"Có","Không")</f>
        <v>Có</v>
      </c>
      <c r="AJ531" s="29" t="str">
        <f>IF(OR(J531&gt;=140,K531&gt;=90),"Có","Không")</f>
        <v>Không</v>
      </c>
      <c r="AK531" s="5" t="s">
        <v>251</v>
      </c>
      <c r="AL531" s="32">
        <v>46112</v>
      </c>
      <c r="AM531" s="29" t="str">
        <f>"Tháng "&amp;MONTH(AL531)</f>
        <v>Tháng 3</v>
      </c>
      <c r="AN531" s="29" t="str">
        <f>LEFT(AK531,FIND(",",AK531)-1)</f>
        <v>giồng giữa</v>
      </c>
    </row>
    <row r="532" spans="1:40" x14ac:dyDescent="0.25">
      <c r="A532" s="49" t="s">
        <v>972</v>
      </c>
      <c r="B532" s="5" t="s">
        <v>30</v>
      </c>
      <c r="C532" s="5" t="s">
        <v>40</v>
      </c>
      <c r="D532" s="29">
        <f ca="1">DATEDIF(C532,TODAY(),"Y")</f>
        <v>70</v>
      </c>
      <c r="E532" s="5" t="s">
        <v>26</v>
      </c>
      <c r="F532" s="30">
        <v>170</v>
      </c>
      <c r="G532" s="30">
        <v>75</v>
      </c>
      <c r="H532" s="31">
        <f>G532/((F532/100)*(F532/100))</f>
        <v>25.95155709342561</v>
      </c>
      <c r="I532" s="5">
        <v>100</v>
      </c>
      <c r="J532" s="30">
        <v>120</v>
      </c>
      <c r="K532" s="30">
        <v>80</v>
      </c>
      <c r="L532" s="29">
        <f>IF(B532="Nữ",0,2)</f>
        <v>2</v>
      </c>
      <c r="M532" s="29">
        <f ca="1">IF(D532&lt;45,0,IF(D532&lt;=49,1,2))</f>
        <v>2</v>
      </c>
      <c r="N532" s="29">
        <f>IF(E532="Có",4,0)</f>
        <v>0</v>
      </c>
      <c r="O532" s="29">
        <f>IF(H532&lt;23,0,IF(H532&lt;27.5,3,5))</f>
        <v>3</v>
      </c>
      <c r="P532" s="29">
        <f>IF(OR(AND(B532="Nam",I532&gt;=90),AND(B532="Nữ",I532&gt;=80)),2,0)</f>
        <v>2</v>
      </c>
      <c r="Q532" s="29">
        <f>IF(OR(J532&gt;=140,K532&gt;=90),2,0)</f>
        <v>0</v>
      </c>
      <c r="R532" s="29">
        <f ca="1">SUM(L532:Q532)</f>
        <v>9</v>
      </c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5" t="s">
        <v>1393</v>
      </c>
      <c r="AE532" s="33"/>
      <c r="AF532" s="59" t="str">
        <f t="shared" si="25"/>
        <v>Không</v>
      </c>
      <c r="AG532" s="59" t="str">
        <f t="shared" si="26"/>
        <v>Không</v>
      </c>
      <c r="AH532" s="29" t="str">
        <f t="shared" ca="1" si="24"/>
        <v>Có</v>
      </c>
      <c r="AI532" s="29" t="str">
        <f ca="1">IF((R532)&gt;=6,"Có","Không")</f>
        <v>Có</v>
      </c>
      <c r="AJ532" s="29" t="str">
        <f>IF(OR(J532&gt;=140,K532&gt;=90),"Có","Không")</f>
        <v>Không</v>
      </c>
      <c r="AK532" s="5" t="s">
        <v>68</v>
      </c>
      <c r="AL532" s="32">
        <v>46112</v>
      </c>
      <c r="AM532" s="29" t="str">
        <f>"Tháng "&amp;MONTH(AL532)</f>
        <v>Tháng 3</v>
      </c>
      <c r="AN532" s="29" t="str">
        <f>LEFT(AK532,FIND(",",AK532)-1)</f>
        <v>Ấp Biển Tây B</v>
      </c>
    </row>
    <row r="533" spans="1:40" x14ac:dyDescent="0.25">
      <c r="A533" s="49" t="s">
        <v>973</v>
      </c>
      <c r="B533" s="5" t="s">
        <v>30</v>
      </c>
      <c r="C533" s="5" t="s">
        <v>90</v>
      </c>
      <c r="D533" s="29">
        <f ca="1">DATEDIF(C533,TODAY(),"Y")</f>
        <v>54</v>
      </c>
      <c r="E533" s="5" t="s">
        <v>26</v>
      </c>
      <c r="F533" s="30">
        <v>166</v>
      </c>
      <c r="G533" s="30">
        <v>50</v>
      </c>
      <c r="H533" s="31">
        <f>G533/((F533/100)*(F533/100))</f>
        <v>18.144868631151112</v>
      </c>
      <c r="I533" s="5">
        <v>82</v>
      </c>
      <c r="J533" s="30">
        <v>120</v>
      </c>
      <c r="K533" s="30">
        <v>80</v>
      </c>
      <c r="L533" s="29">
        <f>IF(B533="Nữ",0,2)</f>
        <v>2</v>
      </c>
      <c r="M533" s="29">
        <f ca="1">IF(D533&lt;45,0,IF(D533&lt;=49,1,2))</f>
        <v>2</v>
      </c>
      <c r="N533" s="29">
        <f>IF(E533="Có",4,0)</f>
        <v>0</v>
      </c>
      <c r="O533" s="29">
        <f>IF(H533&lt;23,0,IF(H533&lt;27.5,3,5))</f>
        <v>0</v>
      </c>
      <c r="P533" s="29">
        <f>IF(OR(AND(B533="Nam",I533&gt;=90),AND(B533="Nữ",I533&gt;=80)),2,0)</f>
        <v>0</v>
      </c>
      <c r="Q533" s="29">
        <f>IF(OR(J533&gt;=140,K533&gt;=90),2,0)</f>
        <v>0</v>
      </c>
      <c r="R533" s="29">
        <f ca="1">SUM(L533:Q533)</f>
        <v>4</v>
      </c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5" t="s">
        <v>1393</v>
      </c>
      <c r="AE533" s="33"/>
      <c r="AF533" s="59" t="str">
        <f t="shared" si="25"/>
        <v>Không</v>
      </c>
      <c r="AG533" s="59" t="str">
        <f t="shared" si="26"/>
        <v>Không</v>
      </c>
      <c r="AH533" s="29" t="str">
        <f t="shared" ca="1" si="24"/>
        <v>Không</v>
      </c>
      <c r="AI533" s="29" t="str">
        <f ca="1">IF((R533)&gt;=6,"Có","Không")</f>
        <v>Không</v>
      </c>
      <c r="AJ533" s="29" t="str">
        <f>IF(OR(J533&gt;=140,K533&gt;=90),"Có","Không")</f>
        <v>Không</v>
      </c>
      <c r="AK533" s="5" t="s">
        <v>91</v>
      </c>
      <c r="AL533" s="32">
        <v>46112</v>
      </c>
      <c r="AM533" s="29" t="str">
        <f>"Tháng "&amp;MONTH(AL533)</f>
        <v>Tháng 3</v>
      </c>
      <c r="AN533" s="29" t="str">
        <f>LEFT(AK533,FIND(",",AK533)-1)</f>
        <v>Ấp Giồng Giữa</v>
      </c>
    </row>
    <row r="534" spans="1:40" x14ac:dyDescent="0.25">
      <c r="A534" s="49" t="s">
        <v>974</v>
      </c>
      <c r="B534" s="5" t="s">
        <v>23</v>
      </c>
      <c r="C534" s="5" t="s">
        <v>87</v>
      </c>
      <c r="D534" s="29">
        <f ca="1">DATEDIF(C534,TODAY(),"Y")</f>
        <v>49</v>
      </c>
      <c r="E534" s="5" t="s">
        <v>26</v>
      </c>
      <c r="F534" s="30">
        <v>150</v>
      </c>
      <c r="G534" s="30">
        <v>50</v>
      </c>
      <c r="H534" s="31">
        <f>G534/((F534/100)*(F534/100))</f>
        <v>22.222222222222221</v>
      </c>
      <c r="I534" s="5">
        <v>89</v>
      </c>
      <c r="J534" s="30">
        <v>120</v>
      </c>
      <c r="K534" s="30">
        <v>80</v>
      </c>
      <c r="L534" s="29">
        <f>IF(B534="Nữ",0,2)</f>
        <v>0</v>
      </c>
      <c r="M534" s="29">
        <f ca="1">IF(D534&lt;45,0,IF(D534&lt;=49,1,2))</f>
        <v>1</v>
      </c>
      <c r="N534" s="29">
        <f>IF(E534="Có",4,0)</f>
        <v>0</v>
      </c>
      <c r="O534" s="29">
        <f>IF(H534&lt;23,0,IF(H534&lt;27.5,3,5))</f>
        <v>0</v>
      </c>
      <c r="P534" s="29">
        <f>IF(OR(AND(B534="Nam",I534&gt;=90),AND(B534="Nữ",I534&gt;=80)),2,0)</f>
        <v>2</v>
      </c>
      <c r="Q534" s="29">
        <f>IF(OR(J534&gt;=140,K534&gt;=90),2,0)</f>
        <v>0</v>
      </c>
      <c r="R534" s="29">
        <f ca="1">SUM(L534:Q534)</f>
        <v>3</v>
      </c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5" t="s">
        <v>1393</v>
      </c>
      <c r="AE534" s="33"/>
      <c r="AF534" s="59" t="str">
        <f t="shared" si="25"/>
        <v>Không</v>
      </c>
      <c r="AG534" s="59" t="str">
        <f t="shared" si="26"/>
        <v>Không</v>
      </c>
      <c r="AH534" s="29" t="str">
        <f t="shared" ca="1" si="24"/>
        <v>Không</v>
      </c>
      <c r="AI534" s="29" t="str">
        <f ca="1">IF((R534)&gt;=6,"Có","Không")</f>
        <v>Không</v>
      </c>
      <c r="AJ534" s="29" t="str">
        <f>IF(OR(J534&gt;=140,K534&gt;=90),"Có","Không")</f>
        <v>Không</v>
      </c>
      <c r="AK534" s="5" t="s">
        <v>975</v>
      </c>
      <c r="AL534" s="32">
        <v>46112</v>
      </c>
      <c r="AM534" s="29" t="str">
        <f>"Tháng "&amp;MONTH(AL534)</f>
        <v>Tháng 3</v>
      </c>
      <c r="AN534" s="29" t="str">
        <f>LEFT(AK534,FIND(",",AK534)-1)</f>
        <v>Ấp Bình Tiền 2</v>
      </c>
    </row>
    <row r="535" spans="1:40" x14ac:dyDescent="0.25">
      <c r="A535" s="49" t="s">
        <v>976</v>
      </c>
      <c r="B535" s="5" t="s">
        <v>23</v>
      </c>
      <c r="C535" s="5" t="s">
        <v>93</v>
      </c>
      <c r="D535" s="29">
        <f ca="1">DATEDIF(C535,TODAY(),"Y")</f>
        <v>66</v>
      </c>
      <c r="E535" s="5" t="s">
        <v>26</v>
      </c>
      <c r="F535" s="30">
        <v>158</v>
      </c>
      <c r="G535" s="30">
        <v>58</v>
      </c>
      <c r="H535" s="31">
        <f>G535/((F535/100)*(F535/100))</f>
        <v>23.233456176894723</v>
      </c>
      <c r="I535" s="5">
        <v>66</v>
      </c>
      <c r="J535" s="30">
        <v>150</v>
      </c>
      <c r="K535" s="30">
        <v>80</v>
      </c>
      <c r="L535" s="29">
        <f>IF(B535="Nữ",0,2)</f>
        <v>0</v>
      </c>
      <c r="M535" s="29">
        <f ca="1">IF(D535&lt;45,0,IF(D535&lt;=49,1,2))</f>
        <v>2</v>
      </c>
      <c r="N535" s="29">
        <f>IF(E535="Có",4,0)</f>
        <v>0</v>
      </c>
      <c r="O535" s="29">
        <f>IF(H535&lt;23,0,IF(H535&lt;27.5,3,5))</f>
        <v>3</v>
      </c>
      <c r="P535" s="29">
        <f>IF(OR(AND(B535="Nam",I535&gt;=90),AND(B535="Nữ",I535&gt;=80)),2,0)</f>
        <v>0</v>
      </c>
      <c r="Q535" s="29">
        <f>IF(OR(J535&gt;=140,K535&gt;=90),2,0)</f>
        <v>2</v>
      </c>
      <c r="R535" s="29">
        <f ca="1">SUM(L535:Q535)</f>
        <v>7</v>
      </c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5" t="s">
        <v>1393</v>
      </c>
      <c r="AE535" s="33"/>
      <c r="AF535" s="59" t="str">
        <f t="shared" si="25"/>
        <v>Không</v>
      </c>
      <c r="AG535" s="59" t="str">
        <f t="shared" si="26"/>
        <v>Không</v>
      </c>
      <c r="AH535" s="29" t="str">
        <f t="shared" ca="1" si="24"/>
        <v>Có</v>
      </c>
      <c r="AI535" s="29" t="str">
        <f ca="1">IF((R535)&gt;=6,"Có","Không")</f>
        <v>Có</v>
      </c>
      <c r="AJ535" s="29" t="str">
        <f>IF(OR(J535&gt;=140,K535&gt;=90),"Có","Không")</f>
        <v>Có</v>
      </c>
      <c r="AK535" s="5" t="s">
        <v>32</v>
      </c>
      <c r="AL535" s="32">
        <v>46112</v>
      </c>
      <c r="AM535" s="29" t="str">
        <f>"Tháng "&amp;MONTH(AL535)</f>
        <v>Tháng 3</v>
      </c>
      <c r="AN535" s="29" t="str">
        <f>LEFT(AK535,FIND(",",AK535)-1)</f>
        <v>Ấp Giồng Giữa B</v>
      </c>
    </row>
    <row r="536" spans="1:40" x14ac:dyDescent="0.25">
      <c r="A536" s="49" t="s">
        <v>977</v>
      </c>
      <c r="B536" s="5" t="s">
        <v>30</v>
      </c>
      <c r="C536" s="5" t="s">
        <v>84</v>
      </c>
      <c r="D536" s="29">
        <f ca="1">DATEDIF(C536,TODAY(),"Y")</f>
        <v>69</v>
      </c>
      <c r="E536" s="5" t="s">
        <v>25</v>
      </c>
      <c r="F536" s="30">
        <v>169</v>
      </c>
      <c r="G536" s="30">
        <v>68</v>
      </c>
      <c r="H536" s="31">
        <f>G536/((F536/100)*(F536/100))</f>
        <v>23.808690171912751</v>
      </c>
      <c r="I536" s="5">
        <v>100</v>
      </c>
      <c r="J536" s="30">
        <v>140</v>
      </c>
      <c r="K536" s="30">
        <v>80</v>
      </c>
      <c r="L536" s="29">
        <f>IF(B536="Nữ",0,2)</f>
        <v>2</v>
      </c>
      <c r="M536" s="29">
        <f ca="1">IF(D536&lt;45,0,IF(D536&lt;=49,1,2))</f>
        <v>2</v>
      </c>
      <c r="N536" s="29">
        <f>IF(E536="Có",4,0)</f>
        <v>4</v>
      </c>
      <c r="O536" s="29">
        <f>IF(H536&lt;23,0,IF(H536&lt;27.5,3,5))</f>
        <v>3</v>
      </c>
      <c r="P536" s="29">
        <f>IF(OR(AND(B536="Nam",I536&gt;=90),AND(B536="Nữ",I536&gt;=80)),2,0)</f>
        <v>2</v>
      </c>
      <c r="Q536" s="29">
        <f>IF(OR(J536&gt;=140,K536&gt;=90),2,0)</f>
        <v>2</v>
      </c>
      <c r="R536" s="29">
        <f ca="1">SUM(L536:Q536)</f>
        <v>15</v>
      </c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5" t="s">
        <v>1393</v>
      </c>
      <c r="AE536" s="33"/>
      <c r="AF536" s="59" t="str">
        <f t="shared" si="25"/>
        <v>Không</v>
      </c>
      <c r="AG536" s="59" t="str">
        <f t="shared" si="26"/>
        <v>Không</v>
      </c>
      <c r="AH536" s="29" t="str">
        <f t="shared" ca="1" si="24"/>
        <v>Có</v>
      </c>
      <c r="AI536" s="29" t="str">
        <f ca="1">IF((R536)&gt;=6,"Có","Không")</f>
        <v>Có</v>
      </c>
      <c r="AJ536" s="29" t="str">
        <f>IF(OR(J536&gt;=140,K536&gt;=90),"Có","Không")</f>
        <v>Có</v>
      </c>
      <c r="AK536" s="5" t="s">
        <v>32</v>
      </c>
      <c r="AL536" s="32">
        <v>46112</v>
      </c>
      <c r="AM536" s="29" t="str">
        <f>"Tháng "&amp;MONTH(AL536)</f>
        <v>Tháng 3</v>
      </c>
      <c r="AN536" s="29" t="str">
        <f>LEFT(AK536,FIND(",",AK536)-1)</f>
        <v>Ấp Giồng Giữa B</v>
      </c>
    </row>
    <row r="537" spans="1:40" x14ac:dyDescent="0.25">
      <c r="A537" s="49" t="s">
        <v>978</v>
      </c>
      <c r="B537" s="5" t="s">
        <v>23</v>
      </c>
      <c r="C537" s="5" t="s">
        <v>130</v>
      </c>
      <c r="D537" s="29">
        <f ca="1">DATEDIF(C537,TODAY(),"Y")</f>
        <v>57</v>
      </c>
      <c r="E537" s="5" t="s">
        <v>26</v>
      </c>
      <c r="F537" s="30">
        <v>158</v>
      </c>
      <c r="G537" s="30">
        <v>54</v>
      </c>
      <c r="H537" s="31">
        <f>G537/((F537/100)*(F537/100))</f>
        <v>21.631148854350261</v>
      </c>
      <c r="I537" s="5">
        <v>69</v>
      </c>
      <c r="J537" s="30">
        <v>120</v>
      </c>
      <c r="K537" s="30">
        <v>80</v>
      </c>
      <c r="L537" s="29">
        <f>IF(B537="Nữ",0,2)</f>
        <v>0</v>
      </c>
      <c r="M537" s="29">
        <f ca="1">IF(D537&lt;45,0,IF(D537&lt;=49,1,2))</f>
        <v>2</v>
      </c>
      <c r="N537" s="29">
        <f>IF(E537="Có",4,0)</f>
        <v>0</v>
      </c>
      <c r="O537" s="29">
        <f>IF(H537&lt;23,0,IF(H537&lt;27.5,3,5))</f>
        <v>0</v>
      </c>
      <c r="P537" s="29">
        <f>IF(OR(AND(B537="Nam",I537&gt;=90),AND(B537="Nữ",I537&gt;=80)),2,0)</f>
        <v>0</v>
      </c>
      <c r="Q537" s="29">
        <f>IF(OR(J537&gt;=140,K537&gt;=90),2,0)</f>
        <v>0</v>
      </c>
      <c r="R537" s="29">
        <f ca="1">SUM(L537:Q537)</f>
        <v>2</v>
      </c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5" t="s">
        <v>1393</v>
      </c>
      <c r="AE537" s="33"/>
      <c r="AF537" s="59" t="str">
        <f t="shared" si="25"/>
        <v>Không</v>
      </c>
      <c r="AG537" s="59" t="str">
        <f t="shared" si="26"/>
        <v>Không</v>
      </c>
      <c r="AH537" s="29" t="str">
        <f t="shared" ca="1" si="24"/>
        <v>Không</v>
      </c>
      <c r="AI537" s="29" t="str">
        <f ca="1">IF((R537)&gt;=6,"Có","Không")</f>
        <v>Không</v>
      </c>
      <c r="AJ537" s="29" t="str">
        <f>IF(OR(J537&gt;=140,K537&gt;=90),"Có","Không")</f>
        <v>Không</v>
      </c>
      <c r="AK537" s="5" t="s">
        <v>51</v>
      </c>
      <c r="AL537" s="32">
        <v>46112</v>
      </c>
      <c r="AM537" s="29" t="str">
        <f>"Tháng "&amp;MONTH(AL537)</f>
        <v>Tháng 3</v>
      </c>
      <c r="AN537" s="29" t="str">
        <f>LEFT(AK537,FIND(",",AK537)-1)</f>
        <v>Phường Hiệp Thành</v>
      </c>
    </row>
    <row r="538" spans="1:40" x14ac:dyDescent="0.25">
      <c r="A538" s="49" t="s">
        <v>979</v>
      </c>
      <c r="B538" s="5" t="s">
        <v>23</v>
      </c>
      <c r="C538" s="5" t="s">
        <v>373</v>
      </c>
      <c r="D538" s="29">
        <f ca="1">DATEDIF(C538,TODAY(),"Y")</f>
        <v>61</v>
      </c>
      <c r="E538" s="5" t="s">
        <v>26</v>
      </c>
      <c r="F538" s="30">
        <v>150</v>
      </c>
      <c r="G538" s="30">
        <v>55</v>
      </c>
      <c r="H538" s="31">
        <f>G538/((F538/100)*(F538/100))</f>
        <v>24.444444444444443</v>
      </c>
      <c r="I538" s="5">
        <v>84</v>
      </c>
      <c r="J538" s="30">
        <v>120</v>
      </c>
      <c r="K538" s="30">
        <v>80</v>
      </c>
      <c r="L538" s="29">
        <f>IF(B538="Nữ",0,2)</f>
        <v>0</v>
      </c>
      <c r="M538" s="29">
        <f ca="1">IF(D538&lt;45,0,IF(D538&lt;=49,1,2))</f>
        <v>2</v>
      </c>
      <c r="N538" s="29">
        <f>IF(E538="Có",4,0)</f>
        <v>0</v>
      </c>
      <c r="O538" s="29">
        <f>IF(H538&lt;23,0,IF(H538&lt;27.5,3,5))</f>
        <v>3</v>
      </c>
      <c r="P538" s="29">
        <f>IF(OR(AND(B538="Nam",I538&gt;=90),AND(B538="Nữ",I538&gt;=80)),2,0)</f>
        <v>2</v>
      </c>
      <c r="Q538" s="29">
        <f>IF(OR(J538&gt;=140,K538&gt;=90),2,0)</f>
        <v>0</v>
      </c>
      <c r="R538" s="29">
        <f ca="1">SUM(L538:Q538)</f>
        <v>7</v>
      </c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5" t="s">
        <v>1393</v>
      </c>
      <c r="AE538" s="33"/>
      <c r="AF538" s="59" t="str">
        <f t="shared" si="25"/>
        <v>Không</v>
      </c>
      <c r="AG538" s="59" t="str">
        <f t="shared" si="26"/>
        <v>Không</v>
      </c>
      <c r="AH538" s="29" t="str">
        <f t="shared" ca="1" si="24"/>
        <v>Có</v>
      </c>
      <c r="AI538" s="29" t="str">
        <f ca="1">IF((R538)&gt;=6,"Có","Không")</f>
        <v>Có</v>
      </c>
      <c r="AJ538" s="29" t="str">
        <f>IF(OR(J538&gt;=140,K538&gt;=90),"Có","Không")</f>
        <v>Không</v>
      </c>
      <c r="AK538" s="5" t="s">
        <v>215</v>
      </c>
      <c r="AL538" s="32">
        <v>46112</v>
      </c>
      <c r="AM538" s="29" t="str">
        <f>"Tháng "&amp;MONTH(AL538)</f>
        <v>Tháng 3</v>
      </c>
      <c r="AN538" s="29" t="str">
        <f>LEFT(AK538,FIND(",",AK538)-1)</f>
        <v>Giồng Nhãn A</v>
      </c>
    </row>
    <row r="539" spans="1:40" x14ac:dyDescent="0.25">
      <c r="A539" s="49" t="s">
        <v>980</v>
      </c>
      <c r="B539" s="5" t="s">
        <v>23</v>
      </c>
      <c r="C539" s="5" t="s">
        <v>90</v>
      </c>
      <c r="D539" s="29">
        <f ca="1">DATEDIF(C539,TODAY(),"Y")</f>
        <v>54</v>
      </c>
      <c r="E539" s="5" t="s">
        <v>26</v>
      </c>
      <c r="F539" s="30">
        <v>158</v>
      </c>
      <c r="G539" s="30">
        <v>58</v>
      </c>
      <c r="H539" s="31">
        <f>G539/((F539/100)*(F539/100))</f>
        <v>23.233456176894723</v>
      </c>
      <c r="I539" s="5">
        <v>77</v>
      </c>
      <c r="J539" s="30">
        <v>140</v>
      </c>
      <c r="K539" s="30">
        <v>80</v>
      </c>
      <c r="L539" s="29">
        <f>IF(B539="Nữ",0,2)</f>
        <v>0</v>
      </c>
      <c r="M539" s="29">
        <f ca="1">IF(D539&lt;45,0,IF(D539&lt;=49,1,2))</f>
        <v>2</v>
      </c>
      <c r="N539" s="29">
        <f>IF(E539="Có",4,0)</f>
        <v>0</v>
      </c>
      <c r="O539" s="29">
        <f>IF(H539&lt;23,0,IF(H539&lt;27.5,3,5))</f>
        <v>3</v>
      </c>
      <c r="P539" s="29">
        <f>IF(OR(AND(B539="Nam",I539&gt;=90),AND(B539="Nữ",I539&gt;=80)),2,0)</f>
        <v>0</v>
      </c>
      <c r="Q539" s="29">
        <f>IF(OR(J539&gt;=140,K539&gt;=90),2,0)</f>
        <v>2</v>
      </c>
      <c r="R539" s="29">
        <f ca="1">SUM(L539:Q539)</f>
        <v>7</v>
      </c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5" t="s">
        <v>1393</v>
      </c>
      <c r="AE539" s="33"/>
      <c r="AF539" s="59" t="str">
        <f t="shared" si="25"/>
        <v>Không</v>
      </c>
      <c r="AG539" s="59" t="str">
        <f t="shared" si="26"/>
        <v>Không</v>
      </c>
      <c r="AH539" s="29" t="str">
        <f t="shared" ca="1" si="24"/>
        <v>Có</v>
      </c>
      <c r="AI539" s="29" t="str">
        <f ca="1">IF((R539)&gt;=6,"Có","Không")</f>
        <v>Có</v>
      </c>
      <c r="AJ539" s="29" t="str">
        <f>IF(OR(J539&gt;=140,K539&gt;=90),"Có","Không")</f>
        <v>Có</v>
      </c>
      <c r="AK539" s="5" t="s">
        <v>234</v>
      </c>
      <c r="AL539" s="32">
        <v>46112</v>
      </c>
      <c r="AM539" s="29" t="str">
        <f>"Tháng "&amp;MONTH(AL539)</f>
        <v>Tháng 3</v>
      </c>
      <c r="AN539" s="29" t="str">
        <f>LEFT(AK539,FIND(",",AK539)-1)</f>
        <v>ấp Biển Đông B</v>
      </c>
    </row>
    <row r="540" spans="1:40" x14ac:dyDescent="0.25">
      <c r="A540" s="49" t="s">
        <v>981</v>
      </c>
      <c r="B540" s="5" t="s">
        <v>23</v>
      </c>
      <c r="C540" s="5" t="s">
        <v>138</v>
      </c>
      <c r="D540" s="29">
        <f ca="1">DATEDIF(C540,TODAY(),"Y")</f>
        <v>67</v>
      </c>
      <c r="E540" s="5" t="s">
        <v>26</v>
      </c>
      <c r="F540" s="30">
        <v>160</v>
      </c>
      <c r="G540" s="30">
        <v>67</v>
      </c>
      <c r="H540" s="31">
        <f>G540/((F540/100)*(F540/100))</f>
        <v>26.171874999999996</v>
      </c>
      <c r="I540" s="5">
        <v>70</v>
      </c>
      <c r="J540" s="30">
        <v>130</v>
      </c>
      <c r="K540" s="30">
        <v>80</v>
      </c>
      <c r="L540" s="29">
        <f>IF(B540="Nữ",0,2)</f>
        <v>0</v>
      </c>
      <c r="M540" s="29">
        <f ca="1">IF(D540&lt;45,0,IF(D540&lt;=49,1,2))</f>
        <v>2</v>
      </c>
      <c r="N540" s="29">
        <f>IF(E540="Có",4,0)</f>
        <v>0</v>
      </c>
      <c r="O540" s="29">
        <f>IF(H540&lt;23,0,IF(H540&lt;27.5,3,5))</f>
        <v>3</v>
      </c>
      <c r="P540" s="29">
        <f>IF(OR(AND(B540="Nam",I540&gt;=90),AND(B540="Nữ",I540&gt;=80)),2,0)</f>
        <v>0</v>
      </c>
      <c r="Q540" s="29">
        <f>IF(OR(J540&gt;=140,K540&gt;=90),2,0)</f>
        <v>0</v>
      </c>
      <c r="R540" s="29">
        <f ca="1">SUM(L540:Q540)</f>
        <v>5</v>
      </c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5" t="s">
        <v>1393</v>
      </c>
      <c r="AE540" s="33"/>
      <c r="AF540" s="59" t="str">
        <f t="shared" si="25"/>
        <v>Không</v>
      </c>
      <c r="AG540" s="59" t="str">
        <f t="shared" si="26"/>
        <v>Không</v>
      </c>
      <c r="AH540" s="29" t="str">
        <f t="shared" ca="1" si="24"/>
        <v>Không</v>
      </c>
      <c r="AI540" s="29" t="str">
        <f ca="1">IF((R540)&gt;=6,"Có","Không")</f>
        <v>Không</v>
      </c>
      <c r="AJ540" s="29" t="str">
        <f>IF(OR(J540&gt;=140,K540&gt;=90),"Có","Không")</f>
        <v>Không</v>
      </c>
      <c r="AK540" s="5" t="s">
        <v>436</v>
      </c>
      <c r="AL540" s="32">
        <v>46112</v>
      </c>
      <c r="AM540" s="29" t="str">
        <f>"Tháng "&amp;MONTH(AL540)</f>
        <v>Tháng 3</v>
      </c>
      <c r="AN540" s="29" t="str">
        <f>LEFT(AK540,FIND(",",AK540)-1)</f>
        <v>ấp giồng nhãn a</v>
      </c>
    </row>
    <row r="541" spans="1:40" x14ac:dyDescent="0.25">
      <c r="A541" s="49" t="s">
        <v>514</v>
      </c>
      <c r="B541" s="5" t="s">
        <v>23</v>
      </c>
      <c r="C541" s="5" t="s">
        <v>82</v>
      </c>
      <c r="D541" s="29">
        <f ca="1">DATEDIF(C541,TODAY(),"Y")</f>
        <v>73</v>
      </c>
      <c r="E541" s="5" t="s">
        <v>26</v>
      </c>
      <c r="F541" s="30">
        <v>158</v>
      </c>
      <c r="G541" s="30">
        <v>58</v>
      </c>
      <c r="H541" s="31">
        <f>G541/((F541/100)*(F541/100))</f>
        <v>23.233456176894723</v>
      </c>
      <c r="I541" s="5">
        <v>79</v>
      </c>
      <c r="J541" s="30">
        <v>120</v>
      </c>
      <c r="K541" s="30">
        <v>80</v>
      </c>
      <c r="L541" s="29">
        <f>IF(B541="Nữ",0,2)</f>
        <v>0</v>
      </c>
      <c r="M541" s="29">
        <f ca="1">IF(D541&lt;45,0,IF(D541&lt;=49,1,2))</f>
        <v>2</v>
      </c>
      <c r="N541" s="29">
        <f>IF(E541="Có",4,0)</f>
        <v>0</v>
      </c>
      <c r="O541" s="29">
        <f>IF(H541&lt;23,0,IF(H541&lt;27.5,3,5))</f>
        <v>3</v>
      </c>
      <c r="P541" s="29">
        <f>IF(OR(AND(B541="Nam",I541&gt;=90),AND(B541="Nữ",I541&gt;=80)),2,0)</f>
        <v>0</v>
      </c>
      <c r="Q541" s="29">
        <f>IF(OR(J541&gt;=140,K541&gt;=90),2,0)</f>
        <v>0</v>
      </c>
      <c r="R541" s="29">
        <f ca="1">SUM(L541:Q541)</f>
        <v>5</v>
      </c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5" t="s">
        <v>1393</v>
      </c>
      <c r="AE541" s="33"/>
      <c r="AF541" s="59" t="str">
        <f t="shared" si="25"/>
        <v>Không</v>
      </c>
      <c r="AG541" s="59" t="str">
        <f t="shared" si="26"/>
        <v>Không</v>
      </c>
      <c r="AH541" s="29" t="str">
        <f t="shared" ca="1" si="24"/>
        <v>Không</v>
      </c>
      <c r="AI541" s="29" t="str">
        <f ca="1">IF((R541)&gt;=6,"Có","Không")</f>
        <v>Không</v>
      </c>
      <c r="AJ541" s="29" t="str">
        <f>IF(OR(J541&gt;=140,K541&gt;=90),"Có","Không")</f>
        <v>Không</v>
      </c>
      <c r="AK541" s="5" t="s">
        <v>38</v>
      </c>
      <c r="AL541" s="32">
        <v>46112</v>
      </c>
      <c r="AM541" s="29" t="str">
        <f>"Tháng "&amp;MONTH(AL541)</f>
        <v>Tháng 3</v>
      </c>
      <c r="AN541" s="29" t="str">
        <f>LEFT(AK541,FIND(",",AK541)-1)</f>
        <v>Ấp Biển Đông B</v>
      </c>
    </row>
    <row r="542" spans="1:40" x14ac:dyDescent="0.25">
      <c r="A542" s="49" t="s">
        <v>987</v>
      </c>
      <c r="B542" s="5" t="s">
        <v>23</v>
      </c>
      <c r="C542" s="5" t="s">
        <v>105</v>
      </c>
      <c r="D542" s="29">
        <f ca="1">DATEDIF(C542,TODAY(),"Y")</f>
        <v>60</v>
      </c>
      <c r="E542" s="5" t="s">
        <v>26</v>
      </c>
      <c r="F542" s="30">
        <v>152</v>
      </c>
      <c r="G542" s="30">
        <v>52</v>
      </c>
      <c r="H542" s="31">
        <f>G542/((F542/100)*(F542/100))</f>
        <v>22.506925207756233</v>
      </c>
      <c r="I542" s="5">
        <v>80</v>
      </c>
      <c r="J542" s="30">
        <v>110</v>
      </c>
      <c r="K542" s="30">
        <v>70</v>
      </c>
      <c r="L542" s="29">
        <f>IF(B542="Nữ",0,2)</f>
        <v>0</v>
      </c>
      <c r="M542" s="29">
        <f ca="1">IF(D542&lt;45,0,IF(D542&lt;=49,1,2))</f>
        <v>2</v>
      </c>
      <c r="N542" s="29">
        <f>IF(E542="Có",4,0)</f>
        <v>0</v>
      </c>
      <c r="O542" s="29">
        <f>IF(H542&lt;23,0,IF(H542&lt;27.5,3,5))</f>
        <v>0</v>
      </c>
      <c r="P542" s="29">
        <f>IF(OR(AND(B542="Nam",I542&gt;=90),AND(B542="Nữ",I542&gt;=80)),2,0)</f>
        <v>2</v>
      </c>
      <c r="Q542" s="29">
        <f>IF(OR(J542&gt;=140,K542&gt;=90),2,0)</f>
        <v>0</v>
      </c>
      <c r="R542" s="29">
        <f ca="1">SUM(L542:Q542)</f>
        <v>4</v>
      </c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5" t="s">
        <v>1393</v>
      </c>
      <c r="AE542" s="33"/>
      <c r="AF542" s="59" t="str">
        <f t="shared" si="25"/>
        <v>Không</v>
      </c>
      <c r="AG542" s="59" t="str">
        <f t="shared" si="26"/>
        <v>Không</v>
      </c>
      <c r="AH542" s="29" t="str">
        <f t="shared" ca="1" si="24"/>
        <v>Không</v>
      </c>
      <c r="AI542" s="29" t="str">
        <f ca="1">IF((R542)&gt;=6,"Có","Không")</f>
        <v>Không</v>
      </c>
      <c r="AJ542" s="29" t="str">
        <f>IF(OR(J542&gt;=140,K542&gt;=90),"Có","Không")</f>
        <v>Không</v>
      </c>
      <c r="AK542" s="5" t="s">
        <v>988</v>
      </c>
      <c r="AL542" s="32">
        <v>46112</v>
      </c>
      <c r="AM542" s="29" t="str">
        <f>"Tháng "&amp;MONTH(AL542)</f>
        <v>Tháng 3</v>
      </c>
      <c r="AN542" s="29" t="str">
        <f>LEFT(AK542,FIND(",",AK542)-1)</f>
        <v>Khóm Bờ Tây</v>
      </c>
    </row>
    <row r="543" spans="1:40" x14ac:dyDescent="0.25">
      <c r="A543" s="49" t="s">
        <v>989</v>
      </c>
      <c r="B543" s="5" t="s">
        <v>30</v>
      </c>
      <c r="C543" s="5" t="s">
        <v>146</v>
      </c>
      <c r="D543" s="29">
        <f ca="1">DATEDIF(C543,TODAY(),"Y")</f>
        <v>52</v>
      </c>
      <c r="E543" s="5" t="s">
        <v>25</v>
      </c>
      <c r="F543" s="30">
        <v>158</v>
      </c>
      <c r="G543" s="30">
        <v>53</v>
      </c>
      <c r="H543" s="31">
        <f>G543/((F543/100)*(F543/100))</f>
        <v>21.230572023714146</v>
      </c>
      <c r="I543" s="5">
        <v>89</v>
      </c>
      <c r="J543" s="30">
        <v>120</v>
      </c>
      <c r="K543" s="30">
        <v>70</v>
      </c>
      <c r="L543" s="29">
        <f>IF(B543="Nữ",0,2)</f>
        <v>2</v>
      </c>
      <c r="M543" s="29">
        <f ca="1">IF(D543&lt;45,0,IF(D543&lt;=49,1,2))</f>
        <v>2</v>
      </c>
      <c r="N543" s="29">
        <f>IF(E543="Có",4,0)</f>
        <v>4</v>
      </c>
      <c r="O543" s="29">
        <f>IF(H543&lt;23,0,IF(H543&lt;27.5,3,5))</f>
        <v>0</v>
      </c>
      <c r="P543" s="29">
        <f>IF(OR(AND(B543="Nam",I543&gt;=90),AND(B543="Nữ",I543&gt;=80)),2,0)</f>
        <v>0</v>
      </c>
      <c r="Q543" s="29">
        <f>IF(OR(J543&gt;=140,K543&gt;=90),2,0)</f>
        <v>0</v>
      </c>
      <c r="R543" s="29">
        <f ca="1">SUM(L543:Q543)</f>
        <v>8</v>
      </c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5" t="s">
        <v>1393</v>
      </c>
      <c r="AE543" s="33"/>
      <c r="AF543" s="59" t="str">
        <f t="shared" si="25"/>
        <v>Không</v>
      </c>
      <c r="AG543" s="59" t="str">
        <f t="shared" si="26"/>
        <v>Không</v>
      </c>
      <c r="AH543" s="29" t="str">
        <f t="shared" ca="1" si="24"/>
        <v>Có</v>
      </c>
      <c r="AI543" s="29" t="str">
        <f ca="1">IF((R543)&gt;=6,"Có","Không")</f>
        <v>Có</v>
      </c>
      <c r="AJ543" s="29" t="str">
        <f>IF(OR(J543&gt;=140,K543&gt;=90),"Có","Không")</f>
        <v>Không</v>
      </c>
      <c r="AK543" s="5" t="s">
        <v>990</v>
      </c>
      <c r="AL543" s="32">
        <v>46112</v>
      </c>
      <c r="AM543" s="29" t="str">
        <f>"Tháng "&amp;MONTH(AL543)</f>
        <v>Tháng 3</v>
      </c>
      <c r="AN543" s="29" t="str">
        <f>LEFT(AK543,FIND(",",AK543)-1)</f>
        <v>buu dien</v>
      </c>
    </row>
    <row r="544" spans="1:40" x14ac:dyDescent="0.25">
      <c r="A544" s="49" t="s">
        <v>991</v>
      </c>
      <c r="B544" s="5" t="s">
        <v>30</v>
      </c>
      <c r="C544" s="5" t="s">
        <v>314</v>
      </c>
      <c r="D544" s="29">
        <f ca="1">DATEDIF(C544,TODAY(),"Y")</f>
        <v>77</v>
      </c>
      <c r="E544" s="5" t="s">
        <v>26</v>
      </c>
      <c r="F544" s="30">
        <v>169</v>
      </c>
      <c r="G544" s="30">
        <v>68</v>
      </c>
      <c r="H544" s="31">
        <f>G544/((F544/100)*(F544/100))</f>
        <v>23.808690171912751</v>
      </c>
      <c r="I544" s="5">
        <v>97</v>
      </c>
      <c r="J544" s="30">
        <v>140</v>
      </c>
      <c r="K544" s="30">
        <v>80</v>
      </c>
      <c r="L544" s="29">
        <f>IF(B544="Nữ",0,2)</f>
        <v>2</v>
      </c>
      <c r="M544" s="29">
        <f ca="1">IF(D544&lt;45,0,IF(D544&lt;=49,1,2))</f>
        <v>2</v>
      </c>
      <c r="N544" s="29">
        <f>IF(E544="Có",4,0)</f>
        <v>0</v>
      </c>
      <c r="O544" s="29">
        <f>IF(H544&lt;23,0,IF(H544&lt;27.5,3,5))</f>
        <v>3</v>
      </c>
      <c r="P544" s="29">
        <f>IF(OR(AND(B544="Nam",I544&gt;=90),AND(B544="Nữ",I544&gt;=80)),2,0)</f>
        <v>2</v>
      </c>
      <c r="Q544" s="29">
        <f>IF(OR(J544&gt;=140,K544&gt;=90),2,0)</f>
        <v>2</v>
      </c>
      <c r="R544" s="29">
        <f ca="1">SUM(L544:Q544)</f>
        <v>11</v>
      </c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5" t="s">
        <v>1393</v>
      </c>
      <c r="AE544" s="33"/>
      <c r="AF544" s="59" t="str">
        <f t="shared" si="25"/>
        <v>Không</v>
      </c>
      <c r="AG544" s="59" t="str">
        <f t="shared" si="26"/>
        <v>Không</v>
      </c>
      <c r="AH544" s="29" t="str">
        <f t="shared" ca="1" si="24"/>
        <v>Có</v>
      </c>
      <c r="AI544" s="29" t="str">
        <f ca="1">IF((R544)&gt;=6,"Có","Không")</f>
        <v>Có</v>
      </c>
      <c r="AJ544" s="29" t="str">
        <f>IF(OR(J544&gt;=140,K544&gt;=90),"Có","Không")</f>
        <v>Có</v>
      </c>
      <c r="AK544" s="5" t="s">
        <v>210</v>
      </c>
      <c r="AL544" s="32">
        <v>46112</v>
      </c>
      <c r="AM544" s="29" t="str">
        <f>"Tháng "&amp;MONTH(AL544)</f>
        <v>Tháng 3</v>
      </c>
      <c r="AN544" s="29" t="str">
        <f>LEFT(AK544,FIND(",",AK544)-1)</f>
        <v>Biển Đông A</v>
      </c>
    </row>
    <row r="545" spans="1:40" x14ac:dyDescent="0.25">
      <c r="A545" s="49" t="s">
        <v>804</v>
      </c>
      <c r="B545" s="5" t="s">
        <v>23</v>
      </c>
      <c r="C545" s="5" t="s">
        <v>341</v>
      </c>
      <c r="D545" s="29">
        <f ca="1">DATEDIF(C545,TODAY(),"Y")</f>
        <v>51</v>
      </c>
      <c r="E545" s="5" t="s">
        <v>26</v>
      </c>
      <c r="F545" s="30">
        <v>158</v>
      </c>
      <c r="G545" s="30">
        <v>58</v>
      </c>
      <c r="H545" s="31">
        <f>G545/((F545/100)*(F545/100))</f>
        <v>23.233456176894723</v>
      </c>
      <c r="I545" s="5">
        <v>83</v>
      </c>
      <c r="J545" s="30">
        <v>120</v>
      </c>
      <c r="K545" s="30">
        <v>80</v>
      </c>
      <c r="L545" s="29">
        <f>IF(B545="Nữ",0,2)</f>
        <v>0</v>
      </c>
      <c r="M545" s="29">
        <f ca="1">IF(D545&lt;45,0,IF(D545&lt;=49,1,2))</f>
        <v>2</v>
      </c>
      <c r="N545" s="29">
        <f>IF(E545="Có",4,0)</f>
        <v>0</v>
      </c>
      <c r="O545" s="29">
        <f>IF(H545&lt;23,0,IF(H545&lt;27.5,3,5))</f>
        <v>3</v>
      </c>
      <c r="P545" s="29">
        <f>IF(OR(AND(B545="Nam",I545&gt;=90),AND(B545="Nữ",I545&gt;=80)),2,0)</f>
        <v>2</v>
      </c>
      <c r="Q545" s="29">
        <f>IF(OR(J545&gt;=140,K545&gt;=90),2,0)</f>
        <v>0</v>
      </c>
      <c r="R545" s="29">
        <f ca="1">SUM(L545:Q545)</f>
        <v>7</v>
      </c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5" t="s">
        <v>1393</v>
      </c>
      <c r="AE545" s="33"/>
      <c r="AF545" s="59" t="str">
        <f t="shared" si="25"/>
        <v>Không</v>
      </c>
      <c r="AG545" s="59" t="str">
        <f t="shared" si="26"/>
        <v>Không</v>
      </c>
      <c r="AH545" s="29" t="str">
        <f t="shared" ca="1" si="24"/>
        <v>Có</v>
      </c>
      <c r="AI545" s="29" t="str">
        <f ca="1">IF((R545)&gt;=6,"Có","Không")</f>
        <v>Có</v>
      </c>
      <c r="AJ545" s="29" t="str">
        <f>IF(OR(J545&gt;=140,K545&gt;=90),"Có","Không")</f>
        <v>Không</v>
      </c>
      <c r="AK545" s="5" t="s">
        <v>103</v>
      </c>
      <c r="AL545" s="32">
        <v>46112</v>
      </c>
      <c r="AM545" s="29" t="str">
        <f>"Tháng "&amp;MONTH(AL545)</f>
        <v>Tháng 3</v>
      </c>
      <c r="AN545" s="29" t="str">
        <f>LEFT(AK545,FIND(",",AK545)-1)</f>
        <v>Giồng Giữa B</v>
      </c>
    </row>
    <row r="546" spans="1:40" x14ac:dyDescent="0.25">
      <c r="A546" s="49" t="s">
        <v>992</v>
      </c>
      <c r="B546" s="5" t="s">
        <v>30</v>
      </c>
      <c r="C546" s="5" t="s">
        <v>268</v>
      </c>
      <c r="D546" s="29">
        <f ca="1">DATEDIF(C546,TODAY(),"Y")</f>
        <v>44</v>
      </c>
      <c r="E546" s="5" t="s">
        <v>25</v>
      </c>
      <c r="F546" s="30">
        <v>169</v>
      </c>
      <c r="G546" s="30">
        <v>68</v>
      </c>
      <c r="H546" s="31">
        <f>G546/((F546/100)*(F546/100))</f>
        <v>23.808690171912751</v>
      </c>
      <c r="I546" s="5">
        <v>77</v>
      </c>
      <c r="J546" s="30">
        <v>120</v>
      </c>
      <c r="K546" s="30">
        <v>80</v>
      </c>
      <c r="L546" s="29">
        <f>IF(B546="Nữ",0,2)</f>
        <v>2</v>
      </c>
      <c r="M546" s="29">
        <f ca="1">IF(D546&lt;45,0,IF(D546&lt;=49,1,2))</f>
        <v>0</v>
      </c>
      <c r="N546" s="29">
        <f>IF(E546="Có",4,0)</f>
        <v>4</v>
      </c>
      <c r="O546" s="29">
        <f>IF(H546&lt;23,0,IF(H546&lt;27.5,3,5))</f>
        <v>3</v>
      </c>
      <c r="P546" s="29">
        <f>IF(OR(AND(B546="Nam",I546&gt;=90),AND(B546="Nữ",I546&gt;=80)),2,0)</f>
        <v>0</v>
      </c>
      <c r="Q546" s="29">
        <f>IF(OR(J546&gt;=140,K546&gt;=90),2,0)</f>
        <v>0</v>
      </c>
      <c r="R546" s="29">
        <f ca="1">SUM(L546:Q546)</f>
        <v>9</v>
      </c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5" t="s">
        <v>1393</v>
      </c>
      <c r="AE546" s="33"/>
      <c r="AF546" s="59" t="str">
        <f t="shared" si="25"/>
        <v>Không</v>
      </c>
      <c r="AG546" s="59" t="str">
        <f t="shared" si="26"/>
        <v>Không</v>
      </c>
      <c r="AH546" s="29" t="str">
        <f t="shared" ca="1" si="24"/>
        <v>Có</v>
      </c>
      <c r="AI546" s="29" t="str">
        <f ca="1">IF((R546)&gt;=6,"Có","Không")</f>
        <v>Có</v>
      </c>
      <c r="AJ546" s="29" t="str">
        <f>IF(OR(J546&gt;=140,K546&gt;=90),"Có","Không")</f>
        <v>Không</v>
      </c>
      <c r="AK546" s="5" t="s">
        <v>210</v>
      </c>
      <c r="AL546" s="32">
        <v>46112</v>
      </c>
      <c r="AM546" s="29" t="str">
        <f>"Tháng "&amp;MONTH(AL546)</f>
        <v>Tháng 3</v>
      </c>
      <c r="AN546" s="29" t="str">
        <f>LEFT(AK546,FIND(",",AK546)-1)</f>
        <v>Biển Đông A</v>
      </c>
    </row>
    <row r="547" spans="1:40" x14ac:dyDescent="0.25">
      <c r="A547" s="49" t="s">
        <v>1008</v>
      </c>
      <c r="B547" s="5" t="s">
        <v>23</v>
      </c>
      <c r="C547" s="5" t="s">
        <v>105</v>
      </c>
      <c r="D547" s="29">
        <f ca="1">DATEDIF(C547,TODAY(),"Y")</f>
        <v>60</v>
      </c>
      <c r="E547" s="5" t="s">
        <v>26</v>
      </c>
      <c r="F547" s="30">
        <v>158</v>
      </c>
      <c r="G547" s="30">
        <v>58</v>
      </c>
      <c r="H547" s="31">
        <f>G547/((F547/100)*(F547/100))</f>
        <v>23.233456176894723</v>
      </c>
      <c r="I547" s="5">
        <v>80</v>
      </c>
      <c r="J547" s="30">
        <v>120</v>
      </c>
      <c r="K547" s="30">
        <v>80</v>
      </c>
      <c r="L547" s="29">
        <f>IF(B547="Nữ",0,2)</f>
        <v>0</v>
      </c>
      <c r="M547" s="29">
        <f ca="1">IF(D547&lt;45,0,IF(D547&lt;=49,1,2))</f>
        <v>2</v>
      </c>
      <c r="N547" s="29">
        <f>IF(E547="Có",4,0)</f>
        <v>0</v>
      </c>
      <c r="O547" s="29">
        <f>IF(H547&lt;23,0,IF(H547&lt;27.5,3,5))</f>
        <v>3</v>
      </c>
      <c r="P547" s="29">
        <f>IF(OR(AND(B547="Nam",I547&gt;=90),AND(B547="Nữ",I547&gt;=80)),2,0)</f>
        <v>2</v>
      </c>
      <c r="Q547" s="29">
        <f>IF(OR(J547&gt;=140,K547&gt;=90),2,0)</f>
        <v>0</v>
      </c>
      <c r="R547" s="29">
        <f ca="1">SUM(L547:Q547)</f>
        <v>7</v>
      </c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5" t="s">
        <v>1393</v>
      </c>
      <c r="AE547" s="33"/>
      <c r="AF547" s="59" t="str">
        <f t="shared" si="25"/>
        <v>Không</v>
      </c>
      <c r="AG547" s="59" t="str">
        <f t="shared" si="26"/>
        <v>Không</v>
      </c>
      <c r="AH547" s="29" t="str">
        <f t="shared" ca="1" si="24"/>
        <v>Có</v>
      </c>
      <c r="AI547" s="29" t="str">
        <f ca="1">IF((R547)&gt;=6,"Có","Không")</f>
        <v>Có</v>
      </c>
      <c r="AJ547" s="29" t="str">
        <f>IF(OR(J547&gt;=140,K547&gt;=90),"Có","Không")</f>
        <v>Không</v>
      </c>
      <c r="AK547" s="5" t="s">
        <v>1009</v>
      </c>
      <c r="AL547" s="32">
        <v>46112</v>
      </c>
      <c r="AM547" s="29" t="str">
        <f>"Tháng "&amp;MONTH(AL547)</f>
        <v>Tháng 3</v>
      </c>
      <c r="AN547" s="29" t="str">
        <f>LEFT(AK547,FIND(",",AK547)-1)</f>
        <v>WÁTH PÍCH</v>
      </c>
    </row>
    <row r="548" spans="1:40" x14ac:dyDescent="0.25">
      <c r="A548" s="49" t="s">
        <v>1015</v>
      </c>
      <c r="B548" s="5" t="s">
        <v>23</v>
      </c>
      <c r="C548" s="5" t="s">
        <v>130</v>
      </c>
      <c r="D548" s="29">
        <f ca="1">DATEDIF(C548,TODAY(),"Y")</f>
        <v>57</v>
      </c>
      <c r="E548" s="5" t="s">
        <v>26</v>
      </c>
      <c r="F548" s="30">
        <v>160</v>
      </c>
      <c r="G548" s="30">
        <v>62</v>
      </c>
      <c r="H548" s="31">
        <f>G548/((F548/100)*(F548/100))</f>
        <v>24.218749999999996</v>
      </c>
      <c r="I548" s="5">
        <v>73</v>
      </c>
      <c r="J548" s="30">
        <v>120</v>
      </c>
      <c r="K548" s="30">
        <v>80</v>
      </c>
      <c r="L548" s="29">
        <f>IF(B548="Nữ",0,2)</f>
        <v>0</v>
      </c>
      <c r="M548" s="29">
        <f ca="1">IF(D548&lt;45,0,IF(D548&lt;=49,1,2))</f>
        <v>2</v>
      </c>
      <c r="N548" s="29">
        <f>IF(E548="Có",4,0)</f>
        <v>0</v>
      </c>
      <c r="O548" s="29">
        <f>IF(H548&lt;23,0,IF(H548&lt;27.5,3,5))</f>
        <v>3</v>
      </c>
      <c r="P548" s="29">
        <f>IF(OR(AND(B548="Nam",I548&gt;=90),AND(B548="Nữ",I548&gt;=80)),2,0)</f>
        <v>0</v>
      </c>
      <c r="Q548" s="29">
        <f>IF(OR(J548&gt;=140,K548&gt;=90),2,0)</f>
        <v>0</v>
      </c>
      <c r="R548" s="29">
        <f ca="1">SUM(L548:Q548)</f>
        <v>5</v>
      </c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5" t="s">
        <v>1393</v>
      </c>
      <c r="AE548" s="33"/>
      <c r="AF548" s="59" t="str">
        <f t="shared" si="25"/>
        <v>Không</v>
      </c>
      <c r="AG548" s="59" t="str">
        <f t="shared" si="26"/>
        <v>Không</v>
      </c>
      <c r="AH548" s="29" t="str">
        <f t="shared" ca="1" si="24"/>
        <v>Không</v>
      </c>
      <c r="AI548" s="29" t="str">
        <f ca="1">IF((R548)&gt;=6,"Có","Không")</f>
        <v>Không</v>
      </c>
      <c r="AJ548" s="29" t="str">
        <f>IF(OR(J548&gt;=140,K548&gt;=90),"Có","Không")</f>
        <v>Không</v>
      </c>
      <c r="AK548" s="5" t="s">
        <v>239</v>
      </c>
      <c r="AL548" s="32">
        <v>46112</v>
      </c>
      <c r="AM548" s="29" t="str">
        <f>"Tháng "&amp;MONTH(AL548)</f>
        <v>Tháng 3</v>
      </c>
      <c r="AN548" s="29" t="str">
        <f>LEFT(AK548,FIND(",",AK548)-1)</f>
        <v>Xóm Lẫm</v>
      </c>
    </row>
    <row r="549" spans="1:40" x14ac:dyDescent="0.25">
      <c r="A549" s="49" t="s">
        <v>574</v>
      </c>
      <c r="B549" s="5" t="s">
        <v>23</v>
      </c>
      <c r="C549" s="5" t="s">
        <v>50</v>
      </c>
      <c r="D549" s="29">
        <f ca="1">DATEDIF(C549,TODAY(),"Y")</f>
        <v>58</v>
      </c>
      <c r="E549" s="5" t="s">
        <v>26</v>
      </c>
      <c r="F549" s="30">
        <v>160</v>
      </c>
      <c r="G549" s="30">
        <v>70</v>
      </c>
      <c r="H549" s="31">
        <f>G549/((F549/100)*(F549/100))</f>
        <v>27.343749999999996</v>
      </c>
      <c r="I549" s="5">
        <v>70</v>
      </c>
      <c r="J549" s="30">
        <v>120</v>
      </c>
      <c r="K549" s="30">
        <v>80</v>
      </c>
      <c r="L549" s="29">
        <f>IF(B549="Nữ",0,2)</f>
        <v>0</v>
      </c>
      <c r="M549" s="29">
        <f ca="1">IF(D549&lt;45,0,IF(D549&lt;=49,1,2))</f>
        <v>2</v>
      </c>
      <c r="N549" s="29">
        <f>IF(E549="Có",4,0)</f>
        <v>0</v>
      </c>
      <c r="O549" s="29">
        <f>IF(H549&lt;23,0,IF(H549&lt;27.5,3,5))</f>
        <v>3</v>
      </c>
      <c r="P549" s="29">
        <f>IF(OR(AND(B549="Nam",I549&gt;=90),AND(B549="Nữ",I549&gt;=80)),2,0)</f>
        <v>0</v>
      </c>
      <c r="Q549" s="29">
        <f>IF(OR(J549&gt;=140,K549&gt;=90),2,0)</f>
        <v>0</v>
      </c>
      <c r="R549" s="29">
        <f ca="1">SUM(L549:Q549)</f>
        <v>5</v>
      </c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5" t="s">
        <v>1393</v>
      </c>
      <c r="AE549" s="33"/>
      <c r="AF549" s="59" t="str">
        <f t="shared" si="25"/>
        <v>Không</v>
      </c>
      <c r="AG549" s="59" t="str">
        <f t="shared" si="26"/>
        <v>Không</v>
      </c>
      <c r="AH549" s="29" t="str">
        <f t="shared" ca="1" si="24"/>
        <v>Không</v>
      </c>
      <c r="AI549" s="29" t="str">
        <f ca="1">IF((R549)&gt;=6,"Có","Không")</f>
        <v>Không</v>
      </c>
      <c r="AJ549" s="29" t="str">
        <f>IF(OR(J549&gt;=140,K549&gt;=90),"Có","Không")</f>
        <v>Không</v>
      </c>
      <c r="AK549" s="5" t="s">
        <v>397</v>
      </c>
      <c r="AL549" s="32">
        <v>46112</v>
      </c>
      <c r="AM549" s="29" t="str">
        <f>"Tháng "&amp;MONTH(AL549)</f>
        <v>Tháng 3</v>
      </c>
      <c r="AN549" s="29" t="str">
        <f>LEFT(AK549,FIND(",",AK549)-1)</f>
        <v>Nhà Mát</v>
      </c>
    </row>
    <row r="550" spans="1:40" x14ac:dyDescent="0.25">
      <c r="A550" s="49" t="s">
        <v>1016</v>
      </c>
      <c r="B550" s="5" t="s">
        <v>23</v>
      </c>
      <c r="C550" s="5" t="s">
        <v>53</v>
      </c>
      <c r="D550" s="29">
        <f ca="1">DATEDIF(C550,TODAY(),"Y")</f>
        <v>72</v>
      </c>
      <c r="E550" s="5" t="s">
        <v>26</v>
      </c>
      <c r="F550" s="30">
        <v>158</v>
      </c>
      <c r="G550" s="30">
        <v>58</v>
      </c>
      <c r="H550" s="31">
        <f>G550/((F550/100)*(F550/100))</f>
        <v>23.233456176894723</v>
      </c>
      <c r="I550" s="5">
        <v>72</v>
      </c>
      <c r="J550" s="30">
        <v>120</v>
      </c>
      <c r="K550" s="30">
        <v>80</v>
      </c>
      <c r="L550" s="29">
        <f>IF(B550="Nữ",0,2)</f>
        <v>0</v>
      </c>
      <c r="M550" s="29">
        <f ca="1">IF(D550&lt;45,0,IF(D550&lt;=49,1,2))</f>
        <v>2</v>
      </c>
      <c r="N550" s="29">
        <f>IF(E550="Có",4,0)</f>
        <v>0</v>
      </c>
      <c r="O550" s="29">
        <f>IF(H550&lt;23,0,IF(H550&lt;27.5,3,5))</f>
        <v>3</v>
      </c>
      <c r="P550" s="29">
        <f>IF(OR(AND(B550="Nam",I550&gt;=90),AND(B550="Nữ",I550&gt;=80)),2,0)</f>
        <v>0</v>
      </c>
      <c r="Q550" s="29">
        <f>IF(OR(J550&gt;=140,K550&gt;=90),2,0)</f>
        <v>0</v>
      </c>
      <c r="R550" s="29">
        <f ca="1">SUM(L550:Q550)</f>
        <v>5</v>
      </c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5" t="s">
        <v>1393</v>
      </c>
      <c r="AE550" s="33"/>
      <c r="AF550" s="59" t="str">
        <f t="shared" si="25"/>
        <v>Không</v>
      </c>
      <c r="AG550" s="59" t="str">
        <f t="shared" si="26"/>
        <v>Không</v>
      </c>
      <c r="AH550" s="29" t="str">
        <f t="shared" ca="1" si="24"/>
        <v>Không</v>
      </c>
      <c r="AI550" s="29" t="str">
        <f ca="1">IF((R550)&gt;=6,"Có","Không")</f>
        <v>Không</v>
      </c>
      <c r="AJ550" s="29" t="str">
        <f>IF(OR(J550&gt;=140,K550&gt;=90),"Có","Không")</f>
        <v>Không</v>
      </c>
      <c r="AK550" s="5" t="s">
        <v>164</v>
      </c>
      <c r="AL550" s="32">
        <v>46112</v>
      </c>
      <c r="AM550" s="29" t="str">
        <f>"Tháng "&amp;MONTH(AL550)</f>
        <v>Tháng 3</v>
      </c>
      <c r="AN550" s="29" t="str">
        <f>LEFT(AK550,FIND(",",AK550)-1)</f>
        <v>ấp Biển Đông B</v>
      </c>
    </row>
    <row r="551" spans="1:40" x14ac:dyDescent="0.25">
      <c r="A551" s="49" t="s">
        <v>44</v>
      </c>
      <c r="B551" s="5" t="s">
        <v>23</v>
      </c>
      <c r="C551" s="5" t="s">
        <v>34</v>
      </c>
      <c r="D551" s="29">
        <f ca="1">DATEDIF(C551,TODAY(),"Y")</f>
        <v>78</v>
      </c>
      <c r="E551" s="5" t="s">
        <v>26</v>
      </c>
      <c r="F551" s="30">
        <v>158</v>
      </c>
      <c r="G551" s="30">
        <v>58</v>
      </c>
      <c r="H551" s="31">
        <f>G551/((F551/100)*(F551/100))</f>
        <v>23.233456176894723</v>
      </c>
      <c r="I551" s="5">
        <v>89</v>
      </c>
      <c r="J551" s="30">
        <v>140</v>
      </c>
      <c r="K551" s="30">
        <v>80</v>
      </c>
      <c r="L551" s="29">
        <f>IF(B551="Nữ",0,2)</f>
        <v>0</v>
      </c>
      <c r="M551" s="29">
        <f ca="1">IF(D551&lt;45,0,IF(D551&lt;=49,1,2))</f>
        <v>2</v>
      </c>
      <c r="N551" s="29">
        <f>IF(E551="Có",4,0)</f>
        <v>0</v>
      </c>
      <c r="O551" s="29">
        <f>IF(H551&lt;23,0,IF(H551&lt;27.5,3,5))</f>
        <v>3</v>
      </c>
      <c r="P551" s="29">
        <f>IF(OR(AND(B551="Nam",I551&gt;=90),AND(B551="Nữ",I551&gt;=80)),2,0)</f>
        <v>2</v>
      </c>
      <c r="Q551" s="29">
        <f>IF(OR(J551&gt;=140,K551&gt;=90),2,0)</f>
        <v>2</v>
      </c>
      <c r="R551" s="29">
        <f ca="1">SUM(L551:Q551)</f>
        <v>9</v>
      </c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5" t="s">
        <v>1393</v>
      </c>
      <c r="AE551" s="33"/>
      <c r="AF551" s="59" t="str">
        <f t="shared" si="25"/>
        <v>Không</v>
      </c>
      <c r="AG551" s="59" t="str">
        <f t="shared" si="26"/>
        <v>Không</v>
      </c>
      <c r="AH551" s="29" t="str">
        <f t="shared" ca="1" si="24"/>
        <v>Có</v>
      </c>
      <c r="AI551" s="29" t="str">
        <f ca="1">IF((R551)&gt;=6,"Có","Không")</f>
        <v>Có</v>
      </c>
      <c r="AJ551" s="29" t="str">
        <f>IF(OR(J551&gt;=140,K551&gt;=90),"Có","Không")</f>
        <v>Có</v>
      </c>
      <c r="AK551" s="5" t="s">
        <v>38</v>
      </c>
      <c r="AL551" s="32">
        <v>46112</v>
      </c>
      <c r="AM551" s="29" t="str">
        <f>"Tháng "&amp;MONTH(AL551)</f>
        <v>Tháng 3</v>
      </c>
      <c r="AN551" s="29" t="str">
        <f>LEFT(AK551,FIND(",",AK551)-1)</f>
        <v>Ấp Biển Đông B</v>
      </c>
    </row>
    <row r="552" spans="1:40" x14ac:dyDescent="0.25">
      <c r="A552" s="49" t="s">
        <v>1017</v>
      </c>
      <c r="B552" s="5" t="s">
        <v>23</v>
      </c>
      <c r="C552" s="5" t="s">
        <v>53</v>
      </c>
      <c r="D552" s="29">
        <f ca="1">DATEDIF(C552,TODAY(),"Y")</f>
        <v>72</v>
      </c>
      <c r="E552" s="5" t="s">
        <v>25</v>
      </c>
      <c r="F552" s="30">
        <v>158</v>
      </c>
      <c r="G552" s="30">
        <v>58</v>
      </c>
      <c r="H552" s="31">
        <f>G552/((F552/100)*(F552/100))</f>
        <v>23.233456176894723</v>
      </c>
      <c r="I552" s="5">
        <v>81</v>
      </c>
      <c r="J552" s="30">
        <v>130</v>
      </c>
      <c r="K552" s="30">
        <v>80</v>
      </c>
      <c r="L552" s="29">
        <f>IF(B552="Nữ",0,2)</f>
        <v>0</v>
      </c>
      <c r="M552" s="29">
        <f ca="1">IF(D552&lt;45,0,IF(D552&lt;=49,1,2))</f>
        <v>2</v>
      </c>
      <c r="N552" s="29">
        <f>IF(E552="Có",4,0)</f>
        <v>4</v>
      </c>
      <c r="O552" s="29">
        <f>IF(H552&lt;23,0,IF(H552&lt;27.5,3,5))</f>
        <v>3</v>
      </c>
      <c r="P552" s="29">
        <f>IF(OR(AND(B552="Nam",I552&gt;=90),AND(B552="Nữ",I552&gt;=80)),2,0)</f>
        <v>2</v>
      </c>
      <c r="Q552" s="29">
        <f>IF(OR(J552&gt;=140,K552&gt;=90),2,0)</f>
        <v>0</v>
      </c>
      <c r="R552" s="29">
        <f ca="1">SUM(L552:Q552)</f>
        <v>11</v>
      </c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5" t="s">
        <v>1393</v>
      </c>
      <c r="AE552" s="33"/>
      <c r="AF552" s="59" t="str">
        <f t="shared" si="25"/>
        <v>Không</v>
      </c>
      <c r="AG552" s="59" t="str">
        <f t="shared" si="26"/>
        <v>Không</v>
      </c>
      <c r="AH552" s="29" t="str">
        <f t="shared" ca="1" si="24"/>
        <v>Có</v>
      </c>
      <c r="AI552" s="29" t="str">
        <f ca="1">IF((R552)&gt;=6,"Có","Không")</f>
        <v>Có</v>
      </c>
      <c r="AJ552" s="29" t="str">
        <f>IF(OR(J552&gt;=140,K552&gt;=90),"Có","Không")</f>
        <v>Không</v>
      </c>
      <c r="AK552" s="5" t="s">
        <v>51</v>
      </c>
      <c r="AL552" s="32">
        <v>46112</v>
      </c>
      <c r="AM552" s="29" t="str">
        <f>"Tháng "&amp;MONTH(AL552)</f>
        <v>Tháng 3</v>
      </c>
      <c r="AN552" s="29" t="str">
        <f>LEFT(AK552,FIND(",",AK552)-1)</f>
        <v>Phường Hiệp Thành</v>
      </c>
    </row>
    <row r="553" spans="1:40" x14ac:dyDescent="0.25">
      <c r="A553" s="49" t="s">
        <v>1018</v>
      </c>
      <c r="B553" s="5" t="s">
        <v>23</v>
      </c>
      <c r="C553" s="5" t="s">
        <v>110</v>
      </c>
      <c r="D553" s="29">
        <f ca="1">DATEDIF(C553,TODAY(),"Y")</f>
        <v>62</v>
      </c>
      <c r="E553" s="5" t="s">
        <v>26</v>
      </c>
      <c r="F553" s="30">
        <v>158</v>
      </c>
      <c r="G553" s="30">
        <v>58</v>
      </c>
      <c r="H553" s="31">
        <f>G553/((F553/100)*(F553/100))</f>
        <v>23.233456176894723</v>
      </c>
      <c r="I553" s="5">
        <v>83</v>
      </c>
      <c r="J553" s="30">
        <v>160</v>
      </c>
      <c r="K553" s="30">
        <v>80</v>
      </c>
      <c r="L553" s="29">
        <f>IF(B553="Nữ",0,2)</f>
        <v>0</v>
      </c>
      <c r="M553" s="29">
        <f ca="1">IF(D553&lt;45,0,IF(D553&lt;=49,1,2))</f>
        <v>2</v>
      </c>
      <c r="N553" s="29">
        <f>IF(E553="Có",4,0)</f>
        <v>0</v>
      </c>
      <c r="O553" s="29">
        <f>IF(H553&lt;23,0,IF(H553&lt;27.5,3,5))</f>
        <v>3</v>
      </c>
      <c r="P553" s="29">
        <f>IF(OR(AND(B553="Nam",I553&gt;=90),AND(B553="Nữ",I553&gt;=80)),2,0)</f>
        <v>2</v>
      </c>
      <c r="Q553" s="29">
        <f>IF(OR(J553&gt;=140,K553&gt;=90),2,0)</f>
        <v>2</v>
      </c>
      <c r="R553" s="29">
        <f ca="1">SUM(L553:Q553)</f>
        <v>9</v>
      </c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5" t="s">
        <v>1393</v>
      </c>
      <c r="AE553" s="33"/>
      <c r="AF553" s="59" t="str">
        <f t="shared" si="25"/>
        <v>Không</v>
      </c>
      <c r="AG553" s="59" t="str">
        <f t="shared" si="26"/>
        <v>Không</v>
      </c>
      <c r="AH553" s="29" t="str">
        <f t="shared" ca="1" si="24"/>
        <v>Có</v>
      </c>
      <c r="AI553" s="29" t="str">
        <f ca="1">IF((R553)&gt;=6,"Có","Không")</f>
        <v>Có</v>
      </c>
      <c r="AJ553" s="29" t="str">
        <f>IF(OR(J553&gt;=140,K553&gt;=90),"Có","Không")</f>
        <v>Có</v>
      </c>
      <c r="AK553" s="5" t="s">
        <v>38</v>
      </c>
      <c r="AL553" s="32">
        <v>46112</v>
      </c>
      <c r="AM553" s="29" t="str">
        <f>"Tháng "&amp;MONTH(AL553)</f>
        <v>Tháng 3</v>
      </c>
      <c r="AN553" s="29" t="str">
        <f>LEFT(AK553,FIND(",",AK553)-1)</f>
        <v>Ấp Biển Đông B</v>
      </c>
    </row>
    <row r="554" spans="1:40" x14ac:dyDescent="0.25">
      <c r="A554" s="49" t="s">
        <v>22</v>
      </c>
      <c r="B554" s="5" t="s">
        <v>23</v>
      </c>
      <c r="C554" s="5" t="s">
        <v>24</v>
      </c>
      <c r="D554" s="29">
        <f ca="1">DATEDIF(C554,TODAY(),"Y")</f>
        <v>83</v>
      </c>
      <c r="E554" s="5" t="s">
        <v>25</v>
      </c>
      <c r="F554" s="30">
        <v>161</v>
      </c>
      <c r="G554" s="30">
        <v>68</v>
      </c>
      <c r="H554" s="31">
        <f>G554/((F554/100)*(F554/100))</f>
        <v>26.23355580417422</v>
      </c>
      <c r="I554" s="5">
        <v>89</v>
      </c>
      <c r="J554" s="30">
        <v>120</v>
      </c>
      <c r="K554" s="30">
        <v>80</v>
      </c>
      <c r="L554" s="29">
        <f>IF(B554="Nữ",0,2)</f>
        <v>0</v>
      </c>
      <c r="M554" s="29">
        <f ca="1">IF(D554&lt;45,0,IF(D554&lt;=49,1,2))</f>
        <v>2</v>
      </c>
      <c r="N554" s="29">
        <f>IF(E554="Có",4,0)</f>
        <v>4</v>
      </c>
      <c r="O554" s="29">
        <f>IF(H554&lt;23,0,IF(H554&lt;27.5,3,5))</f>
        <v>3</v>
      </c>
      <c r="P554" s="29">
        <f>IF(OR(AND(B554="Nam",I554&gt;=90),AND(B554="Nữ",I554&gt;=80)),2,0)</f>
        <v>2</v>
      </c>
      <c r="Q554" s="29">
        <f>IF(OR(J554&gt;=140,K554&gt;=90),2,0)</f>
        <v>0</v>
      </c>
      <c r="R554" s="29">
        <f ca="1">SUM(L554:Q554)</f>
        <v>11</v>
      </c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5" t="s">
        <v>1393</v>
      </c>
      <c r="AE554" s="33"/>
      <c r="AF554" s="59" t="str">
        <f t="shared" si="25"/>
        <v>Không</v>
      </c>
      <c r="AG554" s="59" t="str">
        <f t="shared" si="26"/>
        <v>Không</v>
      </c>
      <c r="AH554" s="29" t="str">
        <f t="shared" ca="1" si="24"/>
        <v>Có</v>
      </c>
      <c r="AI554" s="29" t="str">
        <f ca="1">IF((R554)&gt;=6,"Có","Không")</f>
        <v>Có</v>
      </c>
      <c r="AJ554" s="29" t="str">
        <f>IF(OR(J554&gt;=140,K554&gt;=90),"Có","Không")</f>
        <v>Không</v>
      </c>
      <c r="AK554" s="5" t="s">
        <v>28</v>
      </c>
      <c r="AL554" s="32">
        <v>46142</v>
      </c>
      <c r="AM554" s="29" t="str">
        <f>"Tháng "&amp;MONTH(AL554)</f>
        <v>Tháng 4</v>
      </c>
      <c r="AN554" s="29" t="str">
        <f>LEFT(AK554,FIND(",",AK554)-1)</f>
        <v>Ấp Biển Đông A</v>
      </c>
    </row>
    <row r="555" spans="1:40" x14ac:dyDescent="0.25">
      <c r="A555" s="49" t="s">
        <v>29</v>
      </c>
      <c r="B555" s="5" t="s">
        <v>30</v>
      </c>
      <c r="C555" s="5" t="s">
        <v>31</v>
      </c>
      <c r="D555" s="29">
        <f ca="1">DATEDIF(C555,TODAY(),"Y")</f>
        <v>79</v>
      </c>
      <c r="E555" s="33" t="s">
        <v>26</v>
      </c>
      <c r="F555" s="30">
        <v>170</v>
      </c>
      <c r="G555" s="30">
        <v>75</v>
      </c>
      <c r="H555" s="31">
        <f>G555/((F555/100)*(F555/100))</f>
        <v>25.95155709342561</v>
      </c>
      <c r="I555" s="5">
        <v>81</v>
      </c>
      <c r="J555" s="30">
        <v>120</v>
      </c>
      <c r="K555" s="30">
        <v>80</v>
      </c>
      <c r="L555" s="29">
        <f>IF(B555="Nữ",0,2)</f>
        <v>2</v>
      </c>
      <c r="M555" s="29">
        <f ca="1">IF(D555&lt;45,0,IF(D555&lt;=49,1,2))</f>
        <v>2</v>
      </c>
      <c r="N555" s="29">
        <f>IF(E555="Có",4,0)</f>
        <v>0</v>
      </c>
      <c r="O555" s="29">
        <f>IF(H555&lt;23,0,IF(H555&lt;27.5,3,5))</f>
        <v>3</v>
      </c>
      <c r="P555" s="29">
        <f>IF(OR(AND(B555="Nam",I555&gt;=90),AND(B555="Nữ",I555&gt;=80)),2,0)</f>
        <v>0</v>
      </c>
      <c r="Q555" s="29">
        <f>IF(OR(J555&gt;=140,K555&gt;=90),2,0)</f>
        <v>0</v>
      </c>
      <c r="R555" s="29">
        <f ca="1">SUM(L555:Q555)</f>
        <v>7</v>
      </c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5" t="s">
        <v>1393</v>
      </c>
      <c r="AE555" s="33"/>
      <c r="AF555" s="59" t="str">
        <f t="shared" si="25"/>
        <v>Không</v>
      </c>
      <c r="AG555" s="59" t="str">
        <f t="shared" si="26"/>
        <v>Không</v>
      </c>
      <c r="AH555" s="29" t="str">
        <f t="shared" ca="1" si="24"/>
        <v>Có</v>
      </c>
      <c r="AI555" s="29" t="str">
        <f ca="1">IF((R555)&gt;=6,"Có","Không")</f>
        <v>Có</v>
      </c>
      <c r="AJ555" s="29" t="str">
        <f>IF(OR(J555&gt;=140,K555&gt;=90),"Có","Không")</f>
        <v>Không</v>
      </c>
      <c r="AK555" s="5" t="s">
        <v>32</v>
      </c>
      <c r="AL555" s="32">
        <v>46142</v>
      </c>
      <c r="AM555" s="29" t="str">
        <f>"Tháng "&amp;MONTH(AL555)</f>
        <v>Tháng 4</v>
      </c>
      <c r="AN555" s="29" t="str">
        <f>LEFT(AK555,FIND(",",AK555)-1)</f>
        <v>Ấp Giồng Giữa B</v>
      </c>
    </row>
    <row r="556" spans="1:40" x14ac:dyDescent="0.25">
      <c r="A556" s="49" t="s">
        <v>33</v>
      </c>
      <c r="B556" s="5" t="s">
        <v>30</v>
      </c>
      <c r="C556" s="5" t="s">
        <v>34</v>
      </c>
      <c r="D556" s="29">
        <f ca="1">DATEDIF(C556,TODAY(),"Y")</f>
        <v>78</v>
      </c>
      <c r="E556" s="5" t="s">
        <v>25</v>
      </c>
      <c r="F556" s="30">
        <v>172</v>
      </c>
      <c r="G556" s="30">
        <v>65</v>
      </c>
      <c r="H556" s="31">
        <f>G556/((F556/100)*(F556/100))</f>
        <v>21.971335857220122</v>
      </c>
      <c r="I556" s="5">
        <v>83</v>
      </c>
      <c r="J556" s="30">
        <v>130</v>
      </c>
      <c r="K556" s="30">
        <v>80</v>
      </c>
      <c r="L556" s="29">
        <f>IF(B556="Nữ",0,2)</f>
        <v>2</v>
      </c>
      <c r="M556" s="29">
        <f ca="1">IF(D556&lt;45,0,IF(D556&lt;=49,1,2))</f>
        <v>2</v>
      </c>
      <c r="N556" s="29">
        <f>IF(E556="Có",4,0)</f>
        <v>4</v>
      </c>
      <c r="O556" s="29">
        <f>IF(H556&lt;23,0,IF(H556&lt;27.5,3,5))</f>
        <v>0</v>
      </c>
      <c r="P556" s="29">
        <f>IF(OR(AND(B556="Nam",I556&gt;=90),AND(B556="Nữ",I556&gt;=80)),2,0)</f>
        <v>0</v>
      </c>
      <c r="Q556" s="29">
        <f>IF(OR(J556&gt;=140,K556&gt;=90),2,0)</f>
        <v>0</v>
      </c>
      <c r="R556" s="29">
        <f ca="1">SUM(L556:Q556)</f>
        <v>8</v>
      </c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5" t="s">
        <v>1393</v>
      </c>
      <c r="AE556" s="33"/>
      <c r="AF556" s="59" t="str">
        <f t="shared" si="25"/>
        <v>Không</v>
      </c>
      <c r="AG556" s="59" t="str">
        <f t="shared" si="26"/>
        <v>Không</v>
      </c>
      <c r="AH556" s="29" t="str">
        <f t="shared" ca="1" si="24"/>
        <v>Có</v>
      </c>
      <c r="AI556" s="29" t="str">
        <f ca="1">IF((R556)&gt;=6,"Có","Không")</f>
        <v>Có</v>
      </c>
      <c r="AJ556" s="29" t="str">
        <f>IF(OR(J556&gt;=140,K556&gt;=90),"Có","Không")</f>
        <v>Không</v>
      </c>
      <c r="AK556" s="5" t="s">
        <v>35</v>
      </c>
      <c r="AL556" s="32">
        <v>46142</v>
      </c>
      <c r="AM556" s="29" t="str">
        <f>"Tháng "&amp;MONTH(AL556)</f>
        <v>Tháng 4</v>
      </c>
      <c r="AN556" s="29" t="str">
        <f>LEFT(AK556,FIND(",",AK556)-1)</f>
        <v>Chòm Xoài</v>
      </c>
    </row>
    <row r="557" spans="1:40" x14ac:dyDescent="0.25">
      <c r="A557" s="49" t="s">
        <v>36</v>
      </c>
      <c r="B557" s="5" t="s">
        <v>30</v>
      </c>
      <c r="C557" s="5" t="s">
        <v>37</v>
      </c>
      <c r="D557" s="29">
        <f ca="1">DATEDIF(C557,TODAY(),"Y")</f>
        <v>75</v>
      </c>
      <c r="E557" s="5" t="s">
        <v>26</v>
      </c>
      <c r="F557" s="30">
        <v>169</v>
      </c>
      <c r="G557" s="30">
        <v>68</v>
      </c>
      <c r="H557" s="31">
        <f>G557/((F557/100)*(F557/100))</f>
        <v>23.808690171912751</v>
      </c>
      <c r="I557" s="5">
        <v>81</v>
      </c>
      <c r="J557" s="30">
        <v>120</v>
      </c>
      <c r="K557" s="30">
        <v>80</v>
      </c>
      <c r="L557" s="29">
        <f>IF(B557="Nữ",0,2)</f>
        <v>2</v>
      </c>
      <c r="M557" s="29">
        <f ca="1">IF(D557&lt;45,0,IF(D557&lt;=49,1,2))</f>
        <v>2</v>
      </c>
      <c r="N557" s="29">
        <f>IF(E557="Có",4,0)</f>
        <v>0</v>
      </c>
      <c r="O557" s="29">
        <f>IF(H557&lt;23,0,IF(H557&lt;27.5,3,5))</f>
        <v>3</v>
      </c>
      <c r="P557" s="29">
        <f>IF(OR(AND(B557="Nam",I557&gt;=90),AND(B557="Nữ",I557&gt;=80)),2,0)</f>
        <v>0</v>
      </c>
      <c r="Q557" s="29">
        <f>IF(OR(J557&gt;=140,K557&gt;=90),2,0)</f>
        <v>0</v>
      </c>
      <c r="R557" s="29">
        <f ca="1">SUM(L557:Q557)</f>
        <v>7</v>
      </c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5" t="s">
        <v>1393</v>
      </c>
      <c r="AE557" s="33"/>
      <c r="AF557" s="59" t="str">
        <f t="shared" si="25"/>
        <v>Không</v>
      </c>
      <c r="AG557" s="59" t="str">
        <f t="shared" si="26"/>
        <v>Không</v>
      </c>
      <c r="AH557" s="29" t="str">
        <f t="shared" ca="1" si="24"/>
        <v>Có</v>
      </c>
      <c r="AI557" s="29" t="str">
        <f ca="1">IF((R557)&gt;=6,"Có","Không")</f>
        <v>Có</v>
      </c>
      <c r="AJ557" s="29" t="str">
        <f>IF(OR(J557&gt;=140,K557&gt;=90),"Có","Không")</f>
        <v>Không</v>
      </c>
      <c r="AK557" s="5" t="s">
        <v>38</v>
      </c>
      <c r="AL557" s="32">
        <v>46142</v>
      </c>
      <c r="AM557" s="29" t="str">
        <f>"Tháng "&amp;MONTH(AL557)</f>
        <v>Tháng 4</v>
      </c>
      <c r="AN557" s="29" t="str">
        <f>LEFT(AK557,FIND(",",AK557)-1)</f>
        <v>Ấp Biển Đông B</v>
      </c>
    </row>
    <row r="558" spans="1:40" x14ac:dyDescent="0.25">
      <c r="A558" s="49" t="s">
        <v>39</v>
      </c>
      <c r="B558" s="5" t="s">
        <v>23</v>
      </c>
      <c r="C558" s="5" t="s">
        <v>40</v>
      </c>
      <c r="D558" s="29">
        <f ca="1">DATEDIF(C558,TODAY(),"Y")</f>
        <v>70</v>
      </c>
      <c r="E558" s="5" t="s">
        <v>25</v>
      </c>
      <c r="F558" s="30">
        <v>168</v>
      </c>
      <c r="G558" s="30">
        <v>68</v>
      </c>
      <c r="H558" s="31">
        <f>G558/((F558/100)*(F558/100))</f>
        <v>24.092970521541954</v>
      </c>
      <c r="I558" s="5">
        <v>80</v>
      </c>
      <c r="J558" s="30">
        <v>150</v>
      </c>
      <c r="K558" s="30">
        <v>80</v>
      </c>
      <c r="L558" s="29">
        <f>IF(B558="Nữ",0,2)</f>
        <v>0</v>
      </c>
      <c r="M558" s="29">
        <f ca="1">IF(D558&lt;45,0,IF(D558&lt;=49,1,2))</f>
        <v>2</v>
      </c>
      <c r="N558" s="29">
        <f>IF(E558="Có",4,0)</f>
        <v>4</v>
      </c>
      <c r="O558" s="29">
        <f>IF(H558&lt;23,0,IF(H558&lt;27.5,3,5))</f>
        <v>3</v>
      </c>
      <c r="P558" s="29">
        <f>IF(OR(AND(B558="Nam",I558&gt;=90),AND(B558="Nữ",I558&gt;=80)),2,0)</f>
        <v>2</v>
      </c>
      <c r="Q558" s="29">
        <f>IF(OR(J558&gt;=140,K558&gt;=90),2,0)</f>
        <v>2</v>
      </c>
      <c r="R558" s="29">
        <f ca="1">SUM(L558:Q558)</f>
        <v>13</v>
      </c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5" t="s">
        <v>1393</v>
      </c>
      <c r="AE558" s="33"/>
      <c r="AF558" s="59" t="str">
        <f t="shared" si="25"/>
        <v>Không</v>
      </c>
      <c r="AG558" s="59" t="str">
        <f t="shared" si="26"/>
        <v>Không</v>
      </c>
      <c r="AH558" s="29" t="str">
        <f t="shared" ca="1" si="24"/>
        <v>Có</v>
      </c>
      <c r="AI558" s="29" t="str">
        <f ca="1">IF((R558)&gt;=6,"Có","Không")</f>
        <v>Có</v>
      </c>
      <c r="AJ558" s="29" t="str">
        <f>IF(OR(J558&gt;=140,K558&gt;=90),"Có","Không")</f>
        <v>Có</v>
      </c>
      <c r="AK558" s="5" t="s">
        <v>28</v>
      </c>
      <c r="AL558" s="32">
        <v>46142</v>
      </c>
      <c r="AM558" s="29" t="str">
        <f>"Tháng "&amp;MONTH(AL558)</f>
        <v>Tháng 4</v>
      </c>
      <c r="AN558" s="29" t="str">
        <f>LEFT(AK558,FIND(",",AK558)-1)</f>
        <v>Ấp Biển Đông A</v>
      </c>
    </row>
    <row r="559" spans="1:40" x14ac:dyDescent="0.25">
      <c r="A559" s="49" t="s">
        <v>41</v>
      </c>
      <c r="B559" s="5" t="s">
        <v>23</v>
      </c>
      <c r="C559" s="5" t="s">
        <v>42</v>
      </c>
      <c r="D559" s="29">
        <f ca="1">DATEDIF(C559,TODAY(),"Y")</f>
        <v>59</v>
      </c>
      <c r="E559" s="5" t="s">
        <v>26</v>
      </c>
      <c r="F559" s="30">
        <v>167</v>
      </c>
      <c r="G559" s="30">
        <v>60</v>
      </c>
      <c r="H559" s="31">
        <f>G559/((F559/100)*(F559/100))</f>
        <v>21.513858510523864</v>
      </c>
      <c r="I559" s="5">
        <v>76</v>
      </c>
      <c r="J559" s="30">
        <v>120</v>
      </c>
      <c r="K559" s="30">
        <v>80</v>
      </c>
      <c r="L559" s="29">
        <f>IF(B559="Nữ",0,2)</f>
        <v>0</v>
      </c>
      <c r="M559" s="29">
        <f ca="1">IF(D559&lt;45,0,IF(D559&lt;=49,1,2))</f>
        <v>2</v>
      </c>
      <c r="N559" s="29">
        <f>IF(E559="Có",4,0)</f>
        <v>0</v>
      </c>
      <c r="O559" s="29">
        <f>IF(H559&lt;23,0,IF(H559&lt;27.5,3,5))</f>
        <v>0</v>
      </c>
      <c r="P559" s="29">
        <f>IF(OR(AND(B559="Nam",I559&gt;=90),AND(B559="Nữ",I559&gt;=80)),2,0)</f>
        <v>0</v>
      </c>
      <c r="Q559" s="29">
        <f>IF(OR(J559&gt;=140,K559&gt;=90),2,0)</f>
        <v>0</v>
      </c>
      <c r="R559" s="29">
        <f ca="1">SUM(L559:Q559)</f>
        <v>2</v>
      </c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5" t="s">
        <v>1393</v>
      </c>
      <c r="AE559" s="33"/>
      <c r="AF559" s="59" t="str">
        <f t="shared" si="25"/>
        <v>Không</v>
      </c>
      <c r="AG559" s="59" t="str">
        <f t="shared" si="26"/>
        <v>Không</v>
      </c>
      <c r="AH559" s="29" t="str">
        <f t="shared" ca="1" si="24"/>
        <v>Không</v>
      </c>
      <c r="AI559" s="29" t="str">
        <f ca="1">IF((R559)&gt;=6,"Có","Không")</f>
        <v>Không</v>
      </c>
      <c r="AJ559" s="29" t="str">
        <f>IF(OR(J559&gt;=140,K559&gt;=90),"Có","Không")</f>
        <v>Không</v>
      </c>
      <c r="AK559" s="5" t="s">
        <v>43</v>
      </c>
      <c r="AL559" s="32">
        <v>46142</v>
      </c>
      <c r="AM559" s="29" t="str">
        <f>"Tháng "&amp;MONTH(AL559)</f>
        <v>Tháng 4</v>
      </c>
      <c r="AN559" s="29" t="str">
        <f>LEFT(AK559,FIND(",",AK559)-1)</f>
        <v>Ấp Giồng Nhãn A</v>
      </c>
    </row>
    <row r="560" spans="1:40" x14ac:dyDescent="0.25">
      <c r="A560" s="49" t="s">
        <v>44</v>
      </c>
      <c r="B560" s="5" t="s">
        <v>23</v>
      </c>
      <c r="C560" s="5" t="s">
        <v>45</v>
      </c>
      <c r="D560" s="29">
        <f ca="1">DATEDIF(C560,TODAY(),"Y")</f>
        <v>50</v>
      </c>
      <c r="E560" s="34" t="s">
        <v>26</v>
      </c>
      <c r="F560" s="30">
        <v>168</v>
      </c>
      <c r="G560" s="30">
        <v>68</v>
      </c>
      <c r="H560" s="31">
        <f>G560/((F560/100)*(F560/100))</f>
        <v>24.092970521541954</v>
      </c>
      <c r="I560" s="5">
        <v>86</v>
      </c>
      <c r="J560" s="30">
        <v>130</v>
      </c>
      <c r="K560" s="30">
        <v>80</v>
      </c>
      <c r="L560" s="29">
        <f>IF(B560="Nữ",0,2)</f>
        <v>0</v>
      </c>
      <c r="M560" s="29">
        <f ca="1">IF(D560&lt;45,0,IF(D560&lt;=49,1,2))</f>
        <v>2</v>
      </c>
      <c r="N560" s="29">
        <f>IF(E560="Có",4,0)</f>
        <v>0</v>
      </c>
      <c r="O560" s="29">
        <f>IF(H560&lt;23,0,IF(H560&lt;27.5,3,5))</f>
        <v>3</v>
      </c>
      <c r="P560" s="29">
        <f>IF(OR(AND(B560="Nam",I560&gt;=90),AND(B560="Nữ",I560&gt;=80)),2,0)</f>
        <v>2</v>
      </c>
      <c r="Q560" s="29">
        <f>IF(OR(J560&gt;=140,K560&gt;=90),2,0)</f>
        <v>0</v>
      </c>
      <c r="R560" s="29">
        <f ca="1">SUM(L560:Q560)</f>
        <v>7</v>
      </c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5" t="s">
        <v>1393</v>
      </c>
      <c r="AE560" s="33"/>
      <c r="AF560" s="59" t="str">
        <f t="shared" si="25"/>
        <v>Không</v>
      </c>
      <c r="AG560" s="59" t="str">
        <f t="shared" si="26"/>
        <v>Không</v>
      </c>
      <c r="AH560" s="29" t="str">
        <f t="shared" ca="1" si="24"/>
        <v>Có</v>
      </c>
      <c r="AI560" s="29" t="str">
        <f ca="1">IF((R560)&gt;=6,"Có","Không")</f>
        <v>Có</v>
      </c>
      <c r="AJ560" s="29" t="str">
        <f>IF(OR(J560&gt;=140,K560&gt;=90),"Có","Không")</f>
        <v>Không</v>
      </c>
      <c r="AK560" s="5" t="s">
        <v>38</v>
      </c>
      <c r="AL560" s="32">
        <v>46142</v>
      </c>
      <c r="AM560" s="29" t="str">
        <f>"Tháng "&amp;MONTH(AL560)</f>
        <v>Tháng 4</v>
      </c>
      <c r="AN560" s="29" t="str">
        <f>LEFT(AK560,FIND(",",AK560)-1)</f>
        <v>Ấp Biển Đông B</v>
      </c>
    </row>
    <row r="561" spans="1:40" x14ac:dyDescent="0.25">
      <c r="A561" s="49" t="s">
        <v>46</v>
      </c>
      <c r="B561" s="5" t="s">
        <v>23</v>
      </c>
      <c r="C561" s="5" t="s">
        <v>47</v>
      </c>
      <c r="D561" s="29">
        <f ca="1">DATEDIF(C561,TODAY(),"Y")</f>
        <v>55</v>
      </c>
      <c r="E561" s="5" t="s">
        <v>26</v>
      </c>
      <c r="F561" s="30">
        <v>168</v>
      </c>
      <c r="G561" s="30">
        <v>68</v>
      </c>
      <c r="H561" s="31">
        <f>G561/((F561/100)*(F561/100))</f>
        <v>24.092970521541954</v>
      </c>
      <c r="I561" s="5">
        <v>71</v>
      </c>
      <c r="J561" s="30">
        <v>120</v>
      </c>
      <c r="K561" s="30">
        <v>80</v>
      </c>
      <c r="L561" s="29">
        <f>IF(B561="Nữ",0,2)</f>
        <v>0</v>
      </c>
      <c r="M561" s="29">
        <f ca="1">IF(D561&lt;45,0,IF(D561&lt;=49,1,2))</f>
        <v>2</v>
      </c>
      <c r="N561" s="29">
        <f>IF(E561="Có",4,0)</f>
        <v>0</v>
      </c>
      <c r="O561" s="29">
        <f>IF(H561&lt;23,0,IF(H561&lt;27.5,3,5))</f>
        <v>3</v>
      </c>
      <c r="P561" s="29">
        <f>IF(OR(AND(B561="Nam",I561&gt;=90),AND(B561="Nữ",I561&gt;=80)),2,0)</f>
        <v>0</v>
      </c>
      <c r="Q561" s="29">
        <f>IF(OR(J561&gt;=140,K561&gt;=90),2,0)</f>
        <v>0</v>
      </c>
      <c r="R561" s="29">
        <f ca="1">SUM(L561:Q561)</f>
        <v>5</v>
      </c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5" t="s">
        <v>1393</v>
      </c>
      <c r="AE561" s="33"/>
      <c r="AF561" s="59" t="str">
        <f t="shared" si="25"/>
        <v>Không</v>
      </c>
      <c r="AG561" s="59" t="str">
        <f t="shared" si="26"/>
        <v>Không</v>
      </c>
      <c r="AH561" s="29" t="str">
        <f t="shared" ca="1" si="24"/>
        <v>Không</v>
      </c>
      <c r="AI561" s="29" t="str">
        <f ca="1">IF((R561)&gt;=6,"Có","Không")</f>
        <v>Không</v>
      </c>
      <c r="AJ561" s="29" t="str">
        <f>IF(OR(J561&gt;=140,K561&gt;=90),"Có","Không")</f>
        <v>Không</v>
      </c>
      <c r="AK561" s="5" t="s">
        <v>48</v>
      </c>
      <c r="AL561" s="32">
        <v>46142</v>
      </c>
      <c r="AM561" s="29" t="str">
        <f>"Tháng "&amp;MONTH(AL561)</f>
        <v>Tháng 4</v>
      </c>
      <c r="AN561" s="29" t="str">
        <f>LEFT(AK561,FIND(",",AK561)-1)</f>
        <v>ấp Giồng Giữa A</v>
      </c>
    </row>
    <row r="562" spans="1:40" x14ac:dyDescent="0.25">
      <c r="A562" s="49" t="s">
        <v>49</v>
      </c>
      <c r="B562" s="5" t="s">
        <v>30</v>
      </c>
      <c r="C562" s="5" t="s">
        <v>50</v>
      </c>
      <c r="D562" s="29">
        <f ca="1">DATEDIF(C562,TODAY(),"Y")</f>
        <v>58</v>
      </c>
      <c r="E562" s="5" t="s">
        <v>25</v>
      </c>
      <c r="F562" s="30">
        <v>170</v>
      </c>
      <c r="G562" s="30">
        <v>75</v>
      </c>
      <c r="H562" s="31">
        <f>G562/((F562/100)*(F562/100))</f>
        <v>25.95155709342561</v>
      </c>
      <c r="I562" s="5">
        <v>87</v>
      </c>
      <c r="J562" s="30">
        <v>120</v>
      </c>
      <c r="K562" s="30">
        <v>80</v>
      </c>
      <c r="L562" s="29">
        <f>IF(B562="Nữ",0,2)</f>
        <v>2</v>
      </c>
      <c r="M562" s="29">
        <f ca="1">IF(D562&lt;45,0,IF(D562&lt;=49,1,2))</f>
        <v>2</v>
      </c>
      <c r="N562" s="29">
        <f>IF(E562="Có",4,0)</f>
        <v>4</v>
      </c>
      <c r="O562" s="29">
        <f>IF(H562&lt;23,0,IF(H562&lt;27.5,3,5))</f>
        <v>3</v>
      </c>
      <c r="P562" s="29">
        <f>IF(OR(AND(B562="Nam",I562&gt;=90),AND(B562="Nữ",I562&gt;=80)),2,0)</f>
        <v>0</v>
      </c>
      <c r="Q562" s="29">
        <f>IF(OR(J562&gt;=140,K562&gt;=90),2,0)</f>
        <v>0</v>
      </c>
      <c r="R562" s="29">
        <f ca="1">SUM(L562:Q562)</f>
        <v>11</v>
      </c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5" t="s">
        <v>1393</v>
      </c>
      <c r="AE562" s="33"/>
      <c r="AF562" s="59" t="str">
        <f t="shared" si="25"/>
        <v>Không</v>
      </c>
      <c r="AG562" s="59" t="str">
        <f t="shared" si="26"/>
        <v>Không</v>
      </c>
      <c r="AH562" s="29" t="str">
        <f t="shared" ca="1" si="24"/>
        <v>Có</v>
      </c>
      <c r="AI562" s="29" t="str">
        <f ca="1">IF((R562)&gt;=6,"Có","Không")</f>
        <v>Có</v>
      </c>
      <c r="AJ562" s="29" t="str">
        <f>IF(OR(J562&gt;=140,K562&gt;=90),"Có","Không")</f>
        <v>Không</v>
      </c>
      <c r="AK562" s="5" t="s">
        <v>51</v>
      </c>
      <c r="AL562" s="32">
        <v>46142</v>
      </c>
      <c r="AM562" s="29" t="str">
        <f>"Tháng "&amp;MONTH(AL562)</f>
        <v>Tháng 4</v>
      </c>
      <c r="AN562" s="29" t="str">
        <f>LEFT(AK562,FIND(",",AK562)-1)</f>
        <v>Phường Hiệp Thành</v>
      </c>
    </row>
    <row r="563" spans="1:40" x14ac:dyDescent="0.25">
      <c r="A563" s="49" t="s">
        <v>52</v>
      </c>
      <c r="B563" s="5" t="s">
        <v>23</v>
      </c>
      <c r="C563" s="5" t="s">
        <v>53</v>
      </c>
      <c r="D563" s="29">
        <f ca="1">DATEDIF(C563,TODAY(),"Y")</f>
        <v>72</v>
      </c>
      <c r="E563" s="5" t="s">
        <v>26</v>
      </c>
      <c r="F563" s="30">
        <v>158</v>
      </c>
      <c r="G563" s="30">
        <v>58</v>
      </c>
      <c r="H563" s="31">
        <f>G563/((F563/100)*(F563/100))</f>
        <v>23.233456176894723</v>
      </c>
      <c r="I563" s="5">
        <v>65</v>
      </c>
      <c r="J563" s="30">
        <v>120</v>
      </c>
      <c r="K563" s="30">
        <v>80</v>
      </c>
      <c r="L563" s="29">
        <f>IF(B563="Nữ",0,2)</f>
        <v>0</v>
      </c>
      <c r="M563" s="29">
        <f ca="1">IF(D563&lt;45,0,IF(D563&lt;=49,1,2))</f>
        <v>2</v>
      </c>
      <c r="N563" s="29">
        <f>IF(E563="Có",4,0)</f>
        <v>0</v>
      </c>
      <c r="O563" s="29">
        <f>IF(H563&lt;23,0,IF(H563&lt;27.5,3,5))</f>
        <v>3</v>
      </c>
      <c r="P563" s="29">
        <f>IF(OR(AND(B563="Nam",I563&gt;=90),AND(B563="Nữ",I563&gt;=80)),2,0)</f>
        <v>0</v>
      </c>
      <c r="Q563" s="29">
        <f>IF(OR(J563&gt;=140,K563&gt;=90),2,0)</f>
        <v>0</v>
      </c>
      <c r="R563" s="29">
        <f ca="1">SUM(L563:Q563)</f>
        <v>5</v>
      </c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5" t="s">
        <v>1393</v>
      </c>
      <c r="AE563" s="33"/>
      <c r="AF563" s="59" t="str">
        <f t="shared" si="25"/>
        <v>Không</v>
      </c>
      <c r="AG563" s="59" t="str">
        <f t="shared" si="26"/>
        <v>Không</v>
      </c>
      <c r="AH563" s="29" t="str">
        <f t="shared" ca="1" si="24"/>
        <v>Không</v>
      </c>
      <c r="AI563" s="29" t="str">
        <f ca="1">IF((R563)&gt;=6,"Có","Không")</f>
        <v>Không</v>
      </c>
      <c r="AJ563" s="29" t="str">
        <f>IF(OR(J563&gt;=140,K563&gt;=90),"Có","Không")</f>
        <v>Không</v>
      </c>
      <c r="AK563" s="5" t="s">
        <v>54</v>
      </c>
      <c r="AL563" s="32">
        <v>46142</v>
      </c>
      <c r="AM563" s="29" t="str">
        <f>"Tháng "&amp;MONTH(AL563)</f>
        <v>Tháng 4</v>
      </c>
      <c r="AN563" s="29" t="str">
        <f>LEFT(AK563,FIND(",",AK563)-1)</f>
        <v>Khóm 3</v>
      </c>
    </row>
    <row r="564" spans="1:40" x14ac:dyDescent="0.25">
      <c r="A564" s="49" t="s">
        <v>55</v>
      </c>
      <c r="B564" s="5" t="s">
        <v>23</v>
      </c>
      <c r="C564" s="5" t="s">
        <v>56</v>
      </c>
      <c r="D564" s="29">
        <f ca="1">DATEDIF(C564,TODAY(),"Y")</f>
        <v>65</v>
      </c>
      <c r="E564" s="5" t="s">
        <v>26</v>
      </c>
      <c r="F564" s="30">
        <v>160</v>
      </c>
      <c r="G564" s="30">
        <v>63</v>
      </c>
      <c r="H564" s="31">
        <f>G564/((F564/100)*(F564/100))</f>
        <v>24.609374999999996</v>
      </c>
      <c r="I564" s="5">
        <v>75</v>
      </c>
      <c r="J564" s="30">
        <v>140</v>
      </c>
      <c r="K564" s="30">
        <v>80</v>
      </c>
      <c r="L564" s="29">
        <f>IF(B564="Nữ",0,2)</f>
        <v>0</v>
      </c>
      <c r="M564" s="29">
        <f ca="1">IF(D564&lt;45,0,IF(D564&lt;=49,1,2))</f>
        <v>2</v>
      </c>
      <c r="N564" s="29">
        <f>IF(E564="Có",4,0)</f>
        <v>0</v>
      </c>
      <c r="O564" s="29">
        <f>IF(H564&lt;23,0,IF(H564&lt;27.5,3,5))</f>
        <v>3</v>
      </c>
      <c r="P564" s="29">
        <f>IF(OR(AND(B564="Nam",I564&gt;=90),AND(B564="Nữ",I564&gt;=80)),2,0)</f>
        <v>0</v>
      </c>
      <c r="Q564" s="29">
        <f>IF(OR(J564&gt;=140,K564&gt;=90),2,0)</f>
        <v>2</v>
      </c>
      <c r="R564" s="29">
        <f ca="1">SUM(L564:Q564)</f>
        <v>7</v>
      </c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5" t="s">
        <v>1393</v>
      </c>
      <c r="AE564" s="33"/>
      <c r="AF564" s="59" t="str">
        <f t="shared" si="25"/>
        <v>Không</v>
      </c>
      <c r="AG564" s="59" t="str">
        <f t="shared" si="26"/>
        <v>Không</v>
      </c>
      <c r="AH564" s="29" t="str">
        <f t="shared" ca="1" si="24"/>
        <v>Có</v>
      </c>
      <c r="AI564" s="29" t="str">
        <f ca="1">IF((R564)&gt;=6,"Có","Không")</f>
        <v>Có</v>
      </c>
      <c r="AJ564" s="29" t="str">
        <f>IF(OR(J564&gt;=140,K564&gt;=90),"Có","Không")</f>
        <v>Có</v>
      </c>
      <c r="AK564" s="5" t="s">
        <v>57</v>
      </c>
      <c r="AL564" s="32">
        <v>46142</v>
      </c>
      <c r="AM564" s="29" t="str">
        <f>"Tháng "&amp;MONTH(AL564)</f>
        <v>Tháng 4</v>
      </c>
      <c r="AN564" s="29" t="str">
        <f>LEFT(AK564,FIND(",",AK564)-1)</f>
        <v>xã hiệp thành</v>
      </c>
    </row>
    <row r="565" spans="1:40" x14ac:dyDescent="0.25">
      <c r="A565" s="49" t="s">
        <v>58</v>
      </c>
      <c r="B565" s="5" t="s">
        <v>23</v>
      </c>
      <c r="C565" s="5" t="s">
        <v>59</v>
      </c>
      <c r="D565" s="29">
        <f ca="1">DATEDIF(C565,TODAY(),"Y")</f>
        <v>74</v>
      </c>
      <c r="E565" s="5" t="s">
        <v>26</v>
      </c>
      <c r="F565" s="30">
        <v>168</v>
      </c>
      <c r="G565" s="30">
        <v>68</v>
      </c>
      <c r="H565" s="31">
        <f>G565/((F565/100)*(F565/100))</f>
        <v>24.092970521541954</v>
      </c>
      <c r="I565" s="5">
        <v>72</v>
      </c>
      <c r="J565" s="30">
        <v>140</v>
      </c>
      <c r="K565" s="30">
        <v>80</v>
      </c>
      <c r="L565" s="29">
        <f>IF(B565="Nữ",0,2)</f>
        <v>0</v>
      </c>
      <c r="M565" s="29">
        <f ca="1">IF(D565&lt;45,0,IF(D565&lt;=49,1,2))</f>
        <v>2</v>
      </c>
      <c r="N565" s="29">
        <f>IF(E565="Có",4,0)</f>
        <v>0</v>
      </c>
      <c r="O565" s="29">
        <f>IF(H565&lt;23,0,IF(H565&lt;27.5,3,5))</f>
        <v>3</v>
      </c>
      <c r="P565" s="29">
        <f>IF(OR(AND(B565="Nam",I565&gt;=90),AND(B565="Nữ",I565&gt;=80)),2,0)</f>
        <v>0</v>
      </c>
      <c r="Q565" s="29">
        <f>IF(OR(J565&gt;=140,K565&gt;=90),2,0)</f>
        <v>2</v>
      </c>
      <c r="R565" s="29">
        <f ca="1">SUM(L565:Q565)</f>
        <v>7</v>
      </c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5" t="s">
        <v>1393</v>
      </c>
      <c r="AE565" s="33"/>
      <c r="AF565" s="59" t="str">
        <f t="shared" si="25"/>
        <v>Không</v>
      </c>
      <c r="AG565" s="59" t="str">
        <f t="shared" si="26"/>
        <v>Không</v>
      </c>
      <c r="AH565" s="29" t="str">
        <f t="shared" ca="1" si="24"/>
        <v>Có</v>
      </c>
      <c r="AI565" s="29" t="str">
        <f ca="1">IF((R565)&gt;=6,"Có","Không")</f>
        <v>Có</v>
      </c>
      <c r="AJ565" s="29" t="str">
        <f>IF(OR(J565&gt;=140,K565&gt;=90),"Có","Không")</f>
        <v>Có</v>
      </c>
      <c r="AK565" s="5" t="s">
        <v>60</v>
      </c>
      <c r="AL565" s="32">
        <v>46142</v>
      </c>
      <c r="AM565" s="29" t="str">
        <f>"Tháng "&amp;MONTH(AL565)</f>
        <v>Tháng 4</v>
      </c>
      <c r="AN565" s="29" t="str">
        <f>LEFT(AK565,FIND(",",AK565)-1)</f>
        <v>ấp Biển Đông A</v>
      </c>
    </row>
    <row r="566" spans="1:40" x14ac:dyDescent="0.25">
      <c r="A566" s="49" t="s">
        <v>61</v>
      </c>
      <c r="B566" s="5" t="s">
        <v>30</v>
      </c>
      <c r="C566" s="5" t="s">
        <v>62</v>
      </c>
      <c r="D566" s="29">
        <f ca="1">DATEDIF(C566,TODAY(),"Y")</f>
        <v>64</v>
      </c>
      <c r="E566" s="5" t="s">
        <v>26</v>
      </c>
      <c r="F566" s="30">
        <v>168</v>
      </c>
      <c r="G566" s="30">
        <v>68</v>
      </c>
      <c r="H566" s="31">
        <f>G566/((F566/100)*(F566/100))</f>
        <v>24.092970521541954</v>
      </c>
      <c r="I566" s="5">
        <v>95</v>
      </c>
      <c r="J566" s="30">
        <v>120</v>
      </c>
      <c r="K566" s="30">
        <v>80</v>
      </c>
      <c r="L566" s="29">
        <f>IF(B566="Nữ",0,2)</f>
        <v>2</v>
      </c>
      <c r="M566" s="29">
        <f ca="1">IF(D566&lt;45,0,IF(D566&lt;=49,1,2))</f>
        <v>2</v>
      </c>
      <c r="N566" s="29">
        <f>IF(E566="Có",4,0)</f>
        <v>0</v>
      </c>
      <c r="O566" s="29">
        <f>IF(H566&lt;23,0,IF(H566&lt;27.5,3,5))</f>
        <v>3</v>
      </c>
      <c r="P566" s="29">
        <f>IF(OR(AND(B566="Nam",I566&gt;=90),AND(B566="Nữ",I566&gt;=80)),2,0)</f>
        <v>2</v>
      </c>
      <c r="Q566" s="29">
        <f>IF(OR(J566&gt;=140,K566&gt;=90),2,0)</f>
        <v>0</v>
      </c>
      <c r="R566" s="29">
        <f ca="1">SUM(L566:Q566)</f>
        <v>9</v>
      </c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5" t="s">
        <v>1393</v>
      </c>
      <c r="AE566" s="33"/>
      <c r="AF566" s="59" t="str">
        <f t="shared" si="25"/>
        <v>Không</v>
      </c>
      <c r="AG566" s="59" t="str">
        <f t="shared" si="26"/>
        <v>Không</v>
      </c>
      <c r="AH566" s="29" t="str">
        <f t="shared" ca="1" si="24"/>
        <v>Có</v>
      </c>
      <c r="AI566" s="29" t="str">
        <f ca="1">IF((R566)&gt;=6,"Có","Không")</f>
        <v>Có</v>
      </c>
      <c r="AJ566" s="29" t="str">
        <f>IF(OR(J566&gt;=140,K566&gt;=90),"Có","Không")</f>
        <v>Không</v>
      </c>
      <c r="AK566" s="5" t="s">
        <v>51</v>
      </c>
      <c r="AL566" s="32">
        <v>46142</v>
      </c>
      <c r="AM566" s="29" t="str">
        <f>"Tháng "&amp;MONTH(AL566)</f>
        <v>Tháng 4</v>
      </c>
      <c r="AN566" s="29" t="str">
        <f>LEFT(AK566,FIND(",",AK566)-1)</f>
        <v>Phường Hiệp Thành</v>
      </c>
    </row>
    <row r="567" spans="1:40" x14ac:dyDescent="0.25">
      <c r="A567" s="49" t="s">
        <v>63</v>
      </c>
      <c r="B567" s="5" t="s">
        <v>23</v>
      </c>
      <c r="C567" s="5" t="s">
        <v>64</v>
      </c>
      <c r="D567" s="29">
        <f ca="1">DATEDIF(C567,TODAY(),"Y")</f>
        <v>42</v>
      </c>
      <c r="E567" s="5" t="s">
        <v>26</v>
      </c>
      <c r="F567" s="30">
        <v>158</v>
      </c>
      <c r="G567" s="30">
        <v>58</v>
      </c>
      <c r="H567" s="31">
        <f>G567/((F567/100)*(F567/100))</f>
        <v>23.233456176894723</v>
      </c>
      <c r="I567" s="5">
        <v>87</v>
      </c>
      <c r="J567" s="30">
        <v>130</v>
      </c>
      <c r="K567" s="30">
        <v>80</v>
      </c>
      <c r="L567" s="29">
        <f>IF(B567="Nữ",0,2)</f>
        <v>0</v>
      </c>
      <c r="M567" s="29">
        <f ca="1">IF(D567&lt;45,0,IF(D567&lt;=49,1,2))</f>
        <v>0</v>
      </c>
      <c r="N567" s="29">
        <f>IF(E567="Có",4,0)</f>
        <v>0</v>
      </c>
      <c r="O567" s="29">
        <f>IF(H567&lt;23,0,IF(H567&lt;27.5,3,5))</f>
        <v>3</v>
      </c>
      <c r="P567" s="29">
        <f>IF(OR(AND(B567="Nam",I567&gt;=90),AND(B567="Nữ",I567&gt;=80)),2,0)</f>
        <v>2</v>
      </c>
      <c r="Q567" s="29">
        <f>IF(OR(J567&gt;=140,K567&gt;=90),2,0)</f>
        <v>0</v>
      </c>
      <c r="R567" s="29">
        <f ca="1">SUM(L567:Q567)</f>
        <v>5</v>
      </c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5" t="s">
        <v>1393</v>
      </c>
      <c r="AE567" s="33"/>
      <c r="AF567" s="59" t="str">
        <f t="shared" si="25"/>
        <v>Không</v>
      </c>
      <c r="AG567" s="59" t="str">
        <f t="shared" si="26"/>
        <v>Không</v>
      </c>
      <c r="AH567" s="29" t="str">
        <f t="shared" ca="1" si="24"/>
        <v>Không</v>
      </c>
      <c r="AI567" s="29" t="str">
        <f ca="1">IF((R567)&gt;=6,"Có","Không")</f>
        <v>Không</v>
      </c>
      <c r="AJ567" s="29" t="str">
        <f>IF(OR(J567&gt;=140,K567&gt;=90),"Có","Không")</f>
        <v>Không</v>
      </c>
      <c r="AK567" s="5" t="s">
        <v>65</v>
      </c>
      <c r="AL567" s="32">
        <v>46142</v>
      </c>
      <c r="AM567" s="29" t="str">
        <f>"Tháng "&amp;MONTH(AL567)</f>
        <v>Tháng 4</v>
      </c>
      <c r="AN567" s="29" t="str">
        <f>LEFT(AK567,FIND(",",AK567)-1)</f>
        <v>Biển Tây B</v>
      </c>
    </row>
    <row r="568" spans="1:40" x14ac:dyDescent="0.25">
      <c r="A568" s="49" t="s">
        <v>66</v>
      </c>
      <c r="B568" s="5" t="s">
        <v>30</v>
      </c>
      <c r="C568" s="5" t="s">
        <v>67</v>
      </c>
      <c r="D568" s="29">
        <f ca="1">DATEDIF(C568,TODAY(),"Y")</f>
        <v>48</v>
      </c>
      <c r="E568" s="5" t="s">
        <v>26</v>
      </c>
      <c r="F568" s="30">
        <v>169</v>
      </c>
      <c r="G568" s="30">
        <v>68</v>
      </c>
      <c r="H568" s="31">
        <f>G568/((F568/100)*(F568/100))</f>
        <v>23.808690171912751</v>
      </c>
      <c r="I568" s="5">
        <v>90</v>
      </c>
      <c r="J568" s="30">
        <v>120</v>
      </c>
      <c r="K568" s="30">
        <v>80</v>
      </c>
      <c r="L568" s="29">
        <f>IF(B568="Nữ",0,2)</f>
        <v>2</v>
      </c>
      <c r="M568" s="29">
        <f ca="1">IF(D568&lt;45,0,IF(D568&lt;=49,1,2))</f>
        <v>1</v>
      </c>
      <c r="N568" s="29">
        <f>IF(E568="Có",4,0)</f>
        <v>0</v>
      </c>
      <c r="O568" s="29">
        <f>IF(H568&lt;23,0,IF(H568&lt;27.5,3,5))</f>
        <v>3</v>
      </c>
      <c r="P568" s="29">
        <f>IF(OR(AND(B568="Nam",I568&gt;=90),AND(B568="Nữ",I568&gt;=80)),2,0)</f>
        <v>2</v>
      </c>
      <c r="Q568" s="29">
        <f>IF(OR(J568&gt;=140,K568&gt;=90),2,0)</f>
        <v>0</v>
      </c>
      <c r="R568" s="29">
        <f ca="1">SUM(L568:Q568)</f>
        <v>8</v>
      </c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5" t="s">
        <v>1393</v>
      </c>
      <c r="AE568" s="33"/>
      <c r="AF568" s="59" t="str">
        <f t="shared" si="25"/>
        <v>Không</v>
      </c>
      <c r="AG568" s="59" t="str">
        <f t="shared" si="26"/>
        <v>Không</v>
      </c>
      <c r="AH568" s="29" t="str">
        <f t="shared" ca="1" si="24"/>
        <v>Có</v>
      </c>
      <c r="AI568" s="29" t="str">
        <f ca="1">IF((R568)&gt;=6,"Có","Không")</f>
        <v>Có</v>
      </c>
      <c r="AJ568" s="29" t="str">
        <f>IF(OR(J568&gt;=140,K568&gt;=90),"Có","Không")</f>
        <v>Không</v>
      </c>
      <c r="AK568" s="5" t="s">
        <v>68</v>
      </c>
      <c r="AL568" s="32">
        <v>46142</v>
      </c>
      <c r="AM568" s="29" t="str">
        <f>"Tháng "&amp;MONTH(AL568)</f>
        <v>Tháng 4</v>
      </c>
      <c r="AN568" s="29" t="str">
        <f>LEFT(AK568,FIND(",",AK568)-1)</f>
        <v>Ấp Biển Tây B</v>
      </c>
    </row>
    <row r="569" spans="1:40" x14ac:dyDescent="0.25">
      <c r="A569" s="49" t="s">
        <v>69</v>
      </c>
      <c r="B569" s="5" t="s">
        <v>30</v>
      </c>
      <c r="C569" s="5" t="s">
        <v>50</v>
      </c>
      <c r="D569" s="29">
        <f ca="1">DATEDIF(C569,TODAY(),"Y")</f>
        <v>58</v>
      </c>
      <c r="E569" s="5" t="s">
        <v>26</v>
      </c>
      <c r="F569" s="30">
        <v>168</v>
      </c>
      <c r="G569" s="30">
        <v>68</v>
      </c>
      <c r="H569" s="31">
        <f>G569/((F569/100)*(F569/100))</f>
        <v>24.092970521541954</v>
      </c>
      <c r="I569" s="5">
        <v>76</v>
      </c>
      <c r="J569" s="30">
        <v>120</v>
      </c>
      <c r="K569" s="30">
        <v>80</v>
      </c>
      <c r="L569" s="29">
        <f>IF(B569="Nữ",0,2)</f>
        <v>2</v>
      </c>
      <c r="M569" s="29">
        <f ca="1">IF(D569&lt;45,0,IF(D569&lt;=49,1,2))</f>
        <v>2</v>
      </c>
      <c r="N569" s="29">
        <f>IF(E569="Có",4,0)</f>
        <v>0</v>
      </c>
      <c r="O569" s="29">
        <f>IF(H569&lt;23,0,IF(H569&lt;27.5,3,5))</f>
        <v>3</v>
      </c>
      <c r="P569" s="29">
        <f>IF(OR(AND(B569="Nam",I569&gt;=90),AND(B569="Nữ",I569&gt;=80)),2,0)</f>
        <v>0</v>
      </c>
      <c r="Q569" s="29">
        <f>IF(OR(J569&gt;=140,K569&gt;=90),2,0)</f>
        <v>0</v>
      </c>
      <c r="R569" s="29">
        <f ca="1">SUM(L569:Q569)</f>
        <v>7</v>
      </c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5" t="s">
        <v>1393</v>
      </c>
      <c r="AE569" s="33"/>
      <c r="AF569" s="59" t="str">
        <f t="shared" si="25"/>
        <v>Không</v>
      </c>
      <c r="AG569" s="59" t="str">
        <f t="shared" si="26"/>
        <v>Không</v>
      </c>
      <c r="AH569" s="29" t="str">
        <f t="shared" ca="1" si="24"/>
        <v>Có</v>
      </c>
      <c r="AI569" s="29" t="str">
        <f ca="1">IF((R569)&gt;=6,"Có","Không")</f>
        <v>Có</v>
      </c>
      <c r="AJ569" s="29" t="str">
        <f>IF(OR(J569&gt;=140,K569&gt;=90),"Có","Không")</f>
        <v>Không</v>
      </c>
      <c r="AK569" s="5" t="s">
        <v>70</v>
      </c>
      <c r="AL569" s="32">
        <v>46142</v>
      </c>
      <c r="AM569" s="29" t="str">
        <f>"Tháng "&amp;MONTH(AL569)</f>
        <v>Tháng 4</v>
      </c>
      <c r="AN569" s="29" t="str">
        <f>LEFT(AK569,FIND(",",AK569)-1)</f>
        <v>Ấp Biển Tây A</v>
      </c>
    </row>
    <row r="570" spans="1:40" x14ac:dyDescent="0.25">
      <c r="A570" s="49" t="s">
        <v>71</v>
      </c>
      <c r="B570" s="5" t="s">
        <v>30</v>
      </c>
      <c r="C570" s="5" t="s">
        <v>62</v>
      </c>
      <c r="D570" s="29">
        <f ca="1">DATEDIF(C570,TODAY(),"Y")</f>
        <v>64</v>
      </c>
      <c r="E570" s="5" t="s">
        <v>26</v>
      </c>
      <c r="F570" s="30">
        <v>168</v>
      </c>
      <c r="G570" s="30">
        <v>68</v>
      </c>
      <c r="H570" s="31">
        <f>G570/((F570/100)*(F570/100))</f>
        <v>24.092970521541954</v>
      </c>
      <c r="I570" s="5">
        <v>93</v>
      </c>
      <c r="J570" s="30">
        <v>130</v>
      </c>
      <c r="K570" s="30">
        <v>80</v>
      </c>
      <c r="L570" s="29">
        <f>IF(B570="Nữ",0,2)</f>
        <v>2</v>
      </c>
      <c r="M570" s="29">
        <f ca="1">IF(D570&lt;45,0,IF(D570&lt;=49,1,2))</f>
        <v>2</v>
      </c>
      <c r="N570" s="29">
        <f>IF(E570="Có",4,0)</f>
        <v>0</v>
      </c>
      <c r="O570" s="29">
        <f>IF(H570&lt;23,0,IF(H570&lt;27.5,3,5))</f>
        <v>3</v>
      </c>
      <c r="P570" s="29">
        <f>IF(OR(AND(B570="Nam",I570&gt;=90),AND(B570="Nữ",I570&gt;=80)),2,0)</f>
        <v>2</v>
      </c>
      <c r="Q570" s="29">
        <f>IF(OR(J570&gt;=140,K570&gt;=90),2,0)</f>
        <v>0</v>
      </c>
      <c r="R570" s="29">
        <f ca="1">SUM(L570:Q570)</f>
        <v>9</v>
      </c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5" t="s">
        <v>1393</v>
      </c>
      <c r="AE570" s="33"/>
      <c r="AF570" s="59" t="str">
        <f t="shared" si="25"/>
        <v>Không</v>
      </c>
      <c r="AG570" s="59" t="str">
        <f t="shared" si="26"/>
        <v>Không</v>
      </c>
      <c r="AH570" s="29" t="str">
        <f t="shared" ca="1" si="24"/>
        <v>Có</v>
      </c>
      <c r="AI570" s="29" t="str">
        <f ca="1">IF((R570)&gt;=6,"Có","Không")</f>
        <v>Có</v>
      </c>
      <c r="AJ570" s="29" t="str">
        <f>IF(OR(J570&gt;=140,K570&gt;=90),"Có","Không")</f>
        <v>Không</v>
      </c>
      <c r="AK570" s="5" t="s">
        <v>72</v>
      </c>
      <c r="AL570" s="32">
        <v>46142</v>
      </c>
      <c r="AM570" s="29" t="str">
        <f>"Tháng "&amp;MONTH(AL570)</f>
        <v>Tháng 4</v>
      </c>
      <c r="AN570" s="29" t="str">
        <f>LEFT(AK570,FIND(",",AK570)-1)</f>
        <v>Ấp Giồng Giữa A</v>
      </c>
    </row>
    <row r="571" spans="1:40" x14ac:dyDescent="0.25">
      <c r="A571" s="49" t="s">
        <v>73</v>
      </c>
      <c r="B571" s="5" t="s">
        <v>23</v>
      </c>
      <c r="C571" s="5" t="s">
        <v>62</v>
      </c>
      <c r="D571" s="29">
        <f ca="1">DATEDIF(C571,TODAY(),"Y")</f>
        <v>64</v>
      </c>
      <c r="E571" s="5" t="s">
        <v>26</v>
      </c>
      <c r="F571" s="30">
        <v>158</v>
      </c>
      <c r="G571" s="30">
        <v>58</v>
      </c>
      <c r="H571" s="31">
        <f>G571/((F571/100)*(F571/100))</f>
        <v>23.233456176894723</v>
      </c>
      <c r="I571" s="5">
        <v>73</v>
      </c>
      <c r="J571" s="30">
        <v>130</v>
      </c>
      <c r="K571" s="30">
        <v>80</v>
      </c>
      <c r="L571" s="29">
        <f>IF(B571="Nữ",0,2)</f>
        <v>0</v>
      </c>
      <c r="M571" s="29">
        <f ca="1">IF(D571&lt;45,0,IF(D571&lt;=49,1,2))</f>
        <v>2</v>
      </c>
      <c r="N571" s="29">
        <f>IF(E571="Có",4,0)</f>
        <v>0</v>
      </c>
      <c r="O571" s="29">
        <f>IF(H571&lt;23,0,IF(H571&lt;27.5,3,5))</f>
        <v>3</v>
      </c>
      <c r="P571" s="29">
        <f>IF(OR(AND(B571="Nam",I571&gt;=90),AND(B571="Nữ",I571&gt;=80)),2,0)</f>
        <v>0</v>
      </c>
      <c r="Q571" s="29">
        <f>IF(OR(J571&gt;=140,K571&gt;=90),2,0)</f>
        <v>0</v>
      </c>
      <c r="R571" s="29">
        <f ca="1">SUM(L571:Q571)</f>
        <v>5</v>
      </c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5" t="s">
        <v>1393</v>
      </c>
      <c r="AE571" s="33"/>
      <c r="AF571" s="59" t="str">
        <f t="shared" si="25"/>
        <v>Không</v>
      </c>
      <c r="AG571" s="59" t="str">
        <f t="shared" si="26"/>
        <v>Không</v>
      </c>
      <c r="AH571" s="29" t="str">
        <f t="shared" ca="1" si="24"/>
        <v>Không</v>
      </c>
      <c r="AI571" s="29" t="str">
        <f ca="1">IF((R571)&gt;=6,"Có","Không")</f>
        <v>Không</v>
      </c>
      <c r="AJ571" s="29" t="str">
        <f>IF(OR(J571&gt;=140,K571&gt;=90),"Có","Không")</f>
        <v>Không</v>
      </c>
      <c r="AK571" s="5" t="s">
        <v>74</v>
      </c>
      <c r="AL571" s="32">
        <v>46142</v>
      </c>
      <c r="AM571" s="29" t="str">
        <f>"Tháng "&amp;MONTH(AL571)</f>
        <v>Tháng 4</v>
      </c>
      <c r="AN571" s="29" t="str">
        <f>LEFT(AK571,FIND(",",AK571)-1)</f>
        <v>ấp Biển Đông A</v>
      </c>
    </row>
    <row r="572" spans="1:40" x14ac:dyDescent="0.25">
      <c r="A572" s="49" t="s">
        <v>75</v>
      </c>
      <c r="B572" s="5" t="s">
        <v>30</v>
      </c>
      <c r="C572" s="5" t="s">
        <v>76</v>
      </c>
      <c r="D572" s="29">
        <f ca="1">DATEDIF(C572,TODAY(),"Y")</f>
        <v>68</v>
      </c>
      <c r="E572" s="5" t="s">
        <v>26</v>
      </c>
      <c r="F572" s="30">
        <v>168</v>
      </c>
      <c r="G572" s="30">
        <v>68</v>
      </c>
      <c r="H572" s="31">
        <f>G572/((F572/100)*(F572/100))</f>
        <v>24.092970521541954</v>
      </c>
      <c r="I572" s="5">
        <v>91</v>
      </c>
      <c r="J572" s="30">
        <v>120</v>
      </c>
      <c r="K572" s="30">
        <v>80</v>
      </c>
      <c r="L572" s="29">
        <f>IF(B572="Nữ",0,2)</f>
        <v>2</v>
      </c>
      <c r="M572" s="29">
        <f ca="1">IF(D572&lt;45,0,IF(D572&lt;=49,1,2))</f>
        <v>2</v>
      </c>
      <c r="N572" s="29">
        <f>IF(E572="Có",4,0)</f>
        <v>0</v>
      </c>
      <c r="O572" s="29">
        <f>IF(H572&lt;23,0,IF(H572&lt;27.5,3,5))</f>
        <v>3</v>
      </c>
      <c r="P572" s="29">
        <f>IF(OR(AND(B572="Nam",I572&gt;=90),AND(B572="Nữ",I572&gt;=80)),2,0)</f>
        <v>2</v>
      </c>
      <c r="Q572" s="29">
        <f>IF(OR(J572&gt;=140,K572&gt;=90),2,0)</f>
        <v>0</v>
      </c>
      <c r="R572" s="29">
        <f ca="1">SUM(L572:Q572)</f>
        <v>9</v>
      </c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5" t="s">
        <v>1393</v>
      </c>
      <c r="AE572" s="33"/>
      <c r="AF572" s="59" t="str">
        <f t="shared" si="25"/>
        <v>Không</v>
      </c>
      <c r="AG572" s="59" t="str">
        <f t="shared" si="26"/>
        <v>Không</v>
      </c>
      <c r="AH572" s="29" t="str">
        <f t="shared" ca="1" si="24"/>
        <v>Có</v>
      </c>
      <c r="AI572" s="29" t="str">
        <f ca="1">IF((R572)&gt;=6,"Có","Không")</f>
        <v>Có</v>
      </c>
      <c r="AJ572" s="29" t="str">
        <f>IF(OR(J572&gt;=140,K572&gt;=90),"Có","Không")</f>
        <v>Không</v>
      </c>
      <c r="AK572" s="5" t="s">
        <v>38</v>
      </c>
      <c r="AL572" s="32">
        <v>46142</v>
      </c>
      <c r="AM572" s="29" t="str">
        <f>"Tháng "&amp;MONTH(AL572)</f>
        <v>Tháng 4</v>
      </c>
      <c r="AN572" s="29" t="str">
        <f>LEFT(AK572,FIND(",",AK572)-1)</f>
        <v>Ấp Biển Đông B</v>
      </c>
    </row>
    <row r="573" spans="1:40" x14ac:dyDescent="0.25">
      <c r="A573" s="49" t="s">
        <v>77</v>
      </c>
      <c r="B573" s="5" t="s">
        <v>23</v>
      </c>
      <c r="C573" s="5" t="s">
        <v>47</v>
      </c>
      <c r="D573" s="29">
        <f ca="1">DATEDIF(C573,TODAY(),"Y")</f>
        <v>55</v>
      </c>
      <c r="E573" s="5" t="s">
        <v>26</v>
      </c>
      <c r="F573" s="30">
        <v>150</v>
      </c>
      <c r="G573" s="30">
        <v>58</v>
      </c>
      <c r="H573" s="31">
        <f>G573/((F573/100)*(F573/100))</f>
        <v>25.777777777777779</v>
      </c>
      <c r="I573" s="5">
        <v>90</v>
      </c>
      <c r="J573" s="30">
        <v>130</v>
      </c>
      <c r="K573" s="30">
        <v>80</v>
      </c>
      <c r="L573" s="29">
        <f>IF(B573="Nữ",0,2)</f>
        <v>0</v>
      </c>
      <c r="M573" s="29">
        <f ca="1">IF(D573&lt;45,0,IF(D573&lt;=49,1,2))</f>
        <v>2</v>
      </c>
      <c r="N573" s="29">
        <f>IF(E573="Có",4,0)</f>
        <v>0</v>
      </c>
      <c r="O573" s="29">
        <f>IF(H573&lt;23,0,IF(H573&lt;27.5,3,5))</f>
        <v>3</v>
      </c>
      <c r="P573" s="29">
        <f>IF(OR(AND(B573="Nam",I573&gt;=90),AND(B573="Nữ",I573&gt;=80)),2,0)</f>
        <v>2</v>
      </c>
      <c r="Q573" s="29">
        <f>IF(OR(J573&gt;=140,K573&gt;=90),2,0)</f>
        <v>0</v>
      </c>
      <c r="R573" s="29">
        <f ca="1">SUM(L573:Q573)</f>
        <v>7</v>
      </c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5" t="s">
        <v>1393</v>
      </c>
      <c r="AE573" s="33"/>
      <c r="AF573" s="59" t="str">
        <f t="shared" si="25"/>
        <v>Không</v>
      </c>
      <c r="AG573" s="59" t="str">
        <f t="shared" si="26"/>
        <v>Không</v>
      </c>
      <c r="AH573" s="29" t="str">
        <f t="shared" ca="1" si="24"/>
        <v>Có</v>
      </c>
      <c r="AI573" s="29" t="str">
        <f ca="1">IF((R573)&gt;=6,"Có","Không")</f>
        <v>Có</v>
      </c>
      <c r="AJ573" s="29" t="str">
        <f>IF(OR(J573&gt;=140,K573&gt;=90),"Có","Không")</f>
        <v>Không</v>
      </c>
      <c r="AK573" s="5" t="s">
        <v>78</v>
      </c>
      <c r="AL573" s="32">
        <v>46142</v>
      </c>
      <c r="AM573" s="29" t="str">
        <f>"Tháng "&amp;MONTH(AL573)</f>
        <v>Tháng 4</v>
      </c>
      <c r="AN573" s="29" t="str">
        <f>LEFT(AK573,FIND(",",AK573)-1)</f>
        <v>Ấp Cái Nước</v>
      </c>
    </row>
    <row r="574" spans="1:40" x14ac:dyDescent="0.25">
      <c r="A574" s="49" t="s">
        <v>79</v>
      </c>
      <c r="B574" s="5" t="s">
        <v>23</v>
      </c>
      <c r="C574" s="5" t="s">
        <v>80</v>
      </c>
      <c r="D574" s="29">
        <f ca="1">DATEDIF(C574,TODAY(),"Y")</f>
        <v>71</v>
      </c>
      <c r="E574" s="5" t="s">
        <v>26</v>
      </c>
      <c r="F574" s="30">
        <v>158</v>
      </c>
      <c r="G574" s="30">
        <v>58</v>
      </c>
      <c r="H574" s="31">
        <f>G574/((F574/100)*(F574/100))</f>
        <v>23.233456176894723</v>
      </c>
      <c r="I574" s="5">
        <v>71</v>
      </c>
      <c r="J574" s="30">
        <v>120</v>
      </c>
      <c r="K574" s="30">
        <v>80</v>
      </c>
      <c r="L574" s="29">
        <f>IF(B574="Nữ",0,2)</f>
        <v>0</v>
      </c>
      <c r="M574" s="29">
        <f ca="1">IF(D574&lt;45,0,IF(D574&lt;=49,1,2))</f>
        <v>2</v>
      </c>
      <c r="N574" s="29">
        <f>IF(E574="Có",4,0)</f>
        <v>0</v>
      </c>
      <c r="O574" s="29">
        <f>IF(H574&lt;23,0,IF(H574&lt;27.5,3,5))</f>
        <v>3</v>
      </c>
      <c r="P574" s="29">
        <f>IF(OR(AND(B574="Nam",I574&gt;=90),AND(B574="Nữ",I574&gt;=80)),2,0)</f>
        <v>0</v>
      </c>
      <c r="Q574" s="29">
        <f>IF(OR(J574&gt;=140,K574&gt;=90),2,0)</f>
        <v>0</v>
      </c>
      <c r="R574" s="29">
        <f ca="1">SUM(L574:Q574)</f>
        <v>5</v>
      </c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5" t="s">
        <v>1393</v>
      </c>
      <c r="AE574" s="33"/>
      <c r="AF574" s="59" t="str">
        <f t="shared" si="25"/>
        <v>Không</v>
      </c>
      <c r="AG574" s="59" t="str">
        <f t="shared" si="26"/>
        <v>Không</v>
      </c>
      <c r="AH574" s="29" t="str">
        <f t="shared" ca="1" si="24"/>
        <v>Không</v>
      </c>
      <c r="AI574" s="29" t="str">
        <f ca="1">IF((R574)&gt;=6,"Có","Không")</f>
        <v>Không</v>
      </c>
      <c r="AJ574" s="29" t="str">
        <f>IF(OR(J574&gt;=140,K574&gt;=90),"Có","Không")</f>
        <v>Không</v>
      </c>
      <c r="AK574" s="5" t="s">
        <v>38</v>
      </c>
      <c r="AL574" s="32">
        <v>46142</v>
      </c>
      <c r="AM574" s="29" t="str">
        <f>"Tháng "&amp;MONTH(AL574)</f>
        <v>Tháng 4</v>
      </c>
      <c r="AN574" s="29" t="str">
        <f>LEFT(AK574,FIND(",",AK574)-1)</f>
        <v>Ấp Biển Đông B</v>
      </c>
    </row>
    <row r="575" spans="1:40" x14ac:dyDescent="0.25">
      <c r="A575" s="49" t="s">
        <v>81</v>
      </c>
      <c r="B575" s="5" t="s">
        <v>30</v>
      </c>
      <c r="C575" s="5" t="s">
        <v>82</v>
      </c>
      <c r="D575" s="29">
        <f ca="1">DATEDIF(C575,TODAY(),"Y")</f>
        <v>73</v>
      </c>
      <c r="E575" s="5" t="s">
        <v>25</v>
      </c>
      <c r="F575" s="30">
        <v>169</v>
      </c>
      <c r="G575" s="30">
        <v>68</v>
      </c>
      <c r="H575" s="31">
        <f>G575/((F575/100)*(F575/100))</f>
        <v>23.808690171912751</v>
      </c>
      <c r="I575" s="5">
        <v>96</v>
      </c>
      <c r="J575" s="30">
        <v>130</v>
      </c>
      <c r="K575" s="30">
        <v>80</v>
      </c>
      <c r="L575" s="29">
        <f>IF(B575="Nữ",0,2)</f>
        <v>2</v>
      </c>
      <c r="M575" s="29">
        <f ca="1">IF(D575&lt;45,0,IF(D575&lt;=49,1,2))</f>
        <v>2</v>
      </c>
      <c r="N575" s="29">
        <f>IF(E575="Có",4,0)</f>
        <v>4</v>
      </c>
      <c r="O575" s="29">
        <f>IF(H575&lt;23,0,IF(H575&lt;27.5,3,5))</f>
        <v>3</v>
      </c>
      <c r="P575" s="29">
        <f>IF(OR(AND(B575="Nam",I575&gt;=90),AND(B575="Nữ",I575&gt;=80)),2,0)</f>
        <v>2</v>
      </c>
      <c r="Q575" s="29">
        <f>IF(OR(J575&gt;=140,K575&gt;=90),2,0)</f>
        <v>0</v>
      </c>
      <c r="R575" s="29">
        <f ca="1">SUM(L575:Q575)</f>
        <v>13</v>
      </c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5" t="s">
        <v>1393</v>
      </c>
      <c r="AE575" s="33"/>
      <c r="AF575" s="59" t="str">
        <f t="shared" si="25"/>
        <v>Không</v>
      </c>
      <c r="AG575" s="59" t="str">
        <f t="shared" si="26"/>
        <v>Không</v>
      </c>
      <c r="AH575" s="29" t="str">
        <f t="shared" ca="1" si="24"/>
        <v>Có</v>
      </c>
      <c r="AI575" s="29" t="str">
        <f ca="1">IF((R575)&gt;=6,"Có","Không")</f>
        <v>Có</v>
      </c>
      <c r="AJ575" s="29" t="str">
        <f>IF(OR(J575&gt;=140,K575&gt;=90),"Có","Không")</f>
        <v>Không</v>
      </c>
      <c r="AK575" s="5" t="s">
        <v>32</v>
      </c>
      <c r="AL575" s="32">
        <v>46142</v>
      </c>
      <c r="AM575" s="29" t="str">
        <f>"Tháng "&amp;MONTH(AL575)</f>
        <v>Tháng 4</v>
      </c>
      <c r="AN575" s="29" t="str">
        <f>LEFT(AK575,FIND(",",AK575)-1)</f>
        <v>Ấp Giồng Giữa B</v>
      </c>
    </row>
    <row r="576" spans="1:40" x14ac:dyDescent="0.25">
      <c r="A576" s="49" t="s">
        <v>83</v>
      </c>
      <c r="B576" s="5" t="s">
        <v>23</v>
      </c>
      <c r="C576" s="5" t="s">
        <v>84</v>
      </c>
      <c r="D576" s="29">
        <f ca="1">DATEDIF(C576,TODAY(),"Y")</f>
        <v>69</v>
      </c>
      <c r="E576" s="5" t="s">
        <v>26</v>
      </c>
      <c r="F576" s="30">
        <v>158</v>
      </c>
      <c r="G576" s="30">
        <v>58</v>
      </c>
      <c r="H576" s="31">
        <f>G576/((F576/100)*(F576/100))</f>
        <v>23.233456176894723</v>
      </c>
      <c r="I576" s="5">
        <v>65</v>
      </c>
      <c r="J576" s="30">
        <v>150</v>
      </c>
      <c r="K576" s="30">
        <v>80</v>
      </c>
      <c r="L576" s="29">
        <f>IF(B576="Nữ",0,2)</f>
        <v>0</v>
      </c>
      <c r="M576" s="29">
        <f ca="1">IF(D576&lt;45,0,IF(D576&lt;=49,1,2))</f>
        <v>2</v>
      </c>
      <c r="N576" s="29">
        <f>IF(E576="Có",4,0)</f>
        <v>0</v>
      </c>
      <c r="O576" s="29">
        <f>IF(H576&lt;23,0,IF(H576&lt;27.5,3,5))</f>
        <v>3</v>
      </c>
      <c r="P576" s="29">
        <f>IF(OR(AND(B576="Nam",I576&gt;=90),AND(B576="Nữ",I576&gt;=80)),2,0)</f>
        <v>0</v>
      </c>
      <c r="Q576" s="29">
        <f>IF(OR(J576&gt;=140,K576&gt;=90),2,0)</f>
        <v>2</v>
      </c>
      <c r="R576" s="29">
        <f ca="1">SUM(L576:Q576)</f>
        <v>7</v>
      </c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5" t="s">
        <v>1393</v>
      </c>
      <c r="AE576" s="33"/>
      <c r="AF576" s="59" t="str">
        <f t="shared" si="25"/>
        <v>Không</v>
      </c>
      <c r="AG576" s="59" t="str">
        <f t="shared" si="26"/>
        <v>Không</v>
      </c>
      <c r="AH576" s="29" t="str">
        <f t="shared" ca="1" si="24"/>
        <v>Có</v>
      </c>
      <c r="AI576" s="29" t="str">
        <f ca="1">IF((R576)&gt;=6,"Có","Không")</f>
        <v>Có</v>
      </c>
      <c r="AJ576" s="29" t="str">
        <f>IF(OR(J576&gt;=140,K576&gt;=90),"Có","Không")</f>
        <v>Có</v>
      </c>
      <c r="AK576" s="5" t="s">
        <v>38</v>
      </c>
      <c r="AL576" s="32">
        <v>46142</v>
      </c>
      <c r="AM576" s="29" t="str">
        <f>"Tháng "&amp;MONTH(AL576)</f>
        <v>Tháng 4</v>
      </c>
      <c r="AN576" s="29" t="str">
        <f>LEFT(AK576,FIND(",",AK576)-1)</f>
        <v>Ấp Biển Đông B</v>
      </c>
    </row>
    <row r="577" spans="1:40" x14ac:dyDescent="0.25">
      <c r="A577" s="49" t="s">
        <v>85</v>
      </c>
      <c r="B577" s="5" t="s">
        <v>23</v>
      </c>
      <c r="C577" s="5" t="s">
        <v>45</v>
      </c>
      <c r="D577" s="29">
        <f ca="1">DATEDIF(C577,TODAY(),"Y")</f>
        <v>50</v>
      </c>
      <c r="E577" s="5" t="s">
        <v>26</v>
      </c>
      <c r="F577" s="30">
        <v>158</v>
      </c>
      <c r="G577" s="30">
        <v>58</v>
      </c>
      <c r="H577" s="31">
        <f>G577/((F577/100)*(F577/100))</f>
        <v>23.233456176894723</v>
      </c>
      <c r="I577" s="5">
        <v>75</v>
      </c>
      <c r="J577" s="30">
        <v>130</v>
      </c>
      <c r="K577" s="30">
        <v>80</v>
      </c>
      <c r="L577" s="29">
        <f>IF(B577="Nữ",0,2)</f>
        <v>0</v>
      </c>
      <c r="M577" s="29">
        <f ca="1">IF(D577&lt;45,0,IF(D577&lt;=49,1,2))</f>
        <v>2</v>
      </c>
      <c r="N577" s="29">
        <f>IF(E577="Có",4,0)</f>
        <v>0</v>
      </c>
      <c r="O577" s="29">
        <f>IF(H577&lt;23,0,IF(H577&lt;27.5,3,5))</f>
        <v>3</v>
      </c>
      <c r="P577" s="29">
        <f>IF(OR(AND(B577="Nam",I577&gt;=90),AND(B577="Nữ",I577&gt;=80)),2,0)</f>
        <v>0</v>
      </c>
      <c r="Q577" s="29">
        <f>IF(OR(J577&gt;=140,K577&gt;=90),2,0)</f>
        <v>0</v>
      </c>
      <c r="R577" s="29">
        <f ca="1">SUM(L577:Q577)</f>
        <v>5</v>
      </c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5" t="s">
        <v>1393</v>
      </c>
      <c r="AE577" s="33"/>
      <c r="AF577" s="59" t="str">
        <f t="shared" si="25"/>
        <v>Không</v>
      </c>
      <c r="AG577" s="59" t="str">
        <f t="shared" si="26"/>
        <v>Không</v>
      </c>
      <c r="AH577" s="29" t="str">
        <f t="shared" ca="1" si="24"/>
        <v>Không</v>
      </c>
      <c r="AI577" s="29" t="str">
        <f ca="1">IF((R577)&gt;=6,"Có","Không")</f>
        <v>Không</v>
      </c>
      <c r="AJ577" s="29" t="str">
        <f>IF(OR(J577&gt;=140,K577&gt;=90),"Có","Không")</f>
        <v>Không</v>
      </c>
      <c r="AK577" s="5" t="s">
        <v>68</v>
      </c>
      <c r="AL577" s="32">
        <v>46142</v>
      </c>
      <c r="AM577" s="29" t="str">
        <f>"Tháng "&amp;MONTH(AL577)</f>
        <v>Tháng 4</v>
      </c>
      <c r="AN577" s="29" t="str">
        <f>LEFT(AK577,FIND(",",AK577)-1)</f>
        <v>Ấp Biển Tây B</v>
      </c>
    </row>
    <row r="578" spans="1:40" x14ac:dyDescent="0.25">
      <c r="A578" s="49" t="s">
        <v>86</v>
      </c>
      <c r="B578" s="5" t="s">
        <v>23</v>
      </c>
      <c r="C578" s="5" t="s">
        <v>87</v>
      </c>
      <c r="D578" s="29">
        <f ca="1">DATEDIF(C578,TODAY(),"Y")</f>
        <v>49</v>
      </c>
      <c r="E578" s="5" t="s">
        <v>25</v>
      </c>
      <c r="F578" s="30">
        <v>150</v>
      </c>
      <c r="G578" s="30">
        <v>58</v>
      </c>
      <c r="H578" s="31">
        <f>G578/((F578/100)*(F578/100))</f>
        <v>25.777777777777779</v>
      </c>
      <c r="I578" s="5">
        <v>83</v>
      </c>
      <c r="J578" s="30">
        <v>140</v>
      </c>
      <c r="K578" s="30">
        <v>80</v>
      </c>
      <c r="L578" s="29">
        <f>IF(B578="Nữ",0,2)</f>
        <v>0</v>
      </c>
      <c r="M578" s="29">
        <f ca="1">IF(D578&lt;45,0,IF(D578&lt;=49,1,2))</f>
        <v>1</v>
      </c>
      <c r="N578" s="29">
        <f>IF(E578="Có",4,0)</f>
        <v>4</v>
      </c>
      <c r="O578" s="29">
        <f>IF(H578&lt;23,0,IF(H578&lt;27.5,3,5))</f>
        <v>3</v>
      </c>
      <c r="P578" s="29">
        <f>IF(OR(AND(B578="Nam",I578&gt;=90),AND(B578="Nữ",I578&gt;=80)),2,0)</f>
        <v>2</v>
      </c>
      <c r="Q578" s="29">
        <f>IF(OR(J578&gt;=140,K578&gt;=90),2,0)</f>
        <v>2</v>
      </c>
      <c r="R578" s="29">
        <f ca="1">SUM(L578:Q578)</f>
        <v>12</v>
      </c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5" t="s">
        <v>1393</v>
      </c>
      <c r="AE578" s="33"/>
      <c r="AF578" s="59" t="str">
        <f t="shared" si="25"/>
        <v>Không</v>
      </c>
      <c r="AG578" s="59" t="str">
        <f t="shared" si="26"/>
        <v>Không</v>
      </c>
      <c r="AH578" s="29" t="str">
        <f t="shared" ca="1" si="24"/>
        <v>Có</v>
      </c>
      <c r="AI578" s="29" t="str">
        <f ca="1">IF((R578)&gt;=6,"Có","Không")</f>
        <v>Có</v>
      </c>
      <c r="AJ578" s="29" t="str">
        <f>IF(OR(J578&gt;=140,K578&gt;=90),"Có","Không")</f>
        <v>Có</v>
      </c>
      <c r="AK578" s="5" t="s">
        <v>88</v>
      </c>
      <c r="AL578" s="32">
        <v>46142</v>
      </c>
      <c r="AM578" s="29" t="str">
        <f>"Tháng "&amp;MONTH(AL578)</f>
        <v>Tháng 4</v>
      </c>
      <c r="AN578" s="29" t="str">
        <f>LEFT(AK578,FIND(",",AK578)-1)</f>
        <v>Giồng Giữa</v>
      </c>
    </row>
    <row r="579" spans="1:40" x14ac:dyDescent="0.25">
      <c r="A579" s="49" t="s">
        <v>89</v>
      </c>
      <c r="B579" s="5" t="s">
        <v>23</v>
      </c>
      <c r="C579" s="5" t="s">
        <v>90</v>
      </c>
      <c r="D579" s="29">
        <f ca="1">DATEDIF(C579,TODAY(),"Y")</f>
        <v>54</v>
      </c>
      <c r="E579" s="5" t="s">
        <v>26</v>
      </c>
      <c r="F579" s="30">
        <v>156</v>
      </c>
      <c r="G579" s="30">
        <v>55</v>
      </c>
      <c r="H579" s="31">
        <f>G579/((F579/100)*(F579/100))</f>
        <v>22.600262984878366</v>
      </c>
      <c r="I579" s="5">
        <v>73</v>
      </c>
      <c r="J579" s="30">
        <v>120</v>
      </c>
      <c r="K579" s="30">
        <v>80</v>
      </c>
      <c r="L579" s="29">
        <f>IF(B579="Nữ",0,2)</f>
        <v>0</v>
      </c>
      <c r="M579" s="29">
        <f ca="1">IF(D579&lt;45,0,IF(D579&lt;=49,1,2))</f>
        <v>2</v>
      </c>
      <c r="N579" s="29">
        <f>IF(E579="Có",4,0)</f>
        <v>0</v>
      </c>
      <c r="O579" s="29">
        <f>IF(H579&lt;23,0,IF(H579&lt;27.5,3,5))</f>
        <v>0</v>
      </c>
      <c r="P579" s="29">
        <f>IF(OR(AND(B579="Nam",I579&gt;=90),AND(B579="Nữ",I579&gt;=80)),2,0)</f>
        <v>0</v>
      </c>
      <c r="Q579" s="29">
        <f>IF(OR(J579&gt;=140,K579&gt;=90),2,0)</f>
        <v>0</v>
      </c>
      <c r="R579" s="29">
        <f ca="1">SUM(L579:Q579)</f>
        <v>2</v>
      </c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5" t="s">
        <v>1393</v>
      </c>
      <c r="AE579" s="33"/>
      <c r="AF579" s="59" t="str">
        <f t="shared" si="25"/>
        <v>Không</v>
      </c>
      <c r="AG579" s="59" t="str">
        <f t="shared" si="26"/>
        <v>Không</v>
      </c>
      <c r="AH579" s="29" t="str">
        <f t="shared" ca="1" si="24"/>
        <v>Không</v>
      </c>
      <c r="AI579" s="29" t="str">
        <f ca="1">IF((R579)&gt;=6,"Có","Không")</f>
        <v>Không</v>
      </c>
      <c r="AJ579" s="29" t="str">
        <f>IF(OR(J579&gt;=140,K579&gt;=90),"Có","Không")</f>
        <v>Không</v>
      </c>
      <c r="AK579" s="5" t="s">
        <v>91</v>
      </c>
      <c r="AL579" s="32">
        <v>46142</v>
      </c>
      <c r="AM579" s="29" t="str">
        <f>"Tháng "&amp;MONTH(AL579)</f>
        <v>Tháng 4</v>
      </c>
      <c r="AN579" s="29" t="str">
        <f>LEFT(AK579,FIND(",",AK579)-1)</f>
        <v>Ấp Giồng Giữa</v>
      </c>
    </row>
    <row r="580" spans="1:40" x14ac:dyDescent="0.25">
      <c r="A580" s="49" t="s">
        <v>92</v>
      </c>
      <c r="B580" s="5" t="s">
        <v>23</v>
      </c>
      <c r="C580" s="5" t="s">
        <v>93</v>
      </c>
      <c r="D580" s="29">
        <f ca="1">DATEDIF(C580,TODAY(),"Y")</f>
        <v>66</v>
      </c>
      <c r="E580" s="5" t="s">
        <v>26</v>
      </c>
      <c r="F580" s="30">
        <v>155</v>
      </c>
      <c r="G580" s="30">
        <v>58</v>
      </c>
      <c r="H580" s="31">
        <f>G580/((F580/100)*(F580/100))</f>
        <v>24.141519250780433</v>
      </c>
      <c r="I580" s="5">
        <v>68</v>
      </c>
      <c r="J580" s="30">
        <v>120</v>
      </c>
      <c r="K580" s="30">
        <v>80</v>
      </c>
      <c r="L580" s="29">
        <f>IF(B580="Nữ",0,2)</f>
        <v>0</v>
      </c>
      <c r="M580" s="29">
        <f ca="1">IF(D580&lt;45,0,IF(D580&lt;=49,1,2))</f>
        <v>2</v>
      </c>
      <c r="N580" s="29">
        <f>IF(E580="Có",4,0)</f>
        <v>0</v>
      </c>
      <c r="O580" s="29">
        <f>IF(H580&lt;23,0,IF(H580&lt;27.5,3,5))</f>
        <v>3</v>
      </c>
      <c r="P580" s="29">
        <f>IF(OR(AND(B580="Nam",I580&gt;=90),AND(B580="Nữ",I580&gt;=80)),2,0)</f>
        <v>0</v>
      </c>
      <c r="Q580" s="29">
        <f>IF(OR(J580&gt;=140,K580&gt;=90),2,0)</f>
        <v>0</v>
      </c>
      <c r="R580" s="29">
        <f ca="1">SUM(L580:Q580)</f>
        <v>5</v>
      </c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5" t="s">
        <v>1393</v>
      </c>
      <c r="AE580" s="33"/>
      <c r="AF580" s="59" t="str">
        <f t="shared" si="25"/>
        <v>Không</v>
      </c>
      <c r="AG580" s="59" t="str">
        <f t="shared" si="26"/>
        <v>Không</v>
      </c>
      <c r="AH580" s="29" t="str">
        <f t="shared" ref="AH580:AH643" ca="1" si="27">IF((R580)&gt;=6,"Có","Không")</f>
        <v>Không</v>
      </c>
      <c r="AI580" s="29" t="str">
        <f ca="1">IF((R580)&gt;=6,"Có","Không")</f>
        <v>Không</v>
      </c>
      <c r="AJ580" s="29" t="str">
        <f>IF(OR(J580&gt;=140,K580&gt;=90),"Có","Không")</f>
        <v>Không</v>
      </c>
      <c r="AK580" s="5" t="s">
        <v>218</v>
      </c>
      <c r="AL580" s="32">
        <v>46142</v>
      </c>
      <c r="AM580" s="29" t="str">
        <f>"Tháng "&amp;MONTH(AL580)</f>
        <v>Tháng 4</v>
      </c>
      <c r="AN580" s="29" t="str">
        <f>LEFT(AK580,FIND(",",AK580)-1)</f>
        <v>Biển Đông B</v>
      </c>
    </row>
    <row r="581" spans="1:40" x14ac:dyDescent="0.25">
      <c r="A581" s="49" t="s">
        <v>95</v>
      </c>
      <c r="B581" s="5" t="s">
        <v>23</v>
      </c>
      <c r="C581" s="5" t="s">
        <v>80</v>
      </c>
      <c r="D581" s="29">
        <f ca="1">DATEDIF(C581,TODAY(),"Y")</f>
        <v>71</v>
      </c>
      <c r="E581" s="5" t="s">
        <v>26</v>
      </c>
      <c r="F581" s="30">
        <v>158</v>
      </c>
      <c r="G581" s="30">
        <v>58</v>
      </c>
      <c r="H581" s="31">
        <f>G581/((F581/100)*(F581/100))</f>
        <v>23.233456176894723</v>
      </c>
      <c r="I581" s="5">
        <v>83</v>
      </c>
      <c r="J581" s="30">
        <v>120</v>
      </c>
      <c r="K581" s="30">
        <v>80</v>
      </c>
      <c r="L581" s="29">
        <f>IF(B581="Nữ",0,2)</f>
        <v>0</v>
      </c>
      <c r="M581" s="29">
        <f ca="1">IF(D581&lt;45,0,IF(D581&lt;=49,1,2))</f>
        <v>2</v>
      </c>
      <c r="N581" s="29">
        <f>IF(E581="Có",4,0)</f>
        <v>0</v>
      </c>
      <c r="O581" s="29">
        <f>IF(H581&lt;23,0,IF(H581&lt;27.5,3,5))</f>
        <v>3</v>
      </c>
      <c r="P581" s="29">
        <f>IF(OR(AND(B581="Nam",I581&gt;=90),AND(B581="Nữ",I581&gt;=80)),2,0)</f>
        <v>2</v>
      </c>
      <c r="Q581" s="29">
        <f>IF(OR(J581&gt;=140,K581&gt;=90),2,0)</f>
        <v>0</v>
      </c>
      <c r="R581" s="29">
        <f ca="1">SUM(L581:Q581)</f>
        <v>7</v>
      </c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5" t="s">
        <v>1393</v>
      </c>
      <c r="AE581" s="33"/>
      <c r="AF581" s="59" t="str">
        <f t="shared" ref="AF581:AF644" si="28">IF(COUNTIF(S581:Z581,"X")&gt;=2,"Có","Không")</f>
        <v>Không</v>
      </c>
      <c r="AG581" s="59" t="str">
        <f t="shared" ref="AG581:AG644" si="29">IF(COUNTIF(AA581:AE581,"X")&gt;=3,"Có","Không")</f>
        <v>Không</v>
      </c>
      <c r="AH581" s="29" t="str">
        <f t="shared" ca="1" si="27"/>
        <v>Có</v>
      </c>
      <c r="AI581" s="29" t="str">
        <f ca="1">IF((R581)&gt;=6,"Có","Không")</f>
        <v>Có</v>
      </c>
      <c r="AJ581" s="29" t="str">
        <f>IF(OR(J581&gt;=140,K581&gt;=90),"Có","Không")</f>
        <v>Không</v>
      </c>
      <c r="AK581" s="5" t="s">
        <v>51</v>
      </c>
      <c r="AL581" s="32">
        <v>46142</v>
      </c>
      <c r="AM581" s="29" t="str">
        <f>"Tháng "&amp;MONTH(AL581)</f>
        <v>Tháng 4</v>
      </c>
      <c r="AN581" s="29" t="str">
        <f>LEFT(AK581,FIND(",",AK581)-1)</f>
        <v>Phường Hiệp Thành</v>
      </c>
    </row>
    <row r="582" spans="1:40" x14ac:dyDescent="0.25">
      <c r="A582" s="49" t="s">
        <v>96</v>
      </c>
      <c r="B582" s="5" t="s">
        <v>23</v>
      </c>
      <c r="C582" s="5" t="s">
        <v>97</v>
      </c>
      <c r="D582" s="29">
        <f ca="1">DATEDIF(C582,TODAY(),"Y")</f>
        <v>92</v>
      </c>
      <c r="E582" s="5" t="s">
        <v>26</v>
      </c>
      <c r="F582" s="30">
        <v>169</v>
      </c>
      <c r="G582" s="30">
        <v>68</v>
      </c>
      <c r="H582" s="31">
        <f>G582/((F582/100)*(F582/100))</f>
        <v>23.808690171912751</v>
      </c>
      <c r="I582" s="5">
        <v>79</v>
      </c>
      <c r="J582" s="30">
        <v>120</v>
      </c>
      <c r="K582" s="30">
        <v>80</v>
      </c>
      <c r="L582" s="29">
        <f>IF(B582="Nữ",0,2)</f>
        <v>0</v>
      </c>
      <c r="M582" s="29">
        <f ca="1">IF(D582&lt;45,0,IF(D582&lt;=49,1,2))</f>
        <v>2</v>
      </c>
      <c r="N582" s="29">
        <f>IF(E582="Có",4,0)</f>
        <v>0</v>
      </c>
      <c r="O582" s="29">
        <f>IF(H582&lt;23,0,IF(H582&lt;27.5,3,5))</f>
        <v>3</v>
      </c>
      <c r="P582" s="29">
        <f>IF(OR(AND(B582="Nam",I582&gt;=90),AND(B582="Nữ",I582&gt;=80)),2,0)</f>
        <v>0</v>
      </c>
      <c r="Q582" s="29">
        <f>IF(OR(J582&gt;=140,K582&gt;=90),2,0)</f>
        <v>0</v>
      </c>
      <c r="R582" s="29">
        <f ca="1">SUM(L582:Q582)</f>
        <v>5</v>
      </c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5" t="s">
        <v>1393</v>
      </c>
      <c r="AE582" s="33"/>
      <c r="AF582" s="59" t="str">
        <f t="shared" si="28"/>
        <v>Không</v>
      </c>
      <c r="AG582" s="59" t="str">
        <f t="shared" si="29"/>
        <v>Không</v>
      </c>
      <c r="AH582" s="29" t="str">
        <f t="shared" ca="1" si="27"/>
        <v>Không</v>
      </c>
      <c r="AI582" s="29" t="str">
        <f ca="1">IF((R582)&gt;=6,"Có","Không")</f>
        <v>Không</v>
      </c>
      <c r="AJ582" s="29" t="str">
        <f>IF(OR(J582&gt;=140,K582&gt;=90),"Có","Không")</f>
        <v>Không</v>
      </c>
      <c r="AK582" s="5" t="s">
        <v>51</v>
      </c>
      <c r="AL582" s="32">
        <v>46142</v>
      </c>
      <c r="AM582" s="29" t="str">
        <f>"Tháng "&amp;MONTH(AL582)</f>
        <v>Tháng 4</v>
      </c>
      <c r="AN582" s="29" t="str">
        <f>LEFT(AK582,FIND(",",AK582)-1)</f>
        <v>Phường Hiệp Thành</v>
      </c>
    </row>
    <row r="583" spans="1:40" x14ac:dyDescent="0.25">
      <c r="A583" s="49" t="s">
        <v>101</v>
      </c>
      <c r="B583" s="5" t="s">
        <v>30</v>
      </c>
      <c r="C583" s="5" t="s">
        <v>76</v>
      </c>
      <c r="D583" s="29">
        <f ca="1">DATEDIF(C583,TODAY(),"Y")</f>
        <v>68</v>
      </c>
      <c r="E583" s="5" t="s">
        <v>25</v>
      </c>
      <c r="F583" s="30">
        <v>160</v>
      </c>
      <c r="G583" s="30">
        <v>72</v>
      </c>
      <c r="H583" s="31">
        <f>G583/((F583/100)*(F583/100))</f>
        <v>28.124999999999993</v>
      </c>
      <c r="I583" s="5">
        <v>85</v>
      </c>
      <c r="J583" s="30">
        <v>120</v>
      </c>
      <c r="K583" s="30">
        <v>80</v>
      </c>
      <c r="L583" s="29">
        <f>IF(B583="Nữ",0,2)</f>
        <v>2</v>
      </c>
      <c r="M583" s="29">
        <f ca="1">IF(D583&lt;45,0,IF(D583&lt;=49,1,2))</f>
        <v>2</v>
      </c>
      <c r="N583" s="29">
        <f>IF(E583="Có",4,0)</f>
        <v>4</v>
      </c>
      <c r="O583" s="29">
        <f>IF(H583&lt;23,0,IF(H583&lt;27.5,3,5))</f>
        <v>5</v>
      </c>
      <c r="P583" s="29">
        <f>IF(OR(AND(B583="Nam",I583&gt;=90),AND(B583="Nữ",I583&gt;=80)),2,0)</f>
        <v>0</v>
      </c>
      <c r="Q583" s="29">
        <f>IF(OR(J583&gt;=140,K583&gt;=90),2,0)</f>
        <v>0</v>
      </c>
      <c r="R583" s="29">
        <f ca="1">SUM(L583:Q583)</f>
        <v>13</v>
      </c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5" t="s">
        <v>1393</v>
      </c>
      <c r="AE583" s="33"/>
      <c r="AF583" s="59" t="str">
        <f t="shared" si="28"/>
        <v>Không</v>
      </c>
      <c r="AG583" s="59" t="str">
        <f t="shared" si="29"/>
        <v>Không</v>
      </c>
      <c r="AH583" s="29" t="str">
        <f t="shared" ca="1" si="27"/>
        <v>Có</v>
      </c>
      <c r="AI583" s="29" t="str">
        <f ca="1">IF((R583)&gt;=6,"Có","Không")</f>
        <v>Có</v>
      </c>
      <c r="AJ583" s="29" t="str">
        <f>IF(OR(J583&gt;=140,K583&gt;=90),"Có","Không")</f>
        <v>Không</v>
      </c>
      <c r="AK583" s="5" t="s">
        <v>60</v>
      </c>
      <c r="AL583" s="32">
        <v>46142</v>
      </c>
      <c r="AM583" s="29" t="str">
        <f>"Tháng "&amp;MONTH(AL583)</f>
        <v>Tháng 4</v>
      </c>
      <c r="AN583" s="29" t="str">
        <f>LEFT(AK583,FIND(",",AK583)-1)</f>
        <v>ấp Biển Đông A</v>
      </c>
    </row>
    <row r="584" spans="1:40" x14ac:dyDescent="0.25">
      <c r="A584" s="49" t="s">
        <v>102</v>
      </c>
      <c r="B584" s="5" t="s">
        <v>23</v>
      </c>
      <c r="C584" s="5" t="s">
        <v>80</v>
      </c>
      <c r="D584" s="29">
        <f ca="1">DATEDIF(C584,TODAY(),"Y")</f>
        <v>71</v>
      </c>
      <c r="E584" s="5" t="s">
        <v>26</v>
      </c>
      <c r="F584" s="30">
        <v>158</v>
      </c>
      <c r="G584" s="30">
        <v>58</v>
      </c>
      <c r="H584" s="31">
        <f>G584/((F584/100)*(F584/100))</f>
        <v>23.233456176894723</v>
      </c>
      <c r="I584" s="5">
        <v>72</v>
      </c>
      <c r="J584" s="30">
        <v>130</v>
      </c>
      <c r="K584" s="30">
        <v>80</v>
      </c>
      <c r="L584" s="29">
        <f>IF(B584="Nữ",0,2)</f>
        <v>0</v>
      </c>
      <c r="M584" s="29">
        <f ca="1">IF(D584&lt;45,0,IF(D584&lt;=49,1,2))</f>
        <v>2</v>
      </c>
      <c r="N584" s="29">
        <f>IF(E584="Có",4,0)</f>
        <v>0</v>
      </c>
      <c r="O584" s="29">
        <f>IF(H584&lt;23,0,IF(H584&lt;27.5,3,5))</f>
        <v>3</v>
      </c>
      <c r="P584" s="29">
        <f>IF(OR(AND(B584="Nam",I584&gt;=90),AND(B584="Nữ",I584&gt;=80)),2,0)</f>
        <v>0</v>
      </c>
      <c r="Q584" s="29">
        <f>IF(OR(J584&gt;=140,K584&gt;=90),2,0)</f>
        <v>0</v>
      </c>
      <c r="R584" s="29">
        <f ca="1">SUM(L584:Q584)</f>
        <v>5</v>
      </c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5" t="s">
        <v>1393</v>
      </c>
      <c r="AE584" s="33"/>
      <c r="AF584" s="59" t="str">
        <f t="shared" si="28"/>
        <v>Không</v>
      </c>
      <c r="AG584" s="59" t="str">
        <f t="shared" si="29"/>
        <v>Không</v>
      </c>
      <c r="AH584" s="29" t="str">
        <f t="shared" ca="1" si="27"/>
        <v>Không</v>
      </c>
      <c r="AI584" s="29" t="str">
        <f ca="1">IF((R584)&gt;=6,"Có","Không")</f>
        <v>Không</v>
      </c>
      <c r="AJ584" s="29" t="str">
        <f>IF(OR(J584&gt;=140,K584&gt;=90),"Có","Không")</f>
        <v>Không</v>
      </c>
      <c r="AK584" s="5" t="s">
        <v>103</v>
      </c>
      <c r="AL584" s="32">
        <v>46142</v>
      </c>
      <c r="AM584" s="29" t="str">
        <f>"Tháng "&amp;MONTH(AL584)</f>
        <v>Tháng 4</v>
      </c>
      <c r="AN584" s="29" t="str">
        <f>LEFT(AK584,FIND(",",AK584)-1)</f>
        <v>Giồng Giữa B</v>
      </c>
    </row>
    <row r="585" spans="1:40" x14ac:dyDescent="0.25">
      <c r="A585" s="49" t="s">
        <v>104</v>
      </c>
      <c r="B585" s="5" t="s">
        <v>23</v>
      </c>
      <c r="C585" s="5" t="s">
        <v>105</v>
      </c>
      <c r="D585" s="29">
        <f ca="1">DATEDIF(C585,TODAY(),"Y")</f>
        <v>60</v>
      </c>
      <c r="E585" s="5" t="s">
        <v>26</v>
      </c>
      <c r="F585" s="30">
        <v>158</v>
      </c>
      <c r="G585" s="30">
        <v>58</v>
      </c>
      <c r="H585" s="31">
        <f>G585/((F585/100)*(F585/100))</f>
        <v>23.233456176894723</v>
      </c>
      <c r="I585" s="5">
        <v>86</v>
      </c>
      <c r="J585" s="30">
        <v>150</v>
      </c>
      <c r="K585" s="30">
        <v>80</v>
      </c>
      <c r="L585" s="29">
        <f>IF(B585="Nữ",0,2)</f>
        <v>0</v>
      </c>
      <c r="M585" s="29">
        <f ca="1">IF(D585&lt;45,0,IF(D585&lt;=49,1,2))</f>
        <v>2</v>
      </c>
      <c r="N585" s="29">
        <f>IF(E585="Có",4,0)</f>
        <v>0</v>
      </c>
      <c r="O585" s="29">
        <f>IF(H585&lt;23,0,IF(H585&lt;27.5,3,5))</f>
        <v>3</v>
      </c>
      <c r="P585" s="29">
        <f>IF(OR(AND(B585="Nam",I585&gt;=90),AND(B585="Nữ",I585&gt;=80)),2,0)</f>
        <v>2</v>
      </c>
      <c r="Q585" s="29">
        <f>IF(OR(J585&gt;=140,K585&gt;=90),2,0)</f>
        <v>2</v>
      </c>
      <c r="R585" s="29">
        <f ca="1">SUM(L585:Q585)</f>
        <v>9</v>
      </c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5" t="s">
        <v>1393</v>
      </c>
      <c r="AE585" s="33"/>
      <c r="AF585" s="59" t="str">
        <f t="shared" si="28"/>
        <v>Không</v>
      </c>
      <c r="AG585" s="59" t="str">
        <f t="shared" si="29"/>
        <v>Không</v>
      </c>
      <c r="AH585" s="29" t="str">
        <f t="shared" ca="1" si="27"/>
        <v>Có</v>
      </c>
      <c r="AI585" s="29" t="str">
        <f ca="1">IF((R585)&gt;=6,"Có","Không")</f>
        <v>Có</v>
      </c>
      <c r="AJ585" s="29" t="str">
        <f>IF(OR(J585&gt;=140,K585&gt;=90),"Có","Không")</f>
        <v>Có</v>
      </c>
      <c r="AK585" s="5" t="s">
        <v>106</v>
      </c>
      <c r="AL585" s="32">
        <v>46142</v>
      </c>
      <c r="AM585" s="29" t="str">
        <f>"Tháng "&amp;MONTH(AL585)</f>
        <v>Tháng 4</v>
      </c>
      <c r="AN585" s="29" t="str">
        <f>LEFT(AK585,FIND(",",AK585)-1)</f>
        <v>xã Lai Hòa</v>
      </c>
    </row>
    <row r="586" spans="1:40" x14ac:dyDescent="0.25">
      <c r="A586" s="49" t="s">
        <v>109</v>
      </c>
      <c r="B586" s="5" t="s">
        <v>30</v>
      </c>
      <c r="C586" s="5" t="s">
        <v>110</v>
      </c>
      <c r="D586" s="29">
        <f ca="1">DATEDIF(C586,TODAY(),"Y")</f>
        <v>62</v>
      </c>
      <c r="E586" s="5" t="s">
        <v>26</v>
      </c>
      <c r="F586" s="30">
        <v>169</v>
      </c>
      <c r="G586" s="30">
        <v>68</v>
      </c>
      <c r="H586" s="31">
        <f>G586/((F586/100)*(F586/100))</f>
        <v>23.808690171912751</v>
      </c>
      <c r="I586" s="5">
        <v>99</v>
      </c>
      <c r="J586" s="30">
        <v>140</v>
      </c>
      <c r="K586" s="30">
        <v>80</v>
      </c>
      <c r="L586" s="29">
        <f>IF(B586="Nữ",0,2)</f>
        <v>2</v>
      </c>
      <c r="M586" s="29">
        <f ca="1">IF(D586&lt;45,0,IF(D586&lt;=49,1,2))</f>
        <v>2</v>
      </c>
      <c r="N586" s="29">
        <f>IF(E586="Có",4,0)</f>
        <v>0</v>
      </c>
      <c r="O586" s="29">
        <f>IF(H586&lt;23,0,IF(H586&lt;27.5,3,5))</f>
        <v>3</v>
      </c>
      <c r="P586" s="29">
        <f>IF(OR(AND(B586="Nam",I586&gt;=90),AND(B586="Nữ",I586&gt;=80)),2,0)</f>
        <v>2</v>
      </c>
      <c r="Q586" s="29">
        <f>IF(OR(J586&gt;=140,K586&gt;=90),2,0)</f>
        <v>2</v>
      </c>
      <c r="R586" s="29">
        <f ca="1">SUM(L586:Q586)</f>
        <v>11</v>
      </c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5" t="s">
        <v>1393</v>
      </c>
      <c r="AE586" s="33"/>
      <c r="AF586" s="59" t="str">
        <f t="shared" si="28"/>
        <v>Không</v>
      </c>
      <c r="AG586" s="59" t="str">
        <f t="shared" si="29"/>
        <v>Không</v>
      </c>
      <c r="AH586" s="29" t="str">
        <f t="shared" ca="1" si="27"/>
        <v>Có</v>
      </c>
      <c r="AI586" s="29" t="str">
        <f ca="1">IF((R586)&gt;=6,"Có","Không")</f>
        <v>Có</v>
      </c>
      <c r="AJ586" s="29" t="str">
        <f>IF(OR(J586&gt;=140,K586&gt;=90),"Có","Không")</f>
        <v>Có</v>
      </c>
      <c r="AK586" s="5" t="s">
        <v>111</v>
      </c>
      <c r="AL586" s="32">
        <v>46142</v>
      </c>
      <c r="AM586" s="29" t="str">
        <f>"Tháng "&amp;MONTH(AL586)</f>
        <v>Tháng 4</v>
      </c>
      <c r="AN586" s="29" t="str">
        <f>LEFT(AK586,FIND(",",AK586)-1)</f>
        <v>Phường Vĩnh Trạch</v>
      </c>
    </row>
    <row r="587" spans="1:40" x14ac:dyDescent="0.25">
      <c r="A587" s="49" t="s">
        <v>114</v>
      </c>
      <c r="B587" s="5" t="s">
        <v>23</v>
      </c>
      <c r="C587" s="5" t="s">
        <v>115</v>
      </c>
      <c r="D587" s="29">
        <f ca="1">DATEDIF(C587,TODAY(),"Y")</f>
        <v>40</v>
      </c>
      <c r="E587" s="5" t="s">
        <v>26</v>
      </c>
      <c r="F587" s="30">
        <v>158</v>
      </c>
      <c r="G587" s="30">
        <v>58</v>
      </c>
      <c r="H587" s="31">
        <f>G587/((F587/100)*(F587/100))</f>
        <v>23.233456176894723</v>
      </c>
      <c r="I587" s="5">
        <v>66</v>
      </c>
      <c r="J587" s="30">
        <v>120</v>
      </c>
      <c r="K587" s="30">
        <v>80</v>
      </c>
      <c r="L587" s="29">
        <f>IF(B587="Nữ",0,2)</f>
        <v>0</v>
      </c>
      <c r="M587" s="29">
        <f ca="1">IF(D587&lt;45,0,IF(D587&lt;=49,1,2))</f>
        <v>0</v>
      </c>
      <c r="N587" s="29">
        <f>IF(E587="Có",4,0)</f>
        <v>0</v>
      </c>
      <c r="O587" s="29">
        <f>IF(H587&lt;23,0,IF(H587&lt;27.5,3,5))</f>
        <v>3</v>
      </c>
      <c r="P587" s="29">
        <f>IF(OR(AND(B587="Nam",I587&gt;=90),AND(B587="Nữ",I587&gt;=80)),2,0)</f>
        <v>0</v>
      </c>
      <c r="Q587" s="29">
        <f>IF(OR(J587&gt;=140,K587&gt;=90),2,0)</f>
        <v>0</v>
      </c>
      <c r="R587" s="29">
        <f ca="1">SUM(L587:Q587)</f>
        <v>3</v>
      </c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5" t="s">
        <v>1393</v>
      </c>
      <c r="AE587" s="33"/>
      <c r="AF587" s="59" t="str">
        <f t="shared" si="28"/>
        <v>Không</v>
      </c>
      <c r="AG587" s="59" t="str">
        <f t="shared" si="29"/>
        <v>Không</v>
      </c>
      <c r="AH587" s="29" t="str">
        <f t="shared" ca="1" si="27"/>
        <v>Không</v>
      </c>
      <c r="AI587" s="29" t="str">
        <f ca="1">IF((R587)&gt;=6,"Có","Không")</f>
        <v>Không</v>
      </c>
      <c r="AJ587" s="29" t="str">
        <f>IF(OR(J587&gt;=140,K587&gt;=90),"Có","Không")</f>
        <v>Không</v>
      </c>
      <c r="AK587" s="5" t="s">
        <v>51</v>
      </c>
      <c r="AL587" s="32">
        <v>46142</v>
      </c>
      <c r="AM587" s="29" t="str">
        <f>"Tháng "&amp;MONTH(AL587)</f>
        <v>Tháng 4</v>
      </c>
      <c r="AN587" s="29" t="str">
        <f>LEFT(AK587,FIND(",",AK587)-1)</f>
        <v>Phường Hiệp Thành</v>
      </c>
    </row>
    <row r="588" spans="1:40" x14ac:dyDescent="0.25">
      <c r="A588" s="49" t="s">
        <v>116</v>
      </c>
      <c r="B588" s="5" t="s">
        <v>23</v>
      </c>
      <c r="C588" s="5" t="s">
        <v>53</v>
      </c>
      <c r="D588" s="29">
        <f ca="1">DATEDIF(C588,TODAY(),"Y")</f>
        <v>72</v>
      </c>
      <c r="E588" s="5" t="s">
        <v>26</v>
      </c>
      <c r="F588" s="30">
        <v>160</v>
      </c>
      <c r="G588" s="30">
        <v>57</v>
      </c>
      <c r="H588" s="31">
        <f>G588/((F588/100)*(F588/100))</f>
        <v>22.265624999999996</v>
      </c>
      <c r="I588" s="5">
        <v>89</v>
      </c>
      <c r="J588" s="30">
        <v>120</v>
      </c>
      <c r="K588" s="30">
        <v>80</v>
      </c>
      <c r="L588" s="29">
        <f>IF(B588="Nữ",0,2)</f>
        <v>0</v>
      </c>
      <c r="M588" s="29">
        <f ca="1">IF(D588&lt;45,0,IF(D588&lt;=49,1,2))</f>
        <v>2</v>
      </c>
      <c r="N588" s="29">
        <f>IF(E588="Có",4,0)</f>
        <v>0</v>
      </c>
      <c r="O588" s="29">
        <f>IF(H588&lt;23,0,IF(H588&lt;27.5,3,5))</f>
        <v>0</v>
      </c>
      <c r="P588" s="29">
        <f>IF(OR(AND(B588="Nam",I588&gt;=90),AND(B588="Nữ",I588&gt;=80)),2,0)</f>
        <v>2</v>
      </c>
      <c r="Q588" s="29">
        <f>IF(OR(J588&gt;=140,K588&gt;=90),2,0)</f>
        <v>0</v>
      </c>
      <c r="R588" s="29">
        <f ca="1">SUM(L588:Q588)</f>
        <v>4</v>
      </c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5" t="s">
        <v>1393</v>
      </c>
      <c r="AE588" s="33"/>
      <c r="AF588" s="59" t="str">
        <f t="shared" si="28"/>
        <v>Không</v>
      </c>
      <c r="AG588" s="59" t="str">
        <f t="shared" si="29"/>
        <v>Không</v>
      </c>
      <c r="AH588" s="29" t="str">
        <f t="shared" ca="1" si="27"/>
        <v>Không</v>
      </c>
      <c r="AI588" s="29" t="str">
        <f ca="1">IF((R588)&gt;=6,"Có","Không")</f>
        <v>Không</v>
      </c>
      <c r="AJ588" s="29" t="str">
        <f>IF(OR(J588&gt;=140,K588&gt;=90),"Có","Không")</f>
        <v>Không</v>
      </c>
      <c r="AK588" s="5" t="s">
        <v>117</v>
      </c>
      <c r="AL588" s="32">
        <v>46142</v>
      </c>
      <c r="AM588" s="29" t="str">
        <f>"Tháng "&amp;MONTH(AL588)</f>
        <v>Tháng 4</v>
      </c>
      <c r="AN588" s="29" t="str">
        <f>LEFT(AK588,FIND(",",AK588)-1)</f>
        <v>Khóm Đầu Lộ</v>
      </c>
    </row>
    <row r="589" spans="1:40" x14ac:dyDescent="0.25">
      <c r="A589" s="49" t="s">
        <v>118</v>
      </c>
      <c r="B589" s="5" t="s">
        <v>30</v>
      </c>
      <c r="C589" s="5" t="s">
        <v>82</v>
      </c>
      <c r="D589" s="29">
        <f ca="1">DATEDIF(C589,TODAY(),"Y")</f>
        <v>73</v>
      </c>
      <c r="E589" s="5" t="s">
        <v>26</v>
      </c>
      <c r="F589" s="30">
        <v>169</v>
      </c>
      <c r="G589" s="30">
        <v>68</v>
      </c>
      <c r="H589" s="31">
        <f>G589/((F589/100)*(F589/100))</f>
        <v>23.808690171912751</v>
      </c>
      <c r="I589" s="5">
        <v>93</v>
      </c>
      <c r="J589" s="30">
        <v>120</v>
      </c>
      <c r="K589" s="30">
        <v>80</v>
      </c>
      <c r="L589" s="29">
        <f>IF(B589="Nữ",0,2)</f>
        <v>2</v>
      </c>
      <c r="M589" s="29">
        <f ca="1">IF(D589&lt;45,0,IF(D589&lt;=49,1,2))</f>
        <v>2</v>
      </c>
      <c r="N589" s="29">
        <f>IF(E589="Có",4,0)</f>
        <v>0</v>
      </c>
      <c r="O589" s="29">
        <f>IF(H589&lt;23,0,IF(H589&lt;27.5,3,5))</f>
        <v>3</v>
      </c>
      <c r="P589" s="29">
        <f>IF(OR(AND(B589="Nam",I589&gt;=90),AND(B589="Nữ",I589&gt;=80)),2,0)</f>
        <v>2</v>
      </c>
      <c r="Q589" s="29">
        <f>IF(OR(J589&gt;=140,K589&gt;=90),2,0)</f>
        <v>0</v>
      </c>
      <c r="R589" s="29">
        <f ca="1">SUM(L589:Q589)</f>
        <v>9</v>
      </c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5" t="s">
        <v>1393</v>
      </c>
      <c r="AE589" s="33"/>
      <c r="AF589" s="59" t="str">
        <f t="shared" si="28"/>
        <v>Không</v>
      </c>
      <c r="AG589" s="59" t="str">
        <f t="shared" si="29"/>
        <v>Không</v>
      </c>
      <c r="AH589" s="29" t="str">
        <f t="shared" ca="1" si="27"/>
        <v>Có</v>
      </c>
      <c r="AI589" s="29" t="str">
        <f ca="1">IF((R589)&gt;=6,"Có","Không")</f>
        <v>Có</v>
      </c>
      <c r="AJ589" s="29" t="str">
        <f>IF(OR(J589&gt;=140,K589&gt;=90),"Có","Không")</f>
        <v>Không</v>
      </c>
      <c r="AK589" s="5" t="s">
        <v>68</v>
      </c>
      <c r="AL589" s="32">
        <v>46142</v>
      </c>
      <c r="AM589" s="29" t="str">
        <f>"Tháng "&amp;MONTH(AL589)</f>
        <v>Tháng 4</v>
      </c>
      <c r="AN589" s="29" t="str">
        <f>LEFT(AK589,FIND(",",AK589)-1)</f>
        <v>Ấp Biển Tây B</v>
      </c>
    </row>
    <row r="590" spans="1:40" x14ac:dyDescent="0.25">
      <c r="A590" s="49" t="s">
        <v>119</v>
      </c>
      <c r="B590" s="5" t="s">
        <v>30</v>
      </c>
      <c r="C590" s="5" t="s">
        <v>47</v>
      </c>
      <c r="D590" s="29">
        <f ca="1">DATEDIF(C590,TODAY(),"Y")</f>
        <v>55</v>
      </c>
      <c r="E590" s="5" t="s">
        <v>26</v>
      </c>
      <c r="F590" s="30">
        <v>175</v>
      </c>
      <c r="G590" s="30">
        <v>73</v>
      </c>
      <c r="H590" s="31">
        <f>G590/((F590/100)*(F590/100))</f>
        <v>23.836734693877553</v>
      </c>
      <c r="I590" s="5">
        <v>89</v>
      </c>
      <c r="J590" s="30">
        <v>130</v>
      </c>
      <c r="K590" s="30">
        <v>80</v>
      </c>
      <c r="L590" s="29">
        <f>IF(B590="Nữ",0,2)</f>
        <v>2</v>
      </c>
      <c r="M590" s="29">
        <f ca="1">IF(D590&lt;45,0,IF(D590&lt;=49,1,2))</f>
        <v>2</v>
      </c>
      <c r="N590" s="29">
        <f>IF(E590="Có",4,0)</f>
        <v>0</v>
      </c>
      <c r="O590" s="29">
        <f>IF(H590&lt;23,0,IF(H590&lt;27.5,3,5))</f>
        <v>3</v>
      </c>
      <c r="P590" s="29">
        <f>IF(OR(AND(B590="Nam",I590&gt;=90),AND(B590="Nữ",I590&gt;=80)),2,0)</f>
        <v>0</v>
      </c>
      <c r="Q590" s="29">
        <f>IF(OR(J590&gt;=140,K590&gt;=90),2,0)</f>
        <v>0</v>
      </c>
      <c r="R590" s="29">
        <f ca="1">SUM(L590:Q590)</f>
        <v>7</v>
      </c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5" t="s">
        <v>1393</v>
      </c>
      <c r="AE590" s="33"/>
      <c r="AF590" s="59" t="str">
        <f t="shared" si="28"/>
        <v>Không</v>
      </c>
      <c r="AG590" s="59" t="str">
        <f t="shared" si="29"/>
        <v>Không</v>
      </c>
      <c r="AH590" s="29" t="str">
        <f t="shared" ca="1" si="27"/>
        <v>Có</v>
      </c>
      <c r="AI590" s="29" t="str">
        <f ca="1">IF((R590)&gt;=6,"Có","Không")</f>
        <v>Có</v>
      </c>
      <c r="AJ590" s="29" t="str">
        <f>IF(OR(J590&gt;=140,K590&gt;=90),"Có","Không")</f>
        <v>Không</v>
      </c>
      <c r="AK590" s="5" t="s">
        <v>120</v>
      </c>
      <c r="AL590" s="32">
        <v>46142</v>
      </c>
      <c r="AM590" s="29" t="str">
        <f>"Tháng "&amp;MONTH(AL590)</f>
        <v>Tháng 4</v>
      </c>
      <c r="AN590" s="29" t="str">
        <f>LEFT(AK590,FIND(",",AK590)-1)</f>
        <v>Ấp Xóm Lẫm</v>
      </c>
    </row>
    <row r="591" spans="1:40" x14ac:dyDescent="0.25">
      <c r="A591" s="49" t="s">
        <v>121</v>
      </c>
      <c r="B591" s="5" t="s">
        <v>23</v>
      </c>
      <c r="C591" s="5" t="s">
        <v>53</v>
      </c>
      <c r="D591" s="29">
        <f ca="1">DATEDIF(C591,TODAY(),"Y")</f>
        <v>72</v>
      </c>
      <c r="E591" s="5" t="s">
        <v>26</v>
      </c>
      <c r="F591" s="30">
        <v>170</v>
      </c>
      <c r="G591" s="30">
        <v>57</v>
      </c>
      <c r="H591" s="31">
        <f>G591/((F591/100)*(F591/100))</f>
        <v>19.723183391003463</v>
      </c>
      <c r="I591" s="5">
        <v>87</v>
      </c>
      <c r="J591" s="30">
        <v>120</v>
      </c>
      <c r="K591" s="30">
        <v>80</v>
      </c>
      <c r="L591" s="29">
        <f>IF(B591="Nữ",0,2)</f>
        <v>0</v>
      </c>
      <c r="M591" s="29">
        <f ca="1">IF(D591&lt;45,0,IF(D591&lt;=49,1,2))</f>
        <v>2</v>
      </c>
      <c r="N591" s="29">
        <f>IF(E591="Có",4,0)</f>
        <v>0</v>
      </c>
      <c r="O591" s="29">
        <f>IF(H591&lt;23,0,IF(H591&lt;27.5,3,5))</f>
        <v>0</v>
      </c>
      <c r="P591" s="29">
        <f>IF(OR(AND(B591="Nam",I591&gt;=90),AND(B591="Nữ",I591&gt;=80)),2,0)</f>
        <v>2</v>
      </c>
      <c r="Q591" s="29">
        <f>IF(OR(J591&gt;=140,K591&gt;=90),2,0)</f>
        <v>0</v>
      </c>
      <c r="R591" s="29">
        <f ca="1">SUM(L591:Q591)</f>
        <v>4</v>
      </c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5" t="s">
        <v>1393</v>
      </c>
      <c r="AE591" s="33"/>
      <c r="AF591" s="59" t="str">
        <f t="shared" si="28"/>
        <v>Không</v>
      </c>
      <c r="AG591" s="59" t="str">
        <f t="shared" si="29"/>
        <v>Không</v>
      </c>
      <c r="AH591" s="29" t="str">
        <f t="shared" ca="1" si="27"/>
        <v>Không</v>
      </c>
      <c r="AI591" s="29" t="str">
        <f ca="1">IF((R591)&gt;=6,"Có","Không")</f>
        <v>Không</v>
      </c>
      <c r="AJ591" s="29" t="str">
        <f>IF(OR(J591&gt;=140,K591&gt;=90),"Có","Không")</f>
        <v>Không</v>
      </c>
      <c r="AK591" s="5" t="s">
        <v>122</v>
      </c>
      <c r="AL591" s="32">
        <v>46142</v>
      </c>
      <c r="AM591" s="29" t="str">
        <f>"Tháng "&amp;MONTH(AL591)</f>
        <v>Tháng 4</v>
      </c>
      <c r="AN591" s="29" t="str">
        <f>LEFT(AK591,FIND(",",AK591)-1)</f>
        <v>Giồng Nhãn</v>
      </c>
    </row>
    <row r="592" spans="1:40" x14ac:dyDescent="0.25">
      <c r="A592" s="49" t="s">
        <v>123</v>
      </c>
      <c r="B592" s="5" t="s">
        <v>30</v>
      </c>
      <c r="C592" s="5" t="s">
        <v>50</v>
      </c>
      <c r="D592" s="29">
        <f ca="1">DATEDIF(C592,TODAY(),"Y")</f>
        <v>58</v>
      </c>
      <c r="E592" s="5" t="s">
        <v>26</v>
      </c>
      <c r="F592" s="30">
        <v>169</v>
      </c>
      <c r="G592" s="30">
        <v>68</v>
      </c>
      <c r="H592" s="31">
        <f>G592/((F592/100)*(F592/100))</f>
        <v>23.808690171912751</v>
      </c>
      <c r="I592" s="5">
        <v>92</v>
      </c>
      <c r="J592" s="30">
        <v>130</v>
      </c>
      <c r="K592" s="30">
        <v>80</v>
      </c>
      <c r="L592" s="29">
        <f>IF(B592="Nữ",0,2)</f>
        <v>2</v>
      </c>
      <c r="M592" s="29">
        <f ca="1">IF(D592&lt;45,0,IF(D592&lt;=49,1,2))</f>
        <v>2</v>
      </c>
      <c r="N592" s="29">
        <f>IF(E592="Có",4,0)</f>
        <v>0</v>
      </c>
      <c r="O592" s="29">
        <f>IF(H592&lt;23,0,IF(H592&lt;27.5,3,5))</f>
        <v>3</v>
      </c>
      <c r="P592" s="29">
        <f>IF(OR(AND(B592="Nam",I592&gt;=90),AND(B592="Nữ",I592&gt;=80)),2,0)</f>
        <v>2</v>
      </c>
      <c r="Q592" s="29">
        <f>IF(OR(J592&gt;=140,K592&gt;=90),2,0)</f>
        <v>0</v>
      </c>
      <c r="R592" s="29">
        <f ca="1">SUM(L592:Q592)</f>
        <v>9</v>
      </c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5" t="s">
        <v>1393</v>
      </c>
      <c r="AE592" s="33"/>
      <c r="AF592" s="59" t="str">
        <f t="shared" si="28"/>
        <v>Không</v>
      </c>
      <c r="AG592" s="59" t="str">
        <f t="shared" si="29"/>
        <v>Không</v>
      </c>
      <c r="AH592" s="29" t="str">
        <f t="shared" ca="1" si="27"/>
        <v>Có</v>
      </c>
      <c r="AI592" s="29" t="str">
        <f ca="1">IF((R592)&gt;=6,"Có","Không")</f>
        <v>Có</v>
      </c>
      <c r="AJ592" s="29" t="str">
        <f>IF(OR(J592&gt;=140,K592&gt;=90),"Có","Không")</f>
        <v>Không</v>
      </c>
      <c r="AK592" s="5" t="s">
        <v>70</v>
      </c>
      <c r="AL592" s="32">
        <v>46142</v>
      </c>
      <c r="AM592" s="29" t="str">
        <f>"Tháng "&amp;MONTH(AL592)</f>
        <v>Tháng 4</v>
      </c>
      <c r="AN592" s="29" t="str">
        <f>LEFT(AK592,FIND(",",AK592)-1)</f>
        <v>Ấp Biển Tây A</v>
      </c>
    </row>
    <row r="593" spans="1:40" x14ac:dyDescent="0.25">
      <c r="A593" s="49" t="s">
        <v>124</v>
      </c>
      <c r="B593" s="5" t="s">
        <v>30</v>
      </c>
      <c r="C593" s="5" t="s">
        <v>62</v>
      </c>
      <c r="D593" s="29">
        <f ca="1">DATEDIF(C593,TODAY(),"Y")</f>
        <v>64</v>
      </c>
      <c r="E593" s="5" t="s">
        <v>26</v>
      </c>
      <c r="F593" s="30">
        <v>168</v>
      </c>
      <c r="G593" s="30">
        <v>68</v>
      </c>
      <c r="H593" s="31">
        <f>G593/((F593/100)*(F593/100))</f>
        <v>24.092970521541954</v>
      </c>
      <c r="I593" s="5">
        <v>89</v>
      </c>
      <c r="J593" s="30">
        <v>120</v>
      </c>
      <c r="K593" s="30">
        <v>80</v>
      </c>
      <c r="L593" s="29">
        <f>IF(B593="Nữ",0,2)</f>
        <v>2</v>
      </c>
      <c r="M593" s="29">
        <f ca="1">IF(D593&lt;45,0,IF(D593&lt;=49,1,2))</f>
        <v>2</v>
      </c>
      <c r="N593" s="29">
        <f>IF(E593="Có",4,0)</f>
        <v>0</v>
      </c>
      <c r="O593" s="29">
        <f>IF(H593&lt;23,0,IF(H593&lt;27.5,3,5))</f>
        <v>3</v>
      </c>
      <c r="P593" s="29">
        <f>IF(OR(AND(B593="Nam",I593&gt;=90),AND(B593="Nữ",I593&gt;=80)),2,0)</f>
        <v>0</v>
      </c>
      <c r="Q593" s="29">
        <f>IF(OR(J593&gt;=140,K593&gt;=90),2,0)</f>
        <v>0</v>
      </c>
      <c r="R593" s="29">
        <f ca="1">SUM(L593:Q593)</f>
        <v>7</v>
      </c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5" t="s">
        <v>1393</v>
      </c>
      <c r="AE593" s="33"/>
      <c r="AF593" s="59" t="str">
        <f t="shared" si="28"/>
        <v>Không</v>
      </c>
      <c r="AG593" s="59" t="str">
        <f t="shared" si="29"/>
        <v>Không</v>
      </c>
      <c r="AH593" s="29" t="str">
        <f t="shared" ca="1" si="27"/>
        <v>Có</v>
      </c>
      <c r="AI593" s="29" t="str">
        <f ca="1">IF((R593)&gt;=6,"Có","Không")</f>
        <v>Có</v>
      </c>
      <c r="AJ593" s="29" t="str">
        <f>IF(OR(J593&gt;=140,K593&gt;=90),"Có","Không")</f>
        <v>Không</v>
      </c>
      <c r="AK593" s="5" t="s">
        <v>60</v>
      </c>
      <c r="AL593" s="32">
        <v>46142</v>
      </c>
      <c r="AM593" s="29" t="str">
        <f>"Tháng "&amp;MONTH(AL593)</f>
        <v>Tháng 4</v>
      </c>
      <c r="AN593" s="29" t="str">
        <f>LEFT(AK593,FIND(",",AK593)-1)</f>
        <v>ấp Biển Đông A</v>
      </c>
    </row>
    <row r="594" spans="1:40" x14ac:dyDescent="0.25">
      <c r="A594" s="49" t="s">
        <v>125</v>
      </c>
      <c r="B594" s="5" t="s">
        <v>23</v>
      </c>
      <c r="C594" s="5" t="s">
        <v>80</v>
      </c>
      <c r="D594" s="29">
        <f ca="1">DATEDIF(C594,TODAY(),"Y")</f>
        <v>71</v>
      </c>
      <c r="E594" s="5" t="s">
        <v>26</v>
      </c>
      <c r="F594" s="30">
        <v>158</v>
      </c>
      <c r="G594" s="30">
        <v>58</v>
      </c>
      <c r="H594" s="31">
        <f>G594/((F594/100)*(F594/100))</f>
        <v>23.233456176894723</v>
      </c>
      <c r="I594" s="5">
        <v>81</v>
      </c>
      <c r="J594" s="30">
        <v>140</v>
      </c>
      <c r="K594" s="30">
        <v>80</v>
      </c>
      <c r="L594" s="29">
        <f>IF(B594="Nữ",0,2)</f>
        <v>0</v>
      </c>
      <c r="M594" s="29">
        <f ca="1">IF(D594&lt;45,0,IF(D594&lt;=49,1,2))</f>
        <v>2</v>
      </c>
      <c r="N594" s="29">
        <f>IF(E594="Có",4,0)</f>
        <v>0</v>
      </c>
      <c r="O594" s="29">
        <f>IF(H594&lt;23,0,IF(H594&lt;27.5,3,5))</f>
        <v>3</v>
      </c>
      <c r="P594" s="29">
        <f>IF(OR(AND(B594="Nam",I594&gt;=90),AND(B594="Nữ",I594&gt;=80)),2,0)</f>
        <v>2</v>
      </c>
      <c r="Q594" s="29">
        <f>IF(OR(J594&gt;=140,K594&gt;=90),2,0)</f>
        <v>2</v>
      </c>
      <c r="R594" s="29">
        <f ca="1">SUM(L594:Q594)</f>
        <v>9</v>
      </c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5" t="s">
        <v>1393</v>
      </c>
      <c r="AE594" s="33"/>
      <c r="AF594" s="59" t="str">
        <f t="shared" si="28"/>
        <v>Không</v>
      </c>
      <c r="AG594" s="59" t="str">
        <f t="shared" si="29"/>
        <v>Không</v>
      </c>
      <c r="AH594" s="29" t="str">
        <f t="shared" ca="1" si="27"/>
        <v>Có</v>
      </c>
      <c r="AI594" s="29" t="str">
        <f ca="1">IF((R594)&gt;=6,"Có","Không")</f>
        <v>Có</v>
      </c>
      <c r="AJ594" s="29" t="str">
        <f>IF(OR(J594&gt;=140,K594&gt;=90),"Có","Không")</f>
        <v>Có</v>
      </c>
      <c r="AK594" s="5" t="s">
        <v>60</v>
      </c>
      <c r="AL594" s="32">
        <v>46142</v>
      </c>
      <c r="AM594" s="29" t="str">
        <f>"Tháng "&amp;MONTH(AL594)</f>
        <v>Tháng 4</v>
      </c>
      <c r="AN594" s="29" t="str">
        <f>LEFT(AK594,FIND(",",AK594)-1)</f>
        <v>ấp Biển Đông A</v>
      </c>
    </row>
    <row r="595" spans="1:40" x14ac:dyDescent="0.25">
      <c r="A595" s="49" t="s">
        <v>126</v>
      </c>
      <c r="B595" s="5" t="s">
        <v>30</v>
      </c>
      <c r="C595" s="5" t="s">
        <v>127</v>
      </c>
      <c r="D595" s="29">
        <f ca="1">DATEDIF(C595,TODAY(),"Y")</f>
        <v>76</v>
      </c>
      <c r="E595" s="5" t="s">
        <v>26</v>
      </c>
      <c r="F595" s="30">
        <v>166</v>
      </c>
      <c r="G595" s="30">
        <v>56</v>
      </c>
      <c r="H595" s="31">
        <f>G595/((F595/100)*(F595/100))</f>
        <v>20.322252866889244</v>
      </c>
      <c r="I595" s="5">
        <v>95</v>
      </c>
      <c r="J595" s="30">
        <v>120</v>
      </c>
      <c r="K595" s="30">
        <v>80</v>
      </c>
      <c r="L595" s="29">
        <f>IF(B595="Nữ",0,2)</f>
        <v>2</v>
      </c>
      <c r="M595" s="29">
        <f ca="1">IF(D595&lt;45,0,IF(D595&lt;=49,1,2))</f>
        <v>2</v>
      </c>
      <c r="N595" s="29">
        <f>IF(E595="Có",4,0)</f>
        <v>0</v>
      </c>
      <c r="O595" s="29">
        <f>IF(H595&lt;23,0,IF(H595&lt;27.5,3,5))</f>
        <v>0</v>
      </c>
      <c r="P595" s="29">
        <f>IF(OR(AND(B595="Nam",I595&gt;=90),AND(B595="Nữ",I595&gt;=80)),2,0)</f>
        <v>2</v>
      </c>
      <c r="Q595" s="29">
        <f>IF(OR(J595&gt;=140,K595&gt;=90),2,0)</f>
        <v>0</v>
      </c>
      <c r="R595" s="29">
        <f ca="1">SUM(L595:Q595)</f>
        <v>6</v>
      </c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5" t="s">
        <v>1393</v>
      </c>
      <c r="AE595" s="33"/>
      <c r="AF595" s="59" t="str">
        <f t="shared" si="28"/>
        <v>Không</v>
      </c>
      <c r="AG595" s="59" t="str">
        <f t="shared" si="29"/>
        <v>Không</v>
      </c>
      <c r="AH595" s="29" t="str">
        <f t="shared" ca="1" si="27"/>
        <v>Có</v>
      </c>
      <c r="AI595" s="29" t="str">
        <f ca="1">IF((R595)&gt;=6,"Có","Không")</f>
        <v>Có</v>
      </c>
      <c r="AJ595" s="29" t="str">
        <f>IF(OR(J595&gt;=140,K595&gt;=90),"Có","Không")</f>
        <v>Không</v>
      </c>
      <c r="AK595" s="5" t="s">
        <v>128</v>
      </c>
      <c r="AL595" s="32">
        <v>46142</v>
      </c>
      <c r="AM595" s="29" t="str">
        <f>"Tháng "&amp;MONTH(AL595)</f>
        <v>Tháng 4</v>
      </c>
      <c r="AN595" s="29" t="str">
        <f>LEFT(AK595,FIND(",",AK595)-1)</f>
        <v>ấp giồng nhãn</v>
      </c>
    </row>
    <row r="596" spans="1:40" x14ac:dyDescent="0.25">
      <c r="A596" s="49" t="s">
        <v>134</v>
      </c>
      <c r="B596" s="5" t="s">
        <v>23</v>
      </c>
      <c r="C596" s="5" t="s">
        <v>90</v>
      </c>
      <c r="D596" s="29">
        <f ca="1">DATEDIF(C596,TODAY(),"Y")</f>
        <v>54</v>
      </c>
      <c r="E596" s="5" t="s">
        <v>26</v>
      </c>
      <c r="F596" s="30">
        <v>160</v>
      </c>
      <c r="G596" s="30">
        <v>62</v>
      </c>
      <c r="H596" s="31">
        <f>G596/((F596/100)*(F596/100))</f>
        <v>24.218749999999996</v>
      </c>
      <c r="I596" s="5">
        <v>83</v>
      </c>
      <c r="J596" s="30">
        <v>120</v>
      </c>
      <c r="K596" s="30">
        <v>80</v>
      </c>
      <c r="L596" s="29">
        <f>IF(B596="Nữ",0,2)</f>
        <v>0</v>
      </c>
      <c r="M596" s="29">
        <f ca="1">IF(D596&lt;45,0,IF(D596&lt;=49,1,2))</f>
        <v>2</v>
      </c>
      <c r="N596" s="29">
        <f>IF(E596="Có",4,0)</f>
        <v>0</v>
      </c>
      <c r="O596" s="29">
        <f>IF(H596&lt;23,0,IF(H596&lt;27.5,3,5))</f>
        <v>3</v>
      </c>
      <c r="P596" s="29">
        <f>IF(OR(AND(B596="Nam",I596&gt;=90),AND(B596="Nữ",I596&gt;=80)),2,0)</f>
        <v>2</v>
      </c>
      <c r="Q596" s="29">
        <f>IF(OR(J596&gt;=140,K596&gt;=90),2,0)</f>
        <v>0</v>
      </c>
      <c r="R596" s="29">
        <f ca="1">SUM(L596:Q596)</f>
        <v>7</v>
      </c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5" t="s">
        <v>1393</v>
      </c>
      <c r="AE596" s="33"/>
      <c r="AF596" s="59" t="str">
        <f t="shared" si="28"/>
        <v>Không</v>
      </c>
      <c r="AG596" s="59" t="str">
        <f t="shared" si="29"/>
        <v>Không</v>
      </c>
      <c r="AH596" s="29" t="str">
        <f t="shared" ca="1" si="27"/>
        <v>Có</v>
      </c>
      <c r="AI596" s="29" t="str">
        <f ca="1">IF((R596)&gt;=6,"Có","Không")</f>
        <v>Có</v>
      </c>
      <c r="AJ596" s="29" t="str">
        <f>IF(OR(J596&gt;=140,K596&gt;=90),"Có","Không")</f>
        <v>Không</v>
      </c>
      <c r="AK596" s="5" t="s">
        <v>135</v>
      </c>
      <c r="AL596" s="32">
        <v>46142</v>
      </c>
      <c r="AM596" s="29" t="str">
        <f>"Tháng "&amp;MONTH(AL596)</f>
        <v>Tháng 4</v>
      </c>
      <c r="AN596" s="29" t="str">
        <f>LEFT(AK596,FIND(",",AK596)-1)</f>
        <v>Khóm Kinh Tế</v>
      </c>
    </row>
    <row r="597" spans="1:40" x14ac:dyDescent="0.25">
      <c r="A597" s="49" t="s">
        <v>136</v>
      </c>
      <c r="B597" s="5" t="s">
        <v>30</v>
      </c>
      <c r="C597" s="5" t="s">
        <v>42</v>
      </c>
      <c r="D597" s="29">
        <f ca="1">DATEDIF(C597,TODAY(),"Y")</f>
        <v>59</v>
      </c>
      <c r="E597" s="5" t="s">
        <v>26</v>
      </c>
      <c r="F597" s="30">
        <v>169</v>
      </c>
      <c r="G597" s="30">
        <v>68</v>
      </c>
      <c r="H597" s="31">
        <f>G597/((F597/100)*(F597/100))</f>
        <v>23.808690171912751</v>
      </c>
      <c r="I597" s="5">
        <v>83</v>
      </c>
      <c r="J597" s="30">
        <v>120</v>
      </c>
      <c r="K597" s="30">
        <v>80</v>
      </c>
      <c r="L597" s="29">
        <f>IF(B597="Nữ",0,2)</f>
        <v>2</v>
      </c>
      <c r="M597" s="29">
        <f ca="1">IF(D597&lt;45,0,IF(D597&lt;=49,1,2))</f>
        <v>2</v>
      </c>
      <c r="N597" s="29">
        <f>IF(E597="Có",4,0)</f>
        <v>0</v>
      </c>
      <c r="O597" s="29">
        <f>IF(H597&lt;23,0,IF(H597&lt;27.5,3,5))</f>
        <v>3</v>
      </c>
      <c r="P597" s="29">
        <f>IF(OR(AND(B597="Nam",I597&gt;=90),AND(B597="Nữ",I597&gt;=80)),2,0)</f>
        <v>0</v>
      </c>
      <c r="Q597" s="29">
        <f>IF(OR(J597&gt;=140,K597&gt;=90),2,0)</f>
        <v>0</v>
      </c>
      <c r="R597" s="29">
        <f ca="1">SUM(L597:Q597)</f>
        <v>7</v>
      </c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5" t="s">
        <v>1393</v>
      </c>
      <c r="AE597" s="33"/>
      <c r="AF597" s="59" t="str">
        <f t="shared" si="28"/>
        <v>Không</v>
      </c>
      <c r="AG597" s="59" t="str">
        <f t="shared" si="29"/>
        <v>Không</v>
      </c>
      <c r="AH597" s="29" t="str">
        <f t="shared" ca="1" si="27"/>
        <v>Có</v>
      </c>
      <c r="AI597" s="29" t="str">
        <f ca="1">IF((R597)&gt;=6,"Có","Không")</f>
        <v>Có</v>
      </c>
      <c r="AJ597" s="29" t="str">
        <f>IF(OR(J597&gt;=140,K597&gt;=90),"Có","Không")</f>
        <v>Không</v>
      </c>
      <c r="AK597" s="5" t="s">
        <v>51</v>
      </c>
      <c r="AL597" s="32">
        <v>46142</v>
      </c>
      <c r="AM597" s="29" t="str">
        <f>"Tháng "&amp;MONTH(AL597)</f>
        <v>Tháng 4</v>
      </c>
      <c r="AN597" s="29" t="str">
        <f>LEFT(AK597,FIND(",",AK597)-1)</f>
        <v>Phường Hiệp Thành</v>
      </c>
    </row>
    <row r="598" spans="1:40" x14ac:dyDescent="0.25">
      <c r="A598" s="49" t="s">
        <v>137</v>
      </c>
      <c r="B598" s="5" t="s">
        <v>23</v>
      </c>
      <c r="C598" s="5" t="s">
        <v>138</v>
      </c>
      <c r="D598" s="29">
        <f ca="1">DATEDIF(C598,TODAY(),"Y")</f>
        <v>67</v>
      </c>
      <c r="E598" s="5" t="s">
        <v>26</v>
      </c>
      <c r="F598" s="30">
        <v>158</v>
      </c>
      <c r="G598" s="30">
        <v>58</v>
      </c>
      <c r="H598" s="31">
        <f>G598/((F598/100)*(F598/100))</f>
        <v>23.233456176894723</v>
      </c>
      <c r="I598" s="5">
        <v>86</v>
      </c>
      <c r="J598" s="30">
        <v>160</v>
      </c>
      <c r="K598" s="30">
        <v>80</v>
      </c>
      <c r="L598" s="29">
        <f>IF(B598="Nữ",0,2)</f>
        <v>0</v>
      </c>
      <c r="M598" s="29">
        <f ca="1">IF(D598&lt;45,0,IF(D598&lt;=49,1,2))</f>
        <v>2</v>
      </c>
      <c r="N598" s="29">
        <f>IF(E598="Có",4,0)</f>
        <v>0</v>
      </c>
      <c r="O598" s="29">
        <f>IF(H598&lt;23,0,IF(H598&lt;27.5,3,5))</f>
        <v>3</v>
      </c>
      <c r="P598" s="29">
        <f>IF(OR(AND(B598="Nam",I598&gt;=90),AND(B598="Nữ",I598&gt;=80)),2,0)</f>
        <v>2</v>
      </c>
      <c r="Q598" s="29">
        <f>IF(OR(J598&gt;=140,K598&gt;=90),2,0)</f>
        <v>2</v>
      </c>
      <c r="R598" s="29">
        <f ca="1">SUM(L598:Q598)</f>
        <v>9</v>
      </c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5" t="s">
        <v>1393</v>
      </c>
      <c r="AE598" s="33"/>
      <c r="AF598" s="59" t="str">
        <f t="shared" si="28"/>
        <v>Không</v>
      </c>
      <c r="AG598" s="59" t="str">
        <f t="shared" si="29"/>
        <v>Không</v>
      </c>
      <c r="AH598" s="29" t="str">
        <f t="shared" ca="1" si="27"/>
        <v>Có</v>
      </c>
      <c r="AI598" s="29" t="str">
        <f ca="1">IF((R598)&gt;=6,"Có","Không")</f>
        <v>Có</v>
      </c>
      <c r="AJ598" s="29" t="str">
        <f>IF(OR(J598&gt;=140,K598&gt;=90),"Có","Không")</f>
        <v>Có</v>
      </c>
      <c r="AK598" s="5" t="s">
        <v>38</v>
      </c>
      <c r="AL598" s="32">
        <v>46142</v>
      </c>
      <c r="AM598" s="29" t="str">
        <f>"Tháng "&amp;MONTH(AL598)</f>
        <v>Tháng 4</v>
      </c>
      <c r="AN598" s="29" t="str">
        <f>LEFT(AK598,FIND(",",AK598)-1)</f>
        <v>Ấp Biển Đông B</v>
      </c>
    </row>
    <row r="599" spans="1:40" x14ac:dyDescent="0.25">
      <c r="A599" s="49" t="s">
        <v>139</v>
      </c>
      <c r="B599" s="5" t="s">
        <v>23</v>
      </c>
      <c r="C599" s="5" t="s">
        <v>40</v>
      </c>
      <c r="D599" s="29">
        <f ca="1">DATEDIF(C599,TODAY(),"Y")</f>
        <v>70</v>
      </c>
      <c r="E599" s="5" t="s">
        <v>25</v>
      </c>
      <c r="F599" s="30">
        <v>158</v>
      </c>
      <c r="G599" s="30">
        <v>58</v>
      </c>
      <c r="H599" s="31">
        <f>G599/((F599/100)*(F599/100))</f>
        <v>23.233456176894723</v>
      </c>
      <c r="I599" s="5">
        <v>81</v>
      </c>
      <c r="J599" s="30">
        <v>140</v>
      </c>
      <c r="K599" s="30">
        <v>80</v>
      </c>
      <c r="L599" s="29">
        <f>IF(B599="Nữ",0,2)</f>
        <v>0</v>
      </c>
      <c r="M599" s="29">
        <f ca="1">IF(D599&lt;45,0,IF(D599&lt;=49,1,2))</f>
        <v>2</v>
      </c>
      <c r="N599" s="29">
        <f>IF(E599="Có",4,0)</f>
        <v>4</v>
      </c>
      <c r="O599" s="29">
        <f>IF(H599&lt;23,0,IF(H599&lt;27.5,3,5))</f>
        <v>3</v>
      </c>
      <c r="P599" s="29">
        <f>IF(OR(AND(B599="Nam",I599&gt;=90),AND(B599="Nữ",I599&gt;=80)),2,0)</f>
        <v>2</v>
      </c>
      <c r="Q599" s="29">
        <f>IF(OR(J599&gt;=140,K599&gt;=90),2,0)</f>
        <v>2</v>
      </c>
      <c r="R599" s="29">
        <f ca="1">SUM(L599:Q599)</f>
        <v>13</v>
      </c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5" t="s">
        <v>1393</v>
      </c>
      <c r="AE599" s="33"/>
      <c r="AF599" s="59" t="str">
        <f t="shared" si="28"/>
        <v>Không</v>
      </c>
      <c r="AG599" s="59" t="str">
        <f t="shared" si="29"/>
        <v>Không</v>
      </c>
      <c r="AH599" s="29" t="str">
        <f t="shared" ca="1" si="27"/>
        <v>Có</v>
      </c>
      <c r="AI599" s="29" t="str">
        <f ca="1">IF((R599)&gt;=6,"Có","Không")</f>
        <v>Có</v>
      </c>
      <c r="AJ599" s="29" t="str">
        <f>IF(OR(J599&gt;=140,K599&gt;=90),"Có","Không")</f>
        <v>Có</v>
      </c>
      <c r="AK599" s="5" t="s">
        <v>140</v>
      </c>
      <c r="AL599" s="32">
        <v>46142</v>
      </c>
      <c r="AM599" s="29" t="str">
        <f>"Tháng "&amp;MONTH(AL599)</f>
        <v>Tháng 4</v>
      </c>
      <c r="AN599" s="29" t="str">
        <f>LEFT(AK599,FIND(",",AK599)-1)</f>
        <v>Biển Tây A</v>
      </c>
    </row>
    <row r="600" spans="1:40" x14ac:dyDescent="0.25">
      <c r="A600" s="49" t="s">
        <v>141</v>
      </c>
      <c r="B600" s="5" t="s">
        <v>23</v>
      </c>
      <c r="C600" s="5" t="s">
        <v>93</v>
      </c>
      <c r="D600" s="29">
        <f ca="1">DATEDIF(C600,TODAY(),"Y")</f>
        <v>66</v>
      </c>
      <c r="E600" s="5" t="s">
        <v>26</v>
      </c>
      <c r="F600" s="30">
        <v>158</v>
      </c>
      <c r="G600" s="30">
        <v>58</v>
      </c>
      <c r="H600" s="31">
        <f>G600/((F600/100)*(F600/100))</f>
        <v>23.233456176894723</v>
      </c>
      <c r="I600" s="5">
        <v>65</v>
      </c>
      <c r="J600" s="30">
        <v>130</v>
      </c>
      <c r="K600" s="30">
        <v>80</v>
      </c>
      <c r="L600" s="29">
        <f>IF(B600="Nữ",0,2)</f>
        <v>0</v>
      </c>
      <c r="M600" s="29">
        <f ca="1">IF(D600&lt;45,0,IF(D600&lt;=49,1,2))</f>
        <v>2</v>
      </c>
      <c r="N600" s="29">
        <f>IF(E600="Có",4,0)</f>
        <v>0</v>
      </c>
      <c r="O600" s="29">
        <f>IF(H600&lt;23,0,IF(H600&lt;27.5,3,5))</f>
        <v>3</v>
      </c>
      <c r="P600" s="29">
        <f>IF(OR(AND(B600="Nam",I600&gt;=90),AND(B600="Nữ",I600&gt;=80)),2,0)</f>
        <v>0</v>
      </c>
      <c r="Q600" s="29">
        <f>IF(OR(J600&gt;=140,K600&gt;=90),2,0)</f>
        <v>0</v>
      </c>
      <c r="R600" s="29">
        <f ca="1">SUM(L600:Q600)</f>
        <v>5</v>
      </c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5" t="s">
        <v>1393</v>
      </c>
      <c r="AE600" s="33"/>
      <c r="AF600" s="59" t="str">
        <f t="shared" si="28"/>
        <v>Không</v>
      </c>
      <c r="AG600" s="59" t="str">
        <f t="shared" si="29"/>
        <v>Không</v>
      </c>
      <c r="AH600" s="29" t="str">
        <f t="shared" ca="1" si="27"/>
        <v>Không</v>
      </c>
      <c r="AI600" s="29" t="str">
        <f ca="1">IF((R600)&gt;=6,"Có","Không")</f>
        <v>Không</v>
      </c>
      <c r="AJ600" s="29" t="str">
        <f>IF(OR(J600&gt;=140,K600&gt;=90),"Có","Không")</f>
        <v>Không</v>
      </c>
      <c r="AK600" s="5" t="s">
        <v>51</v>
      </c>
      <c r="AL600" s="32">
        <v>46142</v>
      </c>
      <c r="AM600" s="29" t="str">
        <f>"Tháng "&amp;MONTH(AL600)</f>
        <v>Tháng 4</v>
      </c>
      <c r="AN600" s="29" t="str">
        <f>LEFT(AK600,FIND(",",AK600)-1)</f>
        <v>Phường Hiệp Thành</v>
      </c>
    </row>
    <row r="601" spans="1:40" x14ac:dyDescent="0.25">
      <c r="A601" s="49" t="s">
        <v>142</v>
      </c>
      <c r="B601" s="5" t="s">
        <v>30</v>
      </c>
      <c r="C601" s="5" t="s">
        <v>93</v>
      </c>
      <c r="D601" s="29">
        <f ca="1">DATEDIF(C601,TODAY(),"Y")</f>
        <v>66</v>
      </c>
      <c r="E601" s="5" t="s">
        <v>26</v>
      </c>
      <c r="F601" s="30">
        <v>169</v>
      </c>
      <c r="G601" s="30">
        <v>68</v>
      </c>
      <c r="H601" s="31">
        <f>G601/((F601/100)*(F601/100))</f>
        <v>23.808690171912751</v>
      </c>
      <c r="I601" s="5">
        <v>100</v>
      </c>
      <c r="J601" s="30">
        <v>160</v>
      </c>
      <c r="K601" s="30">
        <v>80</v>
      </c>
      <c r="L601" s="29">
        <f>IF(B601="Nữ",0,2)</f>
        <v>2</v>
      </c>
      <c r="M601" s="29">
        <f ca="1">IF(D601&lt;45,0,IF(D601&lt;=49,1,2))</f>
        <v>2</v>
      </c>
      <c r="N601" s="29">
        <f>IF(E601="Có",4,0)</f>
        <v>0</v>
      </c>
      <c r="O601" s="29">
        <f>IF(H601&lt;23,0,IF(H601&lt;27.5,3,5))</f>
        <v>3</v>
      </c>
      <c r="P601" s="29">
        <f>IF(OR(AND(B601="Nam",I601&gt;=90),AND(B601="Nữ",I601&gt;=80)),2,0)</f>
        <v>2</v>
      </c>
      <c r="Q601" s="29">
        <f>IF(OR(J601&gt;=140,K601&gt;=90),2,0)</f>
        <v>2</v>
      </c>
      <c r="R601" s="29">
        <f ca="1">SUM(L601:Q601)</f>
        <v>11</v>
      </c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5" t="s">
        <v>1393</v>
      </c>
      <c r="AE601" s="33"/>
      <c r="AF601" s="59" t="str">
        <f t="shared" si="28"/>
        <v>Không</v>
      </c>
      <c r="AG601" s="59" t="str">
        <f t="shared" si="29"/>
        <v>Không</v>
      </c>
      <c r="AH601" s="29" t="str">
        <f t="shared" ca="1" si="27"/>
        <v>Có</v>
      </c>
      <c r="AI601" s="29" t="str">
        <f ca="1">IF((R601)&gt;=6,"Có","Không")</f>
        <v>Có</v>
      </c>
      <c r="AJ601" s="29" t="str">
        <f>IF(OR(J601&gt;=140,K601&gt;=90),"Có","Không")</f>
        <v>Có</v>
      </c>
      <c r="AK601" s="5" t="s">
        <v>70</v>
      </c>
      <c r="AL601" s="32">
        <v>46142</v>
      </c>
      <c r="AM601" s="29" t="str">
        <f>"Tháng "&amp;MONTH(AL601)</f>
        <v>Tháng 4</v>
      </c>
      <c r="AN601" s="29" t="str">
        <f>LEFT(AK601,FIND(",",AK601)-1)</f>
        <v>Ấp Biển Tây A</v>
      </c>
    </row>
    <row r="602" spans="1:40" x14ac:dyDescent="0.25">
      <c r="A602" s="49" t="s">
        <v>148</v>
      </c>
      <c r="B602" s="5" t="s">
        <v>23</v>
      </c>
      <c r="C602" s="5" t="s">
        <v>90</v>
      </c>
      <c r="D602" s="29">
        <f ca="1">DATEDIF(C602,TODAY(),"Y")</f>
        <v>54</v>
      </c>
      <c r="E602" s="5" t="s">
        <v>25</v>
      </c>
      <c r="F602" s="30">
        <v>158</v>
      </c>
      <c r="G602" s="30">
        <v>58</v>
      </c>
      <c r="H602" s="31">
        <f>G602/((F602/100)*(F602/100))</f>
        <v>23.233456176894723</v>
      </c>
      <c r="I602" s="5">
        <v>88</v>
      </c>
      <c r="J602" s="30">
        <v>140</v>
      </c>
      <c r="K602" s="30">
        <v>80</v>
      </c>
      <c r="L602" s="29">
        <f>IF(B602="Nữ",0,2)</f>
        <v>0</v>
      </c>
      <c r="M602" s="29">
        <f ca="1">IF(D602&lt;45,0,IF(D602&lt;=49,1,2))</f>
        <v>2</v>
      </c>
      <c r="N602" s="29">
        <f>IF(E602="Có",4,0)</f>
        <v>4</v>
      </c>
      <c r="O602" s="29">
        <f>IF(H602&lt;23,0,IF(H602&lt;27.5,3,5))</f>
        <v>3</v>
      </c>
      <c r="P602" s="29">
        <f>IF(OR(AND(B602="Nam",I602&gt;=90),AND(B602="Nữ",I602&gt;=80)),2,0)</f>
        <v>2</v>
      </c>
      <c r="Q602" s="29">
        <f>IF(OR(J602&gt;=140,K602&gt;=90),2,0)</f>
        <v>2</v>
      </c>
      <c r="R602" s="29">
        <f ca="1">SUM(L602:Q602)</f>
        <v>13</v>
      </c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5" t="s">
        <v>1393</v>
      </c>
      <c r="AE602" s="33"/>
      <c r="AF602" s="59" t="str">
        <f t="shared" si="28"/>
        <v>Không</v>
      </c>
      <c r="AG602" s="59" t="str">
        <f t="shared" si="29"/>
        <v>Không</v>
      </c>
      <c r="AH602" s="29" t="str">
        <f t="shared" ca="1" si="27"/>
        <v>Có</v>
      </c>
      <c r="AI602" s="29" t="str">
        <f ca="1">IF((R602)&gt;=6,"Có","Không")</f>
        <v>Có</v>
      </c>
      <c r="AJ602" s="29" t="str">
        <f>IF(OR(J602&gt;=140,K602&gt;=90),"Có","Không")</f>
        <v>Có</v>
      </c>
      <c r="AK602" s="5" t="s">
        <v>149</v>
      </c>
      <c r="AL602" s="32">
        <v>46142</v>
      </c>
      <c r="AM602" s="29" t="str">
        <f>"Tháng "&amp;MONTH(AL602)</f>
        <v>Tháng 4</v>
      </c>
      <c r="AN602" s="29" t="str">
        <f>LEFT(AK602,FIND(",",AK602)-1)</f>
        <v>văn đức b</v>
      </c>
    </row>
    <row r="603" spans="1:40" x14ac:dyDescent="0.25">
      <c r="A603" s="49" t="s">
        <v>150</v>
      </c>
      <c r="B603" s="5" t="s">
        <v>30</v>
      </c>
      <c r="C603" s="5" t="s">
        <v>110</v>
      </c>
      <c r="D603" s="29">
        <f ca="1">DATEDIF(C603,TODAY(),"Y")</f>
        <v>62</v>
      </c>
      <c r="E603" s="5" t="s">
        <v>26</v>
      </c>
      <c r="F603" s="30">
        <v>167</v>
      </c>
      <c r="G603" s="30">
        <v>64</v>
      </c>
      <c r="H603" s="31">
        <f>G603/((F603/100)*(F603/100))</f>
        <v>22.948115744558788</v>
      </c>
      <c r="I603" s="5">
        <v>85</v>
      </c>
      <c r="J603" s="30">
        <v>120</v>
      </c>
      <c r="K603" s="30">
        <v>80</v>
      </c>
      <c r="L603" s="29">
        <f>IF(B603="Nữ",0,2)</f>
        <v>2</v>
      </c>
      <c r="M603" s="29">
        <f ca="1">IF(D603&lt;45,0,IF(D603&lt;=49,1,2))</f>
        <v>2</v>
      </c>
      <c r="N603" s="29">
        <f>IF(E603="Có",4,0)</f>
        <v>0</v>
      </c>
      <c r="O603" s="29">
        <f>IF(H603&lt;23,0,IF(H603&lt;27.5,3,5))</f>
        <v>0</v>
      </c>
      <c r="P603" s="29">
        <f>IF(OR(AND(B603="Nam",I603&gt;=90),AND(B603="Nữ",I603&gt;=80)),2,0)</f>
        <v>0</v>
      </c>
      <c r="Q603" s="29">
        <f>IF(OR(J603&gt;=140,K603&gt;=90),2,0)</f>
        <v>0</v>
      </c>
      <c r="R603" s="29">
        <f ca="1">SUM(L603:Q603)</f>
        <v>4</v>
      </c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5" t="s">
        <v>1393</v>
      </c>
      <c r="AE603" s="33"/>
      <c r="AF603" s="59" t="str">
        <f t="shared" si="28"/>
        <v>Không</v>
      </c>
      <c r="AG603" s="59" t="str">
        <f t="shared" si="29"/>
        <v>Không</v>
      </c>
      <c r="AH603" s="29" t="str">
        <f t="shared" ca="1" si="27"/>
        <v>Không</v>
      </c>
      <c r="AI603" s="29" t="str">
        <f ca="1">IF((R603)&gt;=6,"Có","Không")</f>
        <v>Không</v>
      </c>
      <c r="AJ603" s="29" t="str">
        <f>IF(OR(J603&gt;=140,K603&gt;=90),"Có","Không")</f>
        <v>Không</v>
      </c>
      <c r="AK603" s="5" t="s">
        <v>51</v>
      </c>
      <c r="AL603" s="32">
        <v>46142</v>
      </c>
      <c r="AM603" s="29" t="str">
        <f>"Tháng "&amp;MONTH(AL603)</f>
        <v>Tháng 4</v>
      </c>
      <c r="AN603" s="29" t="str">
        <f>LEFT(AK603,FIND(",",AK603)-1)</f>
        <v>Phường Hiệp Thành</v>
      </c>
    </row>
    <row r="604" spans="1:40" x14ac:dyDescent="0.25">
      <c r="A604" s="49" t="s">
        <v>153</v>
      </c>
      <c r="B604" s="5" t="s">
        <v>30</v>
      </c>
      <c r="C604" s="5" t="s">
        <v>110</v>
      </c>
      <c r="D604" s="29">
        <f ca="1">DATEDIF(C604,TODAY(),"Y")</f>
        <v>62</v>
      </c>
      <c r="E604" s="5" t="s">
        <v>26</v>
      </c>
      <c r="F604" s="30">
        <v>158</v>
      </c>
      <c r="G604" s="30">
        <v>58</v>
      </c>
      <c r="H604" s="31">
        <f>G604/((F604/100)*(F604/100))</f>
        <v>23.233456176894723</v>
      </c>
      <c r="I604" s="5">
        <v>82</v>
      </c>
      <c r="J604" s="30">
        <v>150</v>
      </c>
      <c r="K604" s="30">
        <v>80</v>
      </c>
      <c r="L604" s="29">
        <f>IF(B604="Nữ",0,2)</f>
        <v>2</v>
      </c>
      <c r="M604" s="29">
        <f ca="1">IF(D604&lt;45,0,IF(D604&lt;=49,1,2))</f>
        <v>2</v>
      </c>
      <c r="N604" s="29">
        <f>IF(E604="Có",4,0)</f>
        <v>0</v>
      </c>
      <c r="O604" s="29">
        <f>IF(H604&lt;23,0,IF(H604&lt;27.5,3,5))</f>
        <v>3</v>
      </c>
      <c r="P604" s="29">
        <f>IF(OR(AND(B604="Nam",I604&gt;=90),AND(B604="Nữ",I604&gt;=80)),2,0)</f>
        <v>0</v>
      </c>
      <c r="Q604" s="29">
        <f>IF(OR(J604&gt;=140,K604&gt;=90),2,0)</f>
        <v>2</v>
      </c>
      <c r="R604" s="29">
        <f ca="1">SUM(L604:Q604)</f>
        <v>9</v>
      </c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5" t="s">
        <v>1393</v>
      </c>
      <c r="AE604" s="33"/>
      <c r="AF604" s="59" t="str">
        <f t="shared" si="28"/>
        <v>Không</v>
      </c>
      <c r="AG604" s="59" t="str">
        <f t="shared" si="29"/>
        <v>Không</v>
      </c>
      <c r="AH604" s="29" t="str">
        <f t="shared" ca="1" si="27"/>
        <v>Có</v>
      </c>
      <c r="AI604" s="29" t="str">
        <f ca="1">IF((R604)&gt;=6,"Có","Không")</f>
        <v>Có</v>
      </c>
      <c r="AJ604" s="29" t="str">
        <f>IF(OR(J604&gt;=140,K604&gt;=90),"Có","Không")</f>
        <v>Có</v>
      </c>
      <c r="AK604" s="5" t="s">
        <v>60</v>
      </c>
      <c r="AL604" s="32">
        <v>46142</v>
      </c>
      <c r="AM604" s="29" t="str">
        <f>"Tháng "&amp;MONTH(AL604)</f>
        <v>Tháng 4</v>
      </c>
      <c r="AN604" s="29" t="str">
        <f>LEFT(AK604,FIND(",",AK604)-1)</f>
        <v>ấp Biển Đông A</v>
      </c>
    </row>
    <row r="605" spans="1:40" x14ac:dyDescent="0.25">
      <c r="A605" s="49" t="s">
        <v>154</v>
      </c>
      <c r="B605" s="5" t="s">
        <v>23</v>
      </c>
      <c r="C605" s="5" t="s">
        <v>155</v>
      </c>
      <c r="D605" s="29">
        <f ca="1">DATEDIF(C605,TODAY(),"Y")</f>
        <v>53</v>
      </c>
      <c r="E605" s="5" t="s">
        <v>26</v>
      </c>
      <c r="F605" s="30">
        <v>158</v>
      </c>
      <c r="G605" s="30">
        <v>58</v>
      </c>
      <c r="H605" s="31">
        <f>G605/((F605/100)*(F605/100))</f>
        <v>23.233456176894723</v>
      </c>
      <c r="I605" s="5">
        <v>67</v>
      </c>
      <c r="J605" s="30">
        <v>130</v>
      </c>
      <c r="K605" s="30">
        <v>80</v>
      </c>
      <c r="L605" s="29">
        <f>IF(B605="Nữ",0,2)</f>
        <v>0</v>
      </c>
      <c r="M605" s="29">
        <f ca="1">IF(D605&lt;45,0,IF(D605&lt;=49,1,2))</f>
        <v>2</v>
      </c>
      <c r="N605" s="29">
        <f>IF(E605="Có",4,0)</f>
        <v>0</v>
      </c>
      <c r="O605" s="29">
        <f>IF(H605&lt;23,0,IF(H605&lt;27.5,3,5))</f>
        <v>3</v>
      </c>
      <c r="P605" s="29">
        <f>IF(OR(AND(B605="Nam",I605&gt;=90),AND(B605="Nữ",I605&gt;=80)),2,0)</f>
        <v>0</v>
      </c>
      <c r="Q605" s="29">
        <f>IF(OR(J605&gt;=140,K605&gt;=90),2,0)</f>
        <v>0</v>
      </c>
      <c r="R605" s="29">
        <f ca="1">SUM(L605:Q605)</f>
        <v>5</v>
      </c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5" t="s">
        <v>1393</v>
      </c>
      <c r="AE605" s="33"/>
      <c r="AF605" s="59" t="str">
        <f t="shared" si="28"/>
        <v>Không</v>
      </c>
      <c r="AG605" s="59" t="str">
        <f t="shared" si="29"/>
        <v>Không</v>
      </c>
      <c r="AH605" s="29" t="str">
        <f t="shared" ca="1" si="27"/>
        <v>Không</v>
      </c>
      <c r="AI605" s="29" t="str">
        <f ca="1">IF((R605)&gt;=6,"Có","Không")</f>
        <v>Không</v>
      </c>
      <c r="AJ605" s="29" t="str">
        <f>IF(OR(J605&gt;=140,K605&gt;=90),"Có","Không")</f>
        <v>Không</v>
      </c>
      <c r="AK605" s="5" t="s">
        <v>60</v>
      </c>
      <c r="AL605" s="32">
        <v>46142</v>
      </c>
      <c r="AM605" s="29" t="str">
        <f>"Tháng "&amp;MONTH(AL605)</f>
        <v>Tháng 4</v>
      </c>
      <c r="AN605" s="29" t="str">
        <f>LEFT(AK605,FIND(",",AK605)-1)</f>
        <v>ấp Biển Đông A</v>
      </c>
    </row>
    <row r="606" spans="1:40" x14ac:dyDescent="0.25">
      <c r="A606" s="49" t="s">
        <v>158</v>
      </c>
      <c r="B606" s="5" t="s">
        <v>23</v>
      </c>
      <c r="C606" s="5" t="s">
        <v>90</v>
      </c>
      <c r="D606" s="29">
        <f ca="1">DATEDIF(C606,TODAY(),"Y")</f>
        <v>54</v>
      </c>
      <c r="E606" s="5" t="s">
        <v>26</v>
      </c>
      <c r="F606" s="30">
        <v>158</v>
      </c>
      <c r="G606" s="30">
        <v>58</v>
      </c>
      <c r="H606" s="31">
        <f>G606/((F606/100)*(F606/100))</f>
        <v>23.233456176894723</v>
      </c>
      <c r="I606" s="5">
        <v>83</v>
      </c>
      <c r="J606" s="30">
        <v>120</v>
      </c>
      <c r="K606" s="30">
        <v>70</v>
      </c>
      <c r="L606" s="29">
        <f>IF(B606="Nữ",0,2)</f>
        <v>0</v>
      </c>
      <c r="M606" s="29">
        <f ca="1">IF(D606&lt;45,0,IF(D606&lt;=49,1,2))</f>
        <v>2</v>
      </c>
      <c r="N606" s="29">
        <f>IF(E606="Có",4,0)</f>
        <v>0</v>
      </c>
      <c r="O606" s="29">
        <f>IF(H606&lt;23,0,IF(H606&lt;27.5,3,5))</f>
        <v>3</v>
      </c>
      <c r="P606" s="29">
        <f>IF(OR(AND(B606="Nam",I606&gt;=90),AND(B606="Nữ",I606&gt;=80)),2,0)</f>
        <v>2</v>
      </c>
      <c r="Q606" s="29">
        <f>IF(OR(J606&gt;=140,K606&gt;=90),2,0)</f>
        <v>0</v>
      </c>
      <c r="R606" s="29">
        <f ca="1">SUM(L606:Q606)</f>
        <v>7</v>
      </c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5" t="s">
        <v>1393</v>
      </c>
      <c r="AE606" s="33"/>
      <c r="AF606" s="59" t="str">
        <f t="shared" si="28"/>
        <v>Không</v>
      </c>
      <c r="AG606" s="59" t="str">
        <f t="shared" si="29"/>
        <v>Không</v>
      </c>
      <c r="AH606" s="29" t="str">
        <f t="shared" ca="1" si="27"/>
        <v>Có</v>
      </c>
      <c r="AI606" s="29" t="str">
        <f ca="1">IF((R606)&gt;=6,"Có","Không")</f>
        <v>Có</v>
      </c>
      <c r="AJ606" s="29" t="str">
        <f>IF(OR(J606&gt;=140,K606&gt;=90),"Có","Không")</f>
        <v>Không</v>
      </c>
      <c r="AK606" s="5" t="s">
        <v>51</v>
      </c>
      <c r="AL606" s="32">
        <v>46142</v>
      </c>
      <c r="AM606" s="29" t="str">
        <f>"Tháng "&amp;MONTH(AL606)</f>
        <v>Tháng 4</v>
      </c>
      <c r="AN606" s="29" t="str">
        <f>LEFT(AK606,FIND(",",AK606)-1)</f>
        <v>Phường Hiệp Thành</v>
      </c>
    </row>
    <row r="607" spans="1:40" x14ac:dyDescent="0.25">
      <c r="A607" s="49" t="s">
        <v>159</v>
      </c>
      <c r="B607" s="5" t="s">
        <v>23</v>
      </c>
      <c r="C607" s="5" t="s">
        <v>42</v>
      </c>
      <c r="D607" s="29">
        <f ca="1">DATEDIF(C607,TODAY(),"Y")</f>
        <v>59</v>
      </c>
      <c r="E607" s="5" t="s">
        <v>26</v>
      </c>
      <c r="F607" s="30">
        <v>160</v>
      </c>
      <c r="G607" s="30">
        <v>85</v>
      </c>
      <c r="H607" s="31">
        <f>G607/((F607/100)*(F607/100))</f>
        <v>33.203124999999993</v>
      </c>
      <c r="I607" s="5">
        <v>72</v>
      </c>
      <c r="J607" s="30">
        <v>120</v>
      </c>
      <c r="K607" s="30">
        <v>70</v>
      </c>
      <c r="L607" s="29">
        <f>IF(B607="Nữ",0,2)</f>
        <v>0</v>
      </c>
      <c r="M607" s="29">
        <f ca="1">IF(D607&lt;45,0,IF(D607&lt;=49,1,2))</f>
        <v>2</v>
      </c>
      <c r="N607" s="29">
        <f>IF(E607="Có",4,0)</f>
        <v>0</v>
      </c>
      <c r="O607" s="29">
        <f>IF(H607&lt;23,0,IF(H607&lt;27.5,3,5))</f>
        <v>5</v>
      </c>
      <c r="P607" s="29">
        <f>IF(OR(AND(B607="Nam",I607&gt;=90),AND(B607="Nữ",I607&gt;=80)),2,0)</f>
        <v>0</v>
      </c>
      <c r="Q607" s="29">
        <f>IF(OR(J607&gt;=140,K607&gt;=90),2,0)</f>
        <v>0</v>
      </c>
      <c r="R607" s="29">
        <f ca="1">SUM(L607:Q607)</f>
        <v>7</v>
      </c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5" t="s">
        <v>1393</v>
      </c>
      <c r="AE607" s="33"/>
      <c r="AF607" s="59" t="str">
        <f t="shared" si="28"/>
        <v>Không</v>
      </c>
      <c r="AG607" s="59" t="str">
        <f t="shared" si="29"/>
        <v>Không</v>
      </c>
      <c r="AH607" s="29" t="str">
        <f t="shared" ca="1" si="27"/>
        <v>Có</v>
      </c>
      <c r="AI607" s="29" t="str">
        <f ca="1">IF((R607)&gt;=6,"Có","Không")</f>
        <v>Có</v>
      </c>
      <c r="AJ607" s="29" t="str">
        <f>IF(OR(J607&gt;=140,K607&gt;=90),"Có","Không")</f>
        <v>Không</v>
      </c>
      <c r="AK607" s="5" t="s">
        <v>160</v>
      </c>
      <c r="AL607" s="32">
        <v>46142</v>
      </c>
      <c r="AM607" s="29" t="str">
        <f>"Tháng "&amp;MONTH(AL607)</f>
        <v>Tháng 4</v>
      </c>
      <c r="AN607" s="29" t="str">
        <f>LEFT(AK607,FIND(",",AK607)-1)</f>
        <v>Ấp Giồng Nhãn</v>
      </c>
    </row>
    <row r="608" spans="1:40" x14ac:dyDescent="0.25">
      <c r="A608" s="49" t="s">
        <v>162</v>
      </c>
      <c r="B608" s="5" t="s">
        <v>23</v>
      </c>
      <c r="C608" s="5" t="s">
        <v>163</v>
      </c>
      <c r="D608" s="29">
        <f ca="1">DATEDIF(C608,TODAY(),"Y")</f>
        <v>46</v>
      </c>
      <c r="E608" s="5" t="s">
        <v>26</v>
      </c>
      <c r="F608" s="30">
        <v>158</v>
      </c>
      <c r="G608" s="30">
        <v>58</v>
      </c>
      <c r="H608" s="31">
        <f>G608/((F608/100)*(F608/100))</f>
        <v>23.233456176894723</v>
      </c>
      <c r="I608" s="5">
        <v>68</v>
      </c>
      <c r="J608" s="30">
        <v>130</v>
      </c>
      <c r="K608" s="30">
        <v>80</v>
      </c>
      <c r="L608" s="29">
        <f>IF(B608="Nữ",0,2)</f>
        <v>0</v>
      </c>
      <c r="M608" s="29">
        <f ca="1">IF(D608&lt;45,0,IF(D608&lt;=49,1,2))</f>
        <v>1</v>
      </c>
      <c r="N608" s="29">
        <f>IF(E608="Có",4,0)</f>
        <v>0</v>
      </c>
      <c r="O608" s="29">
        <f>IF(H608&lt;23,0,IF(H608&lt;27.5,3,5))</f>
        <v>3</v>
      </c>
      <c r="P608" s="29">
        <f>IF(OR(AND(B608="Nam",I608&gt;=90),AND(B608="Nữ",I608&gt;=80)),2,0)</f>
        <v>0</v>
      </c>
      <c r="Q608" s="29">
        <f>IF(OR(J608&gt;=140,K608&gt;=90),2,0)</f>
        <v>0</v>
      </c>
      <c r="R608" s="29">
        <f ca="1">SUM(L608:Q608)</f>
        <v>4</v>
      </c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5" t="s">
        <v>1393</v>
      </c>
      <c r="AE608" s="33"/>
      <c r="AF608" s="59" t="str">
        <f t="shared" si="28"/>
        <v>Không</v>
      </c>
      <c r="AG608" s="59" t="str">
        <f t="shared" si="29"/>
        <v>Không</v>
      </c>
      <c r="AH608" s="29" t="str">
        <f t="shared" ca="1" si="27"/>
        <v>Không</v>
      </c>
      <c r="AI608" s="29" t="str">
        <f ca="1">IF((R608)&gt;=6,"Có","Không")</f>
        <v>Không</v>
      </c>
      <c r="AJ608" s="29" t="str">
        <f>IF(OR(J608&gt;=140,K608&gt;=90),"Có","Không")</f>
        <v>Không</v>
      </c>
      <c r="AK608" s="5" t="s">
        <v>164</v>
      </c>
      <c r="AL608" s="32">
        <v>46142</v>
      </c>
      <c r="AM608" s="29" t="str">
        <f>"Tháng "&amp;MONTH(AL608)</f>
        <v>Tháng 4</v>
      </c>
      <c r="AN608" s="29" t="str">
        <f>LEFT(AK608,FIND(",",AK608)-1)</f>
        <v>ấp Biển Đông B</v>
      </c>
    </row>
    <row r="609" spans="1:40" x14ac:dyDescent="0.25">
      <c r="A609" s="49" t="s">
        <v>165</v>
      </c>
      <c r="B609" s="5" t="s">
        <v>30</v>
      </c>
      <c r="C609" s="5" t="s">
        <v>110</v>
      </c>
      <c r="D609" s="29">
        <f ca="1">DATEDIF(C609,TODAY(),"Y")</f>
        <v>62</v>
      </c>
      <c r="E609" s="5" t="s">
        <v>26</v>
      </c>
      <c r="F609" s="30">
        <v>160</v>
      </c>
      <c r="G609" s="30">
        <v>56</v>
      </c>
      <c r="H609" s="31">
        <f>G609/((F609/100)*(F609/100))</f>
        <v>21.874999999999996</v>
      </c>
      <c r="I609" s="5">
        <v>77</v>
      </c>
      <c r="J609" s="30">
        <v>120</v>
      </c>
      <c r="K609" s="30">
        <v>80</v>
      </c>
      <c r="L609" s="29">
        <f>IF(B609="Nữ",0,2)</f>
        <v>2</v>
      </c>
      <c r="M609" s="29">
        <f ca="1">IF(D609&lt;45,0,IF(D609&lt;=49,1,2))</f>
        <v>2</v>
      </c>
      <c r="N609" s="29">
        <f>IF(E609="Có",4,0)</f>
        <v>0</v>
      </c>
      <c r="O609" s="29">
        <f>IF(H609&lt;23,0,IF(H609&lt;27.5,3,5))</f>
        <v>0</v>
      </c>
      <c r="P609" s="29">
        <f>IF(OR(AND(B609="Nam",I609&gt;=90),AND(B609="Nữ",I609&gt;=80)),2,0)</f>
        <v>0</v>
      </c>
      <c r="Q609" s="29">
        <f>IF(OR(J609&gt;=140,K609&gt;=90),2,0)</f>
        <v>0</v>
      </c>
      <c r="R609" s="29">
        <f ca="1">SUM(L609:Q609)</f>
        <v>4</v>
      </c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5" t="s">
        <v>1393</v>
      </c>
      <c r="AE609" s="33"/>
      <c r="AF609" s="59" t="str">
        <f t="shared" si="28"/>
        <v>Không</v>
      </c>
      <c r="AG609" s="59" t="str">
        <f t="shared" si="29"/>
        <v>Không</v>
      </c>
      <c r="AH609" s="29" t="str">
        <f t="shared" ca="1" si="27"/>
        <v>Không</v>
      </c>
      <c r="AI609" s="29" t="str">
        <f ca="1">IF((R609)&gt;=6,"Có","Không")</f>
        <v>Không</v>
      </c>
      <c r="AJ609" s="29" t="str">
        <f>IF(OR(J609&gt;=140,K609&gt;=90),"Có","Không")</f>
        <v>Không</v>
      </c>
      <c r="AK609" s="5" t="s">
        <v>166</v>
      </c>
      <c r="AL609" s="32">
        <v>46142</v>
      </c>
      <c r="AM609" s="29" t="str">
        <f>"Tháng "&amp;MONTH(AL609)</f>
        <v>Tháng 4</v>
      </c>
      <c r="AN609" s="29" t="str">
        <f>LEFT(AK609,FIND(",",AK609)-1)</f>
        <v>khóm Giồng Nhãn</v>
      </c>
    </row>
    <row r="610" spans="1:40" x14ac:dyDescent="0.25">
      <c r="A610" s="49" t="s">
        <v>167</v>
      </c>
      <c r="B610" s="5" t="s">
        <v>23</v>
      </c>
      <c r="C610" s="5" t="s">
        <v>42</v>
      </c>
      <c r="D610" s="29">
        <f ca="1">DATEDIF(C610,TODAY(),"Y")</f>
        <v>59</v>
      </c>
      <c r="E610" s="5" t="s">
        <v>26</v>
      </c>
      <c r="F610" s="30">
        <v>155</v>
      </c>
      <c r="G610" s="30">
        <v>53</v>
      </c>
      <c r="H610" s="31">
        <f>G610/((F610/100)*(F610/100))</f>
        <v>22.060353798126947</v>
      </c>
      <c r="I610" s="5">
        <v>78</v>
      </c>
      <c r="J610" s="30">
        <v>120</v>
      </c>
      <c r="K610" s="30">
        <v>80</v>
      </c>
      <c r="L610" s="29">
        <f>IF(B610="Nữ",0,2)</f>
        <v>0</v>
      </c>
      <c r="M610" s="29">
        <f ca="1">IF(D610&lt;45,0,IF(D610&lt;=49,1,2))</f>
        <v>2</v>
      </c>
      <c r="N610" s="29">
        <f>IF(E610="Có",4,0)</f>
        <v>0</v>
      </c>
      <c r="O610" s="29">
        <f>IF(H610&lt;23,0,IF(H610&lt;27.5,3,5))</f>
        <v>0</v>
      </c>
      <c r="P610" s="29">
        <f>IF(OR(AND(B610="Nam",I610&gt;=90),AND(B610="Nữ",I610&gt;=80)),2,0)</f>
        <v>0</v>
      </c>
      <c r="Q610" s="29">
        <f>IF(OR(J610&gt;=140,K610&gt;=90),2,0)</f>
        <v>0</v>
      </c>
      <c r="R610" s="29">
        <f ca="1">SUM(L610:Q610)</f>
        <v>2</v>
      </c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5" t="s">
        <v>1393</v>
      </c>
      <c r="AE610" s="33"/>
      <c r="AF610" s="59" t="str">
        <f t="shared" si="28"/>
        <v>Không</v>
      </c>
      <c r="AG610" s="59" t="str">
        <f t="shared" si="29"/>
        <v>Không</v>
      </c>
      <c r="AH610" s="29" t="str">
        <f t="shared" ca="1" si="27"/>
        <v>Không</v>
      </c>
      <c r="AI610" s="29" t="str">
        <f ca="1">IF((R610)&gt;=6,"Có","Không")</f>
        <v>Không</v>
      </c>
      <c r="AJ610" s="29" t="str">
        <f>IF(OR(J610&gt;=140,K610&gt;=90),"Có","Không")</f>
        <v>Không</v>
      </c>
      <c r="AK610" s="5" t="s">
        <v>168</v>
      </c>
      <c r="AL610" s="32">
        <v>46142</v>
      </c>
      <c r="AM610" s="29" t="str">
        <f>"Tháng "&amp;MONTH(AL610)</f>
        <v>Tháng 4</v>
      </c>
      <c r="AN610" s="29" t="str">
        <f>LEFT(AK610,FIND(",",AK610)-1)</f>
        <v>giồng Nhãn</v>
      </c>
    </row>
    <row r="611" spans="1:40" x14ac:dyDescent="0.25">
      <c r="A611" s="49" t="s">
        <v>169</v>
      </c>
      <c r="B611" s="5" t="s">
        <v>30</v>
      </c>
      <c r="C611" s="5" t="s">
        <v>31</v>
      </c>
      <c r="D611" s="29">
        <f ca="1">DATEDIF(C611,TODAY(),"Y")</f>
        <v>79</v>
      </c>
      <c r="E611" s="5" t="s">
        <v>25</v>
      </c>
      <c r="F611" s="30">
        <v>158</v>
      </c>
      <c r="G611" s="30">
        <v>65</v>
      </c>
      <c r="H611" s="31">
        <f>G611/((F611/100)*(F611/100))</f>
        <v>26.037493991347535</v>
      </c>
      <c r="I611" s="5">
        <v>96</v>
      </c>
      <c r="J611" s="30">
        <v>120</v>
      </c>
      <c r="K611" s="30">
        <v>70</v>
      </c>
      <c r="L611" s="29">
        <f>IF(B611="Nữ",0,2)</f>
        <v>2</v>
      </c>
      <c r="M611" s="29">
        <f ca="1">IF(D611&lt;45,0,IF(D611&lt;=49,1,2))</f>
        <v>2</v>
      </c>
      <c r="N611" s="29">
        <f>IF(E611="Có",4,0)</f>
        <v>4</v>
      </c>
      <c r="O611" s="29">
        <f>IF(H611&lt;23,0,IF(H611&lt;27.5,3,5))</f>
        <v>3</v>
      </c>
      <c r="P611" s="29">
        <f>IF(OR(AND(B611="Nam",I611&gt;=90),AND(B611="Nữ",I611&gt;=80)),2,0)</f>
        <v>2</v>
      </c>
      <c r="Q611" s="29">
        <f>IF(OR(J611&gt;=140,K611&gt;=90),2,0)</f>
        <v>0</v>
      </c>
      <c r="R611" s="29">
        <f ca="1">SUM(L611:Q611)</f>
        <v>13</v>
      </c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5" t="s">
        <v>1393</v>
      </c>
      <c r="AE611" s="33"/>
      <c r="AF611" s="59" t="str">
        <f t="shared" si="28"/>
        <v>Không</v>
      </c>
      <c r="AG611" s="59" t="str">
        <f t="shared" si="29"/>
        <v>Không</v>
      </c>
      <c r="AH611" s="29" t="str">
        <f t="shared" ca="1" si="27"/>
        <v>Có</v>
      </c>
      <c r="AI611" s="29" t="str">
        <f ca="1">IF((R611)&gt;=6,"Có","Không")</f>
        <v>Có</v>
      </c>
      <c r="AJ611" s="29" t="str">
        <f>IF(OR(J611&gt;=140,K611&gt;=90),"Có","Không")</f>
        <v>Không</v>
      </c>
      <c r="AK611" s="5" t="s">
        <v>170</v>
      </c>
      <c r="AL611" s="32">
        <v>46142</v>
      </c>
      <c r="AM611" s="29" t="str">
        <f>"Tháng "&amp;MONTH(AL611)</f>
        <v>Tháng 4</v>
      </c>
      <c r="AN611" s="29" t="str">
        <f>LEFT(AK611,FIND(",",AK611)-1)</f>
        <v>bưu điện</v>
      </c>
    </row>
    <row r="612" spans="1:40" x14ac:dyDescent="0.25">
      <c r="A612" s="49" t="s">
        <v>173</v>
      </c>
      <c r="B612" s="5" t="s">
        <v>30</v>
      </c>
      <c r="C612" s="5" t="s">
        <v>110</v>
      </c>
      <c r="D612" s="29">
        <f ca="1">DATEDIF(C612,TODAY(),"Y")</f>
        <v>62</v>
      </c>
      <c r="E612" s="5" t="s">
        <v>26</v>
      </c>
      <c r="F612" s="30">
        <v>180</v>
      </c>
      <c r="G612" s="30">
        <v>71</v>
      </c>
      <c r="H612" s="31">
        <f>G612/((F612/100)*(F612/100))</f>
        <v>21.913580246913579</v>
      </c>
      <c r="I612" s="5">
        <v>86</v>
      </c>
      <c r="J612" s="30">
        <v>120</v>
      </c>
      <c r="K612" s="30">
        <v>80</v>
      </c>
      <c r="L612" s="29">
        <f>IF(B612="Nữ",0,2)</f>
        <v>2</v>
      </c>
      <c r="M612" s="29">
        <f ca="1">IF(D612&lt;45,0,IF(D612&lt;=49,1,2))</f>
        <v>2</v>
      </c>
      <c r="N612" s="29">
        <f>IF(E612="Có",4,0)</f>
        <v>0</v>
      </c>
      <c r="O612" s="29">
        <f>IF(H612&lt;23,0,IF(H612&lt;27.5,3,5))</f>
        <v>0</v>
      </c>
      <c r="P612" s="29">
        <f>IF(OR(AND(B612="Nam",I612&gt;=90),AND(B612="Nữ",I612&gt;=80)),2,0)</f>
        <v>0</v>
      </c>
      <c r="Q612" s="29">
        <f>IF(OR(J612&gt;=140,K612&gt;=90),2,0)</f>
        <v>0</v>
      </c>
      <c r="R612" s="29">
        <f ca="1">SUM(L612:Q612)</f>
        <v>4</v>
      </c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5" t="s">
        <v>1393</v>
      </c>
      <c r="AE612" s="33"/>
      <c r="AF612" s="59" t="str">
        <f t="shared" si="28"/>
        <v>Không</v>
      </c>
      <c r="AG612" s="59" t="str">
        <f t="shared" si="29"/>
        <v>Không</v>
      </c>
      <c r="AH612" s="29" t="str">
        <f t="shared" ca="1" si="27"/>
        <v>Không</v>
      </c>
      <c r="AI612" s="29" t="str">
        <f ca="1">IF((R612)&gt;=6,"Có","Không")</f>
        <v>Không</v>
      </c>
      <c r="AJ612" s="29" t="str">
        <f>IF(OR(J612&gt;=140,K612&gt;=90),"Có","Không")</f>
        <v>Không</v>
      </c>
      <c r="AK612" s="5" t="s">
        <v>174</v>
      </c>
      <c r="AL612" s="32">
        <v>46142</v>
      </c>
      <c r="AM612" s="29" t="str">
        <f>"Tháng "&amp;MONTH(AL612)</f>
        <v>Tháng 4</v>
      </c>
      <c r="AN612" s="29" t="str">
        <f>LEFT(AK612,FIND(",",AK612)-1)</f>
        <v>khóm Giồng giữa</v>
      </c>
    </row>
    <row r="613" spans="1:40" x14ac:dyDescent="0.25">
      <c r="A613" s="49" t="s">
        <v>177</v>
      </c>
      <c r="B613" s="5" t="s">
        <v>23</v>
      </c>
      <c r="C613" s="5" t="s">
        <v>40</v>
      </c>
      <c r="D613" s="29">
        <f ca="1">DATEDIF(C613,TODAY(),"Y")</f>
        <v>70</v>
      </c>
      <c r="E613" s="5" t="s">
        <v>26</v>
      </c>
      <c r="F613" s="30">
        <v>158</v>
      </c>
      <c r="G613" s="30">
        <v>58</v>
      </c>
      <c r="H613" s="31">
        <f>G613/((F613/100)*(F613/100))</f>
        <v>23.233456176894723</v>
      </c>
      <c r="I613" s="5">
        <v>88</v>
      </c>
      <c r="J613" s="30">
        <v>120</v>
      </c>
      <c r="K613" s="30">
        <v>80</v>
      </c>
      <c r="L613" s="29">
        <f>IF(B613="Nữ",0,2)</f>
        <v>0</v>
      </c>
      <c r="M613" s="29">
        <f ca="1">IF(D613&lt;45,0,IF(D613&lt;=49,1,2))</f>
        <v>2</v>
      </c>
      <c r="N613" s="29">
        <f>IF(E613="Có",4,0)</f>
        <v>0</v>
      </c>
      <c r="O613" s="29">
        <f>IF(H613&lt;23,0,IF(H613&lt;27.5,3,5))</f>
        <v>3</v>
      </c>
      <c r="P613" s="29">
        <f>IF(OR(AND(B613="Nam",I613&gt;=90),AND(B613="Nữ",I613&gt;=80)),2,0)</f>
        <v>2</v>
      </c>
      <c r="Q613" s="29">
        <f>IF(OR(J613&gt;=140,K613&gt;=90),2,0)</f>
        <v>0</v>
      </c>
      <c r="R613" s="29">
        <f ca="1">SUM(L613:Q613)</f>
        <v>7</v>
      </c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5" t="s">
        <v>1393</v>
      </c>
      <c r="AE613" s="33"/>
      <c r="AF613" s="59" t="str">
        <f t="shared" si="28"/>
        <v>Không</v>
      </c>
      <c r="AG613" s="59" t="str">
        <f t="shared" si="29"/>
        <v>Không</v>
      </c>
      <c r="AH613" s="29" t="str">
        <f t="shared" ca="1" si="27"/>
        <v>Có</v>
      </c>
      <c r="AI613" s="29" t="str">
        <f ca="1">IF((R613)&gt;=6,"Có","Không")</f>
        <v>Có</v>
      </c>
      <c r="AJ613" s="29" t="str">
        <f>IF(OR(J613&gt;=140,K613&gt;=90),"Có","Không")</f>
        <v>Không</v>
      </c>
      <c r="AK613" s="5" t="s">
        <v>122</v>
      </c>
      <c r="AL613" s="32">
        <v>46142</v>
      </c>
      <c r="AM613" s="29" t="str">
        <f>"Tháng "&amp;MONTH(AL613)</f>
        <v>Tháng 4</v>
      </c>
      <c r="AN613" s="29" t="str">
        <f>LEFT(AK613,FIND(",",AK613)-1)</f>
        <v>Giồng Nhãn</v>
      </c>
    </row>
    <row r="614" spans="1:40" x14ac:dyDescent="0.25">
      <c r="A614" s="49" t="s">
        <v>178</v>
      </c>
      <c r="B614" s="5" t="s">
        <v>30</v>
      </c>
      <c r="C614" s="5" t="s">
        <v>42</v>
      </c>
      <c r="D614" s="29">
        <f ca="1">DATEDIF(C614,TODAY(),"Y")</f>
        <v>59</v>
      </c>
      <c r="E614" s="5" t="s">
        <v>26</v>
      </c>
      <c r="F614" s="30">
        <v>169</v>
      </c>
      <c r="G614" s="30">
        <v>68</v>
      </c>
      <c r="H614" s="31">
        <f>G614/((F614/100)*(F614/100))</f>
        <v>23.808690171912751</v>
      </c>
      <c r="I614" s="5">
        <v>88</v>
      </c>
      <c r="J614" s="30">
        <v>120</v>
      </c>
      <c r="K614" s="30">
        <v>80</v>
      </c>
      <c r="L614" s="29">
        <f>IF(B614="Nữ",0,2)</f>
        <v>2</v>
      </c>
      <c r="M614" s="29">
        <f ca="1">IF(D614&lt;45,0,IF(D614&lt;=49,1,2))</f>
        <v>2</v>
      </c>
      <c r="N614" s="29">
        <f>IF(E614="Có",4,0)</f>
        <v>0</v>
      </c>
      <c r="O614" s="29">
        <f>IF(H614&lt;23,0,IF(H614&lt;27.5,3,5))</f>
        <v>3</v>
      </c>
      <c r="P614" s="29">
        <f>IF(OR(AND(B614="Nam",I614&gt;=90),AND(B614="Nữ",I614&gt;=80)),2,0)</f>
        <v>0</v>
      </c>
      <c r="Q614" s="29">
        <f>IF(OR(J614&gt;=140,K614&gt;=90),2,0)</f>
        <v>0</v>
      </c>
      <c r="R614" s="29">
        <f ca="1">SUM(L614:Q614)</f>
        <v>7</v>
      </c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5" t="s">
        <v>1393</v>
      </c>
      <c r="AE614" s="33"/>
      <c r="AF614" s="59" t="str">
        <f t="shared" si="28"/>
        <v>Không</v>
      </c>
      <c r="AG614" s="59" t="str">
        <f t="shared" si="29"/>
        <v>Không</v>
      </c>
      <c r="AH614" s="29" t="str">
        <f t="shared" ca="1" si="27"/>
        <v>Có</v>
      </c>
      <c r="AI614" s="29" t="str">
        <f ca="1">IF((R614)&gt;=6,"Có","Không")</f>
        <v>Có</v>
      </c>
      <c r="AJ614" s="29" t="str">
        <f>IF(OR(J614&gt;=140,K614&gt;=90),"Có","Không")</f>
        <v>Không</v>
      </c>
      <c r="AK614" s="5" t="s">
        <v>70</v>
      </c>
      <c r="AL614" s="32">
        <v>46142</v>
      </c>
      <c r="AM614" s="29" t="str">
        <f>"Tháng "&amp;MONTH(AL614)</f>
        <v>Tháng 4</v>
      </c>
      <c r="AN614" s="29" t="str">
        <f>LEFT(AK614,FIND(",",AK614)-1)</f>
        <v>Ấp Biển Tây A</v>
      </c>
    </row>
    <row r="615" spans="1:40" x14ac:dyDescent="0.25">
      <c r="A615" s="49" t="s">
        <v>181</v>
      </c>
      <c r="B615" s="5" t="s">
        <v>23</v>
      </c>
      <c r="C615" s="5" t="s">
        <v>110</v>
      </c>
      <c r="D615" s="29">
        <f ca="1">DATEDIF(C615,TODAY(),"Y")</f>
        <v>62</v>
      </c>
      <c r="E615" s="5" t="s">
        <v>26</v>
      </c>
      <c r="F615" s="30">
        <v>158</v>
      </c>
      <c r="G615" s="30">
        <v>58</v>
      </c>
      <c r="H615" s="31">
        <f>G615/((F615/100)*(F615/100))</f>
        <v>23.233456176894723</v>
      </c>
      <c r="I615" s="5">
        <v>73</v>
      </c>
      <c r="J615" s="30">
        <v>120</v>
      </c>
      <c r="K615" s="30">
        <v>80</v>
      </c>
      <c r="L615" s="29">
        <f>IF(B615="Nữ",0,2)</f>
        <v>0</v>
      </c>
      <c r="M615" s="29">
        <f ca="1">IF(D615&lt;45,0,IF(D615&lt;=49,1,2))</f>
        <v>2</v>
      </c>
      <c r="N615" s="29">
        <f>IF(E615="Có",4,0)</f>
        <v>0</v>
      </c>
      <c r="O615" s="29">
        <f>IF(H615&lt;23,0,IF(H615&lt;27.5,3,5))</f>
        <v>3</v>
      </c>
      <c r="P615" s="29">
        <f>IF(OR(AND(B615="Nam",I615&gt;=90),AND(B615="Nữ",I615&gt;=80)),2,0)</f>
        <v>0</v>
      </c>
      <c r="Q615" s="29">
        <f>IF(OR(J615&gt;=140,K615&gt;=90),2,0)</f>
        <v>0</v>
      </c>
      <c r="R615" s="29">
        <f ca="1">SUM(L615:Q615)</f>
        <v>5</v>
      </c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5" t="s">
        <v>1393</v>
      </c>
      <c r="AE615" s="33"/>
      <c r="AF615" s="59" t="str">
        <f t="shared" si="28"/>
        <v>Không</v>
      </c>
      <c r="AG615" s="59" t="str">
        <f t="shared" si="29"/>
        <v>Không</v>
      </c>
      <c r="AH615" s="29" t="str">
        <f t="shared" ca="1" si="27"/>
        <v>Không</v>
      </c>
      <c r="AI615" s="29" t="str">
        <f ca="1">IF((R615)&gt;=6,"Có","Không")</f>
        <v>Không</v>
      </c>
      <c r="AJ615" s="29" t="str">
        <f>IF(OR(J615&gt;=140,K615&gt;=90),"Có","Không")</f>
        <v>Không</v>
      </c>
      <c r="AK615" s="5" t="s">
        <v>32</v>
      </c>
      <c r="AL615" s="32">
        <v>46142</v>
      </c>
      <c r="AM615" s="29" t="str">
        <f>"Tháng "&amp;MONTH(AL615)</f>
        <v>Tháng 4</v>
      </c>
      <c r="AN615" s="29" t="str">
        <f>LEFT(AK615,FIND(",",AK615)-1)</f>
        <v>Ấp Giồng Giữa B</v>
      </c>
    </row>
    <row r="616" spans="1:40" x14ac:dyDescent="0.25">
      <c r="A616" s="49" t="s">
        <v>182</v>
      </c>
      <c r="B616" s="5" t="s">
        <v>23</v>
      </c>
      <c r="C616" s="5" t="s">
        <v>110</v>
      </c>
      <c r="D616" s="29">
        <f ca="1">DATEDIF(C616,TODAY(),"Y")</f>
        <v>62</v>
      </c>
      <c r="E616" s="5" t="s">
        <v>26</v>
      </c>
      <c r="F616" s="30">
        <v>158</v>
      </c>
      <c r="G616" s="30">
        <v>58</v>
      </c>
      <c r="H616" s="31">
        <f>G616/((F616/100)*(F616/100))</f>
        <v>23.233456176894723</v>
      </c>
      <c r="I616" s="5">
        <v>68</v>
      </c>
      <c r="J616" s="30">
        <v>120</v>
      </c>
      <c r="K616" s="30">
        <v>80</v>
      </c>
      <c r="L616" s="29">
        <f>IF(B616="Nữ",0,2)</f>
        <v>0</v>
      </c>
      <c r="M616" s="29">
        <f ca="1">IF(D616&lt;45,0,IF(D616&lt;=49,1,2))</f>
        <v>2</v>
      </c>
      <c r="N616" s="29">
        <f>IF(E616="Có",4,0)</f>
        <v>0</v>
      </c>
      <c r="O616" s="29">
        <f>IF(H616&lt;23,0,IF(H616&lt;27.5,3,5))</f>
        <v>3</v>
      </c>
      <c r="P616" s="29">
        <f>IF(OR(AND(B616="Nam",I616&gt;=90),AND(B616="Nữ",I616&gt;=80)),2,0)</f>
        <v>0</v>
      </c>
      <c r="Q616" s="29">
        <f>IF(OR(J616&gt;=140,K616&gt;=90),2,0)</f>
        <v>0</v>
      </c>
      <c r="R616" s="29">
        <f ca="1">SUM(L616:Q616)</f>
        <v>5</v>
      </c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5" t="s">
        <v>1393</v>
      </c>
      <c r="AE616" s="33"/>
      <c r="AF616" s="59" t="str">
        <f t="shared" si="28"/>
        <v>Không</v>
      </c>
      <c r="AG616" s="59" t="str">
        <f t="shared" si="29"/>
        <v>Không</v>
      </c>
      <c r="AH616" s="29" t="str">
        <f t="shared" ca="1" si="27"/>
        <v>Không</v>
      </c>
      <c r="AI616" s="29" t="str">
        <f ca="1">IF((R616)&gt;=6,"Có","Không")</f>
        <v>Không</v>
      </c>
      <c r="AJ616" s="29" t="str">
        <f>IF(OR(J616&gt;=140,K616&gt;=90),"Có","Không")</f>
        <v>Không</v>
      </c>
      <c r="AK616" s="5" t="s">
        <v>32</v>
      </c>
      <c r="AL616" s="32">
        <v>46142</v>
      </c>
      <c r="AM616" s="29" t="str">
        <f>"Tháng "&amp;MONTH(AL616)</f>
        <v>Tháng 4</v>
      </c>
      <c r="AN616" s="29" t="str">
        <f>LEFT(AK616,FIND(",",AK616)-1)</f>
        <v>Ấp Giồng Giữa B</v>
      </c>
    </row>
    <row r="617" spans="1:40" x14ac:dyDescent="0.25">
      <c r="A617" s="49" t="s">
        <v>185</v>
      </c>
      <c r="B617" s="5" t="s">
        <v>30</v>
      </c>
      <c r="C617" s="5" t="s">
        <v>62</v>
      </c>
      <c r="D617" s="29">
        <f ca="1">DATEDIF(C617,TODAY(),"Y")</f>
        <v>64</v>
      </c>
      <c r="E617" s="5" t="s">
        <v>26</v>
      </c>
      <c r="F617" s="30">
        <v>169</v>
      </c>
      <c r="G617" s="30">
        <v>68</v>
      </c>
      <c r="H617" s="31">
        <f>G617/((F617/100)*(F617/100))</f>
        <v>23.808690171912751</v>
      </c>
      <c r="I617" s="5">
        <v>83</v>
      </c>
      <c r="J617" s="30">
        <v>120</v>
      </c>
      <c r="K617" s="30">
        <v>80</v>
      </c>
      <c r="L617" s="29">
        <f>IF(B617="Nữ",0,2)</f>
        <v>2</v>
      </c>
      <c r="M617" s="29">
        <f ca="1">IF(D617&lt;45,0,IF(D617&lt;=49,1,2))</f>
        <v>2</v>
      </c>
      <c r="N617" s="29">
        <f>IF(E617="Có",4,0)</f>
        <v>0</v>
      </c>
      <c r="O617" s="29">
        <f>IF(H617&lt;23,0,IF(H617&lt;27.5,3,5))</f>
        <v>3</v>
      </c>
      <c r="P617" s="29">
        <f>IF(OR(AND(B617="Nam",I617&gt;=90),AND(B617="Nữ",I617&gt;=80)),2,0)</f>
        <v>0</v>
      </c>
      <c r="Q617" s="29">
        <f>IF(OR(J617&gt;=140,K617&gt;=90),2,0)</f>
        <v>0</v>
      </c>
      <c r="R617" s="29">
        <f ca="1">SUM(L617:Q617)</f>
        <v>7</v>
      </c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5" t="s">
        <v>1393</v>
      </c>
      <c r="AE617" s="33"/>
      <c r="AF617" s="59" t="str">
        <f t="shared" si="28"/>
        <v>Không</v>
      </c>
      <c r="AG617" s="59" t="str">
        <f t="shared" si="29"/>
        <v>Không</v>
      </c>
      <c r="AH617" s="29" t="str">
        <f t="shared" ca="1" si="27"/>
        <v>Có</v>
      </c>
      <c r="AI617" s="29" t="str">
        <f ca="1">IF((R617)&gt;=6,"Có","Không")</f>
        <v>Có</v>
      </c>
      <c r="AJ617" s="29" t="str">
        <f>IF(OR(J617&gt;=140,K617&gt;=90),"Có","Không")</f>
        <v>Không</v>
      </c>
      <c r="AK617" s="5" t="s">
        <v>51</v>
      </c>
      <c r="AL617" s="32">
        <v>46142</v>
      </c>
      <c r="AM617" s="29" t="str">
        <f>"Tháng "&amp;MONTH(AL617)</f>
        <v>Tháng 4</v>
      </c>
      <c r="AN617" s="29" t="str">
        <f>LEFT(AK617,FIND(",",AK617)-1)</f>
        <v>Phường Hiệp Thành</v>
      </c>
    </row>
    <row r="618" spans="1:40" x14ac:dyDescent="0.25">
      <c r="A618" s="49" t="s">
        <v>186</v>
      </c>
      <c r="B618" s="5" t="s">
        <v>30</v>
      </c>
      <c r="C618" s="5" t="s">
        <v>40</v>
      </c>
      <c r="D618" s="29">
        <f ca="1">DATEDIF(C618,TODAY(),"Y")</f>
        <v>70</v>
      </c>
      <c r="E618" s="5" t="s">
        <v>26</v>
      </c>
      <c r="F618" s="30">
        <v>160</v>
      </c>
      <c r="G618" s="30">
        <v>60</v>
      </c>
      <c r="H618" s="31">
        <f>G618/((F618/100)*(F618/100))</f>
        <v>23.437499999999996</v>
      </c>
      <c r="I618" s="5">
        <v>100</v>
      </c>
      <c r="J618" s="30">
        <v>120</v>
      </c>
      <c r="K618" s="30">
        <v>80</v>
      </c>
      <c r="L618" s="29">
        <f>IF(B618="Nữ",0,2)</f>
        <v>2</v>
      </c>
      <c r="M618" s="29">
        <f ca="1">IF(D618&lt;45,0,IF(D618&lt;=49,1,2))</f>
        <v>2</v>
      </c>
      <c r="N618" s="29">
        <f>IF(E618="Có",4,0)</f>
        <v>0</v>
      </c>
      <c r="O618" s="29">
        <f>IF(H618&lt;23,0,IF(H618&lt;27.5,3,5))</f>
        <v>3</v>
      </c>
      <c r="P618" s="29">
        <f>IF(OR(AND(B618="Nam",I618&gt;=90),AND(B618="Nữ",I618&gt;=80)),2,0)</f>
        <v>2</v>
      </c>
      <c r="Q618" s="29">
        <f>IF(OR(J618&gt;=140,K618&gt;=90),2,0)</f>
        <v>0</v>
      </c>
      <c r="R618" s="29">
        <f ca="1">SUM(L618:Q618)</f>
        <v>9</v>
      </c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5" t="s">
        <v>1393</v>
      </c>
      <c r="AE618" s="33"/>
      <c r="AF618" s="59" t="str">
        <f t="shared" si="28"/>
        <v>Không</v>
      </c>
      <c r="AG618" s="59" t="str">
        <f t="shared" si="29"/>
        <v>Không</v>
      </c>
      <c r="AH618" s="29" t="str">
        <f t="shared" ca="1" si="27"/>
        <v>Có</v>
      </c>
      <c r="AI618" s="29" t="str">
        <f ca="1">IF((R618)&gt;=6,"Có","Không")</f>
        <v>Có</v>
      </c>
      <c r="AJ618" s="29" t="str">
        <f>IF(OR(J618&gt;=140,K618&gt;=90),"Có","Không")</f>
        <v>Không</v>
      </c>
      <c r="AK618" s="5" t="s">
        <v>51</v>
      </c>
      <c r="AL618" s="32">
        <v>46142</v>
      </c>
      <c r="AM618" s="29" t="str">
        <f>"Tháng "&amp;MONTH(AL618)</f>
        <v>Tháng 4</v>
      </c>
      <c r="AN618" s="29" t="str">
        <f>LEFT(AK618,FIND(",",AK618)-1)</f>
        <v>Phường Hiệp Thành</v>
      </c>
    </row>
    <row r="619" spans="1:40" x14ac:dyDescent="0.25">
      <c r="A619" s="49" t="s">
        <v>187</v>
      </c>
      <c r="B619" s="5" t="s">
        <v>30</v>
      </c>
      <c r="C619" s="5" t="s">
        <v>188</v>
      </c>
      <c r="D619" s="29">
        <f ca="1">DATEDIF(C619,TODAY(),"Y")</f>
        <v>63</v>
      </c>
      <c r="E619" s="5" t="s">
        <v>26</v>
      </c>
      <c r="F619" s="30">
        <v>160</v>
      </c>
      <c r="G619" s="30">
        <v>60</v>
      </c>
      <c r="H619" s="31">
        <f>G619/((F619/100)*(F619/100))</f>
        <v>23.437499999999996</v>
      </c>
      <c r="I619" s="5">
        <v>98</v>
      </c>
      <c r="J619" s="30">
        <v>120</v>
      </c>
      <c r="K619" s="30">
        <v>80</v>
      </c>
      <c r="L619" s="29">
        <f>IF(B619="Nữ",0,2)</f>
        <v>2</v>
      </c>
      <c r="M619" s="29">
        <f ca="1">IF(D619&lt;45,0,IF(D619&lt;=49,1,2))</f>
        <v>2</v>
      </c>
      <c r="N619" s="29">
        <f>IF(E619="Có",4,0)</f>
        <v>0</v>
      </c>
      <c r="O619" s="29">
        <f>IF(H619&lt;23,0,IF(H619&lt;27.5,3,5))</f>
        <v>3</v>
      </c>
      <c r="P619" s="29">
        <f>IF(OR(AND(B619="Nam",I619&gt;=90),AND(B619="Nữ",I619&gt;=80)),2,0)</f>
        <v>2</v>
      </c>
      <c r="Q619" s="29">
        <f>IF(OR(J619&gt;=140,K619&gt;=90),2,0)</f>
        <v>0</v>
      </c>
      <c r="R619" s="29">
        <f ca="1">SUM(L619:Q619)</f>
        <v>9</v>
      </c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5" t="s">
        <v>1393</v>
      </c>
      <c r="AE619" s="33"/>
      <c r="AF619" s="59" t="str">
        <f t="shared" si="28"/>
        <v>Không</v>
      </c>
      <c r="AG619" s="59" t="str">
        <f t="shared" si="29"/>
        <v>Không</v>
      </c>
      <c r="AH619" s="29" t="str">
        <f t="shared" ca="1" si="27"/>
        <v>Có</v>
      </c>
      <c r="AI619" s="29" t="str">
        <f ca="1">IF((R619)&gt;=6,"Có","Không")</f>
        <v>Có</v>
      </c>
      <c r="AJ619" s="29" t="str">
        <f>IF(OR(J619&gt;=140,K619&gt;=90),"Có","Không")</f>
        <v>Không</v>
      </c>
      <c r="AK619" s="5" t="s">
        <v>189</v>
      </c>
      <c r="AL619" s="32">
        <v>46142</v>
      </c>
      <c r="AM619" s="29" t="str">
        <f>"Tháng "&amp;MONTH(AL619)</f>
        <v>Tháng 4</v>
      </c>
      <c r="AN619" s="29" t="str">
        <f>LEFT(AK619,FIND(",",AK619)-1)</f>
        <v>Ấp Giồng Nhãn</v>
      </c>
    </row>
    <row r="620" spans="1:40" x14ac:dyDescent="0.25">
      <c r="A620" s="49" t="s">
        <v>190</v>
      </c>
      <c r="B620" s="5" t="s">
        <v>23</v>
      </c>
      <c r="C620" s="5" t="s">
        <v>110</v>
      </c>
      <c r="D620" s="29">
        <f ca="1">DATEDIF(C620,TODAY(),"Y")</f>
        <v>62</v>
      </c>
      <c r="E620" s="5" t="s">
        <v>26</v>
      </c>
      <c r="F620" s="30">
        <v>165</v>
      </c>
      <c r="G620" s="30">
        <v>67</v>
      </c>
      <c r="H620" s="31">
        <f>G620/((F620/100)*(F620/100))</f>
        <v>24.609733700642796</v>
      </c>
      <c r="I620" s="5">
        <v>65</v>
      </c>
      <c r="J620" s="30">
        <v>120</v>
      </c>
      <c r="K620" s="30">
        <v>80</v>
      </c>
      <c r="L620" s="29">
        <f>IF(B620="Nữ",0,2)</f>
        <v>0</v>
      </c>
      <c r="M620" s="29">
        <f ca="1">IF(D620&lt;45,0,IF(D620&lt;=49,1,2))</f>
        <v>2</v>
      </c>
      <c r="N620" s="29">
        <f>IF(E620="Có",4,0)</f>
        <v>0</v>
      </c>
      <c r="O620" s="29">
        <f>IF(H620&lt;23,0,IF(H620&lt;27.5,3,5))</f>
        <v>3</v>
      </c>
      <c r="P620" s="29">
        <f>IF(OR(AND(B620="Nam",I620&gt;=90),AND(B620="Nữ",I620&gt;=80)),2,0)</f>
        <v>0</v>
      </c>
      <c r="Q620" s="29">
        <f>IF(OR(J620&gt;=140,K620&gt;=90),2,0)</f>
        <v>0</v>
      </c>
      <c r="R620" s="29">
        <f ca="1">SUM(L620:Q620)</f>
        <v>5</v>
      </c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5" t="s">
        <v>1393</v>
      </c>
      <c r="AE620" s="33"/>
      <c r="AF620" s="59" t="str">
        <f t="shared" si="28"/>
        <v>Không</v>
      </c>
      <c r="AG620" s="59" t="str">
        <f t="shared" si="29"/>
        <v>Không</v>
      </c>
      <c r="AH620" s="29" t="str">
        <f t="shared" ca="1" si="27"/>
        <v>Không</v>
      </c>
      <c r="AI620" s="29" t="str">
        <f ca="1">IF((R620)&gt;=6,"Có","Không")</f>
        <v>Không</v>
      </c>
      <c r="AJ620" s="29" t="str">
        <f>IF(OR(J620&gt;=140,K620&gt;=90),"Có","Không")</f>
        <v>Không</v>
      </c>
      <c r="AK620" s="5" t="s">
        <v>160</v>
      </c>
      <c r="AL620" s="32">
        <v>46142</v>
      </c>
      <c r="AM620" s="29" t="str">
        <f>"Tháng "&amp;MONTH(AL620)</f>
        <v>Tháng 4</v>
      </c>
      <c r="AN620" s="29" t="str">
        <f>LEFT(AK620,FIND(",",AK620)-1)</f>
        <v>Ấp Giồng Nhãn</v>
      </c>
    </row>
    <row r="621" spans="1:40" x14ac:dyDescent="0.25">
      <c r="A621" s="49" t="s">
        <v>191</v>
      </c>
      <c r="B621" s="5" t="s">
        <v>23</v>
      </c>
      <c r="C621" s="5" t="s">
        <v>40</v>
      </c>
      <c r="D621" s="29">
        <f ca="1">DATEDIF(C621,TODAY(),"Y")</f>
        <v>70</v>
      </c>
      <c r="E621" s="5" t="s">
        <v>26</v>
      </c>
      <c r="F621" s="30">
        <v>160</v>
      </c>
      <c r="G621" s="30">
        <v>67</v>
      </c>
      <c r="H621" s="31">
        <f>G621/((F621/100)*(F621/100))</f>
        <v>26.171874999999996</v>
      </c>
      <c r="I621" s="5">
        <v>75</v>
      </c>
      <c r="J621" s="30">
        <v>120</v>
      </c>
      <c r="K621" s="30">
        <v>80</v>
      </c>
      <c r="L621" s="29">
        <f>IF(B621="Nữ",0,2)</f>
        <v>0</v>
      </c>
      <c r="M621" s="29">
        <f ca="1">IF(D621&lt;45,0,IF(D621&lt;=49,1,2))</f>
        <v>2</v>
      </c>
      <c r="N621" s="29">
        <f>IF(E621="Có",4,0)</f>
        <v>0</v>
      </c>
      <c r="O621" s="29">
        <f>IF(H621&lt;23,0,IF(H621&lt;27.5,3,5))</f>
        <v>3</v>
      </c>
      <c r="P621" s="29">
        <f>IF(OR(AND(B621="Nam",I621&gt;=90),AND(B621="Nữ",I621&gt;=80)),2,0)</f>
        <v>0</v>
      </c>
      <c r="Q621" s="29">
        <f>IF(OR(J621&gt;=140,K621&gt;=90),2,0)</f>
        <v>0</v>
      </c>
      <c r="R621" s="29">
        <f ca="1">SUM(L621:Q621)</f>
        <v>5</v>
      </c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5" t="s">
        <v>1393</v>
      </c>
      <c r="AE621" s="33"/>
      <c r="AF621" s="59" t="str">
        <f t="shared" si="28"/>
        <v>Không</v>
      </c>
      <c r="AG621" s="59" t="str">
        <f t="shared" si="29"/>
        <v>Không</v>
      </c>
      <c r="AH621" s="29" t="str">
        <f t="shared" ca="1" si="27"/>
        <v>Không</v>
      </c>
      <c r="AI621" s="29" t="str">
        <f ca="1">IF((R621)&gt;=6,"Có","Không")</f>
        <v>Không</v>
      </c>
      <c r="AJ621" s="29" t="str">
        <f>IF(OR(J621&gt;=140,K621&gt;=90),"Có","Không")</f>
        <v>Không</v>
      </c>
      <c r="AK621" s="5" t="s">
        <v>192</v>
      </c>
      <c r="AL621" s="32">
        <v>46142</v>
      </c>
      <c r="AM621" s="29" t="str">
        <f>"Tháng "&amp;MONTH(AL621)</f>
        <v>Tháng 4</v>
      </c>
      <c r="AN621" s="29" t="str">
        <f>LEFT(AK621,FIND(",",AK621)-1)</f>
        <v>Khóm Giồng Nhãn</v>
      </c>
    </row>
    <row r="622" spans="1:40" x14ac:dyDescent="0.25">
      <c r="A622" s="49" t="s">
        <v>196</v>
      </c>
      <c r="B622" s="5" t="s">
        <v>23</v>
      </c>
      <c r="C622" s="5" t="s">
        <v>37</v>
      </c>
      <c r="D622" s="29">
        <f ca="1">DATEDIF(C622,TODAY(),"Y")</f>
        <v>75</v>
      </c>
      <c r="E622" s="5" t="s">
        <v>26</v>
      </c>
      <c r="F622" s="30">
        <v>158</v>
      </c>
      <c r="G622" s="30">
        <v>58</v>
      </c>
      <c r="H622" s="31">
        <f>G622/((F622/100)*(F622/100))</f>
        <v>23.233456176894723</v>
      </c>
      <c r="I622" s="5">
        <v>90</v>
      </c>
      <c r="J622" s="30">
        <v>150</v>
      </c>
      <c r="K622" s="30">
        <v>80</v>
      </c>
      <c r="L622" s="29">
        <f>IF(B622="Nữ",0,2)</f>
        <v>0</v>
      </c>
      <c r="M622" s="29">
        <f ca="1">IF(D622&lt;45,0,IF(D622&lt;=49,1,2))</f>
        <v>2</v>
      </c>
      <c r="N622" s="29">
        <f>IF(E622="Có",4,0)</f>
        <v>0</v>
      </c>
      <c r="O622" s="29">
        <f>IF(H622&lt;23,0,IF(H622&lt;27.5,3,5))</f>
        <v>3</v>
      </c>
      <c r="P622" s="29">
        <f>IF(OR(AND(B622="Nam",I622&gt;=90),AND(B622="Nữ",I622&gt;=80)),2,0)</f>
        <v>2</v>
      </c>
      <c r="Q622" s="29">
        <f>IF(OR(J622&gt;=140,K622&gt;=90),2,0)</f>
        <v>2</v>
      </c>
      <c r="R622" s="29">
        <f ca="1">SUM(L622:Q622)</f>
        <v>9</v>
      </c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5" t="s">
        <v>1393</v>
      </c>
      <c r="AE622" s="33"/>
      <c r="AF622" s="59" t="str">
        <f t="shared" si="28"/>
        <v>Không</v>
      </c>
      <c r="AG622" s="59" t="str">
        <f t="shared" si="29"/>
        <v>Không</v>
      </c>
      <c r="AH622" s="29" t="str">
        <f t="shared" ca="1" si="27"/>
        <v>Có</v>
      </c>
      <c r="AI622" s="29" t="str">
        <f ca="1">IF((R622)&gt;=6,"Có","Không")</f>
        <v>Có</v>
      </c>
      <c r="AJ622" s="29" t="str">
        <f>IF(OR(J622&gt;=140,K622&gt;=90),"Có","Không")</f>
        <v>Có</v>
      </c>
      <c r="AK622" s="5" t="s">
        <v>70</v>
      </c>
      <c r="AL622" s="32">
        <v>46142</v>
      </c>
      <c r="AM622" s="29" t="str">
        <f>"Tháng "&amp;MONTH(AL622)</f>
        <v>Tháng 4</v>
      </c>
      <c r="AN622" s="29" t="str">
        <f>LEFT(AK622,FIND(",",AK622)-1)</f>
        <v>Ấp Biển Tây A</v>
      </c>
    </row>
    <row r="623" spans="1:40" x14ac:dyDescent="0.25">
      <c r="A623" s="49" t="s">
        <v>198</v>
      </c>
      <c r="B623" s="5" t="s">
        <v>23</v>
      </c>
      <c r="C623" s="5" t="s">
        <v>62</v>
      </c>
      <c r="D623" s="29">
        <f ca="1">DATEDIF(C623,TODAY(),"Y")</f>
        <v>64</v>
      </c>
      <c r="E623" s="5" t="s">
        <v>26</v>
      </c>
      <c r="F623" s="30">
        <v>158</v>
      </c>
      <c r="G623" s="30">
        <v>58</v>
      </c>
      <c r="H623" s="31">
        <f>G623/((F623/100)*(F623/100))</f>
        <v>23.233456176894723</v>
      </c>
      <c r="I623" s="5">
        <v>76</v>
      </c>
      <c r="J623" s="30">
        <v>130</v>
      </c>
      <c r="K623" s="30">
        <v>80</v>
      </c>
      <c r="L623" s="29">
        <f>IF(B623="Nữ",0,2)</f>
        <v>0</v>
      </c>
      <c r="M623" s="29">
        <f ca="1">IF(D623&lt;45,0,IF(D623&lt;=49,1,2))</f>
        <v>2</v>
      </c>
      <c r="N623" s="29">
        <f>IF(E623="Có",4,0)</f>
        <v>0</v>
      </c>
      <c r="O623" s="29">
        <f>IF(H623&lt;23,0,IF(H623&lt;27.5,3,5))</f>
        <v>3</v>
      </c>
      <c r="P623" s="29">
        <f>IF(OR(AND(B623="Nam",I623&gt;=90),AND(B623="Nữ",I623&gt;=80)),2,0)</f>
        <v>0</v>
      </c>
      <c r="Q623" s="29">
        <f>IF(OR(J623&gt;=140,K623&gt;=90),2,0)</f>
        <v>0</v>
      </c>
      <c r="R623" s="29">
        <f ca="1">SUM(L623:Q623)</f>
        <v>5</v>
      </c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5" t="s">
        <v>1393</v>
      </c>
      <c r="AE623" s="33"/>
      <c r="AF623" s="59" t="str">
        <f t="shared" si="28"/>
        <v>Không</v>
      </c>
      <c r="AG623" s="59" t="str">
        <f t="shared" si="29"/>
        <v>Không</v>
      </c>
      <c r="AH623" s="29" t="str">
        <f t="shared" ca="1" si="27"/>
        <v>Không</v>
      </c>
      <c r="AI623" s="29" t="str">
        <f ca="1">IF((R623)&gt;=6,"Có","Không")</f>
        <v>Không</v>
      </c>
      <c r="AJ623" s="29" t="str">
        <f>IF(OR(J623&gt;=140,K623&gt;=90),"Có","Không")</f>
        <v>Không</v>
      </c>
      <c r="AK623" s="5" t="s">
        <v>51</v>
      </c>
      <c r="AL623" s="32">
        <v>46142</v>
      </c>
      <c r="AM623" s="29" t="str">
        <f>"Tháng "&amp;MONTH(AL623)</f>
        <v>Tháng 4</v>
      </c>
      <c r="AN623" s="29" t="str">
        <f>LEFT(AK623,FIND(",",AK623)-1)</f>
        <v>Phường Hiệp Thành</v>
      </c>
    </row>
    <row r="624" spans="1:40" x14ac:dyDescent="0.25">
      <c r="A624" s="49" t="s">
        <v>199</v>
      </c>
      <c r="B624" s="5" t="s">
        <v>23</v>
      </c>
      <c r="C624" s="5" t="s">
        <v>42</v>
      </c>
      <c r="D624" s="29">
        <f ca="1">DATEDIF(C624,TODAY(),"Y")</f>
        <v>59</v>
      </c>
      <c r="E624" s="5" t="s">
        <v>26</v>
      </c>
      <c r="F624" s="30">
        <v>158</v>
      </c>
      <c r="G624" s="30">
        <v>58</v>
      </c>
      <c r="H624" s="31">
        <f>G624/((F624/100)*(F624/100))</f>
        <v>23.233456176894723</v>
      </c>
      <c r="I624" s="5">
        <v>73</v>
      </c>
      <c r="J624" s="30">
        <v>120</v>
      </c>
      <c r="K624" s="30">
        <v>80</v>
      </c>
      <c r="L624" s="29">
        <f>IF(B624="Nữ",0,2)</f>
        <v>0</v>
      </c>
      <c r="M624" s="29">
        <f ca="1">IF(D624&lt;45,0,IF(D624&lt;=49,1,2))</f>
        <v>2</v>
      </c>
      <c r="N624" s="29">
        <f>IF(E624="Có",4,0)</f>
        <v>0</v>
      </c>
      <c r="O624" s="29">
        <f>IF(H624&lt;23,0,IF(H624&lt;27.5,3,5))</f>
        <v>3</v>
      </c>
      <c r="P624" s="29">
        <f>IF(OR(AND(B624="Nam",I624&gt;=90),AND(B624="Nữ",I624&gt;=80)),2,0)</f>
        <v>0</v>
      </c>
      <c r="Q624" s="29">
        <f>IF(OR(J624&gt;=140,K624&gt;=90),2,0)</f>
        <v>0</v>
      </c>
      <c r="R624" s="29">
        <f ca="1">SUM(L624:Q624)</f>
        <v>5</v>
      </c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5" t="s">
        <v>1393</v>
      </c>
      <c r="AE624" s="33"/>
      <c r="AF624" s="59" t="str">
        <f t="shared" si="28"/>
        <v>Không</v>
      </c>
      <c r="AG624" s="59" t="str">
        <f t="shared" si="29"/>
        <v>Không</v>
      </c>
      <c r="AH624" s="29" t="str">
        <f t="shared" ca="1" si="27"/>
        <v>Không</v>
      </c>
      <c r="AI624" s="29" t="str">
        <f ca="1">IF((R624)&gt;=6,"Có","Không")</f>
        <v>Không</v>
      </c>
      <c r="AJ624" s="29" t="str">
        <f>IF(OR(J624&gt;=140,K624&gt;=90),"Có","Không")</f>
        <v>Không</v>
      </c>
      <c r="AK624" s="5" t="s">
        <v>68</v>
      </c>
      <c r="AL624" s="32">
        <v>46142</v>
      </c>
      <c r="AM624" s="29" t="str">
        <f>"Tháng "&amp;MONTH(AL624)</f>
        <v>Tháng 4</v>
      </c>
      <c r="AN624" s="29" t="str">
        <f>LEFT(AK624,FIND(",",AK624)-1)</f>
        <v>Ấp Biển Tây B</v>
      </c>
    </row>
    <row r="625" spans="1:40" x14ac:dyDescent="0.25">
      <c r="A625" s="49" t="s">
        <v>204</v>
      </c>
      <c r="B625" s="5" t="s">
        <v>23</v>
      </c>
      <c r="C625" s="5" t="s">
        <v>127</v>
      </c>
      <c r="D625" s="29">
        <f ca="1">DATEDIF(C625,TODAY(),"Y")</f>
        <v>76</v>
      </c>
      <c r="E625" s="5" t="s">
        <v>26</v>
      </c>
      <c r="F625" s="30">
        <v>150</v>
      </c>
      <c r="G625" s="30">
        <v>40</v>
      </c>
      <c r="H625" s="31">
        <f>G625/((F625/100)*(F625/100))</f>
        <v>17.777777777777779</v>
      </c>
      <c r="I625" s="5">
        <v>74</v>
      </c>
      <c r="J625" s="30">
        <v>130</v>
      </c>
      <c r="K625" s="30">
        <v>80</v>
      </c>
      <c r="L625" s="29">
        <f>IF(B625="Nữ",0,2)</f>
        <v>0</v>
      </c>
      <c r="M625" s="29">
        <f ca="1">IF(D625&lt;45,0,IF(D625&lt;=49,1,2))</f>
        <v>2</v>
      </c>
      <c r="N625" s="29">
        <f>IF(E625="Có",4,0)</f>
        <v>0</v>
      </c>
      <c r="O625" s="29">
        <f>IF(H625&lt;23,0,IF(H625&lt;27.5,3,5))</f>
        <v>0</v>
      </c>
      <c r="P625" s="29">
        <f>IF(OR(AND(B625="Nam",I625&gt;=90),AND(B625="Nữ",I625&gt;=80)),2,0)</f>
        <v>0</v>
      </c>
      <c r="Q625" s="29">
        <f>IF(OR(J625&gt;=140,K625&gt;=90),2,0)</f>
        <v>0</v>
      </c>
      <c r="R625" s="29">
        <f ca="1">SUM(L625:Q625)</f>
        <v>2</v>
      </c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5" t="s">
        <v>1393</v>
      </c>
      <c r="AE625" s="33"/>
      <c r="AF625" s="59" t="str">
        <f t="shared" si="28"/>
        <v>Không</v>
      </c>
      <c r="AG625" s="59" t="str">
        <f t="shared" si="29"/>
        <v>Không</v>
      </c>
      <c r="AH625" s="29" t="str">
        <f t="shared" ca="1" si="27"/>
        <v>Không</v>
      </c>
      <c r="AI625" s="29" t="str">
        <f ca="1">IF((R625)&gt;=6,"Có","Không")</f>
        <v>Không</v>
      </c>
      <c r="AJ625" s="29" t="str">
        <f>IF(OR(J625&gt;=140,K625&gt;=90),"Có","Không")</f>
        <v>Không</v>
      </c>
      <c r="AK625" s="5" t="s">
        <v>51</v>
      </c>
      <c r="AL625" s="32">
        <v>46142</v>
      </c>
      <c r="AM625" s="29" t="str">
        <f>"Tháng "&amp;MONTH(AL625)</f>
        <v>Tháng 4</v>
      </c>
      <c r="AN625" s="29" t="str">
        <f>LEFT(AK625,FIND(",",AK625)-1)</f>
        <v>Phường Hiệp Thành</v>
      </c>
    </row>
    <row r="626" spans="1:40" x14ac:dyDescent="0.25">
      <c r="A626" s="49" t="s">
        <v>205</v>
      </c>
      <c r="B626" s="5" t="s">
        <v>23</v>
      </c>
      <c r="C626" s="5" t="s">
        <v>93</v>
      </c>
      <c r="D626" s="29">
        <f ca="1">DATEDIF(C626,TODAY(),"Y")</f>
        <v>66</v>
      </c>
      <c r="E626" s="5" t="s">
        <v>26</v>
      </c>
      <c r="F626" s="30">
        <v>158</v>
      </c>
      <c r="G626" s="30">
        <v>58</v>
      </c>
      <c r="H626" s="31">
        <f>G626/((F626/100)*(F626/100))</f>
        <v>23.233456176894723</v>
      </c>
      <c r="I626" s="5">
        <v>88</v>
      </c>
      <c r="J626" s="30">
        <v>120</v>
      </c>
      <c r="K626" s="30">
        <v>80</v>
      </c>
      <c r="L626" s="29">
        <f>IF(B626="Nữ",0,2)</f>
        <v>0</v>
      </c>
      <c r="M626" s="29">
        <f ca="1">IF(D626&lt;45,0,IF(D626&lt;=49,1,2))</f>
        <v>2</v>
      </c>
      <c r="N626" s="29">
        <f>IF(E626="Có",4,0)</f>
        <v>0</v>
      </c>
      <c r="O626" s="29">
        <f>IF(H626&lt;23,0,IF(H626&lt;27.5,3,5))</f>
        <v>3</v>
      </c>
      <c r="P626" s="29">
        <f>IF(OR(AND(B626="Nam",I626&gt;=90),AND(B626="Nữ",I626&gt;=80)),2,0)</f>
        <v>2</v>
      </c>
      <c r="Q626" s="29">
        <f>IF(OR(J626&gt;=140,K626&gt;=90),2,0)</f>
        <v>0</v>
      </c>
      <c r="R626" s="29">
        <f ca="1">SUM(L626:Q626)</f>
        <v>7</v>
      </c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5" t="s">
        <v>1393</v>
      </c>
      <c r="AE626" s="33"/>
      <c r="AF626" s="59" t="str">
        <f t="shared" si="28"/>
        <v>Không</v>
      </c>
      <c r="AG626" s="59" t="str">
        <f t="shared" si="29"/>
        <v>Không</v>
      </c>
      <c r="AH626" s="29" t="str">
        <f t="shared" ca="1" si="27"/>
        <v>Có</v>
      </c>
      <c r="AI626" s="29" t="str">
        <f ca="1">IF((R626)&gt;=6,"Có","Không")</f>
        <v>Có</v>
      </c>
      <c r="AJ626" s="29" t="str">
        <f>IF(OR(J626&gt;=140,K626&gt;=90),"Có","Không")</f>
        <v>Không</v>
      </c>
      <c r="AK626" s="5" t="s">
        <v>206</v>
      </c>
      <c r="AL626" s="32">
        <v>46142</v>
      </c>
      <c r="AM626" s="29" t="str">
        <f>"Tháng "&amp;MONTH(AL626)</f>
        <v>Tháng 4</v>
      </c>
      <c r="AN626" s="29" t="str">
        <f>LEFT(AK626,FIND(",",AK626)-1)</f>
        <v>Prey Chóp B</v>
      </c>
    </row>
    <row r="627" spans="1:40" x14ac:dyDescent="0.25">
      <c r="A627" s="49" t="s">
        <v>207</v>
      </c>
      <c r="B627" s="5" t="s">
        <v>23</v>
      </c>
      <c r="C627" s="5" t="s">
        <v>76</v>
      </c>
      <c r="D627" s="29">
        <f ca="1">DATEDIF(C627,TODAY(),"Y")</f>
        <v>68</v>
      </c>
      <c r="E627" s="5" t="s">
        <v>25</v>
      </c>
      <c r="F627" s="30">
        <v>172</v>
      </c>
      <c r="G627" s="30">
        <v>65</v>
      </c>
      <c r="H627" s="31">
        <f>G627/((F627/100)*(F627/100))</f>
        <v>21.971335857220122</v>
      </c>
      <c r="I627" s="5">
        <v>72</v>
      </c>
      <c r="J627" s="30">
        <v>130</v>
      </c>
      <c r="K627" s="30">
        <v>80</v>
      </c>
      <c r="L627" s="29">
        <f>IF(B627="Nữ",0,2)</f>
        <v>0</v>
      </c>
      <c r="M627" s="29">
        <f ca="1">IF(D627&lt;45,0,IF(D627&lt;=49,1,2))</f>
        <v>2</v>
      </c>
      <c r="N627" s="29">
        <f>IF(E627="Có",4,0)</f>
        <v>4</v>
      </c>
      <c r="O627" s="29">
        <f>IF(H627&lt;23,0,IF(H627&lt;27.5,3,5))</f>
        <v>0</v>
      </c>
      <c r="P627" s="29">
        <f>IF(OR(AND(B627="Nam",I627&gt;=90),AND(B627="Nữ",I627&gt;=80)),2,0)</f>
        <v>0</v>
      </c>
      <c r="Q627" s="29">
        <f>IF(OR(J627&gt;=140,K627&gt;=90),2,0)</f>
        <v>0</v>
      </c>
      <c r="R627" s="29">
        <f ca="1">SUM(L627:Q627)</f>
        <v>6</v>
      </c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5" t="s">
        <v>1393</v>
      </c>
      <c r="AE627" s="33"/>
      <c r="AF627" s="59" t="str">
        <f t="shared" si="28"/>
        <v>Không</v>
      </c>
      <c r="AG627" s="59" t="str">
        <f t="shared" si="29"/>
        <v>Không</v>
      </c>
      <c r="AH627" s="29" t="str">
        <f t="shared" ca="1" si="27"/>
        <v>Có</v>
      </c>
      <c r="AI627" s="29" t="str">
        <f ca="1">IF((R627)&gt;=6,"Có","Không")</f>
        <v>Có</v>
      </c>
      <c r="AJ627" s="29" t="str">
        <f>IF(OR(J627&gt;=140,K627&gt;=90),"Có","Không")</f>
        <v>Không</v>
      </c>
      <c r="AK627" s="5" t="s">
        <v>122</v>
      </c>
      <c r="AL627" s="32">
        <v>46142</v>
      </c>
      <c r="AM627" s="29" t="str">
        <f>"Tháng "&amp;MONTH(AL627)</f>
        <v>Tháng 4</v>
      </c>
      <c r="AN627" s="29" t="str">
        <f>LEFT(AK627,FIND(",",AK627)-1)</f>
        <v>Giồng Nhãn</v>
      </c>
    </row>
    <row r="628" spans="1:40" x14ac:dyDescent="0.25">
      <c r="A628" s="49" t="s">
        <v>208</v>
      </c>
      <c r="B628" s="5" t="s">
        <v>23</v>
      </c>
      <c r="C628" s="5" t="s">
        <v>53</v>
      </c>
      <c r="D628" s="29">
        <f ca="1">DATEDIF(C628,TODAY(),"Y")</f>
        <v>72</v>
      </c>
      <c r="E628" s="5" t="s">
        <v>26</v>
      </c>
      <c r="F628" s="30">
        <v>158</v>
      </c>
      <c r="G628" s="30">
        <v>58</v>
      </c>
      <c r="H628" s="31">
        <f>G628/((F628/100)*(F628/100))</f>
        <v>23.233456176894723</v>
      </c>
      <c r="I628" s="5">
        <v>65</v>
      </c>
      <c r="J628" s="30">
        <v>120</v>
      </c>
      <c r="K628" s="30">
        <v>80</v>
      </c>
      <c r="L628" s="29">
        <f>IF(B628="Nữ",0,2)</f>
        <v>0</v>
      </c>
      <c r="M628" s="29">
        <f ca="1">IF(D628&lt;45,0,IF(D628&lt;=49,1,2))</f>
        <v>2</v>
      </c>
      <c r="N628" s="29">
        <f>IF(E628="Có",4,0)</f>
        <v>0</v>
      </c>
      <c r="O628" s="29">
        <f>IF(H628&lt;23,0,IF(H628&lt;27.5,3,5))</f>
        <v>3</v>
      </c>
      <c r="P628" s="29">
        <f>IF(OR(AND(B628="Nam",I628&gt;=90),AND(B628="Nữ",I628&gt;=80)),2,0)</f>
        <v>0</v>
      </c>
      <c r="Q628" s="29">
        <f>IF(OR(J628&gt;=140,K628&gt;=90),2,0)</f>
        <v>0</v>
      </c>
      <c r="R628" s="29">
        <f ca="1">SUM(L628:Q628)</f>
        <v>5</v>
      </c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5" t="s">
        <v>1393</v>
      </c>
      <c r="AE628" s="33"/>
      <c r="AF628" s="59" t="str">
        <f t="shared" si="28"/>
        <v>Không</v>
      </c>
      <c r="AG628" s="59" t="str">
        <f t="shared" si="29"/>
        <v>Không</v>
      </c>
      <c r="AH628" s="29" t="str">
        <f t="shared" ca="1" si="27"/>
        <v>Không</v>
      </c>
      <c r="AI628" s="29" t="str">
        <f ca="1">IF((R628)&gt;=6,"Có","Không")</f>
        <v>Không</v>
      </c>
      <c r="AJ628" s="29" t="str">
        <f>IF(OR(J628&gt;=140,K628&gt;=90),"Có","Không")</f>
        <v>Không</v>
      </c>
      <c r="AK628" s="5" t="s">
        <v>140</v>
      </c>
      <c r="AL628" s="32">
        <v>46142</v>
      </c>
      <c r="AM628" s="29" t="str">
        <f>"Tháng "&amp;MONTH(AL628)</f>
        <v>Tháng 4</v>
      </c>
      <c r="AN628" s="29" t="str">
        <f>LEFT(AK628,FIND(",",AK628)-1)</f>
        <v>Biển Tây A</v>
      </c>
    </row>
    <row r="629" spans="1:40" x14ac:dyDescent="0.25">
      <c r="A629" s="49" t="s">
        <v>209</v>
      </c>
      <c r="B629" s="5" t="s">
        <v>23</v>
      </c>
      <c r="C629" s="5" t="s">
        <v>76</v>
      </c>
      <c r="D629" s="29">
        <f ca="1">DATEDIF(C629,TODAY(),"Y")</f>
        <v>68</v>
      </c>
      <c r="E629" s="5" t="s">
        <v>26</v>
      </c>
      <c r="F629" s="30">
        <v>158</v>
      </c>
      <c r="G629" s="30">
        <v>58</v>
      </c>
      <c r="H629" s="31">
        <f>G629/((F629/100)*(F629/100))</f>
        <v>23.233456176894723</v>
      </c>
      <c r="I629" s="5">
        <v>72</v>
      </c>
      <c r="J629" s="30">
        <v>120</v>
      </c>
      <c r="K629" s="30">
        <v>80</v>
      </c>
      <c r="L629" s="29">
        <f>IF(B629="Nữ",0,2)</f>
        <v>0</v>
      </c>
      <c r="M629" s="29">
        <f ca="1">IF(D629&lt;45,0,IF(D629&lt;=49,1,2))</f>
        <v>2</v>
      </c>
      <c r="N629" s="29">
        <f>IF(E629="Có",4,0)</f>
        <v>0</v>
      </c>
      <c r="O629" s="29">
        <f>IF(H629&lt;23,0,IF(H629&lt;27.5,3,5))</f>
        <v>3</v>
      </c>
      <c r="P629" s="29">
        <f>IF(OR(AND(B629="Nam",I629&gt;=90),AND(B629="Nữ",I629&gt;=80)),2,0)</f>
        <v>0</v>
      </c>
      <c r="Q629" s="29">
        <f>IF(OR(J629&gt;=140,K629&gt;=90),2,0)</f>
        <v>0</v>
      </c>
      <c r="R629" s="29">
        <f ca="1">SUM(L629:Q629)</f>
        <v>5</v>
      </c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5" t="s">
        <v>1393</v>
      </c>
      <c r="AE629" s="33"/>
      <c r="AF629" s="59" t="str">
        <f t="shared" si="28"/>
        <v>Không</v>
      </c>
      <c r="AG629" s="59" t="str">
        <f t="shared" si="29"/>
        <v>Không</v>
      </c>
      <c r="AH629" s="29" t="str">
        <f t="shared" ca="1" si="27"/>
        <v>Không</v>
      </c>
      <c r="AI629" s="29" t="str">
        <f ca="1">IF((R629)&gt;=6,"Có","Không")</f>
        <v>Không</v>
      </c>
      <c r="AJ629" s="29" t="str">
        <f>IF(OR(J629&gt;=140,K629&gt;=90),"Có","Không")</f>
        <v>Không</v>
      </c>
      <c r="AK629" s="5" t="s">
        <v>210</v>
      </c>
      <c r="AL629" s="32">
        <v>46142</v>
      </c>
      <c r="AM629" s="29" t="str">
        <f>"Tháng "&amp;MONTH(AL629)</f>
        <v>Tháng 4</v>
      </c>
      <c r="AN629" s="29" t="str">
        <f>LEFT(AK629,FIND(",",AK629)-1)</f>
        <v>Biển Đông A</v>
      </c>
    </row>
    <row r="630" spans="1:40" x14ac:dyDescent="0.25">
      <c r="A630" s="49" t="s">
        <v>211</v>
      </c>
      <c r="B630" s="5" t="s">
        <v>30</v>
      </c>
      <c r="C630" s="5" t="s">
        <v>80</v>
      </c>
      <c r="D630" s="29">
        <f ca="1">DATEDIF(C630,TODAY(),"Y")</f>
        <v>71</v>
      </c>
      <c r="E630" s="5" t="s">
        <v>26</v>
      </c>
      <c r="F630" s="30">
        <v>170</v>
      </c>
      <c r="G630" s="30">
        <v>70</v>
      </c>
      <c r="H630" s="31">
        <f>G630/((F630/100)*(F630/100))</f>
        <v>24.221453287197235</v>
      </c>
      <c r="I630" s="5">
        <v>76</v>
      </c>
      <c r="J630" s="30">
        <v>120</v>
      </c>
      <c r="K630" s="30">
        <v>70</v>
      </c>
      <c r="L630" s="29">
        <f>IF(B630="Nữ",0,2)</f>
        <v>2</v>
      </c>
      <c r="M630" s="29">
        <f ca="1">IF(D630&lt;45,0,IF(D630&lt;=49,1,2))</f>
        <v>2</v>
      </c>
      <c r="N630" s="29">
        <f>IF(E630="Có",4,0)</f>
        <v>0</v>
      </c>
      <c r="O630" s="29">
        <f>IF(H630&lt;23,0,IF(H630&lt;27.5,3,5))</f>
        <v>3</v>
      </c>
      <c r="P630" s="29">
        <f>IF(OR(AND(B630="Nam",I630&gt;=90),AND(B630="Nữ",I630&gt;=80)),2,0)</f>
        <v>0</v>
      </c>
      <c r="Q630" s="29">
        <f>IF(OR(J630&gt;=140,K630&gt;=90),2,0)</f>
        <v>0</v>
      </c>
      <c r="R630" s="29">
        <f ca="1">SUM(L630:Q630)</f>
        <v>7</v>
      </c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5" t="s">
        <v>1393</v>
      </c>
      <c r="AE630" s="33"/>
      <c r="AF630" s="59" t="str">
        <f t="shared" si="28"/>
        <v>Không</v>
      </c>
      <c r="AG630" s="59" t="str">
        <f t="shared" si="29"/>
        <v>Không</v>
      </c>
      <c r="AH630" s="29" t="str">
        <f t="shared" ca="1" si="27"/>
        <v>Có</v>
      </c>
      <c r="AI630" s="29" t="str">
        <f ca="1">IF((R630)&gt;=6,"Có","Không")</f>
        <v>Có</v>
      </c>
      <c r="AJ630" s="29" t="str">
        <f>IF(OR(J630&gt;=140,K630&gt;=90),"Có","Không")</f>
        <v>Không</v>
      </c>
      <c r="AK630" s="5" t="s">
        <v>91</v>
      </c>
      <c r="AL630" s="32">
        <v>46142</v>
      </c>
      <c r="AM630" s="29" t="str">
        <f>"Tháng "&amp;MONTH(AL630)</f>
        <v>Tháng 4</v>
      </c>
      <c r="AN630" s="29" t="str">
        <f>LEFT(AK630,FIND(",",AK630)-1)</f>
        <v>Ấp Giồng Giữa</v>
      </c>
    </row>
    <row r="631" spans="1:40" x14ac:dyDescent="0.25">
      <c r="A631" s="49" t="s">
        <v>212</v>
      </c>
      <c r="B631" s="5" t="s">
        <v>30</v>
      </c>
      <c r="C631" s="5" t="s">
        <v>90</v>
      </c>
      <c r="D631" s="29">
        <f ca="1">DATEDIF(C631,TODAY(),"Y")</f>
        <v>54</v>
      </c>
      <c r="E631" s="5" t="s">
        <v>25</v>
      </c>
      <c r="F631" s="30">
        <v>169</v>
      </c>
      <c r="G631" s="30">
        <v>68</v>
      </c>
      <c r="H631" s="31">
        <f>G631/((F631/100)*(F631/100))</f>
        <v>23.808690171912751</v>
      </c>
      <c r="I631" s="5">
        <v>96</v>
      </c>
      <c r="J631" s="30">
        <v>120</v>
      </c>
      <c r="K631" s="30">
        <v>80</v>
      </c>
      <c r="L631" s="29">
        <f>IF(B631="Nữ",0,2)</f>
        <v>2</v>
      </c>
      <c r="M631" s="29">
        <f ca="1">IF(D631&lt;45,0,IF(D631&lt;=49,1,2))</f>
        <v>2</v>
      </c>
      <c r="N631" s="29">
        <f>IF(E631="Có",4,0)</f>
        <v>4</v>
      </c>
      <c r="O631" s="29">
        <f>IF(H631&lt;23,0,IF(H631&lt;27.5,3,5))</f>
        <v>3</v>
      </c>
      <c r="P631" s="29">
        <f>IF(OR(AND(B631="Nam",I631&gt;=90),AND(B631="Nữ",I631&gt;=80)),2,0)</f>
        <v>2</v>
      </c>
      <c r="Q631" s="29">
        <f>IF(OR(J631&gt;=140,K631&gt;=90),2,0)</f>
        <v>0</v>
      </c>
      <c r="R631" s="29">
        <f ca="1">SUM(L631:Q631)</f>
        <v>13</v>
      </c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5" t="s">
        <v>1393</v>
      </c>
      <c r="AE631" s="33"/>
      <c r="AF631" s="59" t="str">
        <f t="shared" si="28"/>
        <v>Không</v>
      </c>
      <c r="AG631" s="59" t="str">
        <f t="shared" si="29"/>
        <v>Không</v>
      </c>
      <c r="AH631" s="29" t="str">
        <f t="shared" ca="1" si="27"/>
        <v>Có</v>
      </c>
      <c r="AI631" s="29" t="str">
        <f ca="1">IF((R631)&gt;=6,"Có","Không")</f>
        <v>Có</v>
      </c>
      <c r="AJ631" s="29" t="str">
        <f>IF(OR(J631&gt;=140,K631&gt;=90),"Có","Không")</f>
        <v>Không</v>
      </c>
      <c r="AK631" s="5" t="s">
        <v>51</v>
      </c>
      <c r="AL631" s="32">
        <v>46142</v>
      </c>
      <c r="AM631" s="29" t="str">
        <f>"Tháng "&amp;MONTH(AL631)</f>
        <v>Tháng 4</v>
      </c>
      <c r="AN631" s="29" t="str">
        <f>LEFT(AK631,FIND(",",AK631)-1)</f>
        <v>Phường Hiệp Thành</v>
      </c>
    </row>
    <row r="632" spans="1:40" x14ac:dyDescent="0.25">
      <c r="A632" s="49" t="s">
        <v>213</v>
      </c>
      <c r="B632" s="5" t="s">
        <v>23</v>
      </c>
      <c r="C632" s="5" t="s">
        <v>59</v>
      </c>
      <c r="D632" s="29">
        <f ca="1">DATEDIF(C632,TODAY(),"Y")</f>
        <v>74</v>
      </c>
      <c r="E632" s="5" t="s">
        <v>26</v>
      </c>
      <c r="F632" s="30">
        <v>158</v>
      </c>
      <c r="G632" s="30">
        <v>58</v>
      </c>
      <c r="H632" s="31">
        <f>G632/((F632/100)*(F632/100))</f>
        <v>23.233456176894723</v>
      </c>
      <c r="I632" s="5">
        <v>69</v>
      </c>
      <c r="J632" s="30">
        <v>150</v>
      </c>
      <c r="K632" s="30">
        <v>80</v>
      </c>
      <c r="L632" s="29">
        <f>IF(B632="Nữ",0,2)</f>
        <v>0</v>
      </c>
      <c r="M632" s="29">
        <f ca="1">IF(D632&lt;45,0,IF(D632&lt;=49,1,2))</f>
        <v>2</v>
      </c>
      <c r="N632" s="29">
        <f>IF(E632="Có",4,0)</f>
        <v>0</v>
      </c>
      <c r="O632" s="29">
        <f>IF(H632&lt;23,0,IF(H632&lt;27.5,3,5))</f>
        <v>3</v>
      </c>
      <c r="P632" s="29">
        <f>IF(OR(AND(B632="Nam",I632&gt;=90),AND(B632="Nữ",I632&gt;=80)),2,0)</f>
        <v>0</v>
      </c>
      <c r="Q632" s="29">
        <f>IF(OR(J632&gt;=140,K632&gt;=90),2,0)</f>
        <v>2</v>
      </c>
      <c r="R632" s="29">
        <f ca="1">SUM(L632:Q632)</f>
        <v>7</v>
      </c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5" t="s">
        <v>1393</v>
      </c>
      <c r="AE632" s="33"/>
      <c r="AF632" s="59" t="str">
        <f t="shared" si="28"/>
        <v>Không</v>
      </c>
      <c r="AG632" s="59" t="str">
        <f t="shared" si="29"/>
        <v>Không</v>
      </c>
      <c r="AH632" s="29" t="str">
        <f t="shared" ca="1" si="27"/>
        <v>Có</v>
      </c>
      <c r="AI632" s="29" t="str">
        <f ca="1">IF((R632)&gt;=6,"Có","Không")</f>
        <v>Có</v>
      </c>
      <c r="AJ632" s="29" t="str">
        <f>IF(OR(J632&gt;=140,K632&gt;=90),"Có","Không")</f>
        <v>Có</v>
      </c>
      <c r="AK632" s="5" t="s">
        <v>28</v>
      </c>
      <c r="AL632" s="32">
        <v>46142</v>
      </c>
      <c r="AM632" s="29" t="str">
        <f>"Tháng "&amp;MONTH(AL632)</f>
        <v>Tháng 4</v>
      </c>
      <c r="AN632" s="29" t="str">
        <f>LEFT(AK632,FIND(",",AK632)-1)</f>
        <v>Ấp Biển Đông A</v>
      </c>
    </row>
    <row r="633" spans="1:40" x14ac:dyDescent="0.25">
      <c r="A633" s="49" t="s">
        <v>214</v>
      </c>
      <c r="B633" s="5" t="s">
        <v>30</v>
      </c>
      <c r="C633" s="5" t="s">
        <v>45</v>
      </c>
      <c r="D633" s="29">
        <f ca="1">DATEDIF(C633,TODAY(),"Y")</f>
        <v>50</v>
      </c>
      <c r="E633" s="5" t="s">
        <v>25</v>
      </c>
      <c r="F633" s="30">
        <v>165</v>
      </c>
      <c r="G633" s="30">
        <v>55</v>
      </c>
      <c r="H633" s="31">
        <f>G633/((F633/100)*(F633/100))</f>
        <v>20.202020202020204</v>
      </c>
      <c r="I633" s="5">
        <v>88</v>
      </c>
      <c r="J633" s="30">
        <v>120</v>
      </c>
      <c r="K633" s="30">
        <v>70</v>
      </c>
      <c r="L633" s="29">
        <f>IF(B633="Nữ",0,2)</f>
        <v>2</v>
      </c>
      <c r="M633" s="29">
        <f ca="1">IF(D633&lt;45,0,IF(D633&lt;=49,1,2))</f>
        <v>2</v>
      </c>
      <c r="N633" s="29">
        <f>IF(E633="Có",4,0)</f>
        <v>4</v>
      </c>
      <c r="O633" s="29">
        <f>IF(H633&lt;23,0,IF(H633&lt;27.5,3,5))</f>
        <v>0</v>
      </c>
      <c r="P633" s="29">
        <f>IF(OR(AND(B633="Nam",I633&gt;=90),AND(B633="Nữ",I633&gt;=80)),2,0)</f>
        <v>0</v>
      </c>
      <c r="Q633" s="29">
        <f>IF(OR(J633&gt;=140,K633&gt;=90),2,0)</f>
        <v>0</v>
      </c>
      <c r="R633" s="29">
        <f ca="1">SUM(L633:Q633)</f>
        <v>8</v>
      </c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5" t="s">
        <v>1393</v>
      </c>
      <c r="AE633" s="33"/>
      <c r="AF633" s="59" t="str">
        <f t="shared" si="28"/>
        <v>Không</v>
      </c>
      <c r="AG633" s="59" t="str">
        <f t="shared" si="29"/>
        <v>Không</v>
      </c>
      <c r="AH633" s="29" t="str">
        <f t="shared" ca="1" si="27"/>
        <v>Có</v>
      </c>
      <c r="AI633" s="29" t="str">
        <f ca="1">IF((R633)&gt;=6,"Có","Không")</f>
        <v>Có</v>
      </c>
      <c r="AJ633" s="29" t="str">
        <f>IF(OR(J633&gt;=140,K633&gt;=90),"Có","Không")</f>
        <v>Không</v>
      </c>
      <c r="AK633" s="5" t="s">
        <v>215</v>
      </c>
      <c r="AL633" s="32">
        <v>46142</v>
      </c>
      <c r="AM633" s="29" t="str">
        <f>"Tháng "&amp;MONTH(AL633)</f>
        <v>Tháng 4</v>
      </c>
      <c r="AN633" s="29" t="str">
        <f>LEFT(AK633,FIND(",",AK633)-1)</f>
        <v>Giồng Nhãn A</v>
      </c>
    </row>
    <row r="634" spans="1:40" x14ac:dyDescent="0.25">
      <c r="A634" s="49" t="s">
        <v>216</v>
      </c>
      <c r="B634" s="5" t="s">
        <v>23</v>
      </c>
      <c r="C634" s="5" t="s">
        <v>62</v>
      </c>
      <c r="D634" s="29">
        <f ca="1">DATEDIF(C634,TODAY(),"Y")</f>
        <v>64</v>
      </c>
      <c r="E634" s="5" t="s">
        <v>26</v>
      </c>
      <c r="F634" s="30">
        <v>158</v>
      </c>
      <c r="G634" s="30">
        <v>58</v>
      </c>
      <c r="H634" s="31">
        <f>G634/((F634/100)*(F634/100))</f>
        <v>23.233456176894723</v>
      </c>
      <c r="I634" s="5">
        <v>71</v>
      </c>
      <c r="J634" s="30">
        <v>120</v>
      </c>
      <c r="K634" s="30">
        <v>80</v>
      </c>
      <c r="L634" s="29">
        <f>IF(B634="Nữ",0,2)</f>
        <v>0</v>
      </c>
      <c r="M634" s="29">
        <f ca="1">IF(D634&lt;45,0,IF(D634&lt;=49,1,2))</f>
        <v>2</v>
      </c>
      <c r="N634" s="29">
        <f>IF(E634="Có",4,0)</f>
        <v>0</v>
      </c>
      <c r="O634" s="29">
        <f>IF(H634&lt;23,0,IF(H634&lt;27.5,3,5))</f>
        <v>3</v>
      </c>
      <c r="P634" s="29">
        <f>IF(OR(AND(B634="Nam",I634&gt;=90),AND(B634="Nữ",I634&gt;=80)),2,0)</f>
        <v>0</v>
      </c>
      <c r="Q634" s="29">
        <f>IF(OR(J634&gt;=140,K634&gt;=90),2,0)</f>
        <v>0</v>
      </c>
      <c r="R634" s="29">
        <f ca="1">SUM(L634:Q634)</f>
        <v>5</v>
      </c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5" t="s">
        <v>1393</v>
      </c>
      <c r="AE634" s="33"/>
      <c r="AF634" s="59" t="str">
        <f t="shared" si="28"/>
        <v>Không</v>
      </c>
      <c r="AG634" s="59" t="str">
        <f t="shared" si="29"/>
        <v>Không</v>
      </c>
      <c r="AH634" s="29" t="str">
        <f t="shared" ca="1" si="27"/>
        <v>Không</v>
      </c>
      <c r="AI634" s="29" t="str">
        <f ca="1">IF((R634)&gt;=6,"Có","Không")</f>
        <v>Không</v>
      </c>
      <c r="AJ634" s="29" t="str">
        <f>IF(OR(J634&gt;=140,K634&gt;=90),"Có","Không")</f>
        <v>Không</v>
      </c>
      <c r="AK634" s="5" t="s">
        <v>51</v>
      </c>
      <c r="AL634" s="32">
        <v>46142</v>
      </c>
      <c r="AM634" s="29" t="str">
        <f>"Tháng "&amp;MONTH(AL634)</f>
        <v>Tháng 4</v>
      </c>
      <c r="AN634" s="29" t="str">
        <f>LEFT(AK634,FIND(",",AK634)-1)</f>
        <v>Phường Hiệp Thành</v>
      </c>
    </row>
    <row r="635" spans="1:40" x14ac:dyDescent="0.25">
      <c r="A635" s="49" t="s">
        <v>217</v>
      </c>
      <c r="B635" s="5" t="s">
        <v>30</v>
      </c>
      <c r="C635" s="5" t="s">
        <v>110</v>
      </c>
      <c r="D635" s="29">
        <f ca="1">DATEDIF(C635,TODAY(),"Y")</f>
        <v>62</v>
      </c>
      <c r="E635" s="5" t="s">
        <v>26</v>
      </c>
      <c r="F635" s="30">
        <v>169</v>
      </c>
      <c r="G635" s="30">
        <v>68</v>
      </c>
      <c r="H635" s="31">
        <f>G635/((F635/100)*(F635/100))</f>
        <v>23.808690171912751</v>
      </c>
      <c r="I635" s="5">
        <v>80</v>
      </c>
      <c r="J635" s="30">
        <v>140</v>
      </c>
      <c r="K635" s="30">
        <v>80</v>
      </c>
      <c r="L635" s="29">
        <f>IF(B635="Nữ",0,2)</f>
        <v>2</v>
      </c>
      <c r="M635" s="29">
        <f ca="1">IF(D635&lt;45,0,IF(D635&lt;=49,1,2))</f>
        <v>2</v>
      </c>
      <c r="N635" s="29">
        <f>IF(E635="Có",4,0)</f>
        <v>0</v>
      </c>
      <c r="O635" s="29">
        <f>IF(H635&lt;23,0,IF(H635&lt;27.5,3,5))</f>
        <v>3</v>
      </c>
      <c r="P635" s="29">
        <f>IF(OR(AND(B635="Nam",I635&gt;=90),AND(B635="Nữ",I635&gt;=80)),2,0)</f>
        <v>0</v>
      </c>
      <c r="Q635" s="29">
        <f>IF(OR(J635&gt;=140,K635&gt;=90),2,0)</f>
        <v>2</v>
      </c>
      <c r="R635" s="29">
        <f ca="1">SUM(L635:Q635)</f>
        <v>9</v>
      </c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5" t="s">
        <v>1393</v>
      </c>
      <c r="AE635" s="33"/>
      <c r="AF635" s="59" t="str">
        <f t="shared" si="28"/>
        <v>Không</v>
      </c>
      <c r="AG635" s="59" t="str">
        <f t="shared" si="29"/>
        <v>Không</v>
      </c>
      <c r="AH635" s="29" t="str">
        <f t="shared" ca="1" si="27"/>
        <v>Có</v>
      </c>
      <c r="AI635" s="29" t="str">
        <f ca="1">IF((R635)&gt;=6,"Có","Không")</f>
        <v>Có</v>
      </c>
      <c r="AJ635" s="29" t="str">
        <f>IF(OR(J635&gt;=140,K635&gt;=90),"Có","Không")</f>
        <v>Có</v>
      </c>
      <c r="AK635" s="5" t="s">
        <v>218</v>
      </c>
      <c r="AL635" s="32">
        <v>46142</v>
      </c>
      <c r="AM635" s="29" t="str">
        <f>"Tháng "&amp;MONTH(AL635)</f>
        <v>Tháng 4</v>
      </c>
      <c r="AN635" s="29" t="str">
        <f>LEFT(AK635,FIND(",",AK635)-1)</f>
        <v>Biển Đông B</v>
      </c>
    </row>
    <row r="636" spans="1:40" x14ac:dyDescent="0.25">
      <c r="A636" s="49" t="s">
        <v>219</v>
      </c>
      <c r="B636" s="5" t="s">
        <v>30</v>
      </c>
      <c r="C636" s="5" t="s">
        <v>93</v>
      </c>
      <c r="D636" s="29">
        <f ca="1">DATEDIF(C636,TODAY(),"Y")</f>
        <v>66</v>
      </c>
      <c r="E636" s="5" t="s">
        <v>26</v>
      </c>
      <c r="F636" s="30">
        <v>169</v>
      </c>
      <c r="G636" s="30">
        <v>68</v>
      </c>
      <c r="H636" s="31">
        <f>G636/((F636/100)*(F636/100))</f>
        <v>23.808690171912751</v>
      </c>
      <c r="I636" s="5">
        <v>99</v>
      </c>
      <c r="J636" s="30">
        <v>120</v>
      </c>
      <c r="K636" s="30">
        <v>80</v>
      </c>
      <c r="L636" s="29">
        <f>IF(B636="Nữ",0,2)</f>
        <v>2</v>
      </c>
      <c r="M636" s="29">
        <f ca="1">IF(D636&lt;45,0,IF(D636&lt;=49,1,2))</f>
        <v>2</v>
      </c>
      <c r="N636" s="29">
        <f>IF(E636="Có",4,0)</f>
        <v>0</v>
      </c>
      <c r="O636" s="29">
        <f>IF(H636&lt;23,0,IF(H636&lt;27.5,3,5))</f>
        <v>3</v>
      </c>
      <c r="P636" s="29">
        <f>IF(OR(AND(B636="Nam",I636&gt;=90),AND(B636="Nữ",I636&gt;=80)),2,0)</f>
        <v>2</v>
      </c>
      <c r="Q636" s="29">
        <f>IF(OR(J636&gt;=140,K636&gt;=90),2,0)</f>
        <v>0</v>
      </c>
      <c r="R636" s="29">
        <f ca="1">SUM(L636:Q636)</f>
        <v>9</v>
      </c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5" t="s">
        <v>1393</v>
      </c>
      <c r="AE636" s="33"/>
      <c r="AF636" s="59" t="str">
        <f t="shared" si="28"/>
        <v>Không</v>
      </c>
      <c r="AG636" s="59" t="str">
        <f t="shared" si="29"/>
        <v>Không</v>
      </c>
      <c r="AH636" s="29" t="str">
        <f t="shared" ca="1" si="27"/>
        <v>Có</v>
      </c>
      <c r="AI636" s="29" t="str">
        <f ca="1">IF((R636)&gt;=6,"Có","Không")</f>
        <v>Có</v>
      </c>
      <c r="AJ636" s="29" t="str">
        <f>IF(OR(J636&gt;=140,K636&gt;=90),"Có","Không")</f>
        <v>Không</v>
      </c>
      <c r="AK636" s="5" t="s">
        <v>38</v>
      </c>
      <c r="AL636" s="32">
        <v>46142</v>
      </c>
      <c r="AM636" s="29" t="str">
        <f>"Tháng "&amp;MONTH(AL636)</f>
        <v>Tháng 4</v>
      </c>
      <c r="AN636" s="29" t="str">
        <f>LEFT(AK636,FIND(",",AK636)-1)</f>
        <v>Ấp Biển Đông B</v>
      </c>
    </row>
    <row r="637" spans="1:40" x14ac:dyDescent="0.25">
      <c r="A637" s="49" t="s">
        <v>220</v>
      </c>
      <c r="B637" s="5" t="s">
        <v>30</v>
      </c>
      <c r="C637" s="5" t="s">
        <v>93</v>
      </c>
      <c r="D637" s="29">
        <f ca="1">DATEDIF(C637,TODAY(),"Y")</f>
        <v>66</v>
      </c>
      <c r="E637" s="5" t="s">
        <v>26</v>
      </c>
      <c r="F637" s="30">
        <v>169</v>
      </c>
      <c r="G637" s="30">
        <v>68</v>
      </c>
      <c r="H637" s="31">
        <f>G637/((F637/100)*(F637/100))</f>
        <v>23.808690171912751</v>
      </c>
      <c r="I637" s="5">
        <v>76</v>
      </c>
      <c r="J637" s="30">
        <v>130</v>
      </c>
      <c r="K637" s="30">
        <v>80</v>
      </c>
      <c r="L637" s="29">
        <f>IF(B637="Nữ",0,2)</f>
        <v>2</v>
      </c>
      <c r="M637" s="29">
        <f ca="1">IF(D637&lt;45,0,IF(D637&lt;=49,1,2))</f>
        <v>2</v>
      </c>
      <c r="N637" s="29">
        <f>IF(E637="Có",4,0)</f>
        <v>0</v>
      </c>
      <c r="O637" s="29">
        <f>IF(H637&lt;23,0,IF(H637&lt;27.5,3,5))</f>
        <v>3</v>
      </c>
      <c r="P637" s="29">
        <f>IF(OR(AND(B637="Nam",I637&gt;=90),AND(B637="Nữ",I637&gt;=80)),2,0)</f>
        <v>0</v>
      </c>
      <c r="Q637" s="29">
        <f>IF(OR(J637&gt;=140,K637&gt;=90),2,0)</f>
        <v>0</v>
      </c>
      <c r="R637" s="29">
        <f ca="1">SUM(L637:Q637)</f>
        <v>7</v>
      </c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5" t="s">
        <v>1393</v>
      </c>
      <c r="AE637" s="33"/>
      <c r="AF637" s="59" t="str">
        <f t="shared" si="28"/>
        <v>Không</v>
      </c>
      <c r="AG637" s="59" t="str">
        <f t="shared" si="29"/>
        <v>Không</v>
      </c>
      <c r="AH637" s="29" t="str">
        <f t="shared" ca="1" si="27"/>
        <v>Có</v>
      </c>
      <c r="AI637" s="29" t="str">
        <f ca="1">IF((R637)&gt;=6,"Có","Không")</f>
        <v>Có</v>
      </c>
      <c r="AJ637" s="29" t="str">
        <f>IF(OR(J637&gt;=140,K637&gt;=90),"Có","Không")</f>
        <v>Không</v>
      </c>
      <c r="AK637" s="5" t="s">
        <v>140</v>
      </c>
      <c r="AL637" s="32">
        <v>46142</v>
      </c>
      <c r="AM637" s="29" t="str">
        <f>"Tháng "&amp;MONTH(AL637)</f>
        <v>Tháng 4</v>
      </c>
      <c r="AN637" s="29" t="str">
        <f>LEFT(AK637,FIND(",",AK637)-1)</f>
        <v>Biển Tây A</v>
      </c>
    </row>
    <row r="638" spans="1:40" x14ac:dyDescent="0.25">
      <c r="A638" s="49" t="s">
        <v>221</v>
      </c>
      <c r="B638" s="5" t="s">
        <v>23</v>
      </c>
      <c r="C638" s="5" t="s">
        <v>50</v>
      </c>
      <c r="D638" s="29">
        <f ca="1">DATEDIF(C638,TODAY(),"Y")</f>
        <v>58</v>
      </c>
      <c r="E638" s="5" t="s">
        <v>25</v>
      </c>
      <c r="F638" s="30">
        <v>158</v>
      </c>
      <c r="G638" s="30">
        <v>58</v>
      </c>
      <c r="H638" s="31">
        <f>G638/((F638/100)*(F638/100))</f>
        <v>23.233456176894723</v>
      </c>
      <c r="I638" s="5">
        <v>86</v>
      </c>
      <c r="J638" s="30">
        <v>140</v>
      </c>
      <c r="K638" s="30">
        <v>80</v>
      </c>
      <c r="L638" s="29">
        <f>IF(B638="Nữ",0,2)</f>
        <v>0</v>
      </c>
      <c r="M638" s="29">
        <f ca="1">IF(D638&lt;45,0,IF(D638&lt;=49,1,2))</f>
        <v>2</v>
      </c>
      <c r="N638" s="29">
        <f>IF(E638="Có",4,0)</f>
        <v>4</v>
      </c>
      <c r="O638" s="29">
        <f>IF(H638&lt;23,0,IF(H638&lt;27.5,3,5))</f>
        <v>3</v>
      </c>
      <c r="P638" s="29">
        <f>IF(OR(AND(B638="Nam",I638&gt;=90),AND(B638="Nữ",I638&gt;=80)),2,0)</f>
        <v>2</v>
      </c>
      <c r="Q638" s="29">
        <f>IF(OR(J638&gt;=140,K638&gt;=90),2,0)</f>
        <v>2</v>
      </c>
      <c r="R638" s="29">
        <f ca="1">SUM(L638:Q638)</f>
        <v>13</v>
      </c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5" t="s">
        <v>1393</v>
      </c>
      <c r="AE638" s="33"/>
      <c r="AF638" s="59" t="str">
        <f t="shared" si="28"/>
        <v>Không</v>
      </c>
      <c r="AG638" s="59" t="str">
        <f t="shared" si="29"/>
        <v>Không</v>
      </c>
      <c r="AH638" s="29" t="str">
        <f t="shared" ca="1" si="27"/>
        <v>Có</v>
      </c>
      <c r="AI638" s="29" t="str">
        <f ca="1">IF((R638)&gt;=6,"Có","Không")</f>
        <v>Có</v>
      </c>
      <c r="AJ638" s="29" t="str">
        <f>IF(OR(J638&gt;=140,K638&gt;=90),"Có","Không")</f>
        <v>Có</v>
      </c>
      <c r="AK638" s="5" t="s">
        <v>70</v>
      </c>
      <c r="AL638" s="32">
        <v>46142</v>
      </c>
      <c r="AM638" s="29" t="str">
        <f>"Tháng "&amp;MONTH(AL638)</f>
        <v>Tháng 4</v>
      </c>
      <c r="AN638" s="29" t="str">
        <f>LEFT(AK638,FIND(",",AK638)-1)</f>
        <v>Ấp Biển Tây A</v>
      </c>
    </row>
    <row r="639" spans="1:40" x14ac:dyDescent="0.25">
      <c r="A639" s="49" t="s">
        <v>222</v>
      </c>
      <c r="B639" s="5" t="s">
        <v>23</v>
      </c>
      <c r="C639" s="5" t="s">
        <v>115</v>
      </c>
      <c r="D639" s="29">
        <f ca="1">DATEDIF(C639,TODAY(),"Y")</f>
        <v>40</v>
      </c>
      <c r="E639" s="5" t="s">
        <v>26</v>
      </c>
      <c r="F639" s="30">
        <v>160</v>
      </c>
      <c r="G639" s="30">
        <v>65</v>
      </c>
      <c r="H639" s="31">
        <f>G639/((F639/100)*(F639/100))</f>
        <v>25.390624999999996</v>
      </c>
      <c r="I639" s="5">
        <v>88</v>
      </c>
      <c r="J639" s="30">
        <v>120</v>
      </c>
      <c r="K639" s="30">
        <v>70</v>
      </c>
      <c r="L639" s="29">
        <f>IF(B639="Nữ",0,2)</f>
        <v>0</v>
      </c>
      <c r="M639" s="29">
        <f ca="1">IF(D639&lt;45,0,IF(D639&lt;=49,1,2))</f>
        <v>0</v>
      </c>
      <c r="N639" s="29">
        <f>IF(E639="Có",4,0)</f>
        <v>0</v>
      </c>
      <c r="O639" s="29">
        <f>IF(H639&lt;23,0,IF(H639&lt;27.5,3,5))</f>
        <v>3</v>
      </c>
      <c r="P639" s="29">
        <f>IF(OR(AND(B639="Nam",I639&gt;=90),AND(B639="Nữ",I639&gt;=80)),2,0)</f>
        <v>2</v>
      </c>
      <c r="Q639" s="29">
        <f>IF(OR(J639&gt;=140,K639&gt;=90),2,0)</f>
        <v>0</v>
      </c>
      <c r="R639" s="29">
        <f ca="1">SUM(L639:Q639)</f>
        <v>5</v>
      </c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5" t="s">
        <v>1393</v>
      </c>
      <c r="AE639" s="33"/>
      <c r="AF639" s="59" t="str">
        <f t="shared" si="28"/>
        <v>Không</v>
      </c>
      <c r="AG639" s="59" t="str">
        <f t="shared" si="29"/>
        <v>Không</v>
      </c>
      <c r="AH639" s="29" t="str">
        <f t="shared" ca="1" si="27"/>
        <v>Không</v>
      </c>
      <c r="AI639" s="29" t="str">
        <f ca="1">IF((R639)&gt;=6,"Có","Không")</f>
        <v>Không</v>
      </c>
      <c r="AJ639" s="29" t="str">
        <f>IF(OR(J639&gt;=140,K639&gt;=90),"Có","Không")</f>
        <v>Không</v>
      </c>
      <c r="AK639" s="5" t="s">
        <v>223</v>
      </c>
      <c r="AL639" s="32">
        <v>46142</v>
      </c>
      <c r="AM639" s="29" t="str">
        <f>"Tháng "&amp;MONTH(AL639)</f>
        <v>Tháng 4</v>
      </c>
      <c r="AN639" s="29" t="str">
        <f>LEFT(AK639,FIND(",",AK639)-1)</f>
        <v>Vĩnh Lộc</v>
      </c>
    </row>
    <row r="640" spans="1:40" x14ac:dyDescent="0.25">
      <c r="A640" s="49" t="s">
        <v>224</v>
      </c>
      <c r="B640" s="5" t="s">
        <v>23</v>
      </c>
      <c r="C640" s="5" t="s">
        <v>84</v>
      </c>
      <c r="D640" s="29">
        <f ca="1">DATEDIF(C640,TODAY(),"Y")</f>
        <v>69</v>
      </c>
      <c r="E640" s="5" t="s">
        <v>26</v>
      </c>
      <c r="F640" s="30">
        <v>158</v>
      </c>
      <c r="G640" s="30">
        <v>58</v>
      </c>
      <c r="H640" s="31">
        <f>G640/((F640/100)*(F640/100))</f>
        <v>23.233456176894723</v>
      </c>
      <c r="I640" s="5">
        <v>74</v>
      </c>
      <c r="J640" s="30">
        <v>150</v>
      </c>
      <c r="K640" s="30">
        <v>80</v>
      </c>
      <c r="L640" s="29">
        <f>IF(B640="Nữ",0,2)</f>
        <v>0</v>
      </c>
      <c r="M640" s="29">
        <f ca="1">IF(D640&lt;45,0,IF(D640&lt;=49,1,2))</f>
        <v>2</v>
      </c>
      <c r="N640" s="29">
        <f>IF(E640="Có",4,0)</f>
        <v>0</v>
      </c>
      <c r="O640" s="29">
        <f>IF(H640&lt;23,0,IF(H640&lt;27.5,3,5))</f>
        <v>3</v>
      </c>
      <c r="P640" s="29">
        <f>IF(OR(AND(B640="Nam",I640&gt;=90),AND(B640="Nữ",I640&gt;=80)),2,0)</f>
        <v>0</v>
      </c>
      <c r="Q640" s="29">
        <f>IF(OR(J640&gt;=140,K640&gt;=90),2,0)</f>
        <v>2</v>
      </c>
      <c r="R640" s="29">
        <f ca="1">SUM(L640:Q640)</f>
        <v>7</v>
      </c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5" t="s">
        <v>1393</v>
      </c>
      <c r="AE640" s="33"/>
      <c r="AF640" s="59" t="str">
        <f t="shared" si="28"/>
        <v>Không</v>
      </c>
      <c r="AG640" s="59" t="str">
        <f t="shared" si="29"/>
        <v>Không</v>
      </c>
      <c r="AH640" s="29" t="str">
        <f t="shared" ca="1" si="27"/>
        <v>Có</v>
      </c>
      <c r="AI640" s="29" t="str">
        <f ca="1">IF((R640)&gt;=6,"Có","Không")</f>
        <v>Có</v>
      </c>
      <c r="AJ640" s="29" t="str">
        <f>IF(OR(J640&gt;=140,K640&gt;=90),"Có","Không")</f>
        <v>Có</v>
      </c>
      <c r="AK640" s="5" t="s">
        <v>140</v>
      </c>
      <c r="AL640" s="32">
        <v>46142</v>
      </c>
      <c r="AM640" s="29" t="str">
        <f>"Tháng "&amp;MONTH(AL640)</f>
        <v>Tháng 4</v>
      </c>
      <c r="AN640" s="29" t="str">
        <f>LEFT(AK640,FIND(",",AK640)-1)</f>
        <v>Biển Tây A</v>
      </c>
    </row>
    <row r="641" spans="1:40" x14ac:dyDescent="0.25">
      <c r="A641" s="49" t="s">
        <v>225</v>
      </c>
      <c r="B641" s="5" t="s">
        <v>23</v>
      </c>
      <c r="C641" s="5" t="s">
        <v>50</v>
      </c>
      <c r="D641" s="29">
        <f ca="1">DATEDIF(C641,TODAY(),"Y")</f>
        <v>58</v>
      </c>
      <c r="E641" s="5" t="s">
        <v>26</v>
      </c>
      <c r="F641" s="30">
        <v>158</v>
      </c>
      <c r="G641" s="30">
        <v>58</v>
      </c>
      <c r="H641" s="31">
        <f>G641/((F641/100)*(F641/100))</f>
        <v>23.233456176894723</v>
      </c>
      <c r="I641" s="5">
        <v>90</v>
      </c>
      <c r="J641" s="30">
        <v>150</v>
      </c>
      <c r="K641" s="30">
        <v>80</v>
      </c>
      <c r="L641" s="29">
        <f>IF(B641="Nữ",0,2)</f>
        <v>0</v>
      </c>
      <c r="M641" s="29">
        <f ca="1">IF(D641&lt;45,0,IF(D641&lt;=49,1,2))</f>
        <v>2</v>
      </c>
      <c r="N641" s="29">
        <f>IF(E641="Có",4,0)</f>
        <v>0</v>
      </c>
      <c r="O641" s="29">
        <f>IF(H641&lt;23,0,IF(H641&lt;27.5,3,5))</f>
        <v>3</v>
      </c>
      <c r="P641" s="29">
        <f>IF(OR(AND(B641="Nam",I641&gt;=90),AND(B641="Nữ",I641&gt;=80)),2,0)</f>
        <v>2</v>
      </c>
      <c r="Q641" s="29">
        <f>IF(OR(J641&gt;=140,K641&gt;=90),2,0)</f>
        <v>2</v>
      </c>
      <c r="R641" s="29">
        <f ca="1">SUM(L641:Q641)</f>
        <v>9</v>
      </c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5" t="s">
        <v>1393</v>
      </c>
      <c r="AE641" s="33"/>
      <c r="AF641" s="59" t="str">
        <f t="shared" si="28"/>
        <v>Không</v>
      </c>
      <c r="AG641" s="59" t="str">
        <f t="shared" si="29"/>
        <v>Không</v>
      </c>
      <c r="AH641" s="29" t="str">
        <f t="shared" ca="1" si="27"/>
        <v>Có</v>
      </c>
      <c r="AI641" s="29" t="str">
        <f ca="1">IF((R641)&gt;=6,"Có","Không")</f>
        <v>Có</v>
      </c>
      <c r="AJ641" s="29" t="str">
        <f>IF(OR(J641&gt;=140,K641&gt;=90),"Có","Không")</f>
        <v>Có</v>
      </c>
      <c r="AK641" s="5" t="s">
        <v>149</v>
      </c>
      <c r="AL641" s="32">
        <v>46142</v>
      </c>
      <c r="AM641" s="29" t="str">
        <f>"Tháng "&amp;MONTH(AL641)</f>
        <v>Tháng 4</v>
      </c>
      <c r="AN641" s="29" t="str">
        <f>LEFT(AK641,FIND(",",AK641)-1)</f>
        <v>văn đức b</v>
      </c>
    </row>
    <row r="642" spans="1:40" x14ac:dyDescent="0.25">
      <c r="A642" s="49" t="s">
        <v>226</v>
      </c>
      <c r="B642" s="5" t="s">
        <v>23</v>
      </c>
      <c r="C642" s="5" t="s">
        <v>64</v>
      </c>
      <c r="D642" s="29">
        <f ca="1">DATEDIF(C642,TODAY(),"Y")</f>
        <v>42</v>
      </c>
      <c r="E642" s="5" t="s">
        <v>26</v>
      </c>
      <c r="F642" s="30">
        <v>158</v>
      </c>
      <c r="G642" s="30">
        <v>58</v>
      </c>
      <c r="H642" s="31">
        <f>G642/((F642/100)*(F642/100))</f>
        <v>23.233456176894723</v>
      </c>
      <c r="I642" s="5">
        <v>69</v>
      </c>
      <c r="J642" s="30">
        <v>120</v>
      </c>
      <c r="K642" s="30">
        <v>80</v>
      </c>
      <c r="L642" s="29">
        <f>IF(B642="Nữ",0,2)</f>
        <v>0</v>
      </c>
      <c r="M642" s="29">
        <f ca="1">IF(D642&lt;45,0,IF(D642&lt;=49,1,2))</f>
        <v>0</v>
      </c>
      <c r="N642" s="29">
        <f>IF(E642="Có",4,0)</f>
        <v>0</v>
      </c>
      <c r="O642" s="29">
        <f>IF(H642&lt;23,0,IF(H642&lt;27.5,3,5))</f>
        <v>3</v>
      </c>
      <c r="P642" s="29">
        <f>IF(OR(AND(B642="Nam",I642&gt;=90),AND(B642="Nữ",I642&gt;=80)),2,0)</f>
        <v>0</v>
      </c>
      <c r="Q642" s="29">
        <f>IF(OR(J642&gt;=140,K642&gt;=90),2,0)</f>
        <v>0</v>
      </c>
      <c r="R642" s="29">
        <f ca="1">SUM(L642:Q642)</f>
        <v>3</v>
      </c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5" t="s">
        <v>1393</v>
      </c>
      <c r="AE642" s="33"/>
      <c r="AF642" s="59" t="str">
        <f t="shared" si="28"/>
        <v>Không</v>
      </c>
      <c r="AG642" s="59" t="str">
        <f t="shared" si="29"/>
        <v>Không</v>
      </c>
      <c r="AH642" s="29" t="str">
        <f t="shared" ca="1" si="27"/>
        <v>Không</v>
      </c>
      <c r="AI642" s="29" t="str">
        <f ca="1">IF((R642)&gt;=6,"Có","Không")</f>
        <v>Không</v>
      </c>
      <c r="AJ642" s="29" t="str">
        <f>IF(OR(J642&gt;=140,K642&gt;=90),"Có","Không")</f>
        <v>Không</v>
      </c>
      <c r="AK642" s="5" t="s">
        <v>54</v>
      </c>
      <c r="AL642" s="32">
        <v>46142</v>
      </c>
      <c r="AM642" s="29" t="str">
        <f>"Tháng "&amp;MONTH(AL642)</f>
        <v>Tháng 4</v>
      </c>
      <c r="AN642" s="29" t="str">
        <f>LEFT(AK642,FIND(",",AK642)-1)</f>
        <v>Khóm 3</v>
      </c>
    </row>
    <row r="643" spans="1:40" x14ac:dyDescent="0.25">
      <c r="A643" s="49" t="s">
        <v>227</v>
      </c>
      <c r="B643" s="5" t="s">
        <v>23</v>
      </c>
      <c r="C643" s="5" t="s">
        <v>82</v>
      </c>
      <c r="D643" s="29">
        <f ca="1">DATEDIF(C643,TODAY(),"Y")</f>
        <v>73</v>
      </c>
      <c r="E643" s="5" t="s">
        <v>26</v>
      </c>
      <c r="F643" s="30">
        <v>158</v>
      </c>
      <c r="G643" s="30">
        <v>58</v>
      </c>
      <c r="H643" s="31">
        <f>G643/((F643/100)*(F643/100))</f>
        <v>23.233456176894723</v>
      </c>
      <c r="I643" s="5">
        <v>85</v>
      </c>
      <c r="J643" s="30">
        <v>150</v>
      </c>
      <c r="K643" s="30">
        <v>80</v>
      </c>
      <c r="L643" s="29">
        <f>IF(B643="Nữ",0,2)</f>
        <v>0</v>
      </c>
      <c r="M643" s="29">
        <f ca="1">IF(D643&lt;45,0,IF(D643&lt;=49,1,2))</f>
        <v>2</v>
      </c>
      <c r="N643" s="29">
        <f>IF(E643="Có",4,0)</f>
        <v>0</v>
      </c>
      <c r="O643" s="29">
        <f>IF(H643&lt;23,0,IF(H643&lt;27.5,3,5))</f>
        <v>3</v>
      </c>
      <c r="P643" s="29">
        <f>IF(OR(AND(B643="Nam",I643&gt;=90),AND(B643="Nữ",I643&gt;=80)),2,0)</f>
        <v>2</v>
      </c>
      <c r="Q643" s="29">
        <f>IF(OR(J643&gt;=140,K643&gt;=90),2,0)</f>
        <v>2</v>
      </c>
      <c r="R643" s="29">
        <f ca="1">SUM(L643:Q643)</f>
        <v>9</v>
      </c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5" t="s">
        <v>1393</v>
      </c>
      <c r="AE643" s="33"/>
      <c r="AF643" s="59" t="str">
        <f t="shared" si="28"/>
        <v>Không</v>
      </c>
      <c r="AG643" s="59" t="str">
        <f t="shared" si="29"/>
        <v>Không</v>
      </c>
      <c r="AH643" s="29" t="str">
        <f t="shared" ca="1" si="27"/>
        <v>Có</v>
      </c>
      <c r="AI643" s="29" t="str">
        <f ca="1">IF((R643)&gt;=6,"Có","Không")</f>
        <v>Có</v>
      </c>
      <c r="AJ643" s="29" t="str">
        <f>IF(OR(J643&gt;=140,K643&gt;=90),"Có","Không")</f>
        <v>Có</v>
      </c>
      <c r="AK643" s="5" t="s">
        <v>38</v>
      </c>
      <c r="AL643" s="32">
        <v>46142</v>
      </c>
      <c r="AM643" s="29" t="str">
        <f>"Tháng "&amp;MONTH(AL643)</f>
        <v>Tháng 4</v>
      </c>
      <c r="AN643" s="29" t="str">
        <f>LEFT(AK643,FIND(",",AK643)-1)</f>
        <v>Ấp Biển Đông B</v>
      </c>
    </row>
    <row r="644" spans="1:40" x14ac:dyDescent="0.25">
      <c r="A644" s="49" t="s">
        <v>235</v>
      </c>
      <c r="B644" s="5" t="s">
        <v>23</v>
      </c>
      <c r="C644" s="5" t="s">
        <v>133</v>
      </c>
      <c r="D644" s="29">
        <f ca="1">DATEDIF(C644,TODAY(),"Y")</f>
        <v>56</v>
      </c>
      <c r="E644" s="5" t="s">
        <v>25</v>
      </c>
      <c r="F644" s="30">
        <v>150</v>
      </c>
      <c r="G644" s="30">
        <v>58</v>
      </c>
      <c r="H644" s="31">
        <f>G644/((F644/100)*(F644/100))</f>
        <v>25.777777777777779</v>
      </c>
      <c r="I644" s="5">
        <v>67</v>
      </c>
      <c r="J644" s="30">
        <v>120</v>
      </c>
      <c r="K644" s="30">
        <v>80</v>
      </c>
      <c r="L644" s="29">
        <f>IF(B644="Nữ",0,2)</f>
        <v>0</v>
      </c>
      <c r="M644" s="29">
        <f ca="1">IF(D644&lt;45,0,IF(D644&lt;=49,1,2))</f>
        <v>2</v>
      </c>
      <c r="N644" s="29">
        <f>IF(E644="Có",4,0)</f>
        <v>4</v>
      </c>
      <c r="O644" s="29">
        <f>IF(H644&lt;23,0,IF(H644&lt;27.5,3,5))</f>
        <v>3</v>
      </c>
      <c r="P644" s="29">
        <f>IF(OR(AND(B644="Nam",I644&gt;=90),AND(B644="Nữ",I644&gt;=80)),2,0)</f>
        <v>0</v>
      </c>
      <c r="Q644" s="29">
        <f>IF(OR(J644&gt;=140,K644&gt;=90),2,0)</f>
        <v>0</v>
      </c>
      <c r="R644" s="29">
        <f ca="1">SUM(L644:Q644)</f>
        <v>9</v>
      </c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5" t="s">
        <v>1393</v>
      </c>
      <c r="AE644" s="33"/>
      <c r="AF644" s="59" t="str">
        <f t="shared" si="28"/>
        <v>Không</v>
      </c>
      <c r="AG644" s="59" t="str">
        <f t="shared" si="29"/>
        <v>Không</v>
      </c>
      <c r="AH644" s="29" t="str">
        <f t="shared" ref="AH644:AH707" ca="1" si="30">IF((R644)&gt;=6,"Có","Không")</f>
        <v>Có</v>
      </c>
      <c r="AI644" s="29" t="str">
        <f ca="1">IF((R644)&gt;=6,"Có","Không")</f>
        <v>Có</v>
      </c>
      <c r="AJ644" s="29" t="str">
        <f>IF(OR(J644&gt;=140,K644&gt;=90),"Có","Không")</f>
        <v>Không</v>
      </c>
      <c r="AK644" s="5" t="s">
        <v>91</v>
      </c>
      <c r="AL644" s="32">
        <v>46142</v>
      </c>
      <c r="AM644" s="29" t="str">
        <f>"Tháng "&amp;MONTH(AL644)</f>
        <v>Tháng 4</v>
      </c>
      <c r="AN644" s="29" t="str">
        <f>LEFT(AK644,FIND(",",AK644)-1)</f>
        <v>Ấp Giồng Giữa</v>
      </c>
    </row>
    <row r="645" spans="1:40" x14ac:dyDescent="0.25">
      <c r="A645" s="49" t="s">
        <v>236</v>
      </c>
      <c r="B645" s="5" t="s">
        <v>30</v>
      </c>
      <c r="C645" s="5" t="s">
        <v>64</v>
      </c>
      <c r="D645" s="29">
        <f ca="1">DATEDIF(C645,TODAY(),"Y")</f>
        <v>42</v>
      </c>
      <c r="E645" s="5" t="s">
        <v>26</v>
      </c>
      <c r="F645" s="30">
        <v>169</v>
      </c>
      <c r="G645" s="30">
        <v>58</v>
      </c>
      <c r="H645" s="31">
        <f>G645/((F645/100)*(F645/100))</f>
        <v>20.307412205454995</v>
      </c>
      <c r="I645" s="5">
        <v>84</v>
      </c>
      <c r="J645" s="30">
        <v>110</v>
      </c>
      <c r="K645" s="30">
        <v>80</v>
      </c>
      <c r="L645" s="29">
        <f>IF(B645="Nữ",0,2)</f>
        <v>2</v>
      </c>
      <c r="M645" s="29">
        <f ca="1">IF(D645&lt;45,0,IF(D645&lt;=49,1,2))</f>
        <v>0</v>
      </c>
      <c r="N645" s="29">
        <f>IF(E645="Có",4,0)</f>
        <v>0</v>
      </c>
      <c r="O645" s="29">
        <f>IF(H645&lt;23,0,IF(H645&lt;27.5,3,5))</f>
        <v>0</v>
      </c>
      <c r="P645" s="29">
        <f>IF(OR(AND(B645="Nam",I645&gt;=90),AND(B645="Nữ",I645&gt;=80)),2,0)</f>
        <v>0</v>
      </c>
      <c r="Q645" s="29">
        <f>IF(OR(J645&gt;=140,K645&gt;=90),2,0)</f>
        <v>0</v>
      </c>
      <c r="R645" s="29">
        <f ca="1">SUM(L645:Q645)</f>
        <v>2</v>
      </c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5" t="s">
        <v>1393</v>
      </c>
      <c r="AE645" s="33"/>
      <c r="AF645" s="59" t="str">
        <f t="shared" ref="AF645:AF708" si="31">IF(COUNTIF(S645:Z645,"X")&gt;=2,"Có","Không")</f>
        <v>Không</v>
      </c>
      <c r="AG645" s="59" t="str">
        <f t="shared" ref="AG645:AG708" si="32">IF(COUNTIF(AA645:AE645,"X")&gt;=3,"Có","Không")</f>
        <v>Không</v>
      </c>
      <c r="AH645" s="29" t="str">
        <f t="shared" ca="1" si="30"/>
        <v>Không</v>
      </c>
      <c r="AI645" s="29" t="str">
        <f ca="1">IF((R645)&gt;=6,"Có","Không")</f>
        <v>Không</v>
      </c>
      <c r="AJ645" s="29" t="str">
        <f>IF(OR(J645&gt;=140,K645&gt;=90),"Có","Không")</f>
        <v>Không</v>
      </c>
      <c r="AK645" s="5" t="s">
        <v>68</v>
      </c>
      <c r="AL645" s="32">
        <v>46142</v>
      </c>
      <c r="AM645" s="29" t="str">
        <f>"Tháng "&amp;MONTH(AL645)</f>
        <v>Tháng 4</v>
      </c>
      <c r="AN645" s="29" t="str">
        <f>LEFT(AK645,FIND(",",AK645)-1)</f>
        <v>Ấp Biển Tây B</v>
      </c>
    </row>
    <row r="646" spans="1:40" x14ac:dyDescent="0.25">
      <c r="A646" s="49" t="s">
        <v>237</v>
      </c>
      <c r="B646" s="5" t="s">
        <v>23</v>
      </c>
      <c r="C646" s="5" t="s">
        <v>53</v>
      </c>
      <c r="D646" s="29">
        <f ca="1">DATEDIF(C646,TODAY(),"Y")</f>
        <v>72</v>
      </c>
      <c r="E646" s="5" t="s">
        <v>26</v>
      </c>
      <c r="F646" s="30">
        <v>158</v>
      </c>
      <c r="G646" s="30">
        <v>58</v>
      </c>
      <c r="H646" s="31">
        <f>G646/((F646/100)*(F646/100))</f>
        <v>23.233456176894723</v>
      </c>
      <c r="I646" s="5">
        <v>82</v>
      </c>
      <c r="J646" s="30">
        <v>140</v>
      </c>
      <c r="K646" s="30">
        <v>80</v>
      </c>
      <c r="L646" s="29">
        <f>IF(B646="Nữ",0,2)</f>
        <v>0</v>
      </c>
      <c r="M646" s="29">
        <f ca="1">IF(D646&lt;45,0,IF(D646&lt;=49,1,2))</f>
        <v>2</v>
      </c>
      <c r="N646" s="29">
        <f>IF(E646="Có",4,0)</f>
        <v>0</v>
      </c>
      <c r="O646" s="29">
        <f>IF(H646&lt;23,0,IF(H646&lt;27.5,3,5))</f>
        <v>3</v>
      </c>
      <c r="P646" s="29">
        <f>IF(OR(AND(B646="Nam",I646&gt;=90),AND(B646="Nữ",I646&gt;=80)),2,0)</f>
        <v>2</v>
      </c>
      <c r="Q646" s="29">
        <f>IF(OR(J646&gt;=140,K646&gt;=90),2,0)</f>
        <v>2</v>
      </c>
      <c r="R646" s="29">
        <f ca="1">SUM(L646:Q646)</f>
        <v>9</v>
      </c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5" t="s">
        <v>1393</v>
      </c>
      <c r="AE646" s="33"/>
      <c r="AF646" s="59" t="str">
        <f t="shared" si="31"/>
        <v>Không</v>
      </c>
      <c r="AG646" s="59" t="str">
        <f t="shared" si="32"/>
        <v>Không</v>
      </c>
      <c r="AH646" s="29" t="str">
        <f t="shared" ca="1" si="30"/>
        <v>Có</v>
      </c>
      <c r="AI646" s="29" t="str">
        <f ca="1">IF((R646)&gt;=6,"Có","Không")</f>
        <v>Có</v>
      </c>
      <c r="AJ646" s="29" t="str">
        <f>IF(OR(J646&gt;=140,K646&gt;=90),"Có","Không")</f>
        <v>Có</v>
      </c>
      <c r="AK646" s="5" t="s">
        <v>51</v>
      </c>
      <c r="AL646" s="32">
        <v>46142</v>
      </c>
      <c r="AM646" s="29" t="str">
        <f>"Tháng "&amp;MONTH(AL646)</f>
        <v>Tháng 4</v>
      </c>
      <c r="AN646" s="29" t="str">
        <f>LEFT(AK646,FIND(",",AK646)-1)</f>
        <v>Phường Hiệp Thành</v>
      </c>
    </row>
    <row r="647" spans="1:40" x14ac:dyDescent="0.25">
      <c r="A647" s="49" t="s">
        <v>240</v>
      </c>
      <c r="B647" s="5" t="s">
        <v>30</v>
      </c>
      <c r="C647" s="5" t="s">
        <v>62</v>
      </c>
      <c r="D647" s="29">
        <f ca="1">DATEDIF(C647,TODAY(),"Y")</f>
        <v>64</v>
      </c>
      <c r="E647" s="5" t="s">
        <v>26</v>
      </c>
      <c r="F647" s="30">
        <v>169</v>
      </c>
      <c r="G647" s="30">
        <v>68</v>
      </c>
      <c r="H647" s="31">
        <f>G647/((F647/100)*(F647/100))</f>
        <v>23.808690171912751</v>
      </c>
      <c r="I647" s="5">
        <v>76</v>
      </c>
      <c r="J647" s="30">
        <v>150</v>
      </c>
      <c r="K647" s="30">
        <v>80</v>
      </c>
      <c r="L647" s="29">
        <f>IF(B647="Nữ",0,2)</f>
        <v>2</v>
      </c>
      <c r="M647" s="29">
        <f ca="1">IF(D647&lt;45,0,IF(D647&lt;=49,1,2))</f>
        <v>2</v>
      </c>
      <c r="N647" s="29">
        <f>IF(E647="Có",4,0)</f>
        <v>0</v>
      </c>
      <c r="O647" s="29">
        <f>IF(H647&lt;23,0,IF(H647&lt;27.5,3,5))</f>
        <v>3</v>
      </c>
      <c r="P647" s="29">
        <f>IF(OR(AND(B647="Nam",I647&gt;=90),AND(B647="Nữ",I647&gt;=80)),2,0)</f>
        <v>0</v>
      </c>
      <c r="Q647" s="29">
        <f>IF(OR(J647&gt;=140,K647&gt;=90),2,0)</f>
        <v>2</v>
      </c>
      <c r="R647" s="29">
        <f ca="1">SUM(L647:Q647)</f>
        <v>9</v>
      </c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5" t="s">
        <v>1393</v>
      </c>
      <c r="AE647" s="33"/>
      <c r="AF647" s="59" t="str">
        <f t="shared" si="31"/>
        <v>Không</v>
      </c>
      <c r="AG647" s="59" t="str">
        <f t="shared" si="32"/>
        <v>Không</v>
      </c>
      <c r="AH647" s="29" t="str">
        <f t="shared" ca="1" si="30"/>
        <v>Có</v>
      </c>
      <c r="AI647" s="29" t="str">
        <f ca="1">IF((R647)&gt;=6,"Có","Không")</f>
        <v>Có</v>
      </c>
      <c r="AJ647" s="29" t="str">
        <f>IF(OR(J647&gt;=140,K647&gt;=90),"Có","Không")</f>
        <v>Có</v>
      </c>
      <c r="AK647" s="5" t="s">
        <v>70</v>
      </c>
      <c r="AL647" s="32">
        <v>46142</v>
      </c>
      <c r="AM647" s="29" t="str">
        <f>"Tháng "&amp;MONTH(AL647)</f>
        <v>Tháng 4</v>
      </c>
      <c r="AN647" s="29" t="str">
        <f>LEFT(AK647,FIND(",",AK647)-1)</f>
        <v>Ấp Biển Tây A</v>
      </c>
    </row>
    <row r="648" spans="1:40" x14ac:dyDescent="0.25">
      <c r="A648" s="49" t="s">
        <v>241</v>
      </c>
      <c r="B648" s="5" t="s">
        <v>23</v>
      </c>
      <c r="C648" s="5" t="s">
        <v>93</v>
      </c>
      <c r="D648" s="29">
        <f ca="1">DATEDIF(C648,TODAY(),"Y")</f>
        <v>66</v>
      </c>
      <c r="E648" s="5" t="s">
        <v>26</v>
      </c>
      <c r="F648" s="30">
        <v>158</v>
      </c>
      <c r="G648" s="30">
        <v>58</v>
      </c>
      <c r="H648" s="31">
        <f>G648/((F648/100)*(F648/100))</f>
        <v>23.233456176894723</v>
      </c>
      <c r="I648" s="5">
        <v>88</v>
      </c>
      <c r="J648" s="30">
        <v>140</v>
      </c>
      <c r="K648" s="30">
        <v>80</v>
      </c>
      <c r="L648" s="29">
        <f>IF(B648="Nữ",0,2)</f>
        <v>0</v>
      </c>
      <c r="M648" s="29">
        <f ca="1">IF(D648&lt;45,0,IF(D648&lt;=49,1,2))</f>
        <v>2</v>
      </c>
      <c r="N648" s="29">
        <f>IF(E648="Có",4,0)</f>
        <v>0</v>
      </c>
      <c r="O648" s="29">
        <f>IF(H648&lt;23,0,IF(H648&lt;27.5,3,5))</f>
        <v>3</v>
      </c>
      <c r="P648" s="29">
        <f>IF(OR(AND(B648="Nam",I648&gt;=90),AND(B648="Nữ",I648&gt;=80)),2,0)</f>
        <v>2</v>
      </c>
      <c r="Q648" s="29">
        <f>IF(OR(J648&gt;=140,K648&gt;=90),2,0)</f>
        <v>2</v>
      </c>
      <c r="R648" s="29">
        <f ca="1">SUM(L648:Q648)</f>
        <v>9</v>
      </c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5" t="s">
        <v>1393</v>
      </c>
      <c r="AE648" s="33"/>
      <c r="AF648" s="59" t="str">
        <f t="shared" si="31"/>
        <v>Không</v>
      </c>
      <c r="AG648" s="59" t="str">
        <f t="shared" si="32"/>
        <v>Không</v>
      </c>
      <c r="AH648" s="29" t="str">
        <f t="shared" ca="1" si="30"/>
        <v>Có</v>
      </c>
      <c r="AI648" s="29" t="str">
        <f ca="1">IF((R648)&gt;=6,"Có","Không")</f>
        <v>Có</v>
      </c>
      <c r="AJ648" s="29" t="str">
        <f>IF(OR(J648&gt;=140,K648&gt;=90),"Có","Không")</f>
        <v>Có</v>
      </c>
      <c r="AK648" s="5" t="s">
        <v>65</v>
      </c>
      <c r="AL648" s="32">
        <v>46142</v>
      </c>
      <c r="AM648" s="29" t="str">
        <f>"Tháng "&amp;MONTH(AL648)</f>
        <v>Tháng 4</v>
      </c>
      <c r="AN648" s="29" t="str">
        <f>LEFT(AK648,FIND(",",AK648)-1)</f>
        <v>Biển Tây B</v>
      </c>
    </row>
    <row r="649" spans="1:40" x14ac:dyDescent="0.25">
      <c r="A649" s="49" t="s">
        <v>242</v>
      </c>
      <c r="B649" s="5" t="s">
        <v>30</v>
      </c>
      <c r="C649" s="5" t="s">
        <v>67</v>
      </c>
      <c r="D649" s="29">
        <f ca="1">DATEDIF(C649,TODAY(),"Y")</f>
        <v>48</v>
      </c>
      <c r="E649" s="5" t="s">
        <v>26</v>
      </c>
      <c r="F649" s="30">
        <v>169</v>
      </c>
      <c r="G649" s="30">
        <v>68</v>
      </c>
      <c r="H649" s="31">
        <f>G649/((F649/100)*(F649/100))</f>
        <v>23.808690171912751</v>
      </c>
      <c r="I649" s="5">
        <v>95</v>
      </c>
      <c r="J649" s="30">
        <v>130</v>
      </c>
      <c r="K649" s="30">
        <v>80</v>
      </c>
      <c r="L649" s="29">
        <f>IF(B649="Nữ",0,2)</f>
        <v>2</v>
      </c>
      <c r="M649" s="29">
        <f ca="1">IF(D649&lt;45,0,IF(D649&lt;=49,1,2))</f>
        <v>1</v>
      </c>
      <c r="N649" s="29">
        <f>IF(E649="Có",4,0)</f>
        <v>0</v>
      </c>
      <c r="O649" s="29">
        <f>IF(H649&lt;23,0,IF(H649&lt;27.5,3,5))</f>
        <v>3</v>
      </c>
      <c r="P649" s="29">
        <f>IF(OR(AND(B649="Nam",I649&gt;=90),AND(B649="Nữ",I649&gt;=80)),2,0)</f>
        <v>2</v>
      </c>
      <c r="Q649" s="29">
        <f>IF(OR(J649&gt;=140,K649&gt;=90),2,0)</f>
        <v>0</v>
      </c>
      <c r="R649" s="29">
        <f ca="1">SUM(L649:Q649)</f>
        <v>8</v>
      </c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5" t="s">
        <v>1393</v>
      </c>
      <c r="AE649" s="33"/>
      <c r="AF649" s="59" t="str">
        <f t="shared" si="31"/>
        <v>Không</v>
      </c>
      <c r="AG649" s="59" t="str">
        <f t="shared" si="32"/>
        <v>Không</v>
      </c>
      <c r="AH649" s="29" t="str">
        <f t="shared" ca="1" si="30"/>
        <v>Có</v>
      </c>
      <c r="AI649" s="29" t="str">
        <f ca="1">IF((R649)&gt;=6,"Có","Không")</f>
        <v>Có</v>
      </c>
      <c r="AJ649" s="29" t="str">
        <f>IF(OR(J649&gt;=140,K649&gt;=90),"Có","Không")</f>
        <v>Không</v>
      </c>
      <c r="AK649" s="5" t="s">
        <v>243</v>
      </c>
      <c r="AL649" s="32">
        <v>46142</v>
      </c>
      <c r="AM649" s="29" t="str">
        <f>"Tháng "&amp;MONTH(AL649)</f>
        <v>Tháng 4</v>
      </c>
      <c r="AN649" s="29" t="str">
        <f>LEFT(AK649,FIND(",",AK649)-1)</f>
        <v>ấp Giồng Giữa B</v>
      </c>
    </row>
    <row r="650" spans="1:40" x14ac:dyDescent="0.25">
      <c r="A650" s="49" t="s">
        <v>244</v>
      </c>
      <c r="B650" s="5" t="s">
        <v>30</v>
      </c>
      <c r="C650" s="5" t="s">
        <v>76</v>
      </c>
      <c r="D650" s="29">
        <f ca="1">DATEDIF(C650,TODAY(),"Y")</f>
        <v>68</v>
      </c>
      <c r="E650" s="5" t="s">
        <v>25</v>
      </c>
      <c r="F650" s="30">
        <v>169</v>
      </c>
      <c r="G650" s="30">
        <v>68</v>
      </c>
      <c r="H650" s="31">
        <f>G650/((F650/100)*(F650/100))</f>
        <v>23.808690171912751</v>
      </c>
      <c r="I650" s="5">
        <v>88</v>
      </c>
      <c r="J650" s="30">
        <v>130</v>
      </c>
      <c r="K650" s="30">
        <v>80</v>
      </c>
      <c r="L650" s="29">
        <f>IF(B650="Nữ",0,2)</f>
        <v>2</v>
      </c>
      <c r="M650" s="29">
        <f ca="1">IF(D650&lt;45,0,IF(D650&lt;=49,1,2))</f>
        <v>2</v>
      </c>
      <c r="N650" s="29">
        <f>IF(E650="Có",4,0)</f>
        <v>4</v>
      </c>
      <c r="O650" s="29">
        <f>IF(H650&lt;23,0,IF(H650&lt;27.5,3,5))</f>
        <v>3</v>
      </c>
      <c r="P650" s="29">
        <f>IF(OR(AND(B650="Nam",I650&gt;=90),AND(B650="Nữ",I650&gt;=80)),2,0)</f>
        <v>0</v>
      </c>
      <c r="Q650" s="29">
        <f>IF(OR(J650&gt;=140,K650&gt;=90),2,0)</f>
        <v>0</v>
      </c>
      <c r="R650" s="29">
        <f ca="1">SUM(L650:Q650)</f>
        <v>11</v>
      </c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5" t="s">
        <v>1393</v>
      </c>
      <c r="AE650" s="33"/>
      <c r="AF650" s="59" t="str">
        <f t="shared" si="31"/>
        <v>Không</v>
      </c>
      <c r="AG650" s="59" t="str">
        <f t="shared" si="32"/>
        <v>Không</v>
      </c>
      <c r="AH650" s="29" t="str">
        <f t="shared" ca="1" si="30"/>
        <v>Có</v>
      </c>
      <c r="AI650" s="29" t="str">
        <f ca="1">IF((R650)&gt;=6,"Có","Không")</f>
        <v>Có</v>
      </c>
      <c r="AJ650" s="29" t="str">
        <f>IF(OR(J650&gt;=140,K650&gt;=90),"Có","Không")</f>
        <v>Không</v>
      </c>
      <c r="AK650" s="5" t="s">
        <v>68</v>
      </c>
      <c r="AL650" s="32">
        <v>46142</v>
      </c>
      <c r="AM650" s="29" t="str">
        <f>"Tháng "&amp;MONTH(AL650)</f>
        <v>Tháng 4</v>
      </c>
      <c r="AN650" s="29" t="str">
        <f>LEFT(AK650,FIND(",",AK650)-1)</f>
        <v>Ấp Biển Tây B</v>
      </c>
    </row>
    <row r="651" spans="1:40" x14ac:dyDescent="0.25">
      <c r="A651" s="49" t="s">
        <v>245</v>
      </c>
      <c r="B651" s="5" t="s">
        <v>23</v>
      </c>
      <c r="C651" s="5" t="s">
        <v>59</v>
      </c>
      <c r="D651" s="29">
        <f ca="1">DATEDIF(C651,TODAY(),"Y")</f>
        <v>74</v>
      </c>
      <c r="E651" s="5" t="s">
        <v>26</v>
      </c>
      <c r="F651" s="30">
        <v>158</v>
      </c>
      <c r="G651" s="30">
        <v>58</v>
      </c>
      <c r="H651" s="31">
        <f>G651/((F651/100)*(F651/100))</f>
        <v>23.233456176894723</v>
      </c>
      <c r="I651" s="5">
        <v>66</v>
      </c>
      <c r="J651" s="30">
        <v>120</v>
      </c>
      <c r="K651" s="30">
        <v>80</v>
      </c>
      <c r="L651" s="29">
        <f>IF(B651="Nữ",0,2)</f>
        <v>0</v>
      </c>
      <c r="M651" s="29">
        <f ca="1">IF(D651&lt;45,0,IF(D651&lt;=49,1,2))</f>
        <v>2</v>
      </c>
      <c r="N651" s="29">
        <f>IF(E651="Có",4,0)</f>
        <v>0</v>
      </c>
      <c r="O651" s="29">
        <f>IF(H651&lt;23,0,IF(H651&lt;27.5,3,5))</f>
        <v>3</v>
      </c>
      <c r="P651" s="29">
        <f>IF(OR(AND(B651="Nam",I651&gt;=90),AND(B651="Nữ",I651&gt;=80)),2,0)</f>
        <v>0</v>
      </c>
      <c r="Q651" s="29">
        <f>IF(OR(J651&gt;=140,K651&gt;=90),2,0)</f>
        <v>0</v>
      </c>
      <c r="R651" s="29">
        <f ca="1">SUM(L651:Q651)</f>
        <v>5</v>
      </c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5" t="s">
        <v>1393</v>
      </c>
      <c r="AE651" s="33"/>
      <c r="AF651" s="59" t="str">
        <f t="shared" si="31"/>
        <v>Không</v>
      </c>
      <c r="AG651" s="59" t="str">
        <f t="shared" si="32"/>
        <v>Không</v>
      </c>
      <c r="AH651" s="29" t="str">
        <f t="shared" ca="1" si="30"/>
        <v>Không</v>
      </c>
      <c r="AI651" s="29" t="str">
        <f ca="1">IF((R651)&gt;=6,"Có","Không")</f>
        <v>Không</v>
      </c>
      <c r="AJ651" s="29" t="str">
        <f>IF(OR(J651&gt;=140,K651&gt;=90),"Có","Không")</f>
        <v>Không</v>
      </c>
      <c r="AK651" s="5" t="s">
        <v>246</v>
      </c>
      <c r="AL651" s="32">
        <v>46142</v>
      </c>
      <c r="AM651" s="29" t="str">
        <f>"Tháng "&amp;MONTH(AL651)</f>
        <v>Tháng 4</v>
      </c>
      <c r="AN651" s="29" t="str">
        <f>LEFT(AK651,FIND(",",AK651)-1)</f>
        <v>ấp Biển Tây B</v>
      </c>
    </row>
    <row r="652" spans="1:40" x14ac:dyDescent="0.25">
      <c r="A652" s="49" t="s">
        <v>247</v>
      </c>
      <c r="B652" s="5" t="s">
        <v>30</v>
      </c>
      <c r="C652" s="5" t="s">
        <v>40</v>
      </c>
      <c r="D652" s="29">
        <f ca="1">DATEDIF(C652,TODAY(),"Y")</f>
        <v>70</v>
      </c>
      <c r="E652" s="5" t="s">
        <v>25</v>
      </c>
      <c r="F652" s="30">
        <v>169</v>
      </c>
      <c r="G652" s="30">
        <v>68</v>
      </c>
      <c r="H652" s="31">
        <f>G652/((F652/100)*(F652/100))</f>
        <v>23.808690171912751</v>
      </c>
      <c r="I652" s="5">
        <v>96</v>
      </c>
      <c r="J652" s="30">
        <v>140</v>
      </c>
      <c r="K652" s="30">
        <v>80</v>
      </c>
      <c r="L652" s="29">
        <f>IF(B652="Nữ",0,2)</f>
        <v>2</v>
      </c>
      <c r="M652" s="29">
        <f ca="1">IF(D652&lt;45,0,IF(D652&lt;=49,1,2))</f>
        <v>2</v>
      </c>
      <c r="N652" s="29">
        <f>IF(E652="Có",4,0)</f>
        <v>4</v>
      </c>
      <c r="O652" s="29">
        <f>IF(H652&lt;23,0,IF(H652&lt;27.5,3,5))</f>
        <v>3</v>
      </c>
      <c r="P652" s="29">
        <f>IF(OR(AND(B652="Nam",I652&gt;=90),AND(B652="Nữ",I652&gt;=80)),2,0)</f>
        <v>2</v>
      </c>
      <c r="Q652" s="29">
        <f>IF(OR(J652&gt;=140,K652&gt;=90),2,0)</f>
        <v>2</v>
      </c>
      <c r="R652" s="29">
        <f ca="1">SUM(L652:Q652)</f>
        <v>15</v>
      </c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5" t="s">
        <v>1393</v>
      </c>
      <c r="AE652" s="33"/>
      <c r="AF652" s="59" t="str">
        <f t="shared" si="31"/>
        <v>Không</v>
      </c>
      <c r="AG652" s="59" t="str">
        <f t="shared" si="32"/>
        <v>Không</v>
      </c>
      <c r="AH652" s="29" t="str">
        <f t="shared" ca="1" si="30"/>
        <v>Có</v>
      </c>
      <c r="AI652" s="29" t="str">
        <f ca="1">IF((R652)&gt;=6,"Có","Không")</f>
        <v>Có</v>
      </c>
      <c r="AJ652" s="29" t="str">
        <f>IF(OR(J652&gt;=140,K652&gt;=90),"Có","Không")</f>
        <v>Có</v>
      </c>
      <c r="AK652" s="5" t="s">
        <v>48</v>
      </c>
      <c r="AL652" s="32">
        <v>46142</v>
      </c>
      <c r="AM652" s="29" t="str">
        <f>"Tháng "&amp;MONTH(AL652)</f>
        <v>Tháng 4</v>
      </c>
      <c r="AN652" s="29" t="str">
        <f>LEFT(AK652,FIND(",",AK652)-1)</f>
        <v>ấp Giồng Giữa A</v>
      </c>
    </row>
    <row r="653" spans="1:40" x14ac:dyDescent="0.25">
      <c r="A653" s="49" t="s">
        <v>249</v>
      </c>
      <c r="B653" s="5" t="s">
        <v>30</v>
      </c>
      <c r="C653" s="5" t="s">
        <v>105</v>
      </c>
      <c r="D653" s="29">
        <f ca="1">DATEDIF(C653,TODAY(),"Y")</f>
        <v>60</v>
      </c>
      <c r="E653" s="5" t="s">
        <v>26</v>
      </c>
      <c r="F653" s="30">
        <v>169</v>
      </c>
      <c r="G653" s="30">
        <v>68</v>
      </c>
      <c r="H653" s="31">
        <f>G653/((F653/100)*(F653/100))</f>
        <v>23.808690171912751</v>
      </c>
      <c r="I653" s="5">
        <v>99</v>
      </c>
      <c r="J653" s="30">
        <v>120</v>
      </c>
      <c r="K653" s="30">
        <v>80</v>
      </c>
      <c r="L653" s="29">
        <f>IF(B653="Nữ",0,2)</f>
        <v>2</v>
      </c>
      <c r="M653" s="29">
        <f ca="1">IF(D653&lt;45,0,IF(D653&lt;=49,1,2))</f>
        <v>2</v>
      </c>
      <c r="N653" s="29">
        <f>IF(E653="Có",4,0)</f>
        <v>0</v>
      </c>
      <c r="O653" s="29">
        <f>IF(H653&lt;23,0,IF(H653&lt;27.5,3,5))</f>
        <v>3</v>
      </c>
      <c r="P653" s="29">
        <f>IF(OR(AND(B653="Nam",I653&gt;=90),AND(B653="Nữ",I653&gt;=80)),2,0)</f>
        <v>2</v>
      </c>
      <c r="Q653" s="29">
        <f>IF(OR(J653&gt;=140,K653&gt;=90),2,0)</f>
        <v>0</v>
      </c>
      <c r="R653" s="29">
        <f ca="1">SUM(L653:Q653)</f>
        <v>9</v>
      </c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5" t="s">
        <v>1393</v>
      </c>
      <c r="AE653" s="33"/>
      <c r="AF653" s="59" t="str">
        <f t="shared" si="31"/>
        <v>Không</v>
      </c>
      <c r="AG653" s="59" t="str">
        <f t="shared" si="32"/>
        <v>Không</v>
      </c>
      <c r="AH653" s="29" t="str">
        <f t="shared" ca="1" si="30"/>
        <v>Có</v>
      </c>
      <c r="AI653" s="29" t="str">
        <f ca="1">IF((R653)&gt;=6,"Có","Không")</f>
        <v>Có</v>
      </c>
      <c r="AJ653" s="29" t="str">
        <f>IF(OR(J653&gt;=140,K653&gt;=90),"Có","Không")</f>
        <v>Không</v>
      </c>
      <c r="AK653" s="5" t="s">
        <v>32</v>
      </c>
      <c r="AL653" s="32">
        <v>46142</v>
      </c>
      <c r="AM653" s="29" t="str">
        <f>"Tháng "&amp;MONTH(AL653)</f>
        <v>Tháng 4</v>
      </c>
      <c r="AN653" s="29" t="str">
        <f>LEFT(AK653,FIND(",",AK653)-1)</f>
        <v>Ấp Giồng Giữa B</v>
      </c>
    </row>
    <row r="654" spans="1:40" x14ac:dyDescent="0.25">
      <c r="A654" s="49" t="s">
        <v>252</v>
      </c>
      <c r="B654" s="5" t="s">
        <v>23</v>
      </c>
      <c r="C654" s="5" t="s">
        <v>110</v>
      </c>
      <c r="D654" s="29">
        <f ca="1">DATEDIF(C654,TODAY(),"Y")</f>
        <v>62</v>
      </c>
      <c r="E654" s="5" t="s">
        <v>26</v>
      </c>
      <c r="F654" s="30">
        <v>158</v>
      </c>
      <c r="G654" s="30">
        <v>58</v>
      </c>
      <c r="H654" s="31">
        <f>G654/((F654/100)*(F654/100))</f>
        <v>23.233456176894723</v>
      </c>
      <c r="I654" s="5">
        <v>84</v>
      </c>
      <c r="J654" s="30">
        <v>130</v>
      </c>
      <c r="K654" s="30">
        <v>80</v>
      </c>
      <c r="L654" s="29">
        <f>IF(B654="Nữ",0,2)</f>
        <v>0</v>
      </c>
      <c r="M654" s="29">
        <f ca="1">IF(D654&lt;45,0,IF(D654&lt;=49,1,2))</f>
        <v>2</v>
      </c>
      <c r="N654" s="29">
        <f>IF(E654="Có",4,0)</f>
        <v>0</v>
      </c>
      <c r="O654" s="29">
        <f>IF(H654&lt;23,0,IF(H654&lt;27.5,3,5))</f>
        <v>3</v>
      </c>
      <c r="P654" s="29">
        <f>IF(OR(AND(B654="Nam",I654&gt;=90),AND(B654="Nữ",I654&gt;=80)),2,0)</f>
        <v>2</v>
      </c>
      <c r="Q654" s="29">
        <f>IF(OR(J654&gt;=140,K654&gt;=90),2,0)</f>
        <v>0</v>
      </c>
      <c r="R654" s="29">
        <f ca="1">SUM(L654:Q654)</f>
        <v>7</v>
      </c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5" t="s">
        <v>1393</v>
      </c>
      <c r="AE654" s="33"/>
      <c r="AF654" s="59" t="str">
        <f t="shared" si="31"/>
        <v>Không</v>
      </c>
      <c r="AG654" s="59" t="str">
        <f t="shared" si="32"/>
        <v>Không</v>
      </c>
      <c r="AH654" s="29" t="str">
        <f t="shared" ca="1" si="30"/>
        <v>Có</v>
      </c>
      <c r="AI654" s="29" t="str">
        <f ca="1">IF((R654)&gt;=6,"Có","Không")</f>
        <v>Có</v>
      </c>
      <c r="AJ654" s="29" t="str">
        <f>IF(OR(J654&gt;=140,K654&gt;=90),"Có","Không")</f>
        <v>Không</v>
      </c>
      <c r="AK654" s="5" t="s">
        <v>32</v>
      </c>
      <c r="AL654" s="32">
        <v>46142</v>
      </c>
      <c r="AM654" s="29" t="str">
        <f>"Tháng "&amp;MONTH(AL654)</f>
        <v>Tháng 4</v>
      </c>
      <c r="AN654" s="29" t="str">
        <f>LEFT(AK654,FIND(",",AK654)-1)</f>
        <v>Ấp Giồng Giữa B</v>
      </c>
    </row>
    <row r="655" spans="1:40" x14ac:dyDescent="0.25">
      <c r="A655" s="49" t="s">
        <v>253</v>
      </c>
      <c r="B655" s="5" t="s">
        <v>23</v>
      </c>
      <c r="C655" s="5" t="s">
        <v>188</v>
      </c>
      <c r="D655" s="29">
        <f ca="1">DATEDIF(C655,TODAY(),"Y")</f>
        <v>63</v>
      </c>
      <c r="E655" s="5" t="s">
        <v>26</v>
      </c>
      <c r="F655" s="30">
        <v>158</v>
      </c>
      <c r="G655" s="30">
        <v>58</v>
      </c>
      <c r="H655" s="31">
        <f>G655/((F655/100)*(F655/100))</f>
        <v>23.233456176894723</v>
      </c>
      <c r="I655" s="5">
        <v>66</v>
      </c>
      <c r="J655" s="30">
        <v>130</v>
      </c>
      <c r="K655" s="30">
        <v>80</v>
      </c>
      <c r="L655" s="29">
        <f>IF(B655="Nữ",0,2)</f>
        <v>0</v>
      </c>
      <c r="M655" s="29">
        <f ca="1">IF(D655&lt;45,0,IF(D655&lt;=49,1,2))</f>
        <v>2</v>
      </c>
      <c r="N655" s="29">
        <f>IF(E655="Có",4,0)</f>
        <v>0</v>
      </c>
      <c r="O655" s="29">
        <f>IF(H655&lt;23,0,IF(H655&lt;27.5,3,5))</f>
        <v>3</v>
      </c>
      <c r="P655" s="29">
        <f>IF(OR(AND(B655="Nam",I655&gt;=90),AND(B655="Nữ",I655&gt;=80)),2,0)</f>
        <v>0</v>
      </c>
      <c r="Q655" s="29">
        <f>IF(OR(J655&gt;=140,K655&gt;=90),2,0)</f>
        <v>0</v>
      </c>
      <c r="R655" s="29">
        <f ca="1">SUM(L655:Q655)</f>
        <v>5</v>
      </c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5" t="s">
        <v>1393</v>
      </c>
      <c r="AE655" s="33"/>
      <c r="AF655" s="59" t="str">
        <f t="shared" si="31"/>
        <v>Không</v>
      </c>
      <c r="AG655" s="59" t="str">
        <f t="shared" si="32"/>
        <v>Không</v>
      </c>
      <c r="AH655" s="29" t="str">
        <f t="shared" ca="1" si="30"/>
        <v>Không</v>
      </c>
      <c r="AI655" s="29" t="str">
        <f ca="1">IF((R655)&gt;=6,"Có","Không")</f>
        <v>Không</v>
      </c>
      <c r="AJ655" s="29" t="str">
        <f>IF(OR(J655&gt;=140,K655&gt;=90),"Có","Không")</f>
        <v>Không</v>
      </c>
      <c r="AK655" s="5" t="s">
        <v>254</v>
      </c>
      <c r="AL655" s="32">
        <v>46142</v>
      </c>
      <c r="AM655" s="29" t="str">
        <f>"Tháng "&amp;MONTH(AL655)</f>
        <v>Tháng 4</v>
      </c>
      <c r="AN655" s="29" t="e">
        <f>LEFT(AK655,FIND(",",AK655)-1)</f>
        <v>#VALUE!</v>
      </c>
    </row>
    <row r="656" spans="1:40" x14ac:dyDescent="0.25">
      <c r="A656" s="49" t="s">
        <v>255</v>
      </c>
      <c r="B656" s="5" t="s">
        <v>23</v>
      </c>
      <c r="C656" s="5" t="s">
        <v>256</v>
      </c>
      <c r="D656" s="29">
        <f ca="1">DATEDIF(C656,TODAY(),"Y")</f>
        <v>41</v>
      </c>
      <c r="E656" s="5" t="s">
        <v>26</v>
      </c>
      <c r="F656" s="30">
        <v>160</v>
      </c>
      <c r="G656" s="30">
        <v>60</v>
      </c>
      <c r="H656" s="31">
        <f>G656/((F656/100)*(F656/100))</f>
        <v>23.437499999999996</v>
      </c>
      <c r="I656" s="5">
        <v>70</v>
      </c>
      <c r="J656" s="30">
        <v>120</v>
      </c>
      <c r="K656" s="30">
        <v>70</v>
      </c>
      <c r="L656" s="29">
        <f>IF(B656="Nữ",0,2)</f>
        <v>0</v>
      </c>
      <c r="M656" s="29">
        <f ca="1">IF(D656&lt;45,0,IF(D656&lt;=49,1,2))</f>
        <v>0</v>
      </c>
      <c r="N656" s="29">
        <f>IF(E656="Có",4,0)</f>
        <v>0</v>
      </c>
      <c r="O656" s="29">
        <f>IF(H656&lt;23,0,IF(H656&lt;27.5,3,5))</f>
        <v>3</v>
      </c>
      <c r="P656" s="29">
        <f>IF(OR(AND(B656="Nam",I656&gt;=90),AND(B656="Nữ",I656&gt;=80)),2,0)</f>
        <v>0</v>
      </c>
      <c r="Q656" s="29">
        <f>IF(OR(J656&gt;=140,K656&gt;=90),2,0)</f>
        <v>0</v>
      </c>
      <c r="R656" s="29">
        <f ca="1">SUM(L656:Q656)</f>
        <v>3</v>
      </c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5" t="s">
        <v>1393</v>
      </c>
      <c r="AE656" s="33"/>
      <c r="AF656" s="59" t="str">
        <f t="shared" si="31"/>
        <v>Không</v>
      </c>
      <c r="AG656" s="59" t="str">
        <f t="shared" si="32"/>
        <v>Không</v>
      </c>
      <c r="AH656" s="29" t="str">
        <f t="shared" ca="1" si="30"/>
        <v>Không</v>
      </c>
      <c r="AI656" s="29" t="str">
        <f ca="1">IF((R656)&gt;=6,"Có","Không")</f>
        <v>Không</v>
      </c>
      <c r="AJ656" s="29" t="str">
        <f>IF(OR(J656&gt;=140,K656&gt;=90),"Có","Không")</f>
        <v>Không</v>
      </c>
      <c r="AK656" s="5" t="s">
        <v>257</v>
      </c>
      <c r="AL656" s="32">
        <v>46142</v>
      </c>
      <c r="AM656" s="29" t="str">
        <f>"Tháng "&amp;MONTH(AL656)</f>
        <v>Tháng 4</v>
      </c>
      <c r="AN656" s="29" t="str">
        <f>LEFT(AK656,FIND(",",AK656)-1)</f>
        <v>Cây Thẻ</v>
      </c>
    </row>
    <row r="657" spans="1:40" x14ac:dyDescent="0.25">
      <c r="A657" s="49" t="s">
        <v>258</v>
      </c>
      <c r="B657" s="5" t="s">
        <v>30</v>
      </c>
      <c r="C657" s="5" t="s">
        <v>130</v>
      </c>
      <c r="D657" s="29">
        <f ca="1">DATEDIF(C657,TODAY(),"Y")</f>
        <v>57</v>
      </c>
      <c r="E657" s="5" t="s">
        <v>26</v>
      </c>
      <c r="F657" s="30">
        <v>172</v>
      </c>
      <c r="G657" s="30">
        <v>86</v>
      </c>
      <c r="H657" s="31">
        <f>G657/((F657/100)*(F657/100))</f>
        <v>29.069767441860467</v>
      </c>
      <c r="I657" s="5">
        <v>93</v>
      </c>
      <c r="J657" s="30">
        <v>130</v>
      </c>
      <c r="K657" s="30">
        <v>80</v>
      </c>
      <c r="L657" s="29">
        <f>IF(B657="Nữ",0,2)</f>
        <v>2</v>
      </c>
      <c r="M657" s="29">
        <f ca="1">IF(D657&lt;45,0,IF(D657&lt;=49,1,2))</f>
        <v>2</v>
      </c>
      <c r="N657" s="29">
        <f>IF(E657="Có",4,0)</f>
        <v>0</v>
      </c>
      <c r="O657" s="29">
        <f>IF(H657&lt;23,0,IF(H657&lt;27.5,3,5))</f>
        <v>5</v>
      </c>
      <c r="P657" s="29">
        <f>IF(OR(AND(B657="Nam",I657&gt;=90),AND(B657="Nữ",I657&gt;=80)),2,0)</f>
        <v>2</v>
      </c>
      <c r="Q657" s="29">
        <f>IF(OR(J657&gt;=140,K657&gt;=90),2,0)</f>
        <v>0</v>
      </c>
      <c r="R657" s="29">
        <f ca="1">SUM(L657:Q657)</f>
        <v>11</v>
      </c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5" t="s">
        <v>1393</v>
      </c>
      <c r="AE657" s="33"/>
      <c r="AF657" s="59" t="str">
        <f t="shared" si="31"/>
        <v>Không</v>
      </c>
      <c r="AG657" s="59" t="str">
        <f t="shared" si="32"/>
        <v>Không</v>
      </c>
      <c r="AH657" s="29" t="str">
        <f t="shared" ca="1" si="30"/>
        <v>Có</v>
      </c>
      <c r="AI657" s="29" t="str">
        <f ca="1">IF((R657)&gt;=6,"Có","Không")</f>
        <v>Có</v>
      </c>
      <c r="AJ657" s="29" t="str">
        <f>IF(OR(J657&gt;=140,K657&gt;=90),"Có","Không")</f>
        <v>Không</v>
      </c>
      <c r="AK657" s="5" t="s">
        <v>88</v>
      </c>
      <c r="AL657" s="32">
        <v>46142</v>
      </c>
      <c r="AM657" s="29" t="str">
        <f>"Tháng "&amp;MONTH(AL657)</f>
        <v>Tháng 4</v>
      </c>
      <c r="AN657" s="29" t="str">
        <f>LEFT(AK657,FIND(",",AK657)-1)</f>
        <v>Giồng Giữa</v>
      </c>
    </row>
    <row r="658" spans="1:40" x14ac:dyDescent="0.25">
      <c r="A658" s="49" t="s">
        <v>259</v>
      </c>
      <c r="B658" s="5" t="s">
        <v>23</v>
      </c>
      <c r="C658" s="5" t="s">
        <v>84</v>
      </c>
      <c r="D658" s="29">
        <f ca="1">DATEDIF(C658,TODAY(),"Y")</f>
        <v>69</v>
      </c>
      <c r="E658" s="5" t="s">
        <v>26</v>
      </c>
      <c r="F658" s="30">
        <v>158</v>
      </c>
      <c r="G658" s="30">
        <v>58</v>
      </c>
      <c r="H658" s="31">
        <f>G658/((F658/100)*(F658/100))</f>
        <v>23.233456176894723</v>
      </c>
      <c r="I658" s="5">
        <v>86</v>
      </c>
      <c r="J658" s="30">
        <v>140</v>
      </c>
      <c r="K658" s="30">
        <v>80</v>
      </c>
      <c r="L658" s="29">
        <f>IF(B658="Nữ",0,2)</f>
        <v>0</v>
      </c>
      <c r="M658" s="29">
        <f ca="1">IF(D658&lt;45,0,IF(D658&lt;=49,1,2))</f>
        <v>2</v>
      </c>
      <c r="N658" s="29">
        <f>IF(E658="Có",4,0)</f>
        <v>0</v>
      </c>
      <c r="O658" s="29">
        <f>IF(H658&lt;23,0,IF(H658&lt;27.5,3,5))</f>
        <v>3</v>
      </c>
      <c r="P658" s="29">
        <f>IF(OR(AND(B658="Nam",I658&gt;=90),AND(B658="Nữ",I658&gt;=80)),2,0)</f>
        <v>2</v>
      </c>
      <c r="Q658" s="29">
        <f>IF(OR(J658&gt;=140,K658&gt;=90),2,0)</f>
        <v>2</v>
      </c>
      <c r="R658" s="29">
        <f ca="1">SUM(L658:Q658)</f>
        <v>9</v>
      </c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5" t="s">
        <v>1393</v>
      </c>
      <c r="AE658" s="33"/>
      <c r="AF658" s="59" t="str">
        <f t="shared" si="31"/>
        <v>Không</v>
      </c>
      <c r="AG658" s="59" t="str">
        <f t="shared" si="32"/>
        <v>Không</v>
      </c>
      <c r="AH658" s="29" t="str">
        <f t="shared" ca="1" si="30"/>
        <v>Có</v>
      </c>
      <c r="AI658" s="29" t="str">
        <f ca="1">IF((R658)&gt;=6,"Có","Không")</f>
        <v>Có</v>
      </c>
      <c r="AJ658" s="29" t="str">
        <f>IF(OR(J658&gt;=140,K658&gt;=90),"Có","Không")</f>
        <v>Có</v>
      </c>
      <c r="AK658" s="5" t="s">
        <v>38</v>
      </c>
      <c r="AL658" s="32">
        <v>46142</v>
      </c>
      <c r="AM658" s="29" t="str">
        <f>"Tháng "&amp;MONTH(AL658)</f>
        <v>Tháng 4</v>
      </c>
      <c r="AN658" s="29" t="str">
        <f>LEFT(AK658,FIND(",",AK658)-1)</f>
        <v>Ấp Biển Đông B</v>
      </c>
    </row>
    <row r="659" spans="1:40" x14ac:dyDescent="0.25">
      <c r="A659" s="49" t="s">
        <v>261</v>
      </c>
      <c r="B659" s="5" t="s">
        <v>23</v>
      </c>
      <c r="C659" s="5" t="s">
        <v>56</v>
      </c>
      <c r="D659" s="29">
        <f ca="1">DATEDIF(C659,TODAY(),"Y")</f>
        <v>65</v>
      </c>
      <c r="E659" s="5" t="s">
        <v>26</v>
      </c>
      <c r="F659" s="30">
        <v>158</v>
      </c>
      <c r="G659" s="30">
        <v>58</v>
      </c>
      <c r="H659" s="31">
        <f>G659/((F659/100)*(F659/100))</f>
        <v>23.233456176894723</v>
      </c>
      <c r="I659" s="5">
        <v>84</v>
      </c>
      <c r="J659" s="30">
        <v>130</v>
      </c>
      <c r="K659" s="30">
        <v>80</v>
      </c>
      <c r="L659" s="29">
        <f>IF(B659="Nữ",0,2)</f>
        <v>0</v>
      </c>
      <c r="M659" s="29">
        <f ca="1">IF(D659&lt;45,0,IF(D659&lt;=49,1,2))</f>
        <v>2</v>
      </c>
      <c r="N659" s="29">
        <f>IF(E659="Có",4,0)</f>
        <v>0</v>
      </c>
      <c r="O659" s="29">
        <f>IF(H659&lt;23,0,IF(H659&lt;27.5,3,5))</f>
        <v>3</v>
      </c>
      <c r="P659" s="29">
        <f>IF(OR(AND(B659="Nam",I659&gt;=90),AND(B659="Nữ",I659&gt;=80)),2,0)</f>
        <v>2</v>
      </c>
      <c r="Q659" s="29">
        <f>IF(OR(J659&gt;=140,K659&gt;=90),2,0)</f>
        <v>0</v>
      </c>
      <c r="R659" s="29">
        <f ca="1">SUM(L659:Q659)</f>
        <v>7</v>
      </c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5" t="s">
        <v>1393</v>
      </c>
      <c r="AE659" s="33"/>
      <c r="AF659" s="59" t="str">
        <f t="shared" si="31"/>
        <v>Không</v>
      </c>
      <c r="AG659" s="59" t="str">
        <f t="shared" si="32"/>
        <v>Không</v>
      </c>
      <c r="AH659" s="29" t="str">
        <f t="shared" ca="1" si="30"/>
        <v>Có</v>
      </c>
      <c r="AI659" s="29" t="str">
        <f ca="1">IF((R659)&gt;=6,"Có","Không")</f>
        <v>Có</v>
      </c>
      <c r="AJ659" s="29" t="str">
        <f>IF(OR(J659&gt;=140,K659&gt;=90),"Có","Không")</f>
        <v>Không</v>
      </c>
      <c r="AK659" s="5" t="s">
        <v>68</v>
      </c>
      <c r="AL659" s="32">
        <v>46142</v>
      </c>
      <c r="AM659" s="29" t="str">
        <f>"Tháng "&amp;MONTH(AL659)</f>
        <v>Tháng 4</v>
      </c>
      <c r="AN659" s="29" t="str">
        <f>LEFT(AK659,FIND(",",AK659)-1)</f>
        <v>Ấp Biển Tây B</v>
      </c>
    </row>
    <row r="660" spans="1:40" x14ac:dyDescent="0.25">
      <c r="A660" s="49" t="s">
        <v>263</v>
      </c>
      <c r="B660" s="5" t="s">
        <v>30</v>
      </c>
      <c r="C660" s="5" t="s">
        <v>110</v>
      </c>
      <c r="D660" s="29">
        <f ca="1">DATEDIF(C660,TODAY(),"Y")</f>
        <v>62</v>
      </c>
      <c r="E660" s="5" t="s">
        <v>26</v>
      </c>
      <c r="F660" s="30">
        <v>160</v>
      </c>
      <c r="G660" s="30">
        <v>60</v>
      </c>
      <c r="H660" s="31">
        <f>G660/((F660/100)*(F660/100))</f>
        <v>23.437499999999996</v>
      </c>
      <c r="I660" s="5">
        <v>84</v>
      </c>
      <c r="J660" s="30">
        <v>140</v>
      </c>
      <c r="K660" s="30">
        <v>90</v>
      </c>
      <c r="L660" s="29">
        <f>IF(B660="Nữ",0,2)</f>
        <v>2</v>
      </c>
      <c r="M660" s="29">
        <f ca="1">IF(D660&lt;45,0,IF(D660&lt;=49,1,2))</f>
        <v>2</v>
      </c>
      <c r="N660" s="29">
        <f>IF(E660="Có",4,0)</f>
        <v>0</v>
      </c>
      <c r="O660" s="29">
        <f>IF(H660&lt;23,0,IF(H660&lt;27.5,3,5))</f>
        <v>3</v>
      </c>
      <c r="P660" s="29">
        <f>IF(OR(AND(B660="Nam",I660&gt;=90),AND(B660="Nữ",I660&gt;=80)),2,0)</f>
        <v>0</v>
      </c>
      <c r="Q660" s="29">
        <f>IF(OR(J660&gt;=140,K660&gt;=90),2,0)</f>
        <v>2</v>
      </c>
      <c r="R660" s="29">
        <f ca="1">SUM(L660:Q660)</f>
        <v>9</v>
      </c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5" t="s">
        <v>1393</v>
      </c>
      <c r="AE660" s="33"/>
      <c r="AF660" s="59" t="str">
        <f t="shared" si="31"/>
        <v>Không</v>
      </c>
      <c r="AG660" s="59" t="str">
        <f t="shared" si="32"/>
        <v>Không</v>
      </c>
      <c r="AH660" s="29" t="str">
        <f t="shared" ca="1" si="30"/>
        <v>Có</v>
      </c>
      <c r="AI660" s="29" t="str">
        <f ca="1">IF((R660)&gt;=6,"Có","Không")</f>
        <v>Có</v>
      </c>
      <c r="AJ660" s="29" t="str">
        <f>IF(OR(J660&gt;=140,K660&gt;=90),"Có","Không")</f>
        <v>Có</v>
      </c>
      <c r="AK660" s="5" t="s">
        <v>264</v>
      </c>
      <c r="AL660" s="32">
        <v>46142</v>
      </c>
      <c r="AM660" s="29" t="str">
        <f>"Tháng "&amp;MONTH(AL660)</f>
        <v>Tháng 4</v>
      </c>
      <c r="AN660" s="29" t="str">
        <f>LEFT(AK660,FIND(",",AK660)-1)</f>
        <v>Số 207B/5</v>
      </c>
    </row>
    <row r="661" spans="1:40" x14ac:dyDescent="0.25">
      <c r="A661" s="49" t="s">
        <v>265</v>
      </c>
      <c r="B661" s="5" t="s">
        <v>23</v>
      </c>
      <c r="C661" s="5" t="s">
        <v>59</v>
      </c>
      <c r="D661" s="29">
        <f ca="1">DATEDIF(C661,TODAY(),"Y")</f>
        <v>74</v>
      </c>
      <c r="E661" s="5" t="s">
        <v>26</v>
      </c>
      <c r="F661" s="30">
        <v>158</v>
      </c>
      <c r="G661" s="30">
        <v>58</v>
      </c>
      <c r="H661" s="31">
        <f>G661/((F661/100)*(F661/100))</f>
        <v>23.233456176894723</v>
      </c>
      <c r="I661" s="5">
        <v>77</v>
      </c>
      <c r="J661" s="30">
        <v>130</v>
      </c>
      <c r="K661" s="30">
        <v>80</v>
      </c>
      <c r="L661" s="29">
        <f>IF(B661="Nữ",0,2)</f>
        <v>0</v>
      </c>
      <c r="M661" s="29">
        <f ca="1">IF(D661&lt;45,0,IF(D661&lt;=49,1,2))</f>
        <v>2</v>
      </c>
      <c r="N661" s="29">
        <f>IF(E661="Có",4,0)</f>
        <v>0</v>
      </c>
      <c r="O661" s="29">
        <f>IF(H661&lt;23,0,IF(H661&lt;27.5,3,5))</f>
        <v>3</v>
      </c>
      <c r="P661" s="29">
        <f>IF(OR(AND(B661="Nam",I661&gt;=90),AND(B661="Nữ",I661&gt;=80)),2,0)</f>
        <v>0</v>
      </c>
      <c r="Q661" s="29">
        <f>IF(OR(J661&gt;=140,K661&gt;=90),2,0)</f>
        <v>0</v>
      </c>
      <c r="R661" s="29">
        <f ca="1">SUM(L661:Q661)</f>
        <v>5</v>
      </c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5" t="s">
        <v>1393</v>
      </c>
      <c r="AE661" s="33"/>
      <c r="AF661" s="59" t="str">
        <f t="shared" si="31"/>
        <v>Không</v>
      </c>
      <c r="AG661" s="59" t="str">
        <f t="shared" si="32"/>
        <v>Không</v>
      </c>
      <c r="AH661" s="29" t="str">
        <f t="shared" ca="1" si="30"/>
        <v>Không</v>
      </c>
      <c r="AI661" s="29" t="str">
        <f ca="1">IF((R661)&gt;=6,"Có","Không")</f>
        <v>Không</v>
      </c>
      <c r="AJ661" s="29" t="str">
        <f>IF(OR(J661&gt;=140,K661&gt;=90),"Có","Không")</f>
        <v>Không</v>
      </c>
      <c r="AK661" s="5" t="s">
        <v>51</v>
      </c>
      <c r="AL661" s="32">
        <v>46142</v>
      </c>
      <c r="AM661" s="29" t="str">
        <f>"Tháng "&amp;MONTH(AL661)</f>
        <v>Tháng 4</v>
      </c>
      <c r="AN661" s="29" t="str">
        <f>LEFT(AK661,FIND(",",AK661)-1)</f>
        <v>Phường Hiệp Thành</v>
      </c>
    </row>
    <row r="662" spans="1:40" x14ac:dyDescent="0.25">
      <c r="A662" s="49" t="s">
        <v>267</v>
      </c>
      <c r="B662" s="5" t="s">
        <v>30</v>
      </c>
      <c r="C662" s="5" t="s">
        <v>268</v>
      </c>
      <c r="D662" s="29">
        <f ca="1">DATEDIF(C662,TODAY(),"Y")</f>
        <v>44</v>
      </c>
      <c r="E662" s="5" t="s">
        <v>26</v>
      </c>
      <c r="F662" s="30">
        <v>160</v>
      </c>
      <c r="G662" s="30">
        <v>68</v>
      </c>
      <c r="H662" s="31">
        <f>G662/((F662/100)*(F662/100))</f>
        <v>26.562499999999996</v>
      </c>
      <c r="I662" s="5">
        <v>93</v>
      </c>
      <c r="J662" s="30">
        <v>120</v>
      </c>
      <c r="K662" s="30">
        <v>80</v>
      </c>
      <c r="L662" s="29">
        <f>IF(B662="Nữ",0,2)</f>
        <v>2</v>
      </c>
      <c r="M662" s="29">
        <f ca="1">IF(D662&lt;45,0,IF(D662&lt;=49,1,2))</f>
        <v>0</v>
      </c>
      <c r="N662" s="29">
        <f>IF(E662="Có",4,0)</f>
        <v>0</v>
      </c>
      <c r="O662" s="29">
        <f>IF(H662&lt;23,0,IF(H662&lt;27.5,3,5))</f>
        <v>3</v>
      </c>
      <c r="P662" s="29">
        <f>IF(OR(AND(B662="Nam",I662&gt;=90),AND(B662="Nữ",I662&gt;=80)),2,0)</f>
        <v>2</v>
      </c>
      <c r="Q662" s="29">
        <f>IF(OR(J662&gt;=140,K662&gt;=90),2,0)</f>
        <v>0</v>
      </c>
      <c r="R662" s="29">
        <f ca="1">SUM(L662:Q662)</f>
        <v>7</v>
      </c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5" t="s">
        <v>1393</v>
      </c>
      <c r="AE662" s="33"/>
      <c r="AF662" s="59" t="str">
        <f t="shared" si="31"/>
        <v>Không</v>
      </c>
      <c r="AG662" s="59" t="str">
        <f t="shared" si="32"/>
        <v>Không</v>
      </c>
      <c r="AH662" s="29" t="str">
        <f t="shared" ca="1" si="30"/>
        <v>Có</v>
      </c>
      <c r="AI662" s="29" t="str">
        <f ca="1">IF((R662)&gt;=6,"Có","Không")</f>
        <v>Có</v>
      </c>
      <c r="AJ662" s="29" t="str">
        <f>IF(OR(J662&gt;=140,K662&gt;=90),"Có","Không")</f>
        <v>Không</v>
      </c>
      <c r="AK662" s="5" t="s">
        <v>51</v>
      </c>
      <c r="AL662" s="32">
        <v>46142</v>
      </c>
      <c r="AM662" s="29" t="str">
        <f>"Tháng "&amp;MONTH(AL662)</f>
        <v>Tháng 4</v>
      </c>
      <c r="AN662" s="29" t="str">
        <f>LEFT(AK662,FIND(",",AK662)-1)</f>
        <v>Phường Hiệp Thành</v>
      </c>
    </row>
    <row r="663" spans="1:40" x14ac:dyDescent="0.25">
      <c r="A663" s="49" t="s">
        <v>269</v>
      </c>
      <c r="B663" s="5" t="s">
        <v>23</v>
      </c>
      <c r="C663" s="5" t="s">
        <v>110</v>
      </c>
      <c r="D663" s="29">
        <f ca="1">DATEDIF(C663,TODAY(),"Y")</f>
        <v>62</v>
      </c>
      <c r="E663" s="5" t="s">
        <v>26</v>
      </c>
      <c r="F663" s="30">
        <v>150</v>
      </c>
      <c r="G663" s="30">
        <v>79</v>
      </c>
      <c r="H663" s="31">
        <f>G663/((F663/100)*(F663/100))</f>
        <v>35.111111111111114</v>
      </c>
      <c r="I663" s="5">
        <v>78</v>
      </c>
      <c r="J663" s="30">
        <v>120</v>
      </c>
      <c r="K663" s="30">
        <v>70</v>
      </c>
      <c r="L663" s="29">
        <f>IF(B663="Nữ",0,2)</f>
        <v>0</v>
      </c>
      <c r="M663" s="29">
        <f ca="1">IF(D663&lt;45,0,IF(D663&lt;=49,1,2))</f>
        <v>2</v>
      </c>
      <c r="N663" s="29">
        <f>IF(E663="Có",4,0)</f>
        <v>0</v>
      </c>
      <c r="O663" s="29">
        <f>IF(H663&lt;23,0,IF(H663&lt;27.5,3,5))</f>
        <v>5</v>
      </c>
      <c r="P663" s="29">
        <f>IF(OR(AND(B663="Nam",I663&gt;=90),AND(B663="Nữ",I663&gt;=80)),2,0)</f>
        <v>0</v>
      </c>
      <c r="Q663" s="29">
        <f>IF(OR(J663&gt;=140,K663&gt;=90),2,0)</f>
        <v>0</v>
      </c>
      <c r="R663" s="29">
        <f ca="1">SUM(L663:Q663)</f>
        <v>7</v>
      </c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5" t="s">
        <v>1393</v>
      </c>
      <c r="AE663" s="33"/>
      <c r="AF663" s="59" t="str">
        <f t="shared" si="31"/>
        <v>Không</v>
      </c>
      <c r="AG663" s="59" t="str">
        <f t="shared" si="32"/>
        <v>Không</v>
      </c>
      <c r="AH663" s="29" t="str">
        <f t="shared" ca="1" si="30"/>
        <v>Có</v>
      </c>
      <c r="AI663" s="29" t="str">
        <f ca="1">IF((R663)&gt;=6,"Có","Không")</f>
        <v>Có</v>
      </c>
      <c r="AJ663" s="29" t="str">
        <f>IF(OR(J663&gt;=140,K663&gt;=90),"Có","Không")</f>
        <v>Không</v>
      </c>
      <c r="AK663" s="5" t="s">
        <v>51</v>
      </c>
      <c r="AL663" s="32">
        <v>46142</v>
      </c>
      <c r="AM663" s="29" t="str">
        <f>"Tháng "&amp;MONTH(AL663)</f>
        <v>Tháng 4</v>
      </c>
      <c r="AN663" s="29" t="str">
        <f>LEFT(AK663,FIND(",",AK663)-1)</f>
        <v>Phường Hiệp Thành</v>
      </c>
    </row>
    <row r="664" spans="1:40" x14ac:dyDescent="0.25">
      <c r="A664" s="49" t="s">
        <v>270</v>
      </c>
      <c r="B664" s="5" t="s">
        <v>23</v>
      </c>
      <c r="C664" s="5" t="s">
        <v>34</v>
      </c>
      <c r="D664" s="29">
        <f ca="1">DATEDIF(C664,TODAY(),"Y")</f>
        <v>78</v>
      </c>
      <c r="E664" s="5" t="s">
        <v>26</v>
      </c>
      <c r="F664" s="30">
        <v>160</v>
      </c>
      <c r="G664" s="30">
        <v>48</v>
      </c>
      <c r="H664" s="31">
        <f>G664/((F664/100)*(F664/100))</f>
        <v>18.749999999999996</v>
      </c>
      <c r="I664" s="5">
        <v>74</v>
      </c>
      <c r="J664" s="30">
        <v>120</v>
      </c>
      <c r="K664" s="30">
        <v>70</v>
      </c>
      <c r="L664" s="29">
        <f>IF(B664="Nữ",0,2)</f>
        <v>0</v>
      </c>
      <c r="M664" s="29">
        <f ca="1">IF(D664&lt;45,0,IF(D664&lt;=49,1,2))</f>
        <v>2</v>
      </c>
      <c r="N664" s="29">
        <f>IF(E664="Có",4,0)</f>
        <v>0</v>
      </c>
      <c r="O664" s="29">
        <f>IF(H664&lt;23,0,IF(H664&lt;27.5,3,5))</f>
        <v>0</v>
      </c>
      <c r="P664" s="29">
        <f>IF(OR(AND(B664="Nam",I664&gt;=90),AND(B664="Nữ",I664&gt;=80)),2,0)</f>
        <v>0</v>
      </c>
      <c r="Q664" s="29">
        <f>IF(OR(J664&gt;=140,K664&gt;=90),2,0)</f>
        <v>0</v>
      </c>
      <c r="R664" s="29">
        <f ca="1">SUM(L664:Q664)</f>
        <v>2</v>
      </c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5" t="s">
        <v>1393</v>
      </c>
      <c r="AE664" s="33"/>
      <c r="AF664" s="59" t="str">
        <f t="shared" si="31"/>
        <v>Không</v>
      </c>
      <c r="AG664" s="59" t="str">
        <f t="shared" si="32"/>
        <v>Không</v>
      </c>
      <c r="AH664" s="29" t="str">
        <f t="shared" ca="1" si="30"/>
        <v>Không</v>
      </c>
      <c r="AI664" s="29" t="str">
        <f ca="1">IF((R664)&gt;=6,"Có","Không")</f>
        <v>Không</v>
      </c>
      <c r="AJ664" s="29" t="str">
        <f>IF(OR(J664&gt;=140,K664&gt;=90),"Có","Không")</f>
        <v>Không</v>
      </c>
      <c r="AK664" s="5" t="s">
        <v>51</v>
      </c>
      <c r="AL664" s="32">
        <v>46142</v>
      </c>
      <c r="AM664" s="29" t="str">
        <f>"Tháng "&amp;MONTH(AL664)</f>
        <v>Tháng 4</v>
      </c>
      <c r="AN664" s="29" t="str">
        <f>LEFT(AK664,FIND(",",AK664)-1)</f>
        <v>Phường Hiệp Thành</v>
      </c>
    </row>
    <row r="665" spans="1:40" x14ac:dyDescent="0.25">
      <c r="A665" s="49" t="s">
        <v>274</v>
      </c>
      <c r="B665" s="5" t="s">
        <v>23</v>
      </c>
      <c r="C665" s="5" t="s">
        <v>138</v>
      </c>
      <c r="D665" s="29">
        <f ca="1">DATEDIF(C665,TODAY(),"Y")</f>
        <v>67</v>
      </c>
      <c r="E665" s="5" t="s">
        <v>26</v>
      </c>
      <c r="F665" s="30">
        <v>158</v>
      </c>
      <c r="G665" s="30">
        <v>58</v>
      </c>
      <c r="H665" s="31">
        <f>G665/((F665/100)*(F665/100))</f>
        <v>23.233456176894723</v>
      </c>
      <c r="I665" s="5">
        <v>85</v>
      </c>
      <c r="J665" s="30">
        <v>120</v>
      </c>
      <c r="K665" s="30">
        <v>80</v>
      </c>
      <c r="L665" s="29">
        <f>IF(B665="Nữ",0,2)</f>
        <v>0</v>
      </c>
      <c r="M665" s="29">
        <f ca="1">IF(D665&lt;45,0,IF(D665&lt;=49,1,2))</f>
        <v>2</v>
      </c>
      <c r="N665" s="29">
        <f>IF(E665="Có",4,0)</f>
        <v>0</v>
      </c>
      <c r="O665" s="29">
        <f>IF(H665&lt;23,0,IF(H665&lt;27.5,3,5))</f>
        <v>3</v>
      </c>
      <c r="P665" s="29">
        <f>IF(OR(AND(B665="Nam",I665&gt;=90),AND(B665="Nữ",I665&gt;=80)),2,0)</f>
        <v>2</v>
      </c>
      <c r="Q665" s="29">
        <f>IF(OR(J665&gt;=140,K665&gt;=90),2,0)</f>
        <v>0</v>
      </c>
      <c r="R665" s="29">
        <f ca="1">SUM(L665:Q665)</f>
        <v>7</v>
      </c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5" t="s">
        <v>1393</v>
      </c>
      <c r="AE665" s="33"/>
      <c r="AF665" s="59" t="str">
        <f t="shared" si="31"/>
        <v>Không</v>
      </c>
      <c r="AG665" s="59" t="str">
        <f t="shared" si="32"/>
        <v>Không</v>
      </c>
      <c r="AH665" s="29" t="str">
        <f t="shared" ca="1" si="30"/>
        <v>Có</v>
      </c>
      <c r="AI665" s="29" t="str">
        <f ca="1">IF((R665)&gt;=6,"Có","Không")</f>
        <v>Có</v>
      </c>
      <c r="AJ665" s="29" t="str">
        <f>IF(OR(J665&gt;=140,K665&gt;=90),"Có","Không")</f>
        <v>Không</v>
      </c>
      <c r="AK665" s="5" t="s">
        <v>234</v>
      </c>
      <c r="AL665" s="32">
        <v>46142</v>
      </c>
      <c r="AM665" s="29" t="str">
        <f>"Tháng "&amp;MONTH(AL665)</f>
        <v>Tháng 4</v>
      </c>
      <c r="AN665" s="29" t="str">
        <f>LEFT(AK665,FIND(",",AK665)-1)</f>
        <v>ấp Biển Đông B</v>
      </c>
    </row>
    <row r="666" spans="1:40" x14ac:dyDescent="0.25">
      <c r="A666" s="49" t="s">
        <v>276</v>
      </c>
      <c r="B666" s="5" t="s">
        <v>23</v>
      </c>
      <c r="C666" s="5" t="s">
        <v>87</v>
      </c>
      <c r="D666" s="29">
        <f ca="1">DATEDIF(C666,TODAY(),"Y")</f>
        <v>49</v>
      </c>
      <c r="E666" s="5" t="s">
        <v>26</v>
      </c>
      <c r="F666" s="30">
        <v>158</v>
      </c>
      <c r="G666" s="30">
        <v>58</v>
      </c>
      <c r="H666" s="31">
        <f>G666/((F666/100)*(F666/100))</f>
        <v>23.233456176894723</v>
      </c>
      <c r="I666" s="5">
        <v>76</v>
      </c>
      <c r="J666" s="30">
        <v>120</v>
      </c>
      <c r="K666" s="30">
        <v>80</v>
      </c>
      <c r="L666" s="29">
        <f>IF(B666="Nữ",0,2)</f>
        <v>0</v>
      </c>
      <c r="M666" s="29">
        <f ca="1">IF(D666&lt;45,0,IF(D666&lt;=49,1,2))</f>
        <v>1</v>
      </c>
      <c r="N666" s="29">
        <f>IF(E666="Có",4,0)</f>
        <v>0</v>
      </c>
      <c r="O666" s="29">
        <f>IF(H666&lt;23,0,IF(H666&lt;27.5,3,5))</f>
        <v>3</v>
      </c>
      <c r="P666" s="29">
        <f>IF(OR(AND(B666="Nam",I666&gt;=90),AND(B666="Nữ",I666&gt;=80)),2,0)</f>
        <v>0</v>
      </c>
      <c r="Q666" s="29">
        <f>IF(OR(J666&gt;=140,K666&gt;=90),2,0)</f>
        <v>0</v>
      </c>
      <c r="R666" s="29">
        <f ca="1">SUM(L666:Q666)</f>
        <v>4</v>
      </c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5" t="s">
        <v>1393</v>
      </c>
      <c r="AE666" s="33"/>
      <c r="AF666" s="59" t="str">
        <f t="shared" si="31"/>
        <v>Không</v>
      </c>
      <c r="AG666" s="59" t="str">
        <f t="shared" si="32"/>
        <v>Không</v>
      </c>
      <c r="AH666" s="29" t="str">
        <f t="shared" ca="1" si="30"/>
        <v>Không</v>
      </c>
      <c r="AI666" s="29" t="str">
        <f ca="1">IF((R666)&gt;=6,"Có","Không")</f>
        <v>Không</v>
      </c>
      <c r="AJ666" s="29" t="str">
        <f>IF(OR(J666&gt;=140,K666&gt;=90),"Có","Không")</f>
        <v>Không</v>
      </c>
      <c r="AK666" s="5" t="s">
        <v>277</v>
      </c>
      <c r="AL666" s="32">
        <v>46142</v>
      </c>
      <c r="AM666" s="29" t="str">
        <f>"Tháng "&amp;MONTH(AL666)</f>
        <v>Tháng 4</v>
      </c>
      <c r="AN666" s="29" t="str">
        <f>LEFT(AK666,FIND(",",AK666)-1)</f>
        <v>TP - Ấp Giồng Giữa B</v>
      </c>
    </row>
    <row r="667" spans="1:40" x14ac:dyDescent="0.25">
      <c r="A667" s="49" t="s">
        <v>279</v>
      </c>
      <c r="B667" s="5" t="s">
        <v>23</v>
      </c>
      <c r="C667" s="5" t="s">
        <v>47</v>
      </c>
      <c r="D667" s="29">
        <f ca="1">DATEDIF(C667,TODAY(),"Y")</f>
        <v>55</v>
      </c>
      <c r="E667" s="5" t="s">
        <v>25</v>
      </c>
      <c r="F667" s="30">
        <v>158</v>
      </c>
      <c r="G667" s="30">
        <v>58</v>
      </c>
      <c r="H667" s="31">
        <f>G667/((F667/100)*(F667/100))</f>
        <v>23.233456176894723</v>
      </c>
      <c r="I667" s="5">
        <v>66</v>
      </c>
      <c r="J667" s="30">
        <v>120</v>
      </c>
      <c r="K667" s="30">
        <v>80</v>
      </c>
      <c r="L667" s="29">
        <f>IF(B667="Nữ",0,2)</f>
        <v>0</v>
      </c>
      <c r="M667" s="29">
        <f ca="1">IF(D667&lt;45,0,IF(D667&lt;=49,1,2))</f>
        <v>2</v>
      </c>
      <c r="N667" s="29">
        <f>IF(E667="Có",4,0)</f>
        <v>4</v>
      </c>
      <c r="O667" s="29">
        <f>IF(H667&lt;23,0,IF(H667&lt;27.5,3,5))</f>
        <v>3</v>
      </c>
      <c r="P667" s="29">
        <f>IF(OR(AND(B667="Nam",I667&gt;=90),AND(B667="Nữ",I667&gt;=80)),2,0)</f>
        <v>0</v>
      </c>
      <c r="Q667" s="29">
        <f>IF(OR(J667&gt;=140,K667&gt;=90),2,0)</f>
        <v>0</v>
      </c>
      <c r="R667" s="29">
        <f ca="1">SUM(L667:Q667)</f>
        <v>9</v>
      </c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5" t="s">
        <v>1393</v>
      </c>
      <c r="AE667" s="33"/>
      <c r="AF667" s="59" t="str">
        <f t="shared" si="31"/>
        <v>Không</v>
      </c>
      <c r="AG667" s="59" t="str">
        <f t="shared" si="32"/>
        <v>Không</v>
      </c>
      <c r="AH667" s="29" t="str">
        <f t="shared" ca="1" si="30"/>
        <v>Có</v>
      </c>
      <c r="AI667" s="29" t="str">
        <f ca="1">IF((R667)&gt;=6,"Có","Không")</f>
        <v>Có</v>
      </c>
      <c r="AJ667" s="29" t="str">
        <f>IF(OR(J667&gt;=140,K667&gt;=90),"Có","Không")</f>
        <v>Không</v>
      </c>
      <c r="AK667" s="5" t="s">
        <v>32</v>
      </c>
      <c r="AL667" s="32">
        <v>46142</v>
      </c>
      <c r="AM667" s="29" t="str">
        <f>"Tháng "&amp;MONTH(AL667)</f>
        <v>Tháng 4</v>
      </c>
      <c r="AN667" s="29" t="str">
        <f>LEFT(AK667,FIND(",",AK667)-1)</f>
        <v>Ấp Giồng Giữa B</v>
      </c>
    </row>
    <row r="668" spans="1:40" x14ac:dyDescent="0.25">
      <c r="A668" s="49" t="s">
        <v>282</v>
      </c>
      <c r="B668" s="5" t="s">
        <v>30</v>
      </c>
      <c r="C668" s="5" t="s">
        <v>93</v>
      </c>
      <c r="D668" s="29">
        <f ca="1">DATEDIF(C668,TODAY(),"Y")</f>
        <v>66</v>
      </c>
      <c r="E668" s="5" t="s">
        <v>26</v>
      </c>
      <c r="F668" s="30">
        <v>169</v>
      </c>
      <c r="G668" s="30">
        <v>68</v>
      </c>
      <c r="H668" s="31">
        <f>G668/((F668/100)*(F668/100))</f>
        <v>23.808690171912751</v>
      </c>
      <c r="I668" s="5">
        <v>90</v>
      </c>
      <c r="J668" s="30">
        <v>120</v>
      </c>
      <c r="K668" s="30">
        <v>80</v>
      </c>
      <c r="L668" s="29">
        <f>IF(B668="Nữ",0,2)</f>
        <v>2</v>
      </c>
      <c r="M668" s="29">
        <f ca="1">IF(D668&lt;45,0,IF(D668&lt;=49,1,2))</f>
        <v>2</v>
      </c>
      <c r="N668" s="29">
        <f>IF(E668="Có",4,0)</f>
        <v>0</v>
      </c>
      <c r="O668" s="29">
        <f>IF(H668&lt;23,0,IF(H668&lt;27.5,3,5))</f>
        <v>3</v>
      </c>
      <c r="P668" s="29">
        <f>IF(OR(AND(B668="Nam",I668&gt;=90),AND(B668="Nữ",I668&gt;=80)),2,0)</f>
        <v>2</v>
      </c>
      <c r="Q668" s="29">
        <f>IF(OR(J668&gt;=140,K668&gt;=90),2,0)</f>
        <v>0</v>
      </c>
      <c r="R668" s="29">
        <f ca="1">SUM(L668:Q668)</f>
        <v>9</v>
      </c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5" t="s">
        <v>1393</v>
      </c>
      <c r="AE668" s="33"/>
      <c r="AF668" s="59" t="str">
        <f t="shared" si="31"/>
        <v>Không</v>
      </c>
      <c r="AG668" s="59" t="str">
        <f t="shared" si="32"/>
        <v>Không</v>
      </c>
      <c r="AH668" s="29" t="str">
        <f t="shared" ca="1" si="30"/>
        <v>Có</v>
      </c>
      <c r="AI668" s="29" t="str">
        <f ca="1">IF((R668)&gt;=6,"Có","Không")</f>
        <v>Có</v>
      </c>
      <c r="AJ668" s="29" t="str">
        <f>IF(OR(J668&gt;=140,K668&gt;=90),"Có","Không")</f>
        <v>Không</v>
      </c>
      <c r="AK668" s="5" t="s">
        <v>60</v>
      </c>
      <c r="AL668" s="32">
        <v>46142</v>
      </c>
      <c r="AM668" s="29" t="str">
        <f>"Tháng "&amp;MONTH(AL668)</f>
        <v>Tháng 4</v>
      </c>
      <c r="AN668" s="29" t="str">
        <f>LEFT(AK668,FIND(",",AK668)-1)</f>
        <v>ấp Biển Đông A</v>
      </c>
    </row>
    <row r="669" spans="1:40" x14ac:dyDescent="0.25">
      <c r="A669" s="49" t="s">
        <v>283</v>
      </c>
      <c r="B669" s="5" t="s">
        <v>23</v>
      </c>
      <c r="C669" s="5" t="s">
        <v>188</v>
      </c>
      <c r="D669" s="29">
        <f ca="1">DATEDIF(C669,TODAY(),"Y")</f>
        <v>63</v>
      </c>
      <c r="E669" s="5" t="s">
        <v>26</v>
      </c>
      <c r="F669" s="30">
        <v>158</v>
      </c>
      <c r="G669" s="30">
        <v>65</v>
      </c>
      <c r="H669" s="31">
        <f>G669/((F669/100)*(F669/100))</f>
        <v>26.037493991347535</v>
      </c>
      <c r="I669" s="5">
        <v>76</v>
      </c>
      <c r="J669" s="30">
        <v>130</v>
      </c>
      <c r="K669" s="30">
        <v>80</v>
      </c>
      <c r="L669" s="29">
        <f>IF(B669="Nữ",0,2)</f>
        <v>0</v>
      </c>
      <c r="M669" s="29">
        <f ca="1">IF(D669&lt;45,0,IF(D669&lt;=49,1,2))</f>
        <v>2</v>
      </c>
      <c r="N669" s="29">
        <f>IF(E669="Có",4,0)</f>
        <v>0</v>
      </c>
      <c r="O669" s="29">
        <f>IF(H669&lt;23,0,IF(H669&lt;27.5,3,5))</f>
        <v>3</v>
      </c>
      <c r="P669" s="29">
        <f>IF(OR(AND(B669="Nam",I669&gt;=90),AND(B669="Nữ",I669&gt;=80)),2,0)</f>
        <v>0</v>
      </c>
      <c r="Q669" s="29">
        <f>IF(OR(J669&gt;=140,K669&gt;=90),2,0)</f>
        <v>0</v>
      </c>
      <c r="R669" s="29">
        <f ca="1">SUM(L669:Q669)</f>
        <v>5</v>
      </c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5" t="s">
        <v>1393</v>
      </c>
      <c r="AE669" s="33"/>
      <c r="AF669" s="59" t="str">
        <f t="shared" si="31"/>
        <v>Không</v>
      </c>
      <c r="AG669" s="59" t="str">
        <f t="shared" si="32"/>
        <v>Không</v>
      </c>
      <c r="AH669" s="29" t="str">
        <f t="shared" ca="1" si="30"/>
        <v>Không</v>
      </c>
      <c r="AI669" s="29" t="str">
        <f ca="1">IF((R669)&gt;=6,"Có","Không")</f>
        <v>Không</v>
      </c>
      <c r="AJ669" s="29" t="str">
        <f>IF(OR(J669&gt;=140,K669&gt;=90),"Có","Không")</f>
        <v>Không</v>
      </c>
      <c r="AK669" s="5" t="s">
        <v>51</v>
      </c>
      <c r="AL669" s="32">
        <v>46142</v>
      </c>
      <c r="AM669" s="29" t="str">
        <f>"Tháng "&amp;MONTH(AL669)</f>
        <v>Tháng 4</v>
      </c>
      <c r="AN669" s="29" t="str">
        <f>LEFT(AK669,FIND(",",AK669)-1)</f>
        <v>Phường Hiệp Thành</v>
      </c>
    </row>
    <row r="670" spans="1:40" x14ac:dyDescent="0.25">
      <c r="A670" s="49" t="s">
        <v>284</v>
      </c>
      <c r="B670" s="5" t="s">
        <v>23</v>
      </c>
      <c r="C670" s="5" t="s">
        <v>53</v>
      </c>
      <c r="D670" s="29">
        <f ca="1">DATEDIF(C670,TODAY(),"Y")</f>
        <v>72</v>
      </c>
      <c r="E670" s="5" t="s">
        <v>26</v>
      </c>
      <c r="F670" s="30">
        <v>158</v>
      </c>
      <c r="G670" s="30">
        <v>58</v>
      </c>
      <c r="H670" s="31">
        <f>G670/((F670/100)*(F670/100))</f>
        <v>23.233456176894723</v>
      </c>
      <c r="I670" s="5">
        <v>79</v>
      </c>
      <c r="J670" s="30">
        <v>130</v>
      </c>
      <c r="K670" s="30">
        <v>80</v>
      </c>
      <c r="L670" s="29">
        <f>IF(B670="Nữ",0,2)</f>
        <v>0</v>
      </c>
      <c r="M670" s="29">
        <f ca="1">IF(D670&lt;45,0,IF(D670&lt;=49,1,2))</f>
        <v>2</v>
      </c>
      <c r="N670" s="29">
        <f>IF(E670="Có",4,0)</f>
        <v>0</v>
      </c>
      <c r="O670" s="29">
        <f>IF(H670&lt;23,0,IF(H670&lt;27.5,3,5))</f>
        <v>3</v>
      </c>
      <c r="P670" s="29">
        <f>IF(OR(AND(B670="Nam",I670&gt;=90),AND(B670="Nữ",I670&gt;=80)),2,0)</f>
        <v>0</v>
      </c>
      <c r="Q670" s="29">
        <f>IF(OR(J670&gt;=140,K670&gt;=90),2,0)</f>
        <v>0</v>
      </c>
      <c r="R670" s="29">
        <f ca="1">SUM(L670:Q670)</f>
        <v>5</v>
      </c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5" t="s">
        <v>1393</v>
      </c>
      <c r="AE670" s="33"/>
      <c r="AF670" s="59" t="str">
        <f t="shared" si="31"/>
        <v>Không</v>
      </c>
      <c r="AG670" s="59" t="str">
        <f t="shared" si="32"/>
        <v>Không</v>
      </c>
      <c r="AH670" s="29" t="str">
        <f t="shared" ca="1" si="30"/>
        <v>Không</v>
      </c>
      <c r="AI670" s="29" t="str">
        <f ca="1">IF((R670)&gt;=6,"Có","Không")</f>
        <v>Không</v>
      </c>
      <c r="AJ670" s="29" t="str">
        <f>IF(OR(J670&gt;=140,K670&gt;=90),"Có","Không")</f>
        <v>Không</v>
      </c>
      <c r="AK670" s="5" t="s">
        <v>38</v>
      </c>
      <c r="AL670" s="32">
        <v>46142</v>
      </c>
      <c r="AM670" s="29" t="str">
        <f>"Tháng "&amp;MONTH(AL670)</f>
        <v>Tháng 4</v>
      </c>
      <c r="AN670" s="29" t="str">
        <f>LEFT(AK670,FIND(",",AK670)-1)</f>
        <v>Ấp Biển Đông B</v>
      </c>
    </row>
    <row r="671" spans="1:40" x14ac:dyDescent="0.25">
      <c r="A671" s="49" t="s">
        <v>285</v>
      </c>
      <c r="B671" s="5" t="s">
        <v>30</v>
      </c>
      <c r="C671" s="5" t="s">
        <v>62</v>
      </c>
      <c r="D671" s="29">
        <f ca="1">DATEDIF(C671,TODAY(),"Y")</f>
        <v>64</v>
      </c>
      <c r="E671" s="5" t="s">
        <v>26</v>
      </c>
      <c r="F671" s="30">
        <v>160</v>
      </c>
      <c r="G671" s="30">
        <v>50</v>
      </c>
      <c r="H671" s="31">
        <f>G671/((F671/100)*(F671/100))</f>
        <v>19.531249999999996</v>
      </c>
      <c r="I671" s="5">
        <v>77</v>
      </c>
      <c r="J671" s="30">
        <v>120</v>
      </c>
      <c r="K671" s="30">
        <v>70</v>
      </c>
      <c r="L671" s="29">
        <f>IF(B671="Nữ",0,2)</f>
        <v>2</v>
      </c>
      <c r="M671" s="29">
        <f ca="1">IF(D671&lt;45,0,IF(D671&lt;=49,1,2))</f>
        <v>2</v>
      </c>
      <c r="N671" s="29">
        <f>IF(E671="Có",4,0)</f>
        <v>0</v>
      </c>
      <c r="O671" s="29">
        <f>IF(H671&lt;23,0,IF(H671&lt;27.5,3,5))</f>
        <v>0</v>
      </c>
      <c r="P671" s="29">
        <f>IF(OR(AND(B671="Nam",I671&gt;=90),AND(B671="Nữ",I671&gt;=80)),2,0)</f>
        <v>0</v>
      </c>
      <c r="Q671" s="29">
        <f>IF(OR(J671&gt;=140,K671&gt;=90),2,0)</f>
        <v>0</v>
      </c>
      <c r="R671" s="29">
        <f ca="1">SUM(L671:Q671)</f>
        <v>4</v>
      </c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5" t="s">
        <v>1393</v>
      </c>
      <c r="AE671" s="33"/>
      <c r="AF671" s="59" t="str">
        <f t="shared" si="31"/>
        <v>Không</v>
      </c>
      <c r="AG671" s="59" t="str">
        <f t="shared" si="32"/>
        <v>Không</v>
      </c>
      <c r="AH671" s="29" t="str">
        <f t="shared" ca="1" si="30"/>
        <v>Không</v>
      </c>
      <c r="AI671" s="29" t="str">
        <f ca="1">IF((R671)&gt;=6,"Có","Không")</f>
        <v>Không</v>
      </c>
      <c r="AJ671" s="29" t="str">
        <f>IF(OR(J671&gt;=140,K671&gt;=90),"Có","Không")</f>
        <v>Không</v>
      </c>
      <c r="AK671" s="5" t="s">
        <v>91</v>
      </c>
      <c r="AL671" s="32">
        <v>46142</v>
      </c>
      <c r="AM671" s="29" t="str">
        <f>"Tháng "&amp;MONTH(AL671)</f>
        <v>Tháng 4</v>
      </c>
      <c r="AN671" s="29" t="str">
        <f>LEFT(AK671,FIND(",",AK671)-1)</f>
        <v>Ấp Giồng Giữa</v>
      </c>
    </row>
    <row r="672" spans="1:40" x14ac:dyDescent="0.25">
      <c r="A672" s="49" t="s">
        <v>286</v>
      </c>
      <c r="B672" s="5" t="s">
        <v>23</v>
      </c>
      <c r="C672" s="5" t="s">
        <v>47</v>
      </c>
      <c r="D672" s="29">
        <f ca="1">DATEDIF(C672,TODAY(),"Y")</f>
        <v>55</v>
      </c>
      <c r="E672" s="5" t="s">
        <v>26</v>
      </c>
      <c r="F672" s="30">
        <v>158</v>
      </c>
      <c r="G672" s="30">
        <v>58</v>
      </c>
      <c r="H672" s="31">
        <f>G672/((F672/100)*(F672/100))</f>
        <v>23.233456176894723</v>
      </c>
      <c r="I672" s="5">
        <v>75</v>
      </c>
      <c r="J672" s="30">
        <v>100</v>
      </c>
      <c r="K672" s="30">
        <v>60</v>
      </c>
      <c r="L672" s="29">
        <f>IF(B672="Nữ",0,2)</f>
        <v>0</v>
      </c>
      <c r="M672" s="29">
        <f ca="1">IF(D672&lt;45,0,IF(D672&lt;=49,1,2))</f>
        <v>2</v>
      </c>
      <c r="N672" s="29">
        <f>IF(E672="Có",4,0)</f>
        <v>0</v>
      </c>
      <c r="O672" s="29">
        <f>IF(H672&lt;23,0,IF(H672&lt;27.5,3,5))</f>
        <v>3</v>
      </c>
      <c r="P672" s="29">
        <f>IF(OR(AND(B672="Nam",I672&gt;=90),AND(B672="Nữ",I672&gt;=80)),2,0)</f>
        <v>0</v>
      </c>
      <c r="Q672" s="29">
        <f>IF(OR(J672&gt;=140,K672&gt;=90),2,0)</f>
        <v>0</v>
      </c>
      <c r="R672" s="29">
        <f ca="1">SUM(L672:Q672)</f>
        <v>5</v>
      </c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5" t="s">
        <v>1393</v>
      </c>
      <c r="AE672" s="33"/>
      <c r="AF672" s="59" t="str">
        <f t="shared" si="31"/>
        <v>Không</v>
      </c>
      <c r="AG672" s="59" t="str">
        <f t="shared" si="32"/>
        <v>Không</v>
      </c>
      <c r="AH672" s="29" t="str">
        <f t="shared" ca="1" si="30"/>
        <v>Không</v>
      </c>
      <c r="AI672" s="29" t="str">
        <f ca="1">IF((R672)&gt;=6,"Có","Không")</f>
        <v>Không</v>
      </c>
      <c r="AJ672" s="29" t="str">
        <f>IF(OR(J672&gt;=140,K672&gt;=90),"Có","Không")</f>
        <v>Không</v>
      </c>
      <c r="AK672" s="5" t="s">
        <v>234</v>
      </c>
      <c r="AL672" s="32">
        <v>46142</v>
      </c>
      <c r="AM672" s="29" t="str">
        <f>"Tháng "&amp;MONTH(AL672)</f>
        <v>Tháng 4</v>
      </c>
      <c r="AN672" s="29" t="str">
        <f>LEFT(AK672,FIND(",",AK672)-1)</f>
        <v>ấp Biển Đông B</v>
      </c>
    </row>
    <row r="673" spans="1:40" x14ac:dyDescent="0.25">
      <c r="A673" s="49" t="s">
        <v>287</v>
      </c>
      <c r="B673" s="5" t="s">
        <v>23</v>
      </c>
      <c r="C673" s="5" t="s">
        <v>133</v>
      </c>
      <c r="D673" s="29">
        <f ca="1">DATEDIF(C673,TODAY(),"Y")</f>
        <v>56</v>
      </c>
      <c r="E673" s="5" t="s">
        <v>26</v>
      </c>
      <c r="F673" s="30">
        <v>158</v>
      </c>
      <c r="G673" s="30">
        <v>58</v>
      </c>
      <c r="H673" s="31">
        <f>G673/((F673/100)*(F673/100))</f>
        <v>23.233456176894723</v>
      </c>
      <c r="I673" s="5">
        <v>67</v>
      </c>
      <c r="J673" s="30">
        <v>130</v>
      </c>
      <c r="K673" s="30">
        <v>80</v>
      </c>
      <c r="L673" s="29">
        <f>IF(B673="Nữ",0,2)</f>
        <v>0</v>
      </c>
      <c r="M673" s="29">
        <f ca="1">IF(D673&lt;45,0,IF(D673&lt;=49,1,2))</f>
        <v>2</v>
      </c>
      <c r="N673" s="29">
        <f>IF(E673="Có",4,0)</f>
        <v>0</v>
      </c>
      <c r="O673" s="29">
        <f>IF(H673&lt;23,0,IF(H673&lt;27.5,3,5))</f>
        <v>3</v>
      </c>
      <c r="P673" s="29">
        <f>IF(OR(AND(B673="Nam",I673&gt;=90),AND(B673="Nữ",I673&gt;=80)),2,0)</f>
        <v>0</v>
      </c>
      <c r="Q673" s="29">
        <f>IF(OR(J673&gt;=140,K673&gt;=90),2,0)</f>
        <v>0</v>
      </c>
      <c r="R673" s="29">
        <f ca="1">SUM(L673:Q673)</f>
        <v>5</v>
      </c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5" t="s">
        <v>1393</v>
      </c>
      <c r="AE673" s="33"/>
      <c r="AF673" s="59" t="str">
        <f t="shared" si="31"/>
        <v>Không</v>
      </c>
      <c r="AG673" s="59" t="str">
        <f t="shared" si="32"/>
        <v>Không</v>
      </c>
      <c r="AH673" s="29" t="str">
        <f t="shared" ca="1" si="30"/>
        <v>Không</v>
      </c>
      <c r="AI673" s="29" t="str">
        <f ca="1">IF((R673)&gt;=6,"Có","Không")</f>
        <v>Không</v>
      </c>
      <c r="AJ673" s="29" t="str">
        <f>IF(OR(J673&gt;=140,K673&gt;=90),"Có","Không")</f>
        <v>Không</v>
      </c>
      <c r="AK673" s="5" t="s">
        <v>68</v>
      </c>
      <c r="AL673" s="32">
        <v>46142</v>
      </c>
      <c r="AM673" s="29" t="str">
        <f>"Tháng "&amp;MONTH(AL673)</f>
        <v>Tháng 4</v>
      </c>
      <c r="AN673" s="29" t="str">
        <f>LEFT(AK673,FIND(",",AK673)-1)</f>
        <v>Ấp Biển Tây B</v>
      </c>
    </row>
    <row r="674" spans="1:40" x14ac:dyDescent="0.25">
      <c r="A674" s="49" t="s">
        <v>288</v>
      </c>
      <c r="B674" s="5" t="s">
        <v>30</v>
      </c>
      <c r="C674" s="5" t="s">
        <v>87</v>
      </c>
      <c r="D674" s="29">
        <f ca="1">DATEDIF(C674,TODAY(),"Y")</f>
        <v>49</v>
      </c>
      <c r="E674" s="5" t="s">
        <v>26</v>
      </c>
      <c r="F674" s="30">
        <v>160</v>
      </c>
      <c r="G674" s="30">
        <v>65</v>
      </c>
      <c r="H674" s="31">
        <f>G674/((F674/100)*(F674/100))</f>
        <v>25.390624999999996</v>
      </c>
      <c r="I674" s="5">
        <v>91</v>
      </c>
      <c r="J674" s="30">
        <v>120</v>
      </c>
      <c r="K674" s="30">
        <v>70</v>
      </c>
      <c r="L674" s="29">
        <f>IF(B674="Nữ",0,2)</f>
        <v>2</v>
      </c>
      <c r="M674" s="29">
        <f ca="1">IF(D674&lt;45,0,IF(D674&lt;=49,1,2))</f>
        <v>1</v>
      </c>
      <c r="N674" s="29">
        <f>IF(E674="Có",4,0)</f>
        <v>0</v>
      </c>
      <c r="O674" s="29">
        <f>IF(H674&lt;23,0,IF(H674&lt;27.5,3,5))</f>
        <v>3</v>
      </c>
      <c r="P674" s="29">
        <f>IF(OR(AND(B674="Nam",I674&gt;=90),AND(B674="Nữ",I674&gt;=80)),2,0)</f>
        <v>2</v>
      </c>
      <c r="Q674" s="29">
        <f>IF(OR(J674&gt;=140,K674&gt;=90),2,0)</f>
        <v>0</v>
      </c>
      <c r="R674" s="29">
        <f ca="1">SUM(L674:Q674)</f>
        <v>8</v>
      </c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5" t="s">
        <v>1393</v>
      </c>
      <c r="AE674" s="33"/>
      <c r="AF674" s="59" t="str">
        <f t="shared" si="31"/>
        <v>Không</v>
      </c>
      <c r="AG674" s="59" t="str">
        <f t="shared" si="32"/>
        <v>Không</v>
      </c>
      <c r="AH674" s="29" t="str">
        <f t="shared" ca="1" si="30"/>
        <v>Có</v>
      </c>
      <c r="AI674" s="29" t="str">
        <f ca="1">IF((R674)&gt;=6,"Có","Không")</f>
        <v>Có</v>
      </c>
      <c r="AJ674" s="29" t="str">
        <f>IF(OR(J674&gt;=140,K674&gt;=90),"Có","Không")</f>
        <v>Không</v>
      </c>
      <c r="AK674" s="5" t="s">
        <v>88</v>
      </c>
      <c r="AL674" s="32">
        <v>46142</v>
      </c>
      <c r="AM674" s="29" t="str">
        <f>"Tháng "&amp;MONTH(AL674)</f>
        <v>Tháng 4</v>
      </c>
      <c r="AN674" s="29" t="str">
        <f>LEFT(AK674,FIND(",",AK674)-1)</f>
        <v>Giồng Giữa</v>
      </c>
    </row>
    <row r="675" spans="1:40" x14ac:dyDescent="0.25">
      <c r="A675" s="49" t="s">
        <v>289</v>
      </c>
      <c r="B675" s="5" t="s">
        <v>23</v>
      </c>
      <c r="C675" s="5" t="s">
        <v>64</v>
      </c>
      <c r="D675" s="29">
        <f ca="1">DATEDIF(C675,TODAY(),"Y")</f>
        <v>42</v>
      </c>
      <c r="E675" s="5" t="s">
        <v>25</v>
      </c>
      <c r="F675" s="30">
        <v>160</v>
      </c>
      <c r="G675" s="30">
        <v>55</v>
      </c>
      <c r="H675" s="31">
        <f>G675/((F675/100)*(F675/100))</f>
        <v>21.484374999999996</v>
      </c>
      <c r="I675" s="5">
        <v>85</v>
      </c>
      <c r="J675" s="30">
        <v>120</v>
      </c>
      <c r="K675" s="30">
        <v>70</v>
      </c>
      <c r="L675" s="29">
        <f>IF(B675="Nữ",0,2)</f>
        <v>0</v>
      </c>
      <c r="M675" s="29">
        <f ca="1">IF(D675&lt;45,0,IF(D675&lt;=49,1,2))</f>
        <v>0</v>
      </c>
      <c r="N675" s="29">
        <f>IF(E675="Có",4,0)</f>
        <v>4</v>
      </c>
      <c r="O675" s="29">
        <f>IF(H675&lt;23,0,IF(H675&lt;27.5,3,5))</f>
        <v>0</v>
      </c>
      <c r="P675" s="29">
        <f>IF(OR(AND(B675="Nam",I675&gt;=90),AND(B675="Nữ",I675&gt;=80)),2,0)</f>
        <v>2</v>
      </c>
      <c r="Q675" s="29">
        <f>IF(OR(J675&gt;=140,K675&gt;=90),2,0)</f>
        <v>0</v>
      </c>
      <c r="R675" s="29">
        <f ca="1">SUM(L675:Q675)</f>
        <v>6</v>
      </c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5" t="s">
        <v>1393</v>
      </c>
      <c r="AE675" s="33"/>
      <c r="AF675" s="59" t="str">
        <f t="shared" si="31"/>
        <v>Không</v>
      </c>
      <c r="AG675" s="59" t="str">
        <f t="shared" si="32"/>
        <v>Không</v>
      </c>
      <c r="AH675" s="29" t="str">
        <f t="shared" ca="1" si="30"/>
        <v>Có</v>
      </c>
      <c r="AI675" s="29" t="str">
        <f ca="1">IF((R675)&gt;=6,"Có","Không")</f>
        <v>Có</v>
      </c>
      <c r="AJ675" s="29" t="str">
        <f>IF(OR(J675&gt;=140,K675&gt;=90),"Có","Không")</f>
        <v>Không</v>
      </c>
      <c r="AK675" s="5" t="s">
        <v>51</v>
      </c>
      <c r="AL675" s="32">
        <v>46142</v>
      </c>
      <c r="AM675" s="29" t="str">
        <f>"Tháng "&amp;MONTH(AL675)</f>
        <v>Tháng 4</v>
      </c>
      <c r="AN675" s="29" t="str">
        <f>LEFT(AK675,FIND(",",AK675)-1)</f>
        <v>Phường Hiệp Thành</v>
      </c>
    </row>
    <row r="676" spans="1:40" x14ac:dyDescent="0.25">
      <c r="A676" s="49" t="s">
        <v>290</v>
      </c>
      <c r="B676" s="5" t="s">
        <v>23</v>
      </c>
      <c r="C676" s="5" t="s">
        <v>127</v>
      </c>
      <c r="D676" s="29">
        <f ca="1">DATEDIF(C676,TODAY(),"Y")</f>
        <v>76</v>
      </c>
      <c r="E676" s="5" t="s">
        <v>26</v>
      </c>
      <c r="F676" s="30">
        <v>158</v>
      </c>
      <c r="G676" s="30">
        <v>58</v>
      </c>
      <c r="H676" s="31">
        <f>G676/((F676/100)*(F676/100))</f>
        <v>23.233456176894723</v>
      </c>
      <c r="I676" s="5">
        <v>73</v>
      </c>
      <c r="J676" s="30">
        <v>130</v>
      </c>
      <c r="K676" s="30">
        <v>80</v>
      </c>
      <c r="L676" s="29">
        <f>IF(B676="Nữ",0,2)</f>
        <v>0</v>
      </c>
      <c r="M676" s="29">
        <f ca="1">IF(D676&lt;45,0,IF(D676&lt;=49,1,2))</f>
        <v>2</v>
      </c>
      <c r="N676" s="29">
        <f>IF(E676="Có",4,0)</f>
        <v>0</v>
      </c>
      <c r="O676" s="29">
        <f>IF(H676&lt;23,0,IF(H676&lt;27.5,3,5))</f>
        <v>3</v>
      </c>
      <c r="P676" s="29">
        <f>IF(OR(AND(B676="Nam",I676&gt;=90),AND(B676="Nữ",I676&gt;=80)),2,0)</f>
        <v>0</v>
      </c>
      <c r="Q676" s="29">
        <f>IF(OR(J676&gt;=140,K676&gt;=90),2,0)</f>
        <v>0</v>
      </c>
      <c r="R676" s="29">
        <f ca="1">SUM(L676:Q676)</f>
        <v>5</v>
      </c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5" t="s">
        <v>1393</v>
      </c>
      <c r="AE676" s="33"/>
      <c r="AF676" s="59" t="str">
        <f t="shared" si="31"/>
        <v>Không</v>
      </c>
      <c r="AG676" s="59" t="str">
        <f t="shared" si="32"/>
        <v>Không</v>
      </c>
      <c r="AH676" s="29" t="str">
        <f t="shared" ca="1" si="30"/>
        <v>Không</v>
      </c>
      <c r="AI676" s="29" t="str">
        <f ca="1">IF((R676)&gt;=6,"Có","Không")</f>
        <v>Không</v>
      </c>
      <c r="AJ676" s="29" t="str">
        <f>IF(OR(J676&gt;=140,K676&gt;=90),"Có","Không")</f>
        <v>Không</v>
      </c>
      <c r="AK676" s="5" t="s">
        <v>291</v>
      </c>
      <c r="AL676" s="32">
        <v>46142</v>
      </c>
      <c r="AM676" s="29" t="str">
        <f>"Tháng "&amp;MONTH(AL676)</f>
        <v>Tháng 4</v>
      </c>
      <c r="AN676" s="29" t="str">
        <f>LEFT(AK676,FIND(",",AK676)-1)</f>
        <v>Ấp 15</v>
      </c>
    </row>
    <row r="677" spans="1:40" x14ac:dyDescent="0.25">
      <c r="A677" s="49" t="s">
        <v>292</v>
      </c>
      <c r="B677" s="5" t="s">
        <v>23</v>
      </c>
      <c r="C677" s="5" t="s">
        <v>138</v>
      </c>
      <c r="D677" s="29">
        <f ca="1">DATEDIF(C677,TODAY(),"Y")</f>
        <v>67</v>
      </c>
      <c r="E677" s="5" t="s">
        <v>25</v>
      </c>
      <c r="F677" s="30">
        <v>150</v>
      </c>
      <c r="G677" s="30">
        <v>50</v>
      </c>
      <c r="H677" s="31">
        <f>G677/((F677/100)*(F677/100))</f>
        <v>22.222222222222221</v>
      </c>
      <c r="I677" s="5">
        <v>86</v>
      </c>
      <c r="J677" s="30">
        <v>120</v>
      </c>
      <c r="K677" s="30">
        <v>80</v>
      </c>
      <c r="L677" s="29">
        <f>IF(B677="Nữ",0,2)</f>
        <v>0</v>
      </c>
      <c r="M677" s="29">
        <f ca="1">IF(D677&lt;45,0,IF(D677&lt;=49,1,2))</f>
        <v>2</v>
      </c>
      <c r="N677" s="29">
        <f>IF(E677="Có",4,0)</f>
        <v>4</v>
      </c>
      <c r="O677" s="29">
        <f>IF(H677&lt;23,0,IF(H677&lt;27.5,3,5))</f>
        <v>0</v>
      </c>
      <c r="P677" s="29">
        <f>IF(OR(AND(B677="Nam",I677&gt;=90),AND(B677="Nữ",I677&gt;=80)),2,0)</f>
        <v>2</v>
      </c>
      <c r="Q677" s="29">
        <f>IF(OR(J677&gt;=140,K677&gt;=90),2,0)</f>
        <v>0</v>
      </c>
      <c r="R677" s="29">
        <f ca="1">SUM(L677:Q677)</f>
        <v>8</v>
      </c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5" t="s">
        <v>1393</v>
      </c>
      <c r="AE677" s="33"/>
      <c r="AF677" s="59" t="str">
        <f t="shared" si="31"/>
        <v>Không</v>
      </c>
      <c r="AG677" s="59" t="str">
        <f t="shared" si="32"/>
        <v>Không</v>
      </c>
      <c r="AH677" s="29" t="str">
        <f t="shared" ca="1" si="30"/>
        <v>Có</v>
      </c>
      <c r="AI677" s="29" t="str">
        <f ca="1">IF((R677)&gt;=6,"Có","Không")</f>
        <v>Có</v>
      </c>
      <c r="AJ677" s="29" t="str">
        <f>IF(OR(J677&gt;=140,K677&gt;=90),"Có","Không")</f>
        <v>Không</v>
      </c>
      <c r="AK677" s="5" t="s">
        <v>160</v>
      </c>
      <c r="AL677" s="32">
        <v>46142</v>
      </c>
      <c r="AM677" s="29" t="str">
        <f>"Tháng "&amp;MONTH(AL677)</f>
        <v>Tháng 4</v>
      </c>
      <c r="AN677" s="29" t="str">
        <f>LEFT(AK677,FIND(",",AK677)-1)</f>
        <v>Ấp Giồng Nhãn</v>
      </c>
    </row>
    <row r="678" spans="1:40" x14ac:dyDescent="0.25">
      <c r="A678" s="49" t="s">
        <v>293</v>
      </c>
      <c r="B678" s="5" t="s">
        <v>30</v>
      </c>
      <c r="C678" s="5" t="s">
        <v>93</v>
      </c>
      <c r="D678" s="29">
        <f ca="1">DATEDIF(C678,TODAY(),"Y")</f>
        <v>66</v>
      </c>
      <c r="E678" s="5" t="s">
        <v>25</v>
      </c>
      <c r="F678" s="30">
        <v>169</v>
      </c>
      <c r="G678" s="30">
        <v>68</v>
      </c>
      <c r="H678" s="31">
        <f>G678/((F678/100)*(F678/100))</f>
        <v>23.808690171912751</v>
      </c>
      <c r="I678" s="5">
        <v>80</v>
      </c>
      <c r="J678" s="30">
        <v>140</v>
      </c>
      <c r="K678" s="30">
        <v>80</v>
      </c>
      <c r="L678" s="29">
        <f>IF(B678="Nữ",0,2)</f>
        <v>2</v>
      </c>
      <c r="M678" s="29">
        <f ca="1">IF(D678&lt;45,0,IF(D678&lt;=49,1,2))</f>
        <v>2</v>
      </c>
      <c r="N678" s="29">
        <f>IF(E678="Có",4,0)</f>
        <v>4</v>
      </c>
      <c r="O678" s="29">
        <f>IF(H678&lt;23,0,IF(H678&lt;27.5,3,5))</f>
        <v>3</v>
      </c>
      <c r="P678" s="29">
        <f>IF(OR(AND(B678="Nam",I678&gt;=90),AND(B678="Nữ",I678&gt;=80)),2,0)</f>
        <v>0</v>
      </c>
      <c r="Q678" s="29">
        <f>IF(OR(J678&gt;=140,K678&gt;=90),2,0)</f>
        <v>2</v>
      </c>
      <c r="R678" s="29">
        <f ca="1">SUM(L678:Q678)</f>
        <v>13</v>
      </c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5" t="s">
        <v>1393</v>
      </c>
      <c r="AE678" s="33"/>
      <c r="AF678" s="59" t="str">
        <f t="shared" si="31"/>
        <v>Không</v>
      </c>
      <c r="AG678" s="59" t="str">
        <f t="shared" si="32"/>
        <v>Không</v>
      </c>
      <c r="AH678" s="29" t="str">
        <f t="shared" ca="1" si="30"/>
        <v>Có</v>
      </c>
      <c r="AI678" s="29" t="str">
        <f ca="1">IF((R678)&gt;=6,"Có","Không")</f>
        <v>Có</v>
      </c>
      <c r="AJ678" s="29" t="str">
        <f>IF(OR(J678&gt;=140,K678&gt;=90),"Có","Không")</f>
        <v>Có</v>
      </c>
      <c r="AK678" s="5" t="s">
        <v>294</v>
      </c>
      <c r="AL678" s="32">
        <v>46142</v>
      </c>
      <c r="AM678" s="29" t="str">
        <f>"Tháng "&amp;MONTH(AL678)</f>
        <v>Tháng 4</v>
      </c>
      <c r="AN678" s="29" t="str">
        <f>LEFT(AK678,FIND(",",AK678)-1)</f>
        <v>Phường Mỹ Xuyên</v>
      </c>
    </row>
    <row r="679" spans="1:40" x14ac:dyDescent="0.25">
      <c r="A679" s="49" t="s">
        <v>295</v>
      </c>
      <c r="B679" s="5" t="s">
        <v>30</v>
      </c>
      <c r="C679" s="5" t="s">
        <v>37</v>
      </c>
      <c r="D679" s="29">
        <f ca="1">DATEDIF(C679,TODAY(),"Y")</f>
        <v>75</v>
      </c>
      <c r="E679" s="5" t="s">
        <v>25</v>
      </c>
      <c r="F679" s="30">
        <v>169</v>
      </c>
      <c r="G679" s="30">
        <v>68</v>
      </c>
      <c r="H679" s="31">
        <f>G679/((F679/100)*(F679/100))</f>
        <v>23.808690171912751</v>
      </c>
      <c r="I679" s="5">
        <v>96</v>
      </c>
      <c r="J679" s="30">
        <v>150</v>
      </c>
      <c r="K679" s="30">
        <v>80</v>
      </c>
      <c r="L679" s="29">
        <f>IF(B679="Nữ",0,2)</f>
        <v>2</v>
      </c>
      <c r="M679" s="29">
        <f ca="1">IF(D679&lt;45,0,IF(D679&lt;=49,1,2))</f>
        <v>2</v>
      </c>
      <c r="N679" s="29">
        <f>IF(E679="Có",4,0)</f>
        <v>4</v>
      </c>
      <c r="O679" s="29">
        <f>IF(H679&lt;23,0,IF(H679&lt;27.5,3,5))</f>
        <v>3</v>
      </c>
      <c r="P679" s="29">
        <f>IF(OR(AND(B679="Nam",I679&gt;=90),AND(B679="Nữ",I679&gt;=80)),2,0)</f>
        <v>2</v>
      </c>
      <c r="Q679" s="29">
        <f>IF(OR(J679&gt;=140,K679&gt;=90),2,0)</f>
        <v>2</v>
      </c>
      <c r="R679" s="29">
        <f ca="1">SUM(L679:Q679)</f>
        <v>15</v>
      </c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5" t="s">
        <v>1393</v>
      </c>
      <c r="AE679" s="33"/>
      <c r="AF679" s="59" t="str">
        <f t="shared" si="31"/>
        <v>Không</v>
      </c>
      <c r="AG679" s="59" t="str">
        <f t="shared" si="32"/>
        <v>Không</v>
      </c>
      <c r="AH679" s="29" t="str">
        <f t="shared" ca="1" si="30"/>
        <v>Có</v>
      </c>
      <c r="AI679" s="29" t="str">
        <f ca="1">IF((R679)&gt;=6,"Có","Không")</f>
        <v>Có</v>
      </c>
      <c r="AJ679" s="29" t="str">
        <f>IF(OR(J679&gt;=140,K679&gt;=90),"Có","Không")</f>
        <v>Có</v>
      </c>
      <c r="AK679" s="5" t="s">
        <v>38</v>
      </c>
      <c r="AL679" s="32">
        <v>46142</v>
      </c>
      <c r="AM679" s="29" t="str">
        <f>"Tháng "&amp;MONTH(AL679)</f>
        <v>Tháng 4</v>
      </c>
      <c r="AN679" s="29" t="str">
        <f>LEFT(AK679,FIND(",",AK679)-1)</f>
        <v>Ấp Biển Đông B</v>
      </c>
    </row>
    <row r="680" spans="1:40" x14ac:dyDescent="0.25">
      <c r="A680" s="49" t="s">
        <v>296</v>
      </c>
      <c r="B680" s="5" t="s">
        <v>23</v>
      </c>
      <c r="C680" s="5" t="s">
        <v>82</v>
      </c>
      <c r="D680" s="29">
        <f ca="1">DATEDIF(C680,TODAY(),"Y")</f>
        <v>73</v>
      </c>
      <c r="E680" s="5" t="s">
        <v>26</v>
      </c>
      <c r="F680" s="30">
        <v>158</v>
      </c>
      <c r="G680" s="30">
        <v>58</v>
      </c>
      <c r="H680" s="31">
        <f>G680/((F680/100)*(F680/100))</f>
        <v>23.233456176894723</v>
      </c>
      <c r="I680" s="5">
        <v>76</v>
      </c>
      <c r="J680" s="30">
        <v>120</v>
      </c>
      <c r="K680" s="30">
        <v>80</v>
      </c>
      <c r="L680" s="29">
        <f>IF(B680="Nữ",0,2)</f>
        <v>0</v>
      </c>
      <c r="M680" s="29">
        <f ca="1">IF(D680&lt;45,0,IF(D680&lt;=49,1,2))</f>
        <v>2</v>
      </c>
      <c r="N680" s="29">
        <f>IF(E680="Có",4,0)</f>
        <v>0</v>
      </c>
      <c r="O680" s="29">
        <f>IF(H680&lt;23,0,IF(H680&lt;27.5,3,5))</f>
        <v>3</v>
      </c>
      <c r="P680" s="29">
        <f>IF(OR(AND(B680="Nam",I680&gt;=90),AND(B680="Nữ",I680&gt;=80)),2,0)</f>
        <v>0</v>
      </c>
      <c r="Q680" s="29">
        <f>IF(OR(J680&gt;=140,K680&gt;=90),2,0)</f>
        <v>0</v>
      </c>
      <c r="R680" s="29">
        <f ca="1">SUM(L680:Q680)</f>
        <v>5</v>
      </c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5" t="s">
        <v>1393</v>
      </c>
      <c r="AE680" s="33"/>
      <c r="AF680" s="59" t="str">
        <f t="shared" si="31"/>
        <v>Không</v>
      </c>
      <c r="AG680" s="59" t="str">
        <f t="shared" si="32"/>
        <v>Không</v>
      </c>
      <c r="AH680" s="29" t="str">
        <f t="shared" ca="1" si="30"/>
        <v>Không</v>
      </c>
      <c r="AI680" s="29" t="str">
        <f ca="1">IF((R680)&gt;=6,"Có","Không")</f>
        <v>Không</v>
      </c>
      <c r="AJ680" s="29" t="str">
        <f>IF(OR(J680&gt;=140,K680&gt;=90),"Có","Không")</f>
        <v>Không</v>
      </c>
      <c r="AK680" s="5" t="s">
        <v>51</v>
      </c>
      <c r="AL680" s="32">
        <v>46142</v>
      </c>
      <c r="AM680" s="29" t="str">
        <f>"Tháng "&amp;MONTH(AL680)</f>
        <v>Tháng 4</v>
      </c>
      <c r="AN680" s="29" t="str">
        <f>LEFT(AK680,FIND(",",AK680)-1)</f>
        <v>Phường Hiệp Thành</v>
      </c>
    </row>
    <row r="681" spans="1:40" x14ac:dyDescent="0.25">
      <c r="A681" s="49" t="s">
        <v>297</v>
      </c>
      <c r="B681" s="5" t="s">
        <v>23</v>
      </c>
      <c r="C681" s="5" t="s">
        <v>93</v>
      </c>
      <c r="D681" s="29">
        <f ca="1">DATEDIF(C681,TODAY(),"Y")</f>
        <v>66</v>
      </c>
      <c r="E681" s="5" t="s">
        <v>26</v>
      </c>
      <c r="F681" s="30">
        <v>158</v>
      </c>
      <c r="G681" s="30">
        <v>58</v>
      </c>
      <c r="H681" s="31">
        <f>G681/((F681/100)*(F681/100))</f>
        <v>23.233456176894723</v>
      </c>
      <c r="I681" s="5">
        <v>68</v>
      </c>
      <c r="J681" s="30">
        <v>130</v>
      </c>
      <c r="K681" s="30">
        <v>80</v>
      </c>
      <c r="L681" s="29">
        <f>IF(B681="Nữ",0,2)</f>
        <v>0</v>
      </c>
      <c r="M681" s="29">
        <f ca="1">IF(D681&lt;45,0,IF(D681&lt;=49,1,2))</f>
        <v>2</v>
      </c>
      <c r="N681" s="29">
        <f>IF(E681="Có",4,0)</f>
        <v>0</v>
      </c>
      <c r="O681" s="29">
        <f>IF(H681&lt;23,0,IF(H681&lt;27.5,3,5))</f>
        <v>3</v>
      </c>
      <c r="P681" s="29">
        <f>IF(OR(AND(B681="Nam",I681&gt;=90),AND(B681="Nữ",I681&gt;=80)),2,0)</f>
        <v>0</v>
      </c>
      <c r="Q681" s="29">
        <f>IF(OR(J681&gt;=140,K681&gt;=90),2,0)</f>
        <v>0</v>
      </c>
      <c r="R681" s="29">
        <f ca="1">SUM(L681:Q681)</f>
        <v>5</v>
      </c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5" t="s">
        <v>1393</v>
      </c>
      <c r="AE681" s="33"/>
      <c r="AF681" s="59" t="str">
        <f t="shared" si="31"/>
        <v>Không</v>
      </c>
      <c r="AG681" s="59" t="str">
        <f t="shared" si="32"/>
        <v>Không</v>
      </c>
      <c r="AH681" s="29" t="str">
        <f t="shared" ca="1" si="30"/>
        <v>Không</v>
      </c>
      <c r="AI681" s="29" t="str">
        <f ca="1">IF((R681)&gt;=6,"Có","Không")</f>
        <v>Không</v>
      </c>
      <c r="AJ681" s="29" t="str">
        <f>IF(OR(J681&gt;=140,K681&gt;=90),"Có","Không")</f>
        <v>Không</v>
      </c>
      <c r="AK681" s="5" t="s">
        <v>298</v>
      </c>
      <c r="AL681" s="32">
        <v>46142</v>
      </c>
      <c r="AM681" s="29" t="str">
        <f>"Tháng "&amp;MONTH(AL681)</f>
        <v>Tháng 4</v>
      </c>
      <c r="AN681" s="29" t="str">
        <f>LEFT(AK681,FIND(",",AK681)-1)</f>
        <v>ấp Biển Tây A</v>
      </c>
    </row>
    <row r="682" spans="1:40" x14ac:dyDescent="0.25">
      <c r="A682" s="49" t="s">
        <v>299</v>
      </c>
      <c r="B682" s="5" t="s">
        <v>23</v>
      </c>
      <c r="C682" s="5" t="s">
        <v>300</v>
      </c>
      <c r="D682" s="29">
        <f ca="1">DATEDIF(C682,TODAY(),"Y")</f>
        <v>80</v>
      </c>
      <c r="E682" s="5" t="s">
        <v>26</v>
      </c>
      <c r="F682" s="30">
        <v>158</v>
      </c>
      <c r="G682" s="30">
        <v>58</v>
      </c>
      <c r="H682" s="31">
        <f>G682/((F682/100)*(F682/100))</f>
        <v>23.233456176894723</v>
      </c>
      <c r="I682" s="5">
        <v>79</v>
      </c>
      <c r="J682" s="30">
        <v>150</v>
      </c>
      <c r="K682" s="30">
        <v>80</v>
      </c>
      <c r="L682" s="29">
        <f>IF(B682="Nữ",0,2)</f>
        <v>0</v>
      </c>
      <c r="M682" s="29">
        <f ca="1">IF(D682&lt;45,0,IF(D682&lt;=49,1,2))</f>
        <v>2</v>
      </c>
      <c r="N682" s="29">
        <f>IF(E682="Có",4,0)</f>
        <v>0</v>
      </c>
      <c r="O682" s="29">
        <f>IF(H682&lt;23,0,IF(H682&lt;27.5,3,5))</f>
        <v>3</v>
      </c>
      <c r="P682" s="29">
        <f>IF(OR(AND(B682="Nam",I682&gt;=90),AND(B682="Nữ",I682&gt;=80)),2,0)</f>
        <v>0</v>
      </c>
      <c r="Q682" s="29">
        <f>IF(OR(J682&gt;=140,K682&gt;=90),2,0)</f>
        <v>2</v>
      </c>
      <c r="R682" s="29">
        <f ca="1">SUM(L682:Q682)</f>
        <v>7</v>
      </c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5" t="s">
        <v>1393</v>
      </c>
      <c r="AE682" s="33"/>
      <c r="AF682" s="59" t="str">
        <f t="shared" si="31"/>
        <v>Không</v>
      </c>
      <c r="AG682" s="59" t="str">
        <f t="shared" si="32"/>
        <v>Không</v>
      </c>
      <c r="AH682" s="29" t="str">
        <f t="shared" ca="1" si="30"/>
        <v>Có</v>
      </c>
      <c r="AI682" s="29" t="str">
        <f ca="1">IF((R682)&gt;=6,"Có","Không")</f>
        <v>Có</v>
      </c>
      <c r="AJ682" s="29" t="str">
        <f>IF(OR(J682&gt;=140,K682&gt;=90),"Có","Không")</f>
        <v>Có</v>
      </c>
      <c r="AK682" s="5" t="s">
        <v>38</v>
      </c>
      <c r="AL682" s="32">
        <v>46142</v>
      </c>
      <c r="AM682" s="29" t="str">
        <f>"Tháng "&amp;MONTH(AL682)</f>
        <v>Tháng 4</v>
      </c>
      <c r="AN682" s="29" t="str">
        <f>LEFT(AK682,FIND(",",AK682)-1)</f>
        <v>Ấp Biển Đông B</v>
      </c>
    </row>
    <row r="683" spans="1:40" x14ac:dyDescent="0.25">
      <c r="A683" s="49" t="s">
        <v>301</v>
      </c>
      <c r="B683" s="5" t="s">
        <v>30</v>
      </c>
      <c r="C683" s="5" t="s">
        <v>47</v>
      </c>
      <c r="D683" s="29">
        <f ca="1">DATEDIF(C683,TODAY(),"Y")</f>
        <v>55</v>
      </c>
      <c r="E683" s="5" t="s">
        <v>26</v>
      </c>
      <c r="F683" s="30">
        <v>170</v>
      </c>
      <c r="G683" s="30">
        <v>70</v>
      </c>
      <c r="H683" s="31">
        <f>G683/((F683/100)*(F683/100))</f>
        <v>24.221453287197235</v>
      </c>
      <c r="I683" s="5">
        <v>79</v>
      </c>
      <c r="J683" s="30">
        <v>130</v>
      </c>
      <c r="K683" s="30">
        <v>80</v>
      </c>
      <c r="L683" s="29">
        <f>IF(B683="Nữ",0,2)</f>
        <v>2</v>
      </c>
      <c r="M683" s="29">
        <f ca="1">IF(D683&lt;45,0,IF(D683&lt;=49,1,2))</f>
        <v>2</v>
      </c>
      <c r="N683" s="29">
        <f>IF(E683="Có",4,0)</f>
        <v>0</v>
      </c>
      <c r="O683" s="29">
        <f>IF(H683&lt;23,0,IF(H683&lt;27.5,3,5))</f>
        <v>3</v>
      </c>
      <c r="P683" s="29">
        <f>IF(OR(AND(B683="Nam",I683&gt;=90),AND(B683="Nữ",I683&gt;=80)),2,0)</f>
        <v>0</v>
      </c>
      <c r="Q683" s="29">
        <f>IF(OR(J683&gt;=140,K683&gt;=90),2,0)</f>
        <v>0</v>
      </c>
      <c r="R683" s="29">
        <f ca="1">SUM(L683:Q683)</f>
        <v>7</v>
      </c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5" t="s">
        <v>1393</v>
      </c>
      <c r="AE683" s="33"/>
      <c r="AF683" s="59" t="str">
        <f t="shared" si="31"/>
        <v>Không</v>
      </c>
      <c r="AG683" s="59" t="str">
        <f t="shared" si="32"/>
        <v>Không</v>
      </c>
      <c r="AH683" s="29" t="str">
        <f t="shared" ca="1" si="30"/>
        <v>Có</v>
      </c>
      <c r="AI683" s="29" t="str">
        <f ca="1">IF((R683)&gt;=6,"Có","Không")</f>
        <v>Có</v>
      </c>
      <c r="AJ683" s="29" t="str">
        <f>IF(OR(J683&gt;=140,K683&gt;=90),"Có","Không")</f>
        <v>Không</v>
      </c>
      <c r="AK683" s="5" t="s">
        <v>302</v>
      </c>
      <c r="AL683" s="32">
        <v>46142</v>
      </c>
      <c r="AM683" s="29" t="str">
        <f>"Tháng "&amp;MONTH(AL683)</f>
        <v>Tháng 4</v>
      </c>
      <c r="AN683" s="29" t="str">
        <f>LEFT(AK683,FIND(",",AK683)-1)</f>
        <v>giồng nhãn</v>
      </c>
    </row>
    <row r="684" spans="1:40" x14ac:dyDescent="0.25">
      <c r="A684" s="49" t="s">
        <v>303</v>
      </c>
      <c r="B684" s="5" t="s">
        <v>23</v>
      </c>
      <c r="C684" s="5" t="s">
        <v>110</v>
      </c>
      <c r="D684" s="29">
        <f ca="1">DATEDIF(C684,TODAY(),"Y")</f>
        <v>62</v>
      </c>
      <c r="E684" s="5" t="s">
        <v>26</v>
      </c>
      <c r="F684" s="30">
        <v>158</v>
      </c>
      <c r="G684" s="30">
        <v>58</v>
      </c>
      <c r="H684" s="31">
        <f>G684/((F684/100)*(F684/100))</f>
        <v>23.233456176894723</v>
      </c>
      <c r="I684" s="5">
        <v>65</v>
      </c>
      <c r="J684" s="30">
        <v>140</v>
      </c>
      <c r="K684" s="30">
        <v>80</v>
      </c>
      <c r="L684" s="29">
        <f>IF(B684="Nữ",0,2)</f>
        <v>0</v>
      </c>
      <c r="M684" s="29">
        <f ca="1">IF(D684&lt;45,0,IF(D684&lt;=49,1,2))</f>
        <v>2</v>
      </c>
      <c r="N684" s="29">
        <f>IF(E684="Có",4,0)</f>
        <v>0</v>
      </c>
      <c r="O684" s="29">
        <f>IF(H684&lt;23,0,IF(H684&lt;27.5,3,5))</f>
        <v>3</v>
      </c>
      <c r="P684" s="29">
        <f>IF(OR(AND(B684="Nam",I684&gt;=90),AND(B684="Nữ",I684&gt;=80)),2,0)</f>
        <v>0</v>
      </c>
      <c r="Q684" s="29">
        <f>IF(OR(J684&gt;=140,K684&gt;=90),2,0)</f>
        <v>2</v>
      </c>
      <c r="R684" s="29">
        <f ca="1">SUM(L684:Q684)</f>
        <v>7</v>
      </c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5" t="s">
        <v>1393</v>
      </c>
      <c r="AE684" s="33"/>
      <c r="AF684" s="59" t="str">
        <f t="shared" si="31"/>
        <v>Không</v>
      </c>
      <c r="AG684" s="59" t="str">
        <f t="shared" si="32"/>
        <v>Không</v>
      </c>
      <c r="AH684" s="29" t="str">
        <f t="shared" ca="1" si="30"/>
        <v>Có</v>
      </c>
      <c r="AI684" s="29" t="str">
        <f ca="1">IF((R684)&gt;=6,"Có","Không")</f>
        <v>Có</v>
      </c>
      <c r="AJ684" s="29" t="str">
        <f>IF(OR(J684&gt;=140,K684&gt;=90),"Có","Không")</f>
        <v>Có</v>
      </c>
      <c r="AK684" s="5" t="s">
        <v>70</v>
      </c>
      <c r="AL684" s="32">
        <v>46142</v>
      </c>
      <c r="AM684" s="29" t="str">
        <f>"Tháng "&amp;MONTH(AL684)</f>
        <v>Tháng 4</v>
      </c>
      <c r="AN684" s="29" t="str">
        <f>LEFT(AK684,FIND(",",AK684)-1)</f>
        <v>Ấp Biển Tây A</v>
      </c>
    </row>
    <row r="685" spans="1:40" x14ac:dyDescent="0.25">
      <c r="A685" s="49" t="s">
        <v>304</v>
      </c>
      <c r="B685" s="5" t="s">
        <v>23</v>
      </c>
      <c r="C685" s="5" t="s">
        <v>155</v>
      </c>
      <c r="D685" s="29">
        <f ca="1">DATEDIF(C685,TODAY(),"Y")</f>
        <v>53</v>
      </c>
      <c r="E685" s="5" t="s">
        <v>26</v>
      </c>
      <c r="F685" s="30">
        <v>158</v>
      </c>
      <c r="G685" s="30">
        <v>60</v>
      </c>
      <c r="H685" s="31">
        <f>G685/((F685/100)*(F685/100))</f>
        <v>24.034609838166958</v>
      </c>
      <c r="I685" s="5">
        <v>85</v>
      </c>
      <c r="J685" s="30">
        <v>130</v>
      </c>
      <c r="K685" s="30">
        <v>70</v>
      </c>
      <c r="L685" s="29">
        <f>IF(B685="Nữ",0,2)</f>
        <v>0</v>
      </c>
      <c r="M685" s="29">
        <f ca="1">IF(D685&lt;45,0,IF(D685&lt;=49,1,2))</f>
        <v>2</v>
      </c>
      <c r="N685" s="29">
        <f>IF(E685="Có",4,0)</f>
        <v>0</v>
      </c>
      <c r="O685" s="29">
        <f>IF(H685&lt;23,0,IF(H685&lt;27.5,3,5))</f>
        <v>3</v>
      </c>
      <c r="P685" s="29">
        <f>IF(OR(AND(B685="Nam",I685&gt;=90),AND(B685="Nữ",I685&gt;=80)),2,0)</f>
        <v>2</v>
      </c>
      <c r="Q685" s="29">
        <f>IF(OR(J685&gt;=140,K685&gt;=90),2,0)</f>
        <v>0</v>
      </c>
      <c r="R685" s="29">
        <f ca="1">SUM(L685:Q685)</f>
        <v>7</v>
      </c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5" t="s">
        <v>1393</v>
      </c>
      <c r="AE685" s="33"/>
      <c r="AF685" s="59" t="str">
        <f t="shared" si="31"/>
        <v>Không</v>
      </c>
      <c r="AG685" s="59" t="str">
        <f t="shared" si="32"/>
        <v>Không</v>
      </c>
      <c r="AH685" s="29" t="str">
        <f t="shared" ca="1" si="30"/>
        <v>Có</v>
      </c>
      <c r="AI685" s="29" t="str">
        <f ca="1">IF((R685)&gt;=6,"Có","Không")</f>
        <v>Có</v>
      </c>
      <c r="AJ685" s="29" t="str">
        <f>IF(OR(J685&gt;=140,K685&gt;=90),"Có","Không")</f>
        <v>Không</v>
      </c>
      <c r="AK685" s="5" t="s">
        <v>51</v>
      </c>
      <c r="AL685" s="32">
        <v>46142</v>
      </c>
      <c r="AM685" s="29" t="str">
        <f>"Tháng "&amp;MONTH(AL685)</f>
        <v>Tháng 4</v>
      </c>
      <c r="AN685" s="29" t="str">
        <f>LEFT(AK685,FIND(",",AK685)-1)</f>
        <v>Phường Hiệp Thành</v>
      </c>
    </row>
    <row r="686" spans="1:40" x14ac:dyDescent="0.25">
      <c r="A686" s="49" t="s">
        <v>305</v>
      </c>
      <c r="B686" s="5" t="s">
        <v>23</v>
      </c>
      <c r="C686" s="5" t="s">
        <v>42</v>
      </c>
      <c r="D686" s="29">
        <f ca="1">DATEDIF(C686,TODAY(),"Y")</f>
        <v>59</v>
      </c>
      <c r="E686" s="5" t="s">
        <v>25</v>
      </c>
      <c r="F686" s="30">
        <v>158</v>
      </c>
      <c r="G686" s="30">
        <v>58</v>
      </c>
      <c r="H686" s="31">
        <f>G686/((F686/100)*(F686/100))</f>
        <v>23.233456176894723</v>
      </c>
      <c r="I686" s="5">
        <v>71</v>
      </c>
      <c r="J686" s="30">
        <v>140</v>
      </c>
      <c r="K686" s="30">
        <v>80</v>
      </c>
      <c r="L686" s="29">
        <f>IF(B686="Nữ",0,2)</f>
        <v>0</v>
      </c>
      <c r="M686" s="29">
        <f ca="1">IF(D686&lt;45,0,IF(D686&lt;=49,1,2))</f>
        <v>2</v>
      </c>
      <c r="N686" s="29">
        <f>IF(E686="Có",4,0)</f>
        <v>4</v>
      </c>
      <c r="O686" s="29">
        <f>IF(H686&lt;23,0,IF(H686&lt;27.5,3,5))</f>
        <v>3</v>
      </c>
      <c r="P686" s="29">
        <f>IF(OR(AND(B686="Nam",I686&gt;=90),AND(B686="Nữ",I686&gt;=80)),2,0)</f>
        <v>0</v>
      </c>
      <c r="Q686" s="29">
        <f>IF(OR(J686&gt;=140,K686&gt;=90),2,0)</f>
        <v>2</v>
      </c>
      <c r="R686" s="29">
        <f ca="1">SUM(L686:Q686)</f>
        <v>11</v>
      </c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5" t="s">
        <v>1393</v>
      </c>
      <c r="AE686" s="33"/>
      <c r="AF686" s="59" t="str">
        <f t="shared" si="31"/>
        <v>Không</v>
      </c>
      <c r="AG686" s="59" t="str">
        <f t="shared" si="32"/>
        <v>Không</v>
      </c>
      <c r="AH686" s="29" t="str">
        <f t="shared" ca="1" si="30"/>
        <v>Có</v>
      </c>
      <c r="AI686" s="29" t="str">
        <f ca="1">IF((R686)&gt;=6,"Có","Không")</f>
        <v>Có</v>
      </c>
      <c r="AJ686" s="29" t="str">
        <f>IF(OR(J686&gt;=140,K686&gt;=90),"Có","Không")</f>
        <v>Có</v>
      </c>
      <c r="AK686" s="5" t="s">
        <v>306</v>
      </c>
      <c r="AL686" s="32">
        <v>46142</v>
      </c>
      <c r="AM686" s="29" t="str">
        <f>"Tháng "&amp;MONTH(AL686)</f>
        <v>Tháng 4</v>
      </c>
      <c r="AN686" s="29" t="str">
        <f>LEFT(AK686,FIND(",",AK686)-1)</f>
        <v>Giồng Giữa A</v>
      </c>
    </row>
    <row r="687" spans="1:40" x14ac:dyDescent="0.25">
      <c r="A687" s="49" t="s">
        <v>307</v>
      </c>
      <c r="B687" s="5" t="s">
        <v>23</v>
      </c>
      <c r="C687" s="5" t="s">
        <v>76</v>
      </c>
      <c r="D687" s="29">
        <f ca="1">DATEDIF(C687,TODAY(),"Y")</f>
        <v>68</v>
      </c>
      <c r="E687" s="5" t="s">
        <v>26</v>
      </c>
      <c r="F687" s="30">
        <v>158</v>
      </c>
      <c r="G687" s="30">
        <v>58</v>
      </c>
      <c r="H687" s="31">
        <f>G687/((F687/100)*(F687/100))</f>
        <v>23.233456176894723</v>
      </c>
      <c r="I687" s="5">
        <v>83</v>
      </c>
      <c r="J687" s="30">
        <v>120</v>
      </c>
      <c r="K687" s="30">
        <v>80</v>
      </c>
      <c r="L687" s="29">
        <f>IF(B687="Nữ",0,2)</f>
        <v>0</v>
      </c>
      <c r="M687" s="29">
        <f ca="1">IF(D687&lt;45,0,IF(D687&lt;=49,1,2))</f>
        <v>2</v>
      </c>
      <c r="N687" s="29">
        <f>IF(E687="Có",4,0)</f>
        <v>0</v>
      </c>
      <c r="O687" s="29">
        <f>IF(H687&lt;23,0,IF(H687&lt;27.5,3,5))</f>
        <v>3</v>
      </c>
      <c r="P687" s="29">
        <f>IF(OR(AND(B687="Nam",I687&gt;=90),AND(B687="Nữ",I687&gt;=80)),2,0)</f>
        <v>2</v>
      </c>
      <c r="Q687" s="29">
        <f>IF(OR(J687&gt;=140,K687&gt;=90),2,0)</f>
        <v>0</v>
      </c>
      <c r="R687" s="29">
        <f ca="1">SUM(L687:Q687)</f>
        <v>7</v>
      </c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5" t="s">
        <v>1393</v>
      </c>
      <c r="AE687" s="33"/>
      <c r="AF687" s="59" t="str">
        <f t="shared" si="31"/>
        <v>Không</v>
      </c>
      <c r="AG687" s="59" t="str">
        <f t="shared" si="32"/>
        <v>Không</v>
      </c>
      <c r="AH687" s="29" t="str">
        <f t="shared" ca="1" si="30"/>
        <v>Có</v>
      </c>
      <c r="AI687" s="29" t="str">
        <f ca="1">IF((R687)&gt;=6,"Có","Không")</f>
        <v>Có</v>
      </c>
      <c r="AJ687" s="29" t="str">
        <f>IF(OR(J687&gt;=140,K687&gt;=90),"Có","Không")</f>
        <v>Không</v>
      </c>
      <c r="AK687" s="5" t="s">
        <v>308</v>
      </c>
      <c r="AL687" s="32">
        <v>46142</v>
      </c>
      <c r="AM687" s="29" t="str">
        <f>"Tháng "&amp;MONTH(AL687)</f>
        <v>Tháng 4</v>
      </c>
      <c r="AN687" s="29" t="str">
        <f>LEFT(AK687,FIND(",",AK687)-1)</f>
        <v>ấp Giồng Giữa A</v>
      </c>
    </row>
    <row r="688" spans="1:40" x14ac:dyDescent="0.25">
      <c r="A688" s="49" t="s">
        <v>309</v>
      </c>
      <c r="B688" s="5" t="s">
        <v>23</v>
      </c>
      <c r="C688" s="5" t="s">
        <v>273</v>
      </c>
      <c r="D688" s="29">
        <f ca="1">DATEDIF(C688,TODAY(),"Y")</f>
        <v>47</v>
      </c>
      <c r="E688" s="5" t="s">
        <v>26</v>
      </c>
      <c r="F688" s="30">
        <v>150</v>
      </c>
      <c r="G688" s="30">
        <v>52</v>
      </c>
      <c r="H688" s="31">
        <f>G688/((F688/100)*(F688/100))</f>
        <v>23.111111111111111</v>
      </c>
      <c r="I688" s="5">
        <v>67</v>
      </c>
      <c r="J688" s="30">
        <v>130</v>
      </c>
      <c r="K688" s="30">
        <v>70</v>
      </c>
      <c r="L688" s="29">
        <f>IF(B688="Nữ",0,2)</f>
        <v>0</v>
      </c>
      <c r="M688" s="29">
        <f ca="1">IF(D688&lt;45,0,IF(D688&lt;=49,1,2))</f>
        <v>1</v>
      </c>
      <c r="N688" s="29">
        <f>IF(E688="Có",4,0)</f>
        <v>0</v>
      </c>
      <c r="O688" s="29">
        <f>IF(H688&lt;23,0,IF(H688&lt;27.5,3,5))</f>
        <v>3</v>
      </c>
      <c r="P688" s="29">
        <f>IF(OR(AND(B688="Nam",I688&gt;=90),AND(B688="Nữ",I688&gt;=80)),2,0)</f>
        <v>0</v>
      </c>
      <c r="Q688" s="29">
        <f>IF(OR(J688&gt;=140,K688&gt;=90),2,0)</f>
        <v>0</v>
      </c>
      <c r="R688" s="29">
        <f ca="1">SUM(L688:Q688)</f>
        <v>4</v>
      </c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5" t="s">
        <v>1393</v>
      </c>
      <c r="AE688" s="33"/>
      <c r="AF688" s="59" t="str">
        <f t="shared" si="31"/>
        <v>Không</v>
      </c>
      <c r="AG688" s="59" t="str">
        <f t="shared" si="32"/>
        <v>Không</v>
      </c>
      <c r="AH688" s="29" t="str">
        <f t="shared" ca="1" si="30"/>
        <v>Không</v>
      </c>
      <c r="AI688" s="29" t="str">
        <f ca="1">IF((R688)&gt;=6,"Có","Không")</f>
        <v>Không</v>
      </c>
      <c r="AJ688" s="29" t="str">
        <f>IF(OR(J688&gt;=140,K688&gt;=90),"Có","Không")</f>
        <v>Không</v>
      </c>
      <c r="AK688" s="5" t="s">
        <v>35</v>
      </c>
      <c r="AL688" s="32">
        <v>46142</v>
      </c>
      <c r="AM688" s="29" t="str">
        <f>"Tháng "&amp;MONTH(AL688)</f>
        <v>Tháng 4</v>
      </c>
      <c r="AN688" s="29" t="str">
        <f>LEFT(AK688,FIND(",",AK688)-1)</f>
        <v>Chòm Xoài</v>
      </c>
    </row>
    <row r="689" spans="1:40" x14ac:dyDescent="0.25">
      <c r="A689" s="49" t="s">
        <v>310</v>
      </c>
      <c r="B689" s="5" t="s">
        <v>23</v>
      </c>
      <c r="C689" s="5" t="s">
        <v>53</v>
      </c>
      <c r="D689" s="29">
        <f ca="1">DATEDIF(C689,TODAY(),"Y")</f>
        <v>72</v>
      </c>
      <c r="E689" s="5" t="s">
        <v>26</v>
      </c>
      <c r="F689" s="30">
        <v>168</v>
      </c>
      <c r="G689" s="30">
        <v>68</v>
      </c>
      <c r="H689" s="31">
        <f>G689/((F689/100)*(F689/100))</f>
        <v>24.092970521541954</v>
      </c>
      <c r="I689" s="5">
        <v>84</v>
      </c>
      <c r="J689" s="30">
        <v>120</v>
      </c>
      <c r="K689" s="30">
        <v>80</v>
      </c>
      <c r="L689" s="29">
        <f>IF(B689="Nữ",0,2)</f>
        <v>0</v>
      </c>
      <c r="M689" s="29">
        <f ca="1">IF(D689&lt;45,0,IF(D689&lt;=49,1,2))</f>
        <v>2</v>
      </c>
      <c r="N689" s="29">
        <f>IF(E689="Có",4,0)</f>
        <v>0</v>
      </c>
      <c r="O689" s="29">
        <f>IF(H689&lt;23,0,IF(H689&lt;27.5,3,5))</f>
        <v>3</v>
      </c>
      <c r="P689" s="29">
        <f>IF(OR(AND(B689="Nam",I689&gt;=90),AND(B689="Nữ",I689&gt;=80)),2,0)</f>
        <v>2</v>
      </c>
      <c r="Q689" s="29">
        <f>IF(OR(J689&gt;=140,K689&gt;=90),2,0)</f>
        <v>0</v>
      </c>
      <c r="R689" s="29">
        <f ca="1">SUM(L689:Q689)</f>
        <v>7</v>
      </c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5" t="s">
        <v>1393</v>
      </c>
      <c r="AE689" s="33"/>
      <c r="AF689" s="59" t="str">
        <f t="shared" si="31"/>
        <v>Không</v>
      </c>
      <c r="AG689" s="59" t="str">
        <f t="shared" si="32"/>
        <v>Không</v>
      </c>
      <c r="AH689" s="29" t="str">
        <f t="shared" ca="1" si="30"/>
        <v>Có</v>
      </c>
      <c r="AI689" s="29" t="str">
        <f ca="1">IF((R689)&gt;=6,"Có","Không")</f>
        <v>Có</v>
      </c>
      <c r="AJ689" s="29" t="str">
        <f>IF(OR(J689&gt;=140,K689&gt;=90),"Có","Không")</f>
        <v>Không</v>
      </c>
      <c r="AK689" s="5" t="s">
        <v>48</v>
      </c>
      <c r="AL689" s="32">
        <v>46142</v>
      </c>
      <c r="AM689" s="29" t="str">
        <f>"Tháng "&amp;MONTH(AL689)</f>
        <v>Tháng 4</v>
      </c>
      <c r="AN689" s="29" t="str">
        <f>LEFT(AK689,FIND(",",AK689)-1)</f>
        <v>ấp Giồng Giữa A</v>
      </c>
    </row>
    <row r="690" spans="1:40" x14ac:dyDescent="0.25">
      <c r="A690" s="49" t="s">
        <v>316</v>
      </c>
      <c r="B690" s="5" t="s">
        <v>23</v>
      </c>
      <c r="C690" s="5" t="s">
        <v>80</v>
      </c>
      <c r="D690" s="29">
        <f ca="1">DATEDIF(C690,TODAY(),"Y")</f>
        <v>71</v>
      </c>
      <c r="E690" s="5" t="s">
        <v>25</v>
      </c>
      <c r="F690" s="30">
        <v>160</v>
      </c>
      <c r="G690" s="30">
        <v>74</v>
      </c>
      <c r="H690" s="31">
        <f>G690/((F690/100)*(F690/100))</f>
        <v>28.906249999999993</v>
      </c>
      <c r="I690" s="5">
        <v>66</v>
      </c>
      <c r="J690" s="30">
        <v>120</v>
      </c>
      <c r="K690" s="30">
        <v>80</v>
      </c>
      <c r="L690" s="29">
        <f>IF(B690="Nữ",0,2)</f>
        <v>0</v>
      </c>
      <c r="M690" s="29">
        <f ca="1">IF(D690&lt;45,0,IF(D690&lt;=49,1,2))</f>
        <v>2</v>
      </c>
      <c r="N690" s="29">
        <f>IF(E690="Có",4,0)</f>
        <v>4</v>
      </c>
      <c r="O690" s="29">
        <f>IF(H690&lt;23,0,IF(H690&lt;27.5,3,5))</f>
        <v>5</v>
      </c>
      <c r="P690" s="29">
        <f>IF(OR(AND(B690="Nam",I690&gt;=90),AND(B690="Nữ",I690&gt;=80)),2,0)</f>
        <v>0</v>
      </c>
      <c r="Q690" s="29">
        <f>IF(OR(J690&gt;=140,K690&gt;=90),2,0)</f>
        <v>0</v>
      </c>
      <c r="R690" s="29">
        <f ca="1">SUM(L690:Q690)</f>
        <v>11</v>
      </c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5" t="s">
        <v>1393</v>
      </c>
      <c r="AE690" s="33"/>
      <c r="AF690" s="59" t="str">
        <f t="shared" si="31"/>
        <v>Không</v>
      </c>
      <c r="AG690" s="59" t="str">
        <f t="shared" si="32"/>
        <v>Không</v>
      </c>
      <c r="AH690" s="29" t="str">
        <f t="shared" ca="1" si="30"/>
        <v>Có</v>
      </c>
      <c r="AI690" s="29" t="str">
        <f ca="1">IF((R690)&gt;=6,"Có","Không")</f>
        <v>Có</v>
      </c>
      <c r="AJ690" s="29" t="str">
        <f>IF(OR(J690&gt;=140,K690&gt;=90),"Có","Không")</f>
        <v>Không</v>
      </c>
      <c r="AK690" s="5" t="s">
        <v>120</v>
      </c>
      <c r="AL690" s="32">
        <v>46142</v>
      </c>
      <c r="AM690" s="29" t="str">
        <f>"Tháng "&amp;MONTH(AL690)</f>
        <v>Tháng 4</v>
      </c>
      <c r="AN690" s="29" t="str">
        <f>LEFT(AK690,FIND(",",AK690)-1)</f>
        <v>Ấp Xóm Lẫm</v>
      </c>
    </row>
    <row r="691" spans="1:40" x14ac:dyDescent="0.25">
      <c r="A691" s="49" t="s">
        <v>317</v>
      </c>
      <c r="B691" s="5" t="s">
        <v>30</v>
      </c>
      <c r="C691" s="5" t="s">
        <v>318</v>
      </c>
      <c r="D691" s="29">
        <f ca="1">DATEDIF(C691,TODAY(),"Y")</f>
        <v>82</v>
      </c>
      <c r="E691" s="5" t="s">
        <v>26</v>
      </c>
      <c r="F691" s="30">
        <v>172</v>
      </c>
      <c r="G691" s="30">
        <v>74</v>
      </c>
      <c r="H691" s="31">
        <f>G691/((F691/100)*(F691/100))</f>
        <v>25.013520822065985</v>
      </c>
      <c r="I691" s="5">
        <v>82</v>
      </c>
      <c r="J691" s="30">
        <v>140</v>
      </c>
      <c r="K691" s="30">
        <v>80</v>
      </c>
      <c r="L691" s="29">
        <f>IF(B691="Nữ",0,2)</f>
        <v>2</v>
      </c>
      <c r="M691" s="29">
        <f ca="1">IF(D691&lt;45,0,IF(D691&lt;=49,1,2))</f>
        <v>2</v>
      </c>
      <c r="N691" s="29">
        <f>IF(E691="Có",4,0)</f>
        <v>0</v>
      </c>
      <c r="O691" s="29">
        <f>IF(H691&lt;23,0,IF(H691&lt;27.5,3,5))</f>
        <v>3</v>
      </c>
      <c r="P691" s="29">
        <f>IF(OR(AND(B691="Nam",I691&gt;=90),AND(B691="Nữ",I691&gt;=80)),2,0)</f>
        <v>0</v>
      </c>
      <c r="Q691" s="29">
        <f>IF(OR(J691&gt;=140,K691&gt;=90),2,0)</f>
        <v>2</v>
      </c>
      <c r="R691" s="29">
        <f ca="1">SUM(L691:Q691)</f>
        <v>9</v>
      </c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5" t="s">
        <v>1393</v>
      </c>
      <c r="AE691" s="33"/>
      <c r="AF691" s="59" t="str">
        <f t="shared" si="31"/>
        <v>Không</v>
      </c>
      <c r="AG691" s="59" t="str">
        <f t="shared" si="32"/>
        <v>Không</v>
      </c>
      <c r="AH691" s="29" t="str">
        <f t="shared" ca="1" si="30"/>
        <v>Có</v>
      </c>
      <c r="AI691" s="29" t="str">
        <f ca="1">IF((R691)&gt;=6,"Có","Không")</f>
        <v>Có</v>
      </c>
      <c r="AJ691" s="29" t="str">
        <f>IF(OR(J691&gt;=140,K691&gt;=90),"Có","Không")</f>
        <v>Có</v>
      </c>
      <c r="AK691" s="5" t="s">
        <v>319</v>
      </c>
      <c r="AL691" s="32">
        <v>46142</v>
      </c>
      <c r="AM691" s="29" t="str">
        <f>"Tháng "&amp;MONTH(AL691)</f>
        <v>Tháng 4</v>
      </c>
      <c r="AN691" s="29" t="str">
        <f>LEFT(AK691,FIND(",",AK691)-1)</f>
        <v>Khóm Đầu Lộ A</v>
      </c>
    </row>
    <row r="692" spans="1:40" x14ac:dyDescent="0.25">
      <c r="A692" s="49" t="s">
        <v>320</v>
      </c>
      <c r="B692" s="5" t="s">
        <v>30</v>
      </c>
      <c r="C692" s="5" t="s">
        <v>188</v>
      </c>
      <c r="D692" s="29">
        <f ca="1">DATEDIF(C692,TODAY(),"Y")</f>
        <v>63</v>
      </c>
      <c r="E692" s="5" t="s">
        <v>26</v>
      </c>
      <c r="F692" s="30">
        <v>170</v>
      </c>
      <c r="G692" s="30">
        <v>87</v>
      </c>
      <c r="H692" s="31">
        <f>G692/((F692/100)*(F692/100))</f>
        <v>30.103806228373706</v>
      </c>
      <c r="I692" s="5">
        <v>78</v>
      </c>
      <c r="J692" s="30">
        <v>120</v>
      </c>
      <c r="K692" s="30">
        <v>80</v>
      </c>
      <c r="L692" s="29">
        <f>IF(B692="Nữ",0,2)</f>
        <v>2</v>
      </c>
      <c r="M692" s="29">
        <f ca="1">IF(D692&lt;45,0,IF(D692&lt;=49,1,2))</f>
        <v>2</v>
      </c>
      <c r="N692" s="29">
        <f>IF(E692="Có",4,0)</f>
        <v>0</v>
      </c>
      <c r="O692" s="29">
        <f>IF(H692&lt;23,0,IF(H692&lt;27.5,3,5))</f>
        <v>5</v>
      </c>
      <c r="P692" s="29">
        <f>IF(OR(AND(B692="Nam",I692&gt;=90),AND(B692="Nữ",I692&gt;=80)),2,0)</f>
        <v>0</v>
      </c>
      <c r="Q692" s="29">
        <f>IF(OR(J692&gt;=140,K692&gt;=90),2,0)</f>
        <v>0</v>
      </c>
      <c r="R692" s="29">
        <f ca="1">SUM(L692:Q692)</f>
        <v>9</v>
      </c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5" t="s">
        <v>1393</v>
      </c>
      <c r="AE692" s="33"/>
      <c r="AF692" s="59" t="str">
        <f t="shared" si="31"/>
        <v>Không</v>
      </c>
      <c r="AG692" s="59" t="str">
        <f t="shared" si="32"/>
        <v>Không</v>
      </c>
      <c r="AH692" s="29" t="str">
        <f t="shared" ca="1" si="30"/>
        <v>Có</v>
      </c>
      <c r="AI692" s="29" t="str">
        <f ca="1">IF((R692)&gt;=6,"Có","Không")</f>
        <v>Có</v>
      </c>
      <c r="AJ692" s="29" t="str">
        <f>IF(OR(J692&gt;=140,K692&gt;=90),"Có","Không")</f>
        <v>Không</v>
      </c>
      <c r="AK692" s="5" t="s">
        <v>321</v>
      </c>
      <c r="AL692" s="32">
        <v>46142</v>
      </c>
      <c r="AM692" s="29" t="str">
        <f>"Tháng "&amp;MONTH(AL692)</f>
        <v>Tháng 4</v>
      </c>
      <c r="AN692" s="29" t="str">
        <f>LEFT(AK692,FIND(",",AK692)-1)</f>
        <v>khóm Giồng Nhãn A</v>
      </c>
    </row>
    <row r="693" spans="1:40" x14ac:dyDescent="0.25">
      <c r="A693" s="49" t="s">
        <v>326</v>
      </c>
      <c r="B693" s="5" t="s">
        <v>23</v>
      </c>
      <c r="C693" s="5" t="s">
        <v>59</v>
      </c>
      <c r="D693" s="29">
        <f ca="1">DATEDIF(C693,TODAY(),"Y")</f>
        <v>74</v>
      </c>
      <c r="E693" s="5" t="s">
        <v>26</v>
      </c>
      <c r="F693" s="30">
        <v>158</v>
      </c>
      <c r="G693" s="30">
        <v>58</v>
      </c>
      <c r="H693" s="31">
        <f>G693/((F693/100)*(F693/100))</f>
        <v>23.233456176894723</v>
      </c>
      <c r="I693" s="5">
        <v>69</v>
      </c>
      <c r="J693" s="30">
        <v>120</v>
      </c>
      <c r="K693" s="30">
        <v>80</v>
      </c>
      <c r="L693" s="29">
        <f>IF(B693="Nữ",0,2)</f>
        <v>0</v>
      </c>
      <c r="M693" s="29">
        <f ca="1">IF(D693&lt;45,0,IF(D693&lt;=49,1,2))</f>
        <v>2</v>
      </c>
      <c r="N693" s="29">
        <f>IF(E693="Có",4,0)</f>
        <v>0</v>
      </c>
      <c r="O693" s="29">
        <f>IF(H693&lt;23,0,IF(H693&lt;27.5,3,5))</f>
        <v>3</v>
      </c>
      <c r="P693" s="29">
        <f>IF(OR(AND(B693="Nam",I693&gt;=90),AND(B693="Nữ",I693&gt;=80)),2,0)</f>
        <v>0</v>
      </c>
      <c r="Q693" s="29">
        <f>IF(OR(J693&gt;=140,K693&gt;=90),2,0)</f>
        <v>0</v>
      </c>
      <c r="R693" s="29">
        <f ca="1">SUM(L693:Q693)</f>
        <v>5</v>
      </c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5" t="s">
        <v>1393</v>
      </c>
      <c r="AE693" s="33"/>
      <c r="AF693" s="59" t="str">
        <f t="shared" si="31"/>
        <v>Không</v>
      </c>
      <c r="AG693" s="59" t="str">
        <f t="shared" si="32"/>
        <v>Không</v>
      </c>
      <c r="AH693" s="29" t="str">
        <f t="shared" ca="1" si="30"/>
        <v>Không</v>
      </c>
      <c r="AI693" s="29" t="str">
        <f ca="1">IF((R693)&gt;=6,"Có","Không")</f>
        <v>Không</v>
      </c>
      <c r="AJ693" s="29" t="str">
        <f>IF(OR(J693&gt;=140,K693&gt;=90),"Có","Không")</f>
        <v>Không</v>
      </c>
      <c r="AK693" s="5" t="s">
        <v>38</v>
      </c>
      <c r="AL693" s="32">
        <v>46142</v>
      </c>
      <c r="AM693" s="29" t="str">
        <f>"Tháng "&amp;MONTH(AL693)</f>
        <v>Tháng 4</v>
      </c>
      <c r="AN693" s="29" t="str">
        <f>LEFT(AK693,FIND(",",AK693)-1)</f>
        <v>Ấp Biển Đông B</v>
      </c>
    </row>
    <row r="694" spans="1:40" x14ac:dyDescent="0.25">
      <c r="A694" s="49" t="s">
        <v>328</v>
      </c>
      <c r="B694" s="5" t="s">
        <v>23</v>
      </c>
      <c r="C694" s="5" t="s">
        <v>329</v>
      </c>
      <c r="D694" s="29">
        <f ca="1">DATEDIF(C694,TODAY(),"Y")</f>
        <v>81</v>
      </c>
      <c r="E694" s="5" t="s">
        <v>26</v>
      </c>
      <c r="F694" s="30">
        <v>160</v>
      </c>
      <c r="G694" s="30">
        <v>53</v>
      </c>
      <c r="H694" s="31">
        <f>G694/((F694/100)*(F694/100))</f>
        <v>20.703124999999996</v>
      </c>
      <c r="I694" s="5">
        <v>65</v>
      </c>
      <c r="J694" s="30">
        <v>140</v>
      </c>
      <c r="K694" s="30">
        <v>80</v>
      </c>
      <c r="L694" s="29">
        <f>IF(B694="Nữ",0,2)</f>
        <v>0</v>
      </c>
      <c r="M694" s="29">
        <f ca="1">IF(D694&lt;45,0,IF(D694&lt;=49,1,2))</f>
        <v>2</v>
      </c>
      <c r="N694" s="29">
        <f>IF(E694="Có",4,0)</f>
        <v>0</v>
      </c>
      <c r="O694" s="29">
        <f>IF(H694&lt;23,0,IF(H694&lt;27.5,3,5))</f>
        <v>0</v>
      </c>
      <c r="P694" s="29">
        <f>IF(OR(AND(B694="Nam",I694&gt;=90),AND(B694="Nữ",I694&gt;=80)),2,0)</f>
        <v>0</v>
      </c>
      <c r="Q694" s="29">
        <f>IF(OR(J694&gt;=140,K694&gt;=90),2,0)</f>
        <v>2</v>
      </c>
      <c r="R694" s="29">
        <f ca="1">SUM(L694:Q694)</f>
        <v>4</v>
      </c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5" t="s">
        <v>1393</v>
      </c>
      <c r="AE694" s="33"/>
      <c r="AF694" s="59" t="str">
        <f t="shared" si="31"/>
        <v>Không</v>
      </c>
      <c r="AG694" s="59" t="str">
        <f t="shared" si="32"/>
        <v>Không</v>
      </c>
      <c r="AH694" s="29" t="str">
        <f t="shared" ca="1" si="30"/>
        <v>Không</v>
      </c>
      <c r="AI694" s="29" t="str">
        <f ca="1">IF((R694)&gt;=6,"Có","Không")</f>
        <v>Không</v>
      </c>
      <c r="AJ694" s="29" t="str">
        <f>IF(OR(J694&gt;=140,K694&gt;=90),"Có","Không")</f>
        <v>Có</v>
      </c>
      <c r="AK694" s="5" t="s">
        <v>88</v>
      </c>
      <c r="AL694" s="32">
        <v>46142</v>
      </c>
      <c r="AM694" s="29" t="str">
        <f>"Tháng "&amp;MONTH(AL694)</f>
        <v>Tháng 4</v>
      </c>
      <c r="AN694" s="29" t="str">
        <f>LEFT(AK694,FIND(",",AK694)-1)</f>
        <v>Giồng Giữa</v>
      </c>
    </row>
    <row r="695" spans="1:40" x14ac:dyDescent="0.25">
      <c r="A695" s="49" t="s">
        <v>332</v>
      </c>
      <c r="B695" s="5" t="s">
        <v>23</v>
      </c>
      <c r="C695" s="5" t="s">
        <v>64</v>
      </c>
      <c r="D695" s="29">
        <f ca="1">DATEDIF(C695,TODAY(),"Y")</f>
        <v>42</v>
      </c>
      <c r="E695" s="5" t="s">
        <v>25</v>
      </c>
      <c r="F695" s="30">
        <v>158</v>
      </c>
      <c r="G695" s="30">
        <v>60</v>
      </c>
      <c r="H695" s="31">
        <f>G695/((F695/100)*(F695/100))</f>
        <v>24.034609838166958</v>
      </c>
      <c r="I695" s="5">
        <v>82</v>
      </c>
      <c r="J695" s="30">
        <v>120</v>
      </c>
      <c r="K695" s="30">
        <v>70</v>
      </c>
      <c r="L695" s="29">
        <f>IF(B695="Nữ",0,2)</f>
        <v>0</v>
      </c>
      <c r="M695" s="29">
        <f ca="1">IF(D695&lt;45,0,IF(D695&lt;=49,1,2))</f>
        <v>0</v>
      </c>
      <c r="N695" s="29">
        <f>IF(E695="Có",4,0)</f>
        <v>4</v>
      </c>
      <c r="O695" s="29">
        <f>IF(H695&lt;23,0,IF(H695&lt;27.5,3,5))</f>
        <v>3</v>
      </c>
      <c r="P695" s="29">
        <f>IF(OR(AND(B695="Nam",I695&gt;=90),AND(B695="Nữ",I695&gt;=80)),2,0)</f>
        <v>2</v>
      </c>
      <c r="Q695" s="29">
        <f>IF(OR(J695&gt;=140,K695&gt;=90),2,0)</f>
        <v>0</v>
      </c>
      <c r="R695" s="29">
        <f ca="1">SUM(L695:Q695)</f>
        <v>9</v>
      </c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5" t="s">
        <v>1393</v>
      </c>
      <c r="AE695" s="33"/>
      <c r="AF695" s="59" t="str">
        <f t="shared" si="31"/>
        <v>Không</v>
      </c>
      <c r="AG695" s="59" t="str">
        <f t="shared" si="32"/>
        <v>Không</v>
      </c>
      <c r="AH695" s="29" t="str">
        <f t="shared" ca="1" si="30"/>
        <v>Có</v>
      </c>
      <c r="AI695" s="29" t="str">
        <f ca="1">IF((R695)&gt;=6,"Có","Không")</f>
        <v>Có</v>
      </c>
      <c r="AJ695" s="29" t="str">
        <f>IF(OR(J695&gt;=140,K695&gt;=90),"Có","Không")</f>
        <v>Không</v>
      </c>
      <c r="AK695" s="5" t="s">
        <v>333</v>
      </c>
      <c r="AL695" s="32">
        <v>46142</v>
      </c>
      <c r="AM695" s="29" t="str">
        <f>"Tháng "&amp;MONTH(AL695)</f>
        <v>Tháng 4</v>
      </c>
      <c r="AN695" s="29" t="str">
        <f>LEFT(AK695,FIND(",",AK695)-1)</f>
        <v>ấp 14</v>
      </c>
    </row>
    <row r="696" spans="1:40" x14ac:dyDescent="0.25">
      <c r="A696" s="49" t="s">
        <v>336</v>
      </c>
      <c r="B696" s="5" t="s">
        <v>23</v>
      </c>
      <c r="C696" s="5" t="s">
        <v>337</v>
      </c>
      <c r="D696" s="29">
        <f ca="1">DATEDIF(C696,TODAY(),"Y")</f>
        <v>86</v>
      </c>
      <c r="E696" s="5" t="s">
        <v>26</v>
      </c>
      <c r="F696" s="30">
        <v>158</v>
      </c>
      <c r="G696" s="30">
        <v>58</v>
      </c>
      <c r="H696" s="31">
        <f>G696/((F696/100)*(F696/100))</f>
        <v>23.233456176894723</v>
      </c>
      <c r="I696" s="5">
        <v>81</v>
      </c>
      <c r="J696" s="30">
        <v>150</v>
      </c>
      <c r="K696" s="30">
        <v>80</v>
      </c>
      <c r="L696" s="29">
        <f>IF(B696="Nữ",0,2)</f>
        <v>0</v>
      </c>
      <c r="M696" s="29">
        <f ca="1">IF(D696&lt;45,0,IF(D696&lt;=49,1,2))</f>
        <v>2</v>
      </c>
      <c r="N696" s="29">
        <f>IF(E696="Có",4,0)</f>
        <v>0</v>
      </c>
      <c r="O696" s="29">
        <f>IF(H696&lt;23,0,IF(H696&lt;27.5,3,5))</f>
        <v>3</v>
      </c>
      <c r="P696" s="29">
        <f>IF(OR(AND(B696="Nam",I696&gt;=90),AND(B696="Nữ",I696&gt;=80)),2,0)</f>
        <v>2</v>
      </c>
      <c r="Q696" s="29">
        <f>IF(OR(J696&gt;=140,K696&gt;=90),2,0)</f>
        <v>2</v>
      </c>
      <c r="R696" s="29">
        <f ca="1">SUM(L696:Q696)</f>
        <v>9</v>
      </c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5" t="s">
        <v>1393</v>
      </c>
      <c r="AE696" s="33"/>
      <c r="AF696" s="59" t="str">
        <f t="shared" si="31"/>
        <v>Không</v>
      </c>
      <c r="AG696" s="59" t="str">
        <f t="shared" si="32"/>
        <v>Không</v>
      </c>
      <c r="AH696" s="29" t="str">
        <f t="shared" ca="1" si="30"/>
        <v>Có</v>
      </c>
      <c r="AI696" s="29" t="str">
        <f ca="1">IF((R696)&gt;=6,"Có","Không")</f>
        <v>Có</v>
      </c>
      <c r="AJ696" s="29" t="str">
        <f>IF(OR(J696&gt;=140,K696&gt;=90),"Có","Không")</f>
        <v>Có</v>
      </c>
      <c r="AK696" s="5" t="s">
        <v>51</v>
      </c>
      <c r="AL696" s="32">
        <v>46142</v>
      </c>
      <c r="AM696" s="29" t="str">
        <f>"Tháng "&amp;MONTH(AL696)</f>
        <v>Tháng 4</v>
      </c>
      <c r="AN696" s="29" t="str">
        <f>LEFT(AK696,FIND(",",AK696)-1)</f>
        <v>Phường Hiệp Thành</v>
      </c>
    </row>
    <row r="697" spans="1:40" x14ac:dyDescent="0.25">
      <c r="A697" s="49" t="s">
        <v>338</v>
      </c>
      <c r="B697" s="5" t="s">
        <v>30</v>
      </c>
      <c r="C697" s="5" t="s">
        <v>84</v>
      </c>
      <c r="D697" s="29">
        <f ca="1">DATEDIF(C697,TODAY(),"Y")</f>
        <v>69</v>
      </c>
      <c r="E697" s="5" t="s">
        <v>26</v>
      </c>
      <c r="F697" s="30">
        <v>170</v>
      </c>
      <c r="G697" s="30">
        <v>60</v>
      </c>
      <c r="H697" s="31">
        <f>G697/((F697/100)*(F697/100))</f>
        <v>20.761245674740486</v>
      </c>
      <c r="I697" s="5">
        <v>92</v>
      </c>
      <c r="J697" s="30">
        <v>160</v>
      </c>
      <c r="K697" s="30">
        <v>80</v>
      </c>
      <c r="L697" s="29">
        <f>IF(B697="Nữ",0,2)</f>
        <v>2</v>
      </c>
      <c r="M697" s="29">
        <f ca="1">IF(D697&lt;45,0,IF(D697&lt;=49,1,2))</f>
        <v>2</v>
      </c>
      <c r="N697" s="29">
        <f>IF(E697="Có",4,0)</f>
        <v>0</v>
      </c>
      <c r="O697" s="29">
        <f>IF(H697&lt;23,0,IF(H697&lt;27.5,3,5))</f>
        <v>0</v>
      </c>
      <c r="P697" s="29">
        <f>IF(OR(AND(B697="Nam",I697&gt;=90),AND(B697="Nữ",I697&gt;=80)),2,0)</f>
        <v>2</v>
      </c>
      <c r="Q697" s="29">
        <f>IF(OR(J697&gt;=140,K697&gt;=90),2,0)</f>
        <v>2</v>
      </c>
      <c r="R697" s="29">
        <f ca="1">SUM(L697:Q697)</f>
        <v>8</v>
      </c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5" t="s">
        <v>1393</v>
      </c>
      <c r="AE697" s="33"/>
      <c r="AF697" s="59" t="str">
        <f t="shared" si="31"/>
        <v>Không</v>
      </c>
      <c r="AG697" s="59" t="str">
        <f t="shared" si="32"/>
        <v>Không</v>
      </c>
      <c r="AH697" s="29" t="str">
        <f t="shared" ca="1" si="30"/>
        <v>Có</v>
      </c>
      <c r="AI697" s="29" t="str">
        <f ca="1">IF((R697)&gt;=6,"Có","Không")</f>
        <v>Có</v>
      </c>
      <c r="AJ697" s="29" t="str">
        <f>IF(OR(J697&gt;=140,K697&gt;=90),"Có","Không")</f>
        <v>Có</v>
      </c>
      <c r="AK697" s="5" t="s">
        <v>51</v>
      </c>
      <c r="AL697" s="32">
        <v>46142</v>
      </c>
      <c r="AM697" s="29" t="str">
        <f>"Tháng "&amp;MONTH(AL697)</f>
        <v>Tháng 4</v>
      </c>
      <c r="AN697" s="29" t="str">
        <f>LEFT(AK697,FIND(",",AK697)-1)</f>
        <v>Phường Hiệp Thành</v>
      </c>
    </row>
    <row r="698" spans="1:40" x14ac:dyDescent="0.25">
      <c r="A698" s="49" t="s">
        <v>343</v>
      </c>
      <c r="B698" s="5" t="s">
        <v>30</v>
      </c>
      <c r="C698" s="5" t="s">
        <v>34</v>
      </c>
      <c r="D698" s="29">
        <f ca="1">DATEDIF(C698,TODAY(),"Y")</f>
        <v>78</v>
      </c>
      <c r="E698" s="5" t="s">
        <v>26</v>
      </c>
      <c r="F698" s="30">
        <v>169</v>
      </c>
      <c r="G698" s="30">
        <v>68</v>
      </c>
      <c r="H698" s="31">
        <f>G698/((F698/100)*(F698/100))</f>
        <v>23.808690171912751</v>
      </c>
      <c r="I698" s="5">
        <v>76</v>
      </c>
      <c r="J698" s="30">
        <v>140</v>
      </c>
      <c r="K698" s="30">
        <v>80</v>
      </c>
      <c r="L698" s="29">
        <f>IF(B698="Nữ",0,2)</f>
        <v>2</v>
      </c>
      <c r="M698" s="29">
        <f ca="1">IF(D698&lt;45,0,IF(D698&lt;=49,1,2))</f>
        <v>2</v>
      </c>
      <c r="N698" s="29">
        <f>IF(E698="Có",4,0)</f>
        <v>0</v>
      </c>
      <c r="O698" s="29">
        <f>IF(H698&lt;23,0,IF(H698&lt;27.5,3,5))</f>
        <v>3</v>
      </c>
      <c r="P698" s="29">
        <f>IF(OR(AND(B698="Nam",I698&gt;=90),AND(B698="Nữ",I698&gt;=80)),2,0)</f>
        <v>0</v>
      </c>
      <c r="Q698" s="29">
        <f>IF(OR(J698&gt;=140,K698&gt;=90),2,0)</f>
        <v>2</v>
      </c>
      <c r="R698" s="29">
        <f ca="1">SUM(L698:Q698)</f>
        <v>9</v>
      </c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5" t="s">
        <v>1393</v>
      </c>
      <c r="AE698" s="33"/>
      <c r="AF698" s="59" t="str">
        <f t="shared" si="31"/>
        <v>Không</v>
      </c>
      <c r="AG698" s="59" t="str">
        <f t="shared" si="32"/>
        <v>Không</v>
      </c>
      <c r="AH698" s="29" t="str">
        <f t="shared" ca="1" si="30"/>
        <v>Có</v>
      </c>
      <c r="AI698" s="29" t="str">
        <f ca="1">IF((R698)&gt;=6,"Có","Không")</f>
        <v>Có</v>
      </c>
      <c r="AJ698" s="29" t="str">
        <f>IF(OR(J698&gt;=140,K698&gt;=90),"Có","Không")</f>
        <v>Có</v>
      </c>
      <c r="AK698" s="5" t="s">
        <v>48</v>
      </c>
      <c r="AL698" s="32">
        <v>46142</v>
      </c>
      <c r="AM698" s="29" t="str">
        <f>"Tháng "&amp;MONTH(AL698)</f>
        <v>Tháng 4</v>
      </c>
      <c r="AN698" s="29" t="str">
        <f>LEFT(AK698,FIND(",",AK698)-1)</f>
        <v>ấp Giồng Giữa A</v>
      </c>
    </row>
    <row r="699" spans="1:40" x14ac:dyDescent="0.25">
      <c r="A699" s="49" t="s">
        <v>348</v>
      </c>
      <c r="B699" s="5" t="s">
        <v>23</v>
      </c>
      <c r="C699" s="5" t="s">
        <v>127</v>
      </c>
      <c r="D699" s="29">
        <f ca="1">DATEDIF(C699,TODAY(),"Y")</f>
        <v>76</v>
      </c>
      <c r="E699" s="5" t="s">
        <v>26</v>
      </c>
      <c r="F699" s="30">
        <v>160</v>
      </c>
      <c r="G699" s="30">
        <v>78</v>
      </c>
      <c r="H699" s="31">
        <f>G699/((F699/100)*(F699/100))</f>
        <v>30.468749999999993</v>
      </c>
      <c r="I699" s="5">
        <v>85</v>
      </c>
      <c r="J699" s="30">
        <v>160</v>
      </c>
      <c r="K699" s="30">
        <v>80</v>
      </c>
      <c r="L699" s="29">
        <f>IF(B699="Nữ",0,2)</f>
        <v>0</v>
      </c>
      <c r="M699" s="29">
        <f ca="1">IF(D699&lt;45,0,IF(D699&lt;=49,1,2))</f>
        <v>2</v>
      </c>
      <c r="N699" s="29">
        <f>IF(E699="Có",4,0)</f>
        <v>0</v>
      </c>
      <c r="O699" s="29">
        <f>IF(H699&lt;23,0,IF(H699&lt;27.5,3,5))</f>
        <v>5</v>
      </c>
      <c r="P699" s="29">
        <f>IF(OR(AND(B699="Nam",I699&gt;=90),AND(B699="Nữ",I699&gt;=80)),2,0)</f>
        <v>2</v>
      </c>
      <c r="Q699" s="29">
        <f>IF(OR(J699&gt;=140,K699&gt;=90),2,0)</f>
        <v>2</v>
      </c>
      <c r="R699" s="29">
        <f ca="1">SUM(L699:Q699)</f>
        <v>11</v>
      </c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5" t="s">
        <v>1393</v>
      </c>
      <c r="AE699" s="33"/>
      <c r="AF699" s="59" t="str">
        <f t="shared" si="31"/>
        <v>Không</v>
      </c>
      <c r="AG699" s="59" t="str">
        <f t="shared" si="32"/>
        <v>Không</v>
      </c>
      <c r="AH699" s="29" t="str">
        <f t="shared" ca="1" si="30"/>
        <v>Có</v>
      </c>
      <c r="AI699" s="29" t="str">
        <f ca="1">IF((R699)&gt;=6,"Có","Không")</f>
        <v>Có</v>
      </c>
      <c r="AJ699" s="29" t="str">
        <f>IF(OR(J699&gt;=140,K699&gt;=90),"Có","Không")</f>
        <v>Có</v>
      </c>
      <c r="AK699" s="5" t="s">
        <v>122</v>
      </c>
      <c r="AL699" s="32">
        <v>46142</v>
      </c>
      <c r="AM699" s="29" t="str">
        <f>"Tháng "&amp;MONTH(AL699)</f>
        <v>Tháng 4</v>
      </c>
      <c r="AN699" s="29" t="str">
        <f>LEFT(AK699,FIND(",",AK699)-1)</f>
        <v>Giồng Nhãn</v>
      </c>
    </row>
    <row r="700" spans="1:40" x14ac:dyDescent="0.25">
      <c r="A700" s="49" t="s">
        <v>353</v>
      </c>
      <c r="B700" s="5" t="s">
        <v>30</v>
      </c>
      <c r="C700" s="5" t="s">
        <v>76</v>
      </c>
      <c r="D700" s="29">
        <f ca="1">DATEDIF(C700,TODAY(),"Y")</f>
        <v>68</v>
      </c>
      <c r="E700" s="5" t="s">
        <v>26</v>
      </c>
      <c r="F700" s="30">
        <v>177</v>
      </c>
      <c r="G700" s="30">
        <v>78</v>
      </c>
      <c r="H700" s="31">
        <f>G700/((F700/100)*(F700/100))</f>
        <v>24.897060231734173</v>
      </c>
      <c r="I700" s="5">
        <v>86</v>
      </c>
      <c r="J700" s="30">
        <v>130</v>
      </c>
      <c r="K700" s="30">
        <v>80</v>
      </c>
      <c r="L700" s="29">
        <f>IF(B700="Nữ",0,2)</f>
        <v>2</v>
      </c>
      <c r="M700" s="29">
        <f ca="1">IF(D700&lt;45,0,IF(D700&lt;=49,1,2))</f>
        <v>2</v>
      </c>
      <c r="N700" s="29">
        <f>IF(E700="Có",4,0)</f>
        <v>0</v>
      </c>
      <c r="O700" s="29">
        <f>IF(H700&lt;23,0,IF(H700&lt;27.5,3,5))</f>
        <v>3</v>
      </c>
      <c r="P700" s="29">
        <f>IF(OR(AND(B700="Nam",I700&gt;=90),AND(B700="Nữ",I700&gt;=80)),2,0)</f>
        <v>0</v>
      </c>
      <c r="Q700" s="29">
        <f>IF(OR(J700&gt;=140,K700&gt;=90),2,0)</f>
        <v>0</v>
      </c>
      <c r="R700" s="29">
        <f ca="1">SUM(L700:Q700)</f>
        <v>7</v>
      </c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5" t="s">
        <v>1393</v>
      </c>
      <c r="AE700" s="33"/>
      <c r="AF700" s="59" t="str">
        <f t="shared" si="31"/>
        <v>Không</v>
      </c>
      <c r="AG700" s="59" t="str">
        <f t="shared" si="32"/>
        <v>Không</v>
      </c>
      <c r="AH700" s="29" t="str">
        <f t="shared" ca="1" si="30"/>
        <v>Có</v>
      </c>
      <c r="AI700" s="29" t="str">
        <f ca="1">IF((R700)&gt;=6,"Có","Không")</f>
        <v>Có</v>
      </c>
      <c r="AJ700" s="29" t="str">
        <f>IF(OR(J700&gt;=140,K700&gt;=90),"Có","Không")</f>
        <v>Không</v>
      </c>
      <c r="AK700" s="5" t="s">
        <v>51</v>
      </c>
      <c r="AL700" s="32">
        <v>46142</v>
      </c>
      <c r="AM700" s="29" t="str">
        <f>"Tháng "&amp;MONTH(AL700)</f>
        <v>Tháng 4</v>
      </c>
      <c r="AN700" s="29" t="str">
        <f>LEFT(AK700,FIND(",",AK700)-1)</f>
        <v>Phường Hiệp Thành</v>
      </c>
    </row>
    <row r="701" spans="1:40" x14ac:dyDescent="0.25">
      <c r="A701" s="49" t="s">
        <v>354</v>
      </c>
      <c r="B701" s="5" t="s">
        <v>23</v>
      </c>
      <c r="C701" s="5" t="s">
        <v>133</v>
      </c>
      <c r="D701" s="29">
        <f ca="1">DATEDIF(C701,TODAY(),"Y")</f>
        <v>56</v>
      </c>
      <c r="E701" s="5" t="s">
        <v>26</v>
      </c>
      <c r="F701" s="30">
        <v>158</v>
      </c>
      <c r="G701" s="30">
        <v>58</v>
      </c>
      <c r="H701" s="31">
        <f>G701/((F701/100)*(F701/100))</f>
        <v>23.233456176894723</v>
      </c>
      <c r="I701" s="5">
        <v>67</v>
      </c>
      <c r="J701" s="30">
        <v>150</v>
      </c>
      <c r="K701" s="30">
        <v>80</v>
      </c>
      <c r="L701" s="29">
        <f>IF(B701="Nữ",0,2)</f>
        <v>0</v>
      </c>
      <c r="M701" s="29">
        <f ca="1">IF(D701&lt;45,0,IF(D701&lt;=49,1,2))</f>
        <v>2</v>
      </c>
      <c r="N701" s="29">
        <f>IF(E701="Có",4,0)</f>
        <v>0</v>
      </c>
      <c r="O701" s="29">
        <f>IF(H701&lt;23,0,IF(H701&lt;27.5,3,5))</f>
        <v>3</v>
      </c>
      <c r="P701" s="29">
        <f>IF(OR(AND(B701="Nam",I701&gt;=90),AND(B701="Nữ",I701&gt;=80)),2,0)</f>
        <v>0</v>
      </c>
      <c r="Q701" s="29">
        <f>IF(OR(J701&gt;=140,K701&gt;=90),2,0)</f>
        <v>2</v>
      </c>
      <c r="R701" s="29">
        <f ca="1">SUM(L701:Q701)</f>
        <v>7</v>
      </c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5" t="s">
        <v>1393</v>
      </c>
      <c r="AE701" s="33"/>
      <c r="AF701" s="59" t="str">
        <f t="shared" si="31"/>
        <v>Không</v>
      </c>
      <c r="AG701" s="59" t="str">
        <f t="shared" si="32"/>
        <v>Không</v>
      </c>
      <c r="AH701" s="29" t="str">
        <f t="shared" ca="1" si="30"/>
        <v>Có</v>
      </c>
      <c r="AI701" s="29" t="str">
        <f ca="1">IF((R701)&gt;=6,"Có","Không")</f>
        <v>Có</v>
      </c>
      <c r="AJ701" s="29" t="str">
        <f>IF(OR(J701&gt;=140,K701&gt;=90),"Có","Không")</f>
        <v>Có</v>
      </c>
      <c r="AK701" s="5" t="s">
        <v>306</v>
      </c>
      <c r="AL701" s="32">
        <v>46142</v>
      </c>
      <c r="AM701" s="29" t="str">
        <f>"Tháng "&amp;MONTH(AL701)</f>
        <v>Tháng 4</v>
      </c>
      <c r="AN701" s="29" t="str">
        <f>LEFT(AK701,FIND(",",AK701)-1)</f>
        <v>Giồng Giữa A</v>
      </c>
    </row>
    <row r="702" spans="1:40" x14ac:dyDescent="0.25">
      <c r="A702" s="49" t="s">
        <v>355</v>
      </c>
      <c r="B702" s="5" t="s">
        <v>23</v>
      </c>
      <c r="C702" s="5" t="s">
        <v>64</v>
      </c>
      <c r="D702" s="29">
        <f ca="1">DATEDIF(C702,TODAY(),"Y")</f>
        <v>42</v>
      </c>
      <c r="E702" s="5" t="s">
        <v>26</v>
      </c>
      <c r="F702" s="30">
        <v>158</v>
      </c>
      <c r="G702" s="30">
        <v>58</v>
      </c>
      <c r="H702" s="31">
        <f>G702/((F702/100)*(F702/100))</f>
        <v>23.233456176894723</v>
      </c>
      <c r="I702" s="5">
        <v>69</v>
      </c>
      <c r="J702" s="30">
        <v>110</v>
      </c>
      <c r="K702" s="30">
        <v>80</v>
      </c>
      <c r="L702" s="29">
        <f>IF(B702="Nữ",0,2)</f>
        <v>0</v>
      </c>
      <c r="M702" s="29">
        <f ca="1">IF(D702&lt;45,0,IF(D702&lt;=49,1,2))</f>
        <v>0</v>
      </c>
      <c r="N702" s="29">
        <f>IF(E702="Có",4,0)</f>
        <v>0</v>
      </c>
      <c r="O702" s="29">
        <f>IF(H702&lt;23,0,IF(H702&lt;27.5,3,5))</f>
        <v>3</v>
      </c>
      <c r="P702" s="29">
        <f>IF(OR(AND(B702="Nam",I702&gt;=90),AND(B702="Nữ",I702&gt;=80)),2,0)</f>
        <v>0</v>
      </c>
      <c r="Q702" s="29">
        <f>IF(OR(J702&gt;=140,K702&gt;=90),2,0)</f>
        <v>0</v>
      </c>
      <c r="R702" s="29">
        <f ca="1">SUM(L702:Q702)</f>
        <v>3</v>
      </c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5" t="s">
        <v>1393</v>
      </c>
      <c r="AE702" s="33"/>
      <c r="AF702" s="59" t="str">
        <f t="shared" si="31"/>
        <v>Không</v>
      </c>
      <c r="AG702" s="59" t="str">
        <f t="shared" si="32"/>
        <v>Không</v>
      </c>
      <c r="AH702" s="29" t="str">
        <f t="shared" ca="1" si="30"/>
        <v>Không</v>
      </c>
      <c r="AI702" s="29" t="str">
        <f ca="1">IF((R702)&gt;=6,"Có","Không")</f>
        <v>Không</v>
      </c>
      <c r="AJ702" s="29" t="str">
        <f>IF(OR(J702&gt;=140,K702&gt;=90),"Có","Không")</f>
        <v>Không</v>
      </c>
      <c r="AK702" s="5" t="s">
        <v>149</v>
      </c>
      <c r="AL702" s="32">
        <v>46142</v>
      </c>
      <c r="AM702" s="29" t="str">
        <f>"Tháng "&amp;MONTH(AL702)</f>
        <v>Tháng 4</v>
      </c>
      <c r="AN702" s="29" t="str">
        <f>LEFT(AK702,FIND(",",AK702)-1)</f>
        <v>văn đức b</v>
      </c>
    </row>
    <row r="703" spans="1:40" x14ac:dyDescent="0.25">
      <c r="A703" s="49" t="s">
        <v>356</v>
      </c>
      <c r="B703" s="5" t="s">
        <v>30</v>
      </c>
      <c r="C703" s="5" t="s">
        <v>64</v>
      </c>
      <c r="D703" s="29">
        <f ca="1">DATEDIF(C703,TODAY(),"Y")</f>
        <v>42</v>
      </c>
      <c r="E703" s="5" t="s">
        <v>26</v>
      </c>
      <c r="F703" s="30">
        <v>169</v>
      </c>
      <c r="G703" s="30">
        <v>68</v>
      </c>
      <c r="H703" s="31">
        <f>G703/((F703/100)*(F703/100))</f>
        <v>23.808690171912751</v>
      </c>
      <c r="I703" s="5">
        <v>94</v>
      </c>
      <c r="J703" s="30">
        <v>100</v>
      </c>
      <c r="K703" s="30">
        <v>80</v>
      </c>
      <c r="L703" s="29">
        <f>IF(B703="Nữ",0,2)</f>
        <v>2</v>
      </c>
      <c r="M703" s="29">
        <f ca="1">IF(D703&lt;45,0,IF(D703&lt;=49,1,2))</f>
        <v>0</v>
      </c>
      <c r="N703" s="29">
        <f>IF(E703="Có",4,0)</f>
        <v>0</v>
      </c>
      <c r="O703" s="29">
        <f>IF(H703&lt;23,0,IF(H703&lt;27.5,3,5))</f>
        <v>3</v>
      </c>
      <c r="P703" s="29">
        <f>IF(OR(AND(B703="Nam",I703&gt;=90),AND(B703="Nữ",I703&gt;=80)),2,0)</f>
        <v>2</v>
      </c>
      <c r="Q703" s="29">
        <f>IF(OR(J703&gt;=140,K703&gt;=90),2,0)</f>
        <v>0</v>
      </c>
      <c r="R703" s="29">
        <f ca="1">SUM(L703:Q703)</f>
        <v>7</v>
      </c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5" t="s">
        <v>1393</v>
      </c>
      <c r="AE703" s="33"/>
      <c r="AF703" s="59" t="str">
        <f t="shared" si="31"/>
        <v>Không</v>
      </c>
      <c r="AG703" s="59" t="str">
        <f t="shared" si="32"/>
        <v>Không</v>
      </c>
      <c r="AH703" s="29" t="str">
        <f t="shared" ca="1" si="30"/>
        <v>Có</v>
      </c>
      <c r="AI703" s="29" t="str">
        <f ca="1">IF((R703)&gt;=6,"Có","Không")</f>
        <v>Có</v>
      </c>
      <c r="AJ703" s="29" t="str">
        <f>IF(OR(J703&gt;=140,K703&gt;=90),"Có","Không")</f>
        <v>Không</v>
      </c>
      <c r="AK703" s="5" t="s">
        <v>149</v>
      </c>
      <c r="AL703" s="32">
        <v>46142</v>
      </c>
      <c r="AM703" s="29" t="str">
        <f>"Tháng "&amp;MONTH(AL703)</f>
        <v>Tháng 4</v>
      </c>
      <c r="AN703" s="29" t="str">
        <f>LEFT(AK703,FIND(",",AK703)-1)</f>
        <v>văn đức b</v>
      </c>
    </row>
    <row r="704" spans="1:40" x14ac:dyDescent="0.25">
      <c r="A704" s="49" t="s">
        <v>358</v>
      </c>
      <c r="B704" s="5" t="s">
        <v>23</v>
      </c>
      <c r="C704" s="5" t="s">
        <v>84</v>
      </c>
      <c r="D704" s="29">
        <f ca="1">DATEDIF(C704,TODAY(),"Y")</f>
        <v>69</v>
      </c>
      <c r="E704" s="5" t="s">
        <v>26</v>
      </c>
      <c r="F704" s="30">
        <v>160</v>
      </c>
      <c r="G704" s="30">
        <v>54</v>
      </c>
      <c r="H704" s="31">
        <f>G704/((F704/100)*(F704/100))</f>
        <v>21.093749999999996</v>
      </c>
      <c r="I704" s="5">
        <v>75</v>
      </c>
      <c r="J704" s="30">
        <v>120</v>
      </c>
      <c r="K704" s="30">
        <v>70</v>
      </c>
      <c r="L704" s="29">
        <f>IF(B704="Nữ",0,2)</f>
        <v>0</v>
      </c>
      <c r="M704" s="29">
        <f ca="1">IF(D704&lt;45,0,IF(D704&lt;=49,1,2))</f>
        <v>2</v>
      </c>
      <c r="N704" s="29">
        <f>IF(E704="Có",4,0)</f>
        <v>0</v>
      </c>
      <c r="O704" s="29">
        <f>IF(H704&lt;23,0,IF(H704&lt;27.5,3,5))</f>
        <v>0</v>
      </c>
      <c r="P704" s="29">
        <f>IF(OR(AND(B704="Nam",I704&gt;=90),AND(B704="Nữ",I704&gt;=80)),2,0)</f>
        <v>0</v>
      </c>
      <c r="Q704" s="29">
        <f>IF(OR(J704&gt;=140,K704&gt;=90),2,0)</f>
        <v>0</v>
      </c>
      <c r="R704" s="29">
        <f ca="1">SUM(L704:Q704)</f>
        <v>2</v>
      </c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5" t="s">
        <v>1393</v>
      </c>
      <c r="AE704" s="33"/>
      <c r="AF704" s="59" t="str">
        <f t="shared" si="31"/>
        <v>Không</v>
      </c>
      <c r="AG704" s="59" t="str">
        <f t="shared" si="32"/>
        <v>Không</v>
      </c>
      <c r="AH704" s="29" t="str">
        <f t="shared" ca="1" si="30"/>
        <v>Không</v>
      </c>
      <c r="AI704" s="29" t="str">
        <f ca="1">IF((R704)&gt;=6,"Có","Không")</f>
        <v>Không</v>
      </c>
      <c r="AJ704" s="29" t="str">
        <f>IF(OR(J704&gt;=140,K704&gt;=90),"Có","Không")</f>
        <v>Không</v>
      </c>
      <c r="AK704" s="5" t="s">
        <v>51</v>
      </c>
      <c r="AL704" s="32">
        <v>46142</v>
      </c>
      <c r="AM704" s="29" t="str">
        <f>"Tháng "&amp;MONTH(AL704)</f>
        <v>Tháng 4</v>
      </c>
      <c r="AN704" s="29" t="str">
        <f>LEFT(AK704,FIND(",",AK704)-1)</f>
        <v>Phường Hiệp Thành</v>
      </c>
    </row>
    <row r="705" spans="1:40" x14ac:dyDescent="0.25">
      <c r="A705" s="49" t="s">
        <v>359</v>
      </c>
      <c r="B705" s="5" t="s">
        <v>23</v>
      </c>
      <c r="C705" s="5" t="s">
        <v>64</v>
      </c>
      <c r="D705" s="29">
        <f ca="1">DATEDIF(C705,TODAY(),"Y")</f>
        <v>42</v>
      </c>
      <c r="E705" s="5" t="s">
        <v>26</v>
      </c>
      <c r="F705" s="30">
        <v>165</v>
      </c>
      <c r="G705" s="30">
        <v>65</v>
      </c>
      <c r="H705" s="31">
        <f>G705/((F705/100)*(F705/100))</f>
        <v>23.875114784205696</v>
      </c>
      <c r="I705" s="5">
        <v>82</v>
      </c>
      <c r="J705" s="30">
        <v>120</v>
      </c>
      <c r="K705" s="30">
        <v>80</v>
      </c>
      <c r="L705" s="29">
        <f>IF(B705="Nữ",0,2)</f>
        <v>0</v>
      </c>
      <c r="M705" s="29">
        <f ca="1">IF(D705&lt;45,0,IF(D705&lt;=49,1,2))</f>
        <v>0</v>
      </c>
      <c r="N705" s="29">
        <f>IF(E705="Có",4,0)</f>
        <v>0</v>
      </c>
      <c r="O705" s="29">
        <f>IF(H705&lt;23,0,IF(H705&lt;27.5,3,5))</f>
        <v>3</v>
      </c>
      <c r="P705" s="29">
        <f>IF(OR(AND(B705="Nam",I705&gt;=90),AND(B705="Nữ",I705&gt;=80)),2,0)</f>
        <v>2</v>
      </c>
      <c r="Q705" s="29">
        <f>IF(OR(J705&gt;=140,K705&gt;=90),2,0)</f>
        <v>0</v>
      </c>
      <c r="R705" s="29">
        <f ca="1">SUM(L705:Q705)</f>
        <v>5</v>
      </c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5" t="s">
        <v>1393</v>
      </c>
      <c r="AE705" s="33"/>
      <c r="AF705" s="59" t="str">
        <f t="shared" si="31"/>
        <v>Không</v>
      </c>
      <c r="AG705" s="59" t="str">
        <f t="shared" si="32"/>
        <v>Không</v>
      </c>
      <c r="AH705" s="29" t="str">
        <f t="shared" ca="1" si="30"/>
        <v>Không</v>
      </c>
      <c r="AI705" s="29" t="str">
        <f ca="1">IF((R705)&gt;=6,"Có","Không")</f>
        <v>Không</v>
      </c>
      <c r="AJ705" s="29" t="str">
        <f>IF(OR(J705&gt;=140,K705&gt;=90),"Có","Không")</f>
        <v>Không</v>
      </c>
      <c r="AK705" s="5" t="s">
        <v>120</v>
      </c>
      <c r="AL705" s="32">
        <v>46142</v>
      </c>
      <c r="AM705" s="29" t="str">
        <f>"Tháng "&amp;MONTH(AL705)</f>
        <v>Tháng 4</v>
      </c>
      <c r="AN705" s="29" t="str">
        <f>LEFT(AK705,FIND(",",AK705)-1)</f>
        <v>Ấp Xóm Lẫm</v>
      </c>
    </row>
    <row r="706" spans="1:40" x14ac:dyDescent="0.25">
      <c r="A706" s="49" t="s">
        <v>360</v>
      </c>
      <c r="B706" s="5" t="s">
        <v>30</v>
      </c>
      <c r="C706" s="5" t="s">
        <v>56</v>
      </c>
      <c r="D706" s="29">
        <f ca="1">DATEDIF(C706,TODAY(),"Y")</f>
        <v>65</v>
      </c>
      <c r="E706" s="5" t="s">
        <v>26</v>
      </c>
      <c r="F706" s="30">
        <v>166</v>
      </c>
      <c r="G706" s="30">
        <v>95</v>
      </c>
      <c r="H706" s="31">
        <f>G706/((F706/100)*(F706/100))</f>
        <v>34.475250399187111</v>
      </c>
      <c r="I706" s="5">
        <v>93</v>
      </c>
      <c r="J706" s="30">
        <v>140</v>
      </c>
      <c r="K706" s="30">
        <v>90</v>
      </c>
      <c r="L706" s="29">
        <f>IF(B706="Nữ",0,2)</f>
        <v>2</v>
      </c>
      <c r="M706" s="29">
        <f ca="1">IF(D706&lt;45,0,IF(D706&lt;=49,1,2))</f>
        <v>2</v>
      </c>
      <c r="N706" s="29">
        <f>IF(E706="Có",4,0)</f>
        <v>0</v>
      </c>
      <c r="O706" s="29">
        <f>IF(H706&lt;23,0,IF(H706&lt;27.5,3,5))</f>
        <v>5</v>
      </c>
      <c r="P706" s="29">
        <f>IF(OR(AND(B706="Nam",I706&gt;=90),AND(B706="Nữ",I706&gt;=80)),2,0)</f>
        <v>2</v>
      </c>
      <c r="Q706" s="29">
        <f>IF(OR(J706&gt;=140,K706&gt;=90),2,0)</f>
        <v>2</v>
      </c>
      <c r="R706" s="29">
        <f ca="1">SUM(L706:Q706)</f>
        <v>13</v>
      </c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5" t="s">
        <v>1393</v>
      </c>
      <c r="AE706" s="33"/>
      <c r="AF706" s="59" t="str">
        <f t="shared" si="31"/>
        <v>Không</v>
      </c>
      <c r="AG706" s="59" t="str">
        <f t="shared" si="32"/>
        <v>Không</v>
      </c>
      <c r="AH706" s="29" t="str">
        <f t="shared" ca="1" si="30"/>
        <v>Có</v>
      </c>
      <c r="AI706" s="29" t="str">
        <f ca="1">IF((R706)&gt;=6,"Có","Không")</f>
        <v>Có</v>
      </c>
      <c r="AJ706" s="29" t="str">
        <f>IF(OR(J706&gt;=140,K706&gt;=90),"Có","Không")</f>
        <v>Có</v>
      </c>
      <c r="AK706" s="5" t="s">
        <v>91</v>
      </c>
      <c r="AL706" s="32">
        <v>46142</v>
      </c>
      <c r="AM706" s="29" t="str">
        <f>"Tháng "&amp;MONTH(AL706)</f>
        <v>Tháng 4</v>
      </c>
      <c r="AN706" s="29" t="str">
        <f>LEFT(AK706,FIND(",",AK706)-1)</f>
        <v>Ấp Giồng Giữa</v>
      </c>
    </row>
    <row r="707" spans="1:40" x14ac:dyDescent="0.25">
      <c r="A707" s="49" t="s">
        <v>362</v>
      </c>
      <c r="B707" s="5" t="s">
        <v>23</v>
      </c>
      <c r="C707" s="5" t="s">
        <v>34</v>
      </c>
      <c r="D707" s="29">
        <f ca="1">DATEDIF(C707,TODAY(),"Y")</f>
        <v>78</v>
      </c>
      <c r="E707" s="5" t="s">
        <v>26</v>
      </c>
      <c r="F707" s="30">
        <v>158</v>
      </c>
      <c r="G707" s="30">
        <v>50</v>
      </c>
      <c r="H707" s="31">
        <f>G707/((F707/100)*(F707/100))</f>
        <v>20.028841531805796</v>
      </c>
      <c r="I707" s="5">
        <v>70</v>
      </c>
      <c r="J707" s="30">
        <v>120</v>
      </c>
      <c r="K707" s="30">
        <v>70</v>
      </c>
      <c r="L707" s="29">
        <f>IF(B707="Nữ",0,2)</f>
        <v>0</v>
      </c>
      <c r="M707" s="29">
        <f ca="1">IF(D707&lt;45,0,IF(D707&lt;=49,1,2))</f>
        <v>2</v>
      </c>
      <c r="N707" s="29">
        <f>IF(E707="Có",4,0)</f>
        <v>0</v>
      </c>
      <c r="O707" s="29">
        <f>IF(H707&lt;23,0,IF(H707&lt;27.5,3,5))</f>
        <v>0</v>
      </c>
      <c r="P707" s="29">
        <f>IF(OR(AND(B707="Nam",I707&gt;=90),AND(B707="Nữ",I707&gt;=80)),2,0)</f>
        <v>0</v>
      </c>
      <c r="Q707" s="29">
        <f>IF(OR(J707&gt;=140,K707&gt;=90),2,0)</f>
        <v>0</v>
      </c>
      <c r="R707" s="29">
        <f ca="1">SUM(L707:Q707)</f>
        <v>2</v>
      </c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5" t="s">
        <v>1393</v>
      </c>
      <c r="AE707" s="33"/>
      <c r="AF707" s="59" t="str">
        <f t="shared" si="31"/>
        <v>Không</v>
      </c>
      <c r="AG707" s="59" t="str">
        <f t="shared" si="32"/>
        <v>Không</v>
      </c>
      <c r="AH707" s="29" t="str">
        <f t="shared" ca="1" si="30"/>
        <v>Không</v>
      </c>
      <c r="AI707" s="29" t="str">
        <f ca="1">IF((R707)&gt;=6,"Có","Không")</f>
        <v>Không</v>
      </c>
      <c r="AJ707" s="29" t="str">
        <f>IF(OR(J707&gt;=140,K707&gt;=90),"Có","Không")</f>
        <v>Không</v>
      </c>
      <c r="AK707" s="5" t="s">
        <v>363</v>
      </c>
      <c r="AL707" s="32">
        <v>46142</v>
      </c>
      <c r="AM707" s="29" t="str">
        <f>"Tháng "&amp;MONTH(AL707)</f>
        <v>Tháng 4</v>
      </c>
      <c r="AN707" s="29" t="str">
        <f>LEFT(AK707,FIND(",",AK707)-1)</f>
        <v>TP Bạc Liêu</v>
      </c>
    </row>
    <row r="708" spans="1:40" x14ac:dyDescent="0.25">
      <c r="A708" s="49" t="s">
        <v>364</v>
      </c>
      <c r="B708" s="5" t="s">
        <v>23</v>
      </c>
      <c r="C708" s="5" t="s">
        <v>268</v>
      </c>
      <c r="D708" s="29">
        <f ca="1">DATEDIF(C708,TODAY(),"Y")</f>
        <v>44</v>
      </c>
      <c r="E708" s="5" t="s">
        <v>26</v>
      </c>
      <c r="F708" s="30">
        <v>160</v>
      </c>
      <c r="G708" s="30">
        <v>55</v>
      </c>
      <c r="H708" s="31">
        <f>G708/((F708/100)*(F708/100))</f>
        <v>21.484374999999996</v>
      </c>
      <c r="I708" s="5">
        <v>80</v>
      </c>
      <c r="J708" s="30">
        <v>120</v>
      </c>
      <c r="K708" s="30">
        <v>70</v>
      </c>
      <c r="L708" s="29">
        <f>IF(B708="Nữ",0,2)</f>
        <v>0</v>
      </c>
      <c r="M708" s="29">
        <f ca="1">IF(D708&lt;45,0,IF(D708&lt;=49,1,2))</f>
        <v>0</v>
      </c>
      <c r="N708" s="29">
        <f>IF(E708="Có",4,0)</f>
        <v>0</v>
      </c>
      <c r="O708" s="29">
        <f>IF(H708&lt;23,0,IF(H708&lt;27.5,3,5))</f>
        <v>0</v>
      </c>
      <c r="P708" s="29">
        <f>IF(OR(AND(B708="Nam",I708&gt;=90),AND(B708="Nữ",I708&gt;=80)),2,0)</f>
        <v>2</v>
      </c>
      <c r="Q708" s="29">
        <f>IF(OR(J708&gt;=140,K708&gt;=90),2,0)</f>
        <v>0</v>
      </c>
      <c r="R708" s="29">
        <f ca="1">SUM(L708:Q708)</f>
        <v>2</v>
      </c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5" t="s">
        <v>1393</v>
      </c>
      <c r="AE708" s="33"/>
      <c r="AF708" s="59" t="str">
        <f t="shared" si="31"/>
        <v>Không</v>
      </c>
      <c r="AG708" s="59" t="str">
        <f t="shared" si="32"/>
        <v>Không</v>
      </c>
      <c r="AH708" s="29" t="str">
        <f t="shared" ref="AH708:AH771" ca="1" si="33">IF((R708)&gt;=6,"Có","Không")</f>
        <v>Không</v>
      </c>
      <c r="AI708" s="29" t="str">
        <f ca="1">IF((R708)&gt;=6,"Có","Không")</f>
        <v>Không</v>
      </c>
      <c r="AJ708" s="29" t="str">
        <f>IF(OR(J708&gt;=140,K708&gt;=90),"Có","Không")</f>
        <v>Không</v>
      </c>
      <c r="AK708" s="5" t="s">
        <v>365</v>
      </c>
      <c r="AL708" s="32">
        <v>46142</v>
      </c>
      <c r="AM708" s="29" t="str">
        <f>"Tháng "&amp;MONTH(AL708)</f>
        <v>Tháng 4</v>
      </c>
      <c r="AN708" s="29" t="str">
        <f>LEFT(AK708,FIND(",",AK708)-1)</f>
        <v>Phường Bạc Liêu</v>
      </c>
    </row>
    <row r="709" spans="1:40" x14ac:dyDescent="0.25">
      <c r="A709" s="49" t="s">
        <v>368</v>
      </c>
      <c r="B709" s="5" t="s">
        <v>23</v>
      </c>
      <c r="C709" s="5" t="s">
        <v>62</v>
      </c>
      <c r="D709" s="29">
        <f ca="1">DATEDIF(C709,TODAY(),"Y")</f>
        <v>64</v>
      </c>
      <c r="E709" s="5" t="s">
        <v>26</v>
      </c>
      <c r="F709" s="30">
        <v>155</v>
      </c>
      <c r="G709" s="30">
        <v>59</v>
      </c>
      <c r="H709" s="31">
        <f>G709/((F709/100)*(F709/100))</f>
        <v>24.557752341311129</v>
      </c>
      <c r="I709" s="5">
        <v>86</v>
      </c>
      <c r="J709" s="30">
        <v>130</v>
      </c>
      <c r="K709" s="30">
        <v>80</v>
      </c>
      <c r="L709" s="29">
        <f>IF(B709="Nữ",0,2)</f>
        <v>0</v>
      </c>
      <c r="M709" s="29">
        <f ca="1">IF(D709&lt;45,0,IF(D709&lt;=49,1,2))</f>
        <v>2</v>
      </c>
      <c r="N709" s="29">
        <f>IF(E709="Có",4,0)</f>
        <v>0</v>
      </c>
      <c r="O709" s="29">
        <f>IF(H709&lt;23,0,IF(H709&lt;27.5,3,5))</f>
        <v>3</v>
      </c>
      <c r="P709" s="29">
        <f>IF(OR(AND(B709="Nam",I709&gt;=90),AND(B709="Nữ",I709&gt;=80)),2,0)</f>
        <v>2</v>
      </c>
      <c r="Q709" s="29">
        <f>IF(OR(J709&gt;=140,K709&gt;=90),2,0)</f>
        <v>0</v>
      </c>
      <c r="R709" s="29">
        <f ca="1">SUM(L709:Q709)</f>
        <v>7</v>
      </c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5" t="s">
        <v>1393</v>
      </c>
      <c r="AE709" s="33"/>
      <c r="AF709" s="59" t="str">
        <f t="shared" ref="AF709:AF772" si="34">IF(COUNTIF(S709:Z709,"X")&gt;=2,"Có","Không")</f>
        <v>Không</v>
      </c>
      <c r="AG709" s="59" t="str">
        <f t="shared" ref="AG709:AG772" si="35">IF(COUNTIF(AA709:AE709,"X")&gt;=3,"Có","Không")</f>
        <v>Không</v>
      </c>
      <c r="AH709" s="29" t="str">
        <f t="shared" ca="1" si="33"/>
        <v>Có</v>
      </c>
      <c r="AI709" s="29" t="str">
        <f ca="1">IF((R709)&gt;=6,"Có","Không")</f>
        <v>Có</v>
      </c>
      <c r="AJ709" s="29" t="str">
        <f>IF(OR(J709&gt;=140,K709&gt;=90),"Có","Không")</f>
        <v>Không</v>
      </c>
      <c r="AK709" s="5" t="s">
        <v>51</v>
      </c>
      <c r="AL709" s="32">
        <v>46142</v>
      </c>
      <c r="AM709" s="29" t="str">
        <f>"Tháng "&amp;MONTH(AL709)</f>
        <v>Tháng 4</v>
      </c>
      <c r="AN709" s="29" t="str">
        <f>LEFT(AK709,FIND(",",AK709)-1)</f>
        <v>Phường Hiệp Thành</v>
      </c>
    </row>
    <row r="710" spans="1:40" x14ac:dyDescent="0.25">
      <c r="A710" s="49" t="s">
        <v>369</v>
      </c>
      <c r="B710" s="5" t="s">
        <v>23</v>
      </c>
      <c r="C710" s="5" t="s">
        <v>188</v>
      </c>
      <c r="D710" s="29">
        <f ca="1">DATEDIF(C710,TODAY(),"Y")</f>
        <v>63</v>
      </c>
      <c r="E710" s="5" t="s">
        <v>26</v>
      </c>
      <c r="F710" s="30">
        <v>156</v>
      </c>
      <c r="G710" s="30">
        <v>65</v>
      </c>
      <c r="H710" s="31">
        <f>G710/((F710/100)*(F710/100))</f>
        <v>26.709401709401707</v>
      </c>
      <c r="I710" s="5">
        <v>73</v>
      </c>
      <c r="J710" s="30">
        <v>120</v>
      </c>
      <c r="K710" s="30">
        <v>80</v>
      </c>
      <c r="L710" s="29">
        <f>IF(B710="Nữ",0,2)</f>
        <v>0</v>
      </c>
      <c r="M710" s="29">
        <f ca="1">IF(D710&lt;45,0,IF(D710&lt;=49,1,2))</f>
        <v>2</v>
      </c>
      <c r="N710" s="29">
        <f>IF(E710="Có",4,0)</f>
        <v>0</v>
      </c>
      <c r="O710" s="29">
        <f>IF(H710&lt;23,0,IF(H710&lt;27.5,3,5))</f>
        <v>3</v>
      </c>
      <c r="P710" s="29">
        <f>IF(OR(AND(B710="Nam",I710&gt;=90),AND(B710="Nữ",I710&gt;=80)),2,0)</f>
        <v>0</v>
      </c>
      <c r="Q710" s="29">
        <f>IF(OR(J710&gt;=140,K710&gt;=90),2,0)</f>
        <v>0</v>
      </c>
      <c r="R710" s="29">
        <f ca="1">SUM(L710:Q710)</f>
        <v>5</v>
      </c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5" t="s">
        <v>1393</v>
      </c>
      <c r="AE710" s="33"/>
      <c r="AF710" s="59" t="str">
        <f t="shared" si="34"/>
        <v>Không</v>
      </c>
      <c r="AG710" s="59" t="str">
        <f t="shared" si="35"/>
        <v>Không</v>
      </c>
      <c r="AH710" s="29" t="str">
        <f t="shared" ca="1" si="33"/>
        <v>Không</v>
      </c>
      <c r="AI710" s="29" t="str">
        <f ca="1">IF((R710)&gt;=6,"Có","Không")</f>
        <v>Không</v>
      </c>
      <c r="AJ710" s="29" t="str">
        <f>IF(OR(J710&gt;=140,K710&gt;=90),"Có","Không")</f>
        <v>Không</v>
      </c>
      <c r="AK710" s="5" t="s">
        <v>122</v>
      </c>
      <c r="AL710" s="32">
        <v>46142</v>
      </c>
      <c r="AM710" s="29" t="str">
        <f>"Tháng "&amp;MONTH(AL710)</f>
        <v>Tháng 4</v>
      </c>
      <c r="AN710" s="29" t="str">
        <f>LEFT(AK710,FIND(",",AK710)-1)</f>
        <v>Giồng Nhãn</v>
      </c>
    </row>
    <row r="711" spans="1:40" x14ac:dyDescent="0.25">
      <c r="A711" s="49" t="s">
        <v>372</v>
      </c>
      <c r="B711" s="5" t="s">
        <v>30</v>
      </c>
      <c r="C711" s="5" t="s">
        <v>373</v>
      </c>
      <c r="D711" s="29">
        <f ca="1">DATEDIF(C711,TODAY(),"Y")</f>
        <v>61</v>
      </c>
      <c r="E711" s="5" t="s">
        <v>26</v>
      </c>
      <c r="F711" s="30">
        <v>169</v>
      </c>
      <c r="G711" s="30">
        <v>68</v>
      </c>
      <c r="H711" s="31">
        <f>G711/((F711/100)*(F711/100))</f>
        <v>23.808690171912751</v>
      </c>
      <c r="I711" s="5">
        <v>79</v>
      </c>
      <c r="J711" s="30">
        <v>120</v>
      </c>
      <c r="K711" s="30">
        <v>80</v>
      </c>
      <c r="L711" s="29">
        <f>IF(B711="Nữ",0,2)</f>
        <v>2</v>
      </c>
      <c r="M711" s="29">
        <f ca="1">IF(D711&lt;45,0,IF(D711&lt;=49,1,2))</f>
        <v>2</v>
      </c>
      <c r="N711" s="29">
        <f>IF(E711="Có",4,0)</f>
        <v>0</v>
      </c>
      <c r="O711" s="29">
        <f>IF(H711&lt;23,0,IF(H711&lt;27.5,3,5))</f>
        <v>3</v>
      </c>
      <c r="P711" s="29">
        <f>IF(OR(AND(B711="Nam",I711&gt;=90),AND(B711="Nữ",I711&gt;=80)),2,0)</f>
        <v>0</v>
      </c>
      <c r="Q711" s="29">
        <f>IF(OR(J711&gt;=140,K711&gt;=90),2,0)</f>
        <v>0</v>
      </c>
      <c r="R711" s="29">
        <f ca="1">SUM(L711:Q711)</f>
        <v>7</v>
      </c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5" t="s">
        <v>1393</v>
      </c>
      <c r="AE711" s="33"/>
      <c r="AF711" s="59" t="str">
        <f t="shared" si="34"/>
        <v>Không</v>
      </c>
      <c r="AG711" s="59" t="str">
        <f t="shared" si="35"/>
        <v>Không</v>
      </c>
      <c r="AH711" s="29" t="str">
        <f t="shared" ca="1" si="33"/>
        <v>Có</v>
      </c>
      <c r="AI711" s="29" t="str">
        <f ca="1">IF((R711)&gt;=6,"Có","Không")</f>
        <v>Có</v>
      </c>
      <c r="AJ711" s="29" t="str">
        <f>IF(OR(J711&gt;=140,K711&gt;=90),"Có","Không")</f>
        <v>Không</v>
      </c>
      <c r="AK711" s="5" t="s">
        <v>38</v>
      </c>
      <c r="AL711" s="32">
        <v>46142</v>
      </c>
      <c r="AM711" s="29" t="str">
        <f>"Tháng "&amp;MONTH(AL711)</f>
        <v>Tháng 4</v>
      </c>
      <c r="AN711" s="29" t="str">
        <f>LEFT(AK711,FIND(",",AK711)-1)</f>
        <v>Ấp Biển Đông B</v>
      </c>
    </row>
    <row r="712" spans="1:40" x14ac:dyDescent="0.25">
      <c r="A712" s="49" t="s">
        <v>374</v>
      </c>
      <c r="B712" s="5" t="s">
        <v>30</v>
      </c>
      <c r="C712" s="5" t="s">
        <v>373</v>
      </c>
      <c r="D712" s="29">
        <f ca="1">DATEDIF(C712,TODAY(),"Y")</f>
        <v>61</v>
      </c>
      <c r="E712" s="5" t="s">
        <v>25</v>
      </c>
      <c r="F712" s="30">
        <v>159</v>
      </c>
      <c r="G712" s="30">
        <v>50</v>
      </c>
      <c r="H712" s="31">
        <f>G712/((F712/100)*(F712/100))</f>
        <v>19.77769866698311</v>
      </c>
      <c r="I712" s="5">
        <v>81</v>
      </c>
      <c r="J712" s="30">
        <v>120</v>
      </c>
      <c r="K712" s="30">
        <v>80</v>
      </c>
      <c r="L712" s="29">
        <f>IF(B712="Nữ",0,2)</f>
        <v>2</v>
      </c>
      <c r="M712" s="29">
        <f ca="1">IF(D712&lt;45,0,IF(D712&lt;=49,1,2))</f>
        <v>2</v>
      </c>
      <c r="N712" s="29">
        <f>IF(E712="Có",4,0)</f>
        <v>4</v>
      </c>
      <c r="O712" s="29">
        <f>IF(H712&lt;23,0,IF(H712&lt;27.5,3,5))</f>
        <v>0</v>
      </c>
      <c r="P712" s="29">
        <f>IF(OR(AND(B712="Nam",I712&gt;=90),AND(B712="Nữ",I712&gt;=80)),2,0)</f>
        <v>0</v>
      </c>
      <c r="Q712" s="29">
        <f>IF(OR(J712&gt;=140,K712&gt;=90),2,0)</f>
        <v>0</v>
      </c>
      <c r="R712" s="29">
        <f ca="1">SUM(L712:Q712)</f>
        <v>8</v>
      </c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5" t="s">
        <v>1393</v>
      </c>
      <c r="AE712" s="33"/>
      <c r="AF712" s="59" t="str">
        <f t="shared" si="34"/>
        <v>Không</v>
      </c>
      <c r="AG712" s="59" t="str">
        <f t="shared" si="35"/>
        <v>Không</v>
      </c>
      <c r="AH712" s="29" t="str">
        <f t="shared" ca="1" si="33"/>
        <v>Có</v>
      </c>
      <c r="AI712" s="29" t="str">
        <f ca="1">IF((R712)&gt;=6,"Có","Không")</f>
        <v>Có</v>
      </c>
      <c r="AJ712" s="29" t="str">
        <f>IF(OR(J712&gt;=140,K712&gt;=90),"Có","Không")</f>
        <v>Không</v>
      </c>
      <c r="AK712" s="5" t="s">
        <v>51</v>
      </c>
      <c r="AL712" s="32">
        <v>46142</v>
      </c>
      <c r="AM712" s="29" t="str">
        <f>"Tháng "&amp;MONTH(AL712)</f>
        <v>Tháng 4</v>
      </c>
      <c r="AN712" s="29" t="str">
        <f>LEFT(AK712,FIND(",",AK712)-1)</f>
        <v>Phường Hiệp Thành</v>
      </c>
    </row>
    <row r="713" spans="1:40" x14ac:dyDescent="0.25">
      <c r="A713" s="49" t="s">
        <v>375</v>
      </c>
      <c r="B713" s="5" t="s">
        <v>30</v>
      </c>
      <c r="C713" s="5" t="s">
        <v>268</v>
      </c>
      <c r="D713" s="29">
        <f ca="1">DATEDIF(C713,TODAY(),"Y")</f>
        <v>44</v>
      </c>
      <c r="E713" s="5" t="s">
        <v>26</v>
      </c>
      <c r="F713" s="30">
        <v>169</v>
      </c>
      <c r="G713" s="30">
        <v>68</v>
      </c>
      <c r="H713" s="31">
        <f>G713/((F713/100)*(F713/100))</f>
        <v>23.808690171912751</v>
      </c>
      <c r="I713" s="5">
        <v>78</v>
      </c>
      <c r="J713" s="30">
        <v>150</v>
      </c>
      <c r="K713" s="30">
        <v>80</v>
      </c>
      <c r="L713" s="29">
        <f>IF(B713="Nữ",0,2)</f>
        <v>2</v>
      </c>
      <c r="M713" s="29">
        <f ca="1">IF(D713&lt;45,0,IF(D713&lt;=49,1,2))</f>
        <v>0</v>
      </c>
      <c r="N713" s="29">
        <f>IF(E713="Có",4,0)</f>
        <v>0</v>
      </c>
      <c r="O713" s="29">
        <f>IF(H713&lt;23,0,IF(H713&lt;27.5,3,5))</f>
        <v>3</v>
      </c>
      <c r="P713" s="29">
        <f>IF(OR(AND(B713="Nam",I713&gt;=90),AND(B713="Nữ",I713&gt;=80)),2,0)</f>
        <v>0</v>
      </c>
      <c r="Q713" s="29">
        <f>IF(OR(J713&gt;=140,K713&gt;=90),2,0)</f>
        <v>2</v>
      </c>
      <c r="R713" s="29">
        <f ca="1">SUM(L713:Q713)</f>
        <v>7</v>
      </c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5" t="s">
        <v>1393</v>
      </c>
      <c r="AE713" s="33"/>
      <c r="AF713" s="59" t="str">
        <f t="shared" si="34"/>
        <v>Không</v>
      </c>
      <c r="AG713" s="59" t="str">
        <f t="shared" si="35"/>
        <v>Không</v>
      </c>
      <c r="AH713" s="29" t="str">
        <f t="shared" ca="1" si="33"/>
        <v>Có</v>
      </c>
      <c r="AI713" s="29" t="str">
        <f ca="1">IF((R713)&gt;=6,"Có","Không")</f>
        <v>Có</v>
      </c>
      <c r="AJ713" s="29" t="str">
        <f>IF(OR(J713&gt;=140,K713&gt;=90),"Có","Không")</f>
        <v>Có</v>
      </c>
      <c r="AK713" s="5" t="s">
        <v>65</v>
      </c>
      <c r="AL713" s="32">
        <v>46142</v>
      </c>
      <c r="AM713" s="29" t="str">
        <f>"Tháng "&amp;MONTH(AL713)</f>
        <v>Tháng 4</v>
      </c>
      <c r="AN713" s="29" t="str">
        <f>LEFT(AK713,FIND(",",AK713)-1)</f>
        <v>Biển Tây B</v>
      </c>
    </row>
    <row r="714" spans="1:40" x14ac:dyDescent="0.25">
      <c r="A714" s="49" t="s">
        <v>377</v>
      </c>
      <c r="B714" s="5" t="s">
        <v>23</v>
      </c>
      <c r="C714" s="5" t="s">
        <v>93</v>
      </c>
      <c r="D714" s="29">
        <f ca="1">DATEDIF(C714,TODAY(),"Y")</f>
        <v>66</v>
      </c>
      <c r="E714" s="5" t="s">
        <v>25</v>
      </c>
      <c r="F714" s="30">
        <v>158</v>
      </c>
      <c r="G714" s="30">
        <v>58</v>
      </c>
      <c r="H714" s="31">
        <f>G714/((F714/100)*(F714/100))</f>
        <v>23.233456176894723</v>
      </c>
      <c r="I714" s="5">
        <v>70</v>
      </c>
      <c r="J714" s="30">
        <v>140</v>
      </c>
      <c r="K714" s="30">
        <v>80</v>
      </c>
      <c r="L714" s="29">
        <f>IF(B714="Nữ",0,2)</f>
        <v>0</v>
      </c>
      <c r="M714" s="29">
        <f ca="1">IF(D714&lt;45,0,IF(D714&lt;=49,1,2))</f>
        <v>2</v>
      </c>
      <c r="N714" s="29">
        <f>IF(E714="Có",4,0)</f>
        <v>4</v>
      </c>
      <c r="O714" s="29">
        <f>IF(H714&lt;23,0,IF(H714&lt;27.5,3,5))</f>
        <v>3</v>
      </c>
      <c r="P714" s="29">
        <f>IF(OR(AND(B714="Nam",I714&gt;=90),AND(B714="Nữ",I714&gt;=80)),2,0)</f>
        <v>0</v>
      </c>
      <c r="Q714" s="29">
        <f>IF(OR(J714&gt;=140,K714&gt;=90),2,0)</f>
        <v>2</v>
      </c>
      <c r="R714" s="29">
        <f ca="1">SUM(L714:Q714)</f>
        <v>11</v>
      </c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5" t="s">
        <v>1393</v>
      </c>
      <c r="AE714" s="33"/>
      <c r="AF714" s="59" t="str">
        <f t="shared" si="34"/>
        <v>Không</v>
      </c>
      <c r="AG714" s="59" t="str">
        <f t="shared" si="35"/>
        <v>Không</v>
      </c>
      <c r="AH714" s="29" t="str">
        <f t="shared" ca="1" si="33"/>
        <v>Có</v>
      </c>
      <c r="AI714" s="29" t="str">
        <f ca="1">IF((R714)&gt;=6,"Có","Không")</f>
        <v>Có</v>
      </c>
      <c r="AJ714" s="29" t="str">
        <f>IF(OR(J714&gt;=140,K714&gt;=90),"Có","Không")</f>
        <v>Có</v>
      </c>
      <c r="AK714" s="5" t="s">
        <v>51</v>
      </c>
      <c r="AL714" s="32">
        <v>46142</v>
      </c>
      <c r="AM714" s="29" t="str">
        <f>"Tháng "&amp;MONTH(AL714)</f>
        <v>Tháng 4</v>
      </c>
      <c r="AN714" s="29" t="str">
        <f>LEFT(AK714,FIND(",",AK714)-1)</f>
        <v>Phường Hiệp Thành</v>
      </c>
    </row>
    <row r="715" spans="1:40" x14ac:dyDescent="0.25">
      <c r="A715" s="49" t="s">
        <v>378</v>
      </c>
      <c r="B715" s="5" t="s">
        <v>30</v>
      </c>
      <c r="C715" s="5" t="s">
        <v>110</v>
      </c>
      <c r="D715" s="29">
        <f ca="1">DATEDIF(C715,TODAY(),"Y")</f>
        <v>62</v>
      </c>
      <c r="E715" s="5" t="s">
        <v>26</v>
      </c>
      <c r="F715" s="30">
        <v>169</v>
      </c>
      <c r="G715" s="30">
        <v>68</v>
      </c>
      <c r="H715" s="31">
        <f>G715/((F715/100)*(F715/100))</f>
        <v>23.808690171912751</v>
      </c>
      <c r="I715" s="5">
        <v>85</v>
      </c>
      <c r="J715" s="30">
        <v>120</v>
      </c>
      <c r="K715" s="30">
        <v>80</v>
      </c>
      <c r="L715" s="29">
        <f>IF(B715="Nữ",0,2)</f>
        <v>2</v>
      </c>
      <c r="M715" s="29">
        <f ca="1">IF(D715&lt;45,0,IF(D715&lt;=49,1,2))</f>
        <v>2</v>
      </c>
      <c r="N715" s="29">
        <f>IF(E715="Có",4,0)</f>
        <v>0</v>
      </c>
      <c r="O715" s="29">
        <f>IF(H715&lt;23,0,IF(H715&lt;27.5,3,5))</f>
        <v>3</v>
      </c>
      <c r="P715" s="29">
        <f>IF(OR(AND(B715="Nam",I715&gt;=90),AND(B715="Nữ",I715&gt;=80)),2,0)</f>
        <v>0</v>
      </c>
      <c r="Q715" s="29">
        <f>IF(OR(J715&gt;=140,K715&gt;=90),2,0)</f>
        <v>0</v>
      </c>
      <c r="R715" s="29">
        <f ca="1">SUM(L715:Q715)</f>
        <v>7</v>
      </c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5" t="s">
        <v>1393</v>
      </c>
      <c r="AE715" s="33"/>
      <c r="AF715" s="59" t="str">
        <f t="shared" si="34"/>
        <v>Không</v>
      </c>
      <c r="AG715" s="59" t="str">
        <f t="shared" si="35"/>
        <v>Không</v>
      </c>
      <c r="AH715" s="29" t="str">
        <f t="shared" ca="1" si="33"/>
        <v>Có</v>
      </c>
      <c r="AI715" s="29" t="str">
        <f ca="1">IF((R715)&gt;=6,"Có","Không")</f>
        <v>Có</v>
      </c>
      <c r="AJ715" s="29" t="str">
        <f>IF(OR(J715&gt;=140,K715&gt;=90),"Có","Không")</f>
        <v>Không</v>
      </c>
      <c r="AK715" s="5" t="s">
        <v>51</v>
      </c>
      <c r="AL715" s="32">
        <v>46142</v>
      </c>
      <c r="AM715" s="29" t="str">
        <f>"Tháng "&amp;MONTH(AL715)</f>
        <v>Tháng 4</v>
      </c>
      <c r="AN715" s="29" t="str">
        <f>LEFT(AK715,FIND(",",AK715)-1)</f>
        <v>Phường Hiệp Thành</v>
      </c>
    </row>
    <row r="716" spans="1:40" x14ac:dyDescent="0.25">
      <c r="A716" s="49" t="s">
        <v>379</v>
      </c>
      <c r="B716" s="5" t="s">
        <v>23</v>
      </c>
      <c r="C716" s="5" t="s">
        <v>130</v>
      </c>
      <c r="D716" s="29">
        <f ca="1">DATEDIF(C716,TODAY(),"Y")</f>
        <v>57</v>
      </c>
      <c r="E716" s="5" t="s">
        <v>26</v>
      </c>
      <c r="F716" s="30">
        <v>158</v>
      </c>
      <c r="G716" s="30">
        <v>58</v>
      </c>
      <c r="H716" s="31">
        <f>G716/((F716/100)*(F716/100))</f>
        <v>23.233456176894723</v>
      </c>
      <c r="I716" s="5">
        <v>77</v>
      </c>
      <c r="J716" s="30">
        <v>120</v>
      </c>
      <c r="K716" s="30">
        <v>80</v>
      </c>
      <c r="L716" s="29">
        <f>IF(B716="Nữ",0,2)</f>
        <v>0</v>
      </c>
      <c r="M716" s="29">
        <f ca="1">IF(D716&lt;45,0,IF(D716&lt;=49,1,2))</f>
        <v>2</v>
      </c>
      <c r="N716" s="29">
        <f>IF(E716="Có",4,0)</f>
        <v>0</v>
      </c>
      <c r="O716" s="29">
        <f>IF(H716&lt;23,0,IF(H716&lt;27.5,3,5))</f>
        <v>3</v>
      </c>
      <c r="P716" s="29">
        <f>IF(OR(AND(B716="Nam",I716&gt;=90),AND(B716="Nữ",I716&gt;=80)),2,0)</f>
        <v>0</v>
      </c>
      <c r="Q716" s="29">
        <f>IF(OR(J716&gt;=140,K716&gt;=90),2,0)</f>
        <v>0</v>
      </c>
      <c r="R716" s="29">
        <f ca="1">SUM(L716:Q716)</f>
        <v>5</v>
      </c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5" t="s">
        <v>1393</v>
      </c>
      <c r="AE716" s="33"/>
      <c r="AF716" s="59" t="str">
        <f t="shared" si="34"/>
        <v>Không</v>
      </c>
      <c r="AG716" s="59" t="str">
        <f t="shared" si="35"/>
        <v>Không</v>
      </c>
      <c r="AH716" s="29" t="str">
        <f t="shared" ca="1" si="33"/>
        <v>Không</v>
      </c>
      <c r="AI716" s="29" t="str">
        <f ca="1">IF((R716)&gt;=6,"Có","Không")</f>
        <v>Không</v>
      </c>
      <c r="AJ716" s="29" t="str">
        <f>IF(OR(J716&gt;=140,K716&gt;=90),"Có","Không")</f>
        <v>Không</v>
      </c>
      <c r="AK716" s="5" t="s">
        <v>38</v>
      </c>
      <c r="AL716" s="32">
        <v>46142</v>
      </c>
      <c r="AM716" s="29" t="str">
        <f>"Tháng "&amp;MONTH(AL716)</f>
        <v>Tháng 4</v>
      </c>
      <c r="AN716" s="29" t="str">
        <f>LEFT(AK716,FIND(",",AK716)-1)</f>
        <v>Ấp Biển Đông B</v>
      </c>
    </row>
    <row r="717" spans="1:40" x14ac:dyDescent="0.25">
      <c r="A717" s="49" t="s">
        <v>380</v>
      </c>
      <c r="B717" s="5" t="s">
        <v>23</v>
      </c>
      <c r="C717" s="5" t="s">
        <v>84</v>
      </c>
      <c r="D717" s="29">
        <f ca="1">DATEDIF(C717,TODAY(),"Y")</f>
        <v>69</v>
      </c>
      <c r="E717" s="5" t="s">
        <v>25</v>
      </c>
      <c r="F717" s="30">
        <v>158</v>
      </c>
      <c r="G717" s="30">
        <v>58</v>
      </c>
      <c r="H717" s="31">
        <f>G717/((F717/100)*(F717/100))</f>
        <v>23.233456176894723</v>
      </c>
      <c r="I717" s="5">
        <v>70</v>
      </c>
      <c r="J717" s="30">
        <v>120</v>
      </c>
      <c r="K717" s="30">
        <v>80</v>
      </c>
      <c r="L717" s="29">
        <f>IF(B717="Nữ",0,2)</f>
        <v>0</v>
      </c>
      <c r="M717" s="29">
        <f ca="1">IF(D717&lt;45,0,IF(D717&lt;=49,1,2))</f>
        <v>2</v>
      </c>
      <c r="N717" s="29">
        <f>IF(E717="Có",4,0)</f>
        <v>4</v>
      </c>
      <c r="O717" s="29">
        <f>IF(H717&lt;23,0,IF(H717&lt;27.5,3,5))</f>
        <v>3</v>
      </c>
      <c r="P717" s="29">
        <f>IF(OR(AND(B717="Nam",I717&gt;=90),AND(B717="Nữ",I717&gt;=80)),2,0)</f>
        <v>0</v>
      </c>
      <c r="Q717" s="29">
        <f>IF(OR(J717&gt;=140,K717&gt;=90),2,0)</f>
        <v>0</v>
      </c>
      <c r="R717" s="29">
        <f ca="1">SUM(L717:Q717)</f>
        <v>9</v>
      </c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5" t="s">
        <v>1393</v>
      </c>
      <c r="AE717" s="33"/>
      <c r="AF717" s="59" t="str">
        <f t="shared" si="34"/>
        <v>Không</v>
      </c>
      <c r="AG717" s="59" t="str">
        <f t="shared" si="35"/>
        <v>Không</v>
      </c>
      <c r="AH717" s="29" t="str">
        <f t="shared" ca="1" si="33"/>
        <v>Có</v>
      </c>
      <c r="AI717" s="29" t="str">
        <f ca="1">IF((R717)&gt;=6,"Có","Không")</f>
        <v>Có</v>
      </c>
      <c r="AJ717" s="29" t="str">
        <f>IF(OR(J717&gt;=140,K717&gt;=90),"Có","Không")</f>
        <v>Không</v>
      </c>
      <c r="AK717" s="5" t="s">
        <v>381</v>
      </c>
      <c r="AL717" s="32">
        <v>46142</v>
      </c>
      <c r="AM717" s="29" t="str">
        <f>"Tháng "&amp;MONTH(AL717)</f>
        <v>Tháng 4</v>
      </c>
      <c r="AN717" s="29" t="str">
        <f>LEFT(AK717,FIND(",",AK717)-1)</f>
        <v>Ấp Biển Đông B</v>
      </c>
    </row>
    <row r="718" spans="1:40" x14ac:dyDescent="0.25">
      <c r="A718" s="49" t="s">
        <v>384</v>
      </c>
      <c r="B718" s="5" t="s">
        <v>30</v>
      </c>
      <c r="C718" s="5" t="s">
        <v>47</v>
      </c>
      <c r="D718" s="29">
        <f ca="1">DATEDIF(C718,TODAY(),"Y")</f>
        <v>55</v>
      </c>
      <c r="E718" s="5" t="s">
        <v>25</v>
      </c>
      <c r="F718" s="30">
        <v>169</v>
      </c>
      <c r="G718" s="30">
        <v>68</v>
      </c>
      <c r="H718" s="31">
        <f>G718/((F718/100)*(F718/100))</f>
        <v>23.808690171912751</v>
      </c>
      <c r="I718" s="5">
        <v>99</v>
      </c>
      <c r="J718" s="30">
        <v>140</v>
      </c>
      <c r="K718" s="30">
        <v>80</v>
      </c>
      <c r="L718" s="29">
        <f>IF(B718="Nữ",0,2)</f>
        <v>2</v>
      </c>
      <c r="M718" s="29">
        <f ca="1">IF(D718&lt;45,0,IF(D718&lt;=49,1,2))</f>
        <v>2</v>
      </c>
      <c r="N718" s="29">
        <f>IF(E718="Có",4,0)</f>
        <v>4</v>
      </c>
      <c r="O718" s="29">
        <f>IF(H718&lt;23,0,IF(H718&lt;27.5,3,5))</f>
        <v>3</v>
      </c>
      <c r="P718" s="29">
        <f>IF(OR(AND(B718="Nam",I718&gt;=90),AND(B718="Nữ",I718&gt;=80)),2,0)</f>
        <v>2</v>
      </c>
      <c r="Q718" s="29">
        <f>IF(OR(J718&gt;=140,K718&gt;=90),2,0)</f>
        <v>2</v>
      </c>
      <c r="R718" s="29">
        <f ca="1">SUM(L718:Q718)</f>
        <v>15</v>
      </c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5" t="s">
        <v>1393</v>
      </c>
      <c r="AE718" s="33"/>
      <c r="AF718" s="59" t="str">
        <f t="shared" si="34"/>
        <v>Không</v>
      </c>
      <c r="AG718" s="59" t="str">
        <f t="shared" si="35"/>
        <v>Không</v>
      </c>
      <c r="AH718" s="29" t="str">
        <f t="shared" ca="1" si="33"/>
        <v>Có</v>
      </c>
      <c r="AI718" s="29" t="str">
        <f ca="1">IF((R718)&gt;=6,"Có","Không")</f>
        <v>Có</v>
      </c>
      <c r="AJ718" s="29" t="str">
        <f>IF(OR(J718&gt;=140,K718&gt;=90),"Có","Không")</f>
        <v>Có</v>
      </c>
      <c r="AK718" s="5" t="s">
        <v>28</v>
      </c>
      <c r="AL718" s="32">
        <v>46142</v>
      </c>
      <c r="AM718" s="29" t="str">
        <f>"Tháng "&amp;MONTH(AL718)</f>
        <v>Tháng 4</v>
      </c>
      <c r="AN718" s="29" t="str">
        <f>LEFT(AK718,FIND(",",AK718)-1)</f>
        <v>Ấp Biển Đông A</v>
      </c>
    </row>
    <row r="719" spans="1:40" x14ac:dyDescent="0.25">
      <c r="A719" s="49" t="s">
        <v>385</v>
      </c>
      <c r="B719" s="5" t="s">
        <v>23</v>
      </c>
      <c r="C719" s="5" t="s">
        <v>62</v>
      </c>
      <c r="D719" s="29">
        <f ca="1">DATEDIF(C719,TODAY(),"Y")</f>
        <v>64</v>
      </c>
      <c r="E719" s="5" t="s">
        <v>26</v>
      </c>
      <c r="F719" s="30">
        <v>158</v>
      </c>
      <c r="G719" s="30">
        <v>58</v>
      </c>
      <c r="H719" s="31">
        <f>G719/((F719/100)*(F719/100))</f>
        <v>23.233456176894723</v>
      </c>
      <c r="I719" s="5">
        <v>89</v>
      </c>
      <c r="J719" s="30">
        <v>120</v>
      </c>
      <c r="K719" s="30">
        <v>80</v>
      </c>
      <c r="L719" s="29">
        <f>IF(B719="Nữ",0,2)</f>
        <v>0</v>
      </c>
      <c r="M719" s="29">
        <f ca="1">IF(D719&lt;45,0,IF(D719&lt;=49,1,2))</f>
        <v>2</v>
      </c>
      <c r="N719" s="29">
        <f>IF(E719="Có",4,0)</f>
        <v>0</v>
      </c>
      <c r="O719" s="29">
        <f>IF(H719&lt;23,0,IF(H719&lt;27.5,3,5))</f>
        <v>3</v>
      </c>
      <c r="P719" s="29">
        <f>IF(OR(AND(B719="Nam",I719&gt;=90),AND(B719="Nữ",I719&gt;=80)),2,0)</f>
        <v>2</v>
      </c>
      <c r="Q719" s="29">
        <f>IF(OR(J719&gt;=140,K719&gt;=90),2,0)</f>
        <v>0</v>
      </c>
      <c r="R719" s="29">
        <f ca="1">SUM(L719:Q719)</f>
        <v>7</v>
      </c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5" t="s">
        <v>1393</v>
      </c>
      <c r="AE719" s="33"/>
      <c r="AF719" s="59" t="str">
        <f t="shared" si="34"/>
        <v>Không</v>
      </c>
      <c r="AG719" s="59" t="str">
        <f t="shared" si="35"/>
        <v>Không</v>
      </c>
      <c r="AH719" s="29" t="str">
        <f t="shared" ca="1" si="33"/>
        <v>Có</v>
      </c>
      <c r="AI719" s="29" t="str">
        <f ca="1">IF((R719)&gt;=6,"Có","Không")</f>
        <v>Có</v>
      </c>
      <c r="AJ719" s="29" t="str">
        <f>IF(OR(J719&gt;=140,K719&gt;=90),"Có","Không")</f>
        <v>Không</v>
      </c>
      <c r="AK719" s="5" t="s">
        <v>386</v>
      </c>
      <c r="AL719" s="32">
        <v>46142</v>
      </c>
      <c r="AM719" s="29" t="str">
        <f>"Tháng "&amp;MONTH(AL719)</f>
        <v>Tháng 4</v>
      </c>
      <c r="AN719" s="29" t="str">
        <f>LEFT(AK719,FIND(",",AK719)-1)</f>
        <v>ấp Giồng Giữa B</v>
      </c>
    </row>
    <row r="720" spans="1:40" x14ac:dyDescent="0.25">
      <c r="A720" s="49" t="s">
        <v>396</v>
      </c>
      <c r="B720" s="5" t="s">
        <v>30</v>
      </c>
      <c r="C720" s="5" t="s">
        <v>64</v>
      </c>
      <c r="D720" s="29">
        <f ca="1">DATEDIF(C720,TODAY(),"Y")</f>
        <v>42</v>
      </c>
      <c r="E720" s="5" t="s">
        <v>26</v>
      </c>
      <c r="F720" s="30">
        <v>160</v>
      </c>
      <c r="G720" s="30">
        <v>60</v>
      </c>
      <c r="H720" s="31">
        <f>G720/((F720/100)*(F720/100))</f>
        <v>23.437499999999996</v>
      </c>
      <c r="I720" s="5">
        <v>79</v>
      </c>
      <c r="J720" s="30">
        <v>120</v>
      </c>
      <c r="K720" s="30">
        <v>70</v>
      </c>
      <c r="L720" s="29">
        <f>IF(B720="Nữ",0,2)</f>
        <v>2</v>
      </c>
      <c r="M720" s="29">
        <f ca="1">IF(D720&lt;45,0,IF(D720&lt;=49,1,2))</f>
        <v>0</v>
      </c>
      <c r="N720" s="29">
        <f>IF(E720="Có",4,0)</f>
        <v>0</v>
      </c>
      <c r="O720" s="29">
        <f>IF(H720&lt;23,0,IF(H720&lt;27.5,3,5))</f>
        <v>3</v>
      </c>
      <c r="P720" s="29">
        <f>IF(OR(AND(B720="Nam",I720&gt;=90),AND(B720="Nữ",I720&gt;=80)),2,0)</f>
        <v>0</v>
      </c>
      <c r="Q720" s="29">
        <f>IF(OR(J720&gt;=140,K720&gt;=90),2,0)</f>
        <v>0</v>
      </c>
      <c r="R720" s="29">
        <f ca="1">SUM(L720:Q720)</f>
        <v>5</v>
      </c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5" t="s">
        <v>1393</v>
      </c>
      <c r="AE720" s="33"/>
      <c r="AF720" s="59" t="str">
        <f t="shared" si="34"/>
        <v>Không</v>
      </c>
      <c r="AG720" s="59" t="str">
        <f t="shared" si="35"/>
        <v>Không</v>
      </c>
      <c r="AH720" s="29" t="str">
        <f t="shared" ca="1" si="33"/>
        <v>Không</v>
      </c>
      <c r="AI720" s="29" t="str">
        <f ca="1">IF((R720)&gt;=6,"Có","Không")</f>
        <v>Không</v>
      </c>
      <c r="AJ720" s="29" t="str">
        <f>IF(OR(J720&gt;=140,K720&gt;=90),"Có","Không")</f>
        <v>Không</v>
      </c>
      <c r="AK720" s="5" t="s">
        <v>397</v>
      </c>
      <c r="AL720" s="32">
        <v>46142</v>
      </c>
      <c r="AM720" s="29" t="str">
        <f>"Tháng "&amp;MONTH(AL720)</f>
        <v>Tháng 4</v>
      </c>
      <c r="AN720" s="29" t="str">
        <f>LEFT(AK720,FIND(",",AK720)-1)</f>
        <v>Nhà Mát</v>
      </c>
    </row>
    <row r="721" spans="1:40" x14ac:dyDescent="0.25">
      <c r="A721" s="49" t="s">
        <v>398</v>
      </c>
      <c r="B721" s="5" t="s">
        <v>23</v>
      </c>
      <c r="C721" s="5" t="s">
        <v>110</v>
      </c>
      <c r="D721" s="29">
        <f ca="1">DATEDIF(C721,TODAY(),"Y")</f>
        <v>62</v>
      </c>
      <c r="E721" s="5" t="s">
        <v>26</v>
      </c>
      <c r="F721" s="30">
        <v>158</v>
      </c>
      <c r="G721" s="30">
        <v>58</v>
      </c>
      <c r="H721" s="31">
        <f>G721/((F721/100)*(F721/100))</f>
        <v>23.233456176894723</v>
      </c>
      <c r="I721" s="5">
        <v>90</v>
      </c>
      <c r="J721" s="30">
        <v>150</v>
      </c>
      <c r="K721" s="30">
        <v>80</v>
      </c>
      <c r="L721" s="29">
        <f>IF(B721="Nữ",0,2)</f>
        <v>0</v>
      </c>
      <c r="M721" s="29">
        <f ca="1">IF(D721&lt;45,0,IF(D721&lt;=49,1,2))</f>
        <v>2</v>
      </c>
      <c r="N721" s="29">
        <f>IF(E721="Có",4,0)</f>
        <v>0</v>
      </c>
      <c r="O721" s="29">
        <f>IF(H721&lt;23,0,IF(H721&lt;27.5,3,5))</f>
        <v>3</v>
      </c>
      <c r="P721" s="29">
        <f>IF(OR(AND(B721="Nam",I721&gt;=90),AND(B721="Nữ",I721&gt;=80)),2,0)</f>
        <v>2</v>
      </c>
      <c r="Q721" s="29">
        <f>IF(OR(J721&gt;=140,K721&gt;=90),2,0)</f>
        <v>2</v>
      </c>
      <c r="R721" s="29">
        <f ca="1">SUM(L721:Q721)</f>
        <v>9</v>
      </c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5" t="s">
        <v>1393</v>
      </c>
      <c r="AE721" s="33"/>
      <c r="AF721" s="59" t="str">
        <f t="shared" si="34"/>
        <v>Không</v>
      </c>
      <c r="AG721" s="59" t="str">
        <f t="shared" si="35"/>
        <v>Không</v>
      </c>
      <c r="AH721" s="29" t="str">
        <f t="shared" ca="1" si="33"/>
        <v>Có</v>
      </c>
      <c r="AI721" s="29" t="str">
        <f ca="1">IF((R721)&gt;=6,"Có","Không")</f>
        <v>Có</v>
      </c>
      <c r="AJ721" s="29" t="str">
        <f>IF(OR(J721&gt;=140,K721&gt;=90),"Có","Không")</f>
        <v>Có</v>
      </c>
      <c r="AK721" s="5" t="s">
        <v>218</v>
      </c>
      <c r="AL721" s="32">
        <v>46142</v>
      </c>
      <c r="AM721" s="29" t="str">
        <f>"Tháng "&amp;MONTH(AL721)</f>
        <v>Tháng 4</v>
      </c>
      <c r="AN721" s="29" t="str">
        <f>LEFT(AK721,FIND(",",AK721)-1)</f>
        <v>Biển Đông B</v>
      </c>
    </row>
    <row r="722" spans="1:40" x14ac:dyDescent="0.25">
      <c r="A722" s="49" t="s">
        <v>399</v>
      </c>
      <c r="B722" s="5" t="s">
        <v>23</v>
      </c>
      <c r="C722" s="5" t="s">
        <v>24</v>
      </c>
      <c r="D722" s="29">
        <f ca="1">DATEDIF(C722,TODAY(),"Y")</f>
        <v>83</v>
      </c>
      <c r="E722" s="5" t="s">
        <v>26</v>
      </c>
      <c r="F722" s="30">
        <v>158</v>
      </c>
      <c r="G722" s="30">
        <v>58</v>
      </c>
      <c r="H722" s="31">
        <f>G722/((F722/100)*(F722/100))</f>
        <v>23.233456176894723</v>
      </c>
      <c r="I722" s="5">
        <v>80</v>
      </c>
      <c r="J722" s="30">
        <v>120</v>
      </c>
      <c r="K722" s="30">
        <v>80</v>
      </c>
      <c r="L722" s="29">
        <f>IF(B722="Nữ",0,2)</f>
        <v>0</v>
      </c>
      <c r="M722" s="29">
        <f ca="1">IF(D722&lt;45,0,IF(D722&lt;=49,1,2))</f>
        <v>2</v>
      </c>
      <c r="N722" s="29">
        <f>IF(E722="Có",4,0)</f>
        <v>0</v>
      </c>
      <c r="O722" s="29">
        <f>IF(H722&lt;23,0,IF(H722&lt;27.5,3,5))</f>
        <v>3</v>
      </c>
      <c r="P722" s="29">
        <f>IF(OR(AND(B722="Nam",I722&gt;=90),AND(B722="Nữ",I722&gt;=80)),2,0)</f>
        <v>2</v>
      </c>
      <c r="Q722" s="29">
        <f>IF(OR(J722&gt;=140,K722&gt;=90),2,0)</f>
        <v>0</v>
      </c>
      <c r="R722" s="29">
        <f ca="1">SUM(L722:Q722)</f>
        <v>7</v>
      </c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5" t="s">
        <v>1393</v>
      </c>
      <c r="AE722" s="33"/>
      <c r="AF722" s="59" t="str">
        <f t="shared" si="34"/>
        <v>Không</v>
      </c>
      <c r="AG722" s="59" t="str">
        <f t="shared" si="35"/>
        <v>Không</v>
      </c>
      <c r="AH722" s="29" t="str">
        <f t="shared" ca="1" si="33"/>
        <v>Có</v>
      </c>
      <c r="AI722" s="29" t="str">
        <f ca="1">IF((R722)&gt;=6,"Có","Không")</f>
        <v>Có</v>
      </c>
      <c r="AJ722" s="29" t="str">
        <f>IF(OR(J722&gt;=140,K722&gt;=90),"Có","Không")</f>
        <v>Không</v>
      </c>
      <c r="AK722" s="5" t="s">
        <v>218</v>
      </c>
      <c r="AL722" s="32">
        <v>46142</v>
      </c>
      <c r="AM722" s="29" t="str">
        <f>"Tháng "&amp;MONTH(AL722)</f>
        <v>Tháng 4</v>
      </c>
      <c r="AN722" s="29" t="str">
        <f>LEFT(AK722,FIND(",",AK722)-1)</f>
        <v>Biển Đông B</v>
      </c>
    </row>
    <row r="723" spans="1:40" x14ac:dyDescent="0.25">
      <c r="A723" s="49" t="s">
        <v>400</v>
      </c>
      <c r="B723" s="5" t="s">
        <v>30</v>
      </c>
      <c r="C723" s="5" t="s">
        <v>53</v>
      </c>
      <c r="D723" s="29">
        <f ca="1">DATEDIF(C723,TODAY(),"Y")</f>
        <v>72</v>
      </c>
      <c r="E723" s="5" t="s">
        <v>26</v>
      </c>
      <c r="F723" s="30">
        <v>168</v>
      </c>
      <c r="G723" s="30">
        <v>62</v>
      </c>
      <c r="H723" s="31">
        <f>G723/((F723/100)*(F723/100))</f>
        <v>21.9671201814059</v>
      </c>
      <c r="I723" s="5">
        <v>95</v>
      </c>
      <c r="J723" s="30">
        <v>120</v>
      </c>
      <c r="K723" s="30">
        <v>80</v>
      </c>
      <c r="L723" s="29">
        <f>IF(B723="Nữ",0,2)</f>
        <v>2</v>
      </c>
      <c r="M723" s="29">
        <f ca="1">IF(D723&lt;45,0,IF(D723&lt;=49,1,2))</f>
        <v>2</v>
      </c>
      <c r="N723" s="29">
        <f>IF(E723="Có",4,0)</f>
        <v>0</v>
      </c>
      <c r="O723" s="29">
        <f>IF(H723&lt;23,0,IF(H723&lt;27.5,3,5))</f>
        <v>0</v>
      </c>
      <c r="P723" s="29">
        <f>IF(OR(AND(B723="Nam",I723&gt;=90),AND(B723="Nữ",I723&gt;=80)),2,0)</f>
        <v>2</v>
      </c>
      <c r="Q723" s="29">
        <f>IF(OR(J723&gt;=140,K723&gt;=90),2,0)</f>
        <v>0</v>
      </c>
      <c r="R723" s="29">
        <f ca="1">SUM(L723:Q723)</f>
        <v>6</v>
      </c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5" t="s">
        <v>1393</v>
      </c>
      <c r="AE723" s="33"/>
      <c r="AF723" s="59" t="str">
        <f t="shared" si="34"/>
        <v>Không</v>
      </c>
      <c r="AG723" s="59" t="str">
        <f t="shared" si="35"/>
        <v>Không</v>
      </c>
      <c r="AH723" s="29" t="str">
        <f t="shared" ca="1" si="33"/>
        <v>Có</v>
      </c>
      <c r="AI723" s="29" t="str">
        <f ca="1">IF((R723)&gt;=6,"Có","Không")</f>
        <v>Có</v>
      </c>
      <c r="AJ723" s="29" t="str">
        <f>IF(OR(J723&gt;=140,K723&gt;=90),"Có","Không")</f>
        <v>Không</v>
      </c>
      <c r="AK723" s="5" t="s">
        <v>28</v>
      </c>
      <c r="AL723" s="32">
        <v>46142</v>
      </c>
      <c r="AM723" s="29" t="str">
        <f>"Tháng "&amp;MONTH(AL723)</f>
        <v>Tháng 4</v>
      </c>
      <c r="AN723" s="29" t="str">
        <f>LEFT(AK723,FIND(",",AK723)-1)</f>
        <v>Ấp Biển Đông A</v>
      </c>
    </row>
    <row r="724" spans="1:40" x14ac:dyDescent="0.25">
      <c r="A724" s="49" t="s">
        <v>401</v>
      </c>
      <c r="B724" s="5" t="s">
        <v>23</v>
      </c>
      <c r="C724" s="5" t="s">
        <v>62</v>
      </c>
      <c r="D724" s="29">
        <f ca="1">DATEDIF(C724,TODAY(),"Y")</f>
        <v>64</v>
      </c>
      <c r="E724" s="5" t="s">
        <v>26</v>
      </c>
      <c r="F724" s="30">
        <v>158</v>
      </c>
      <c r="G724" s="30">
        <v>58</v>
      </c>
      <c r="H724" s="31">
        <f>G724/((F724/100)*(F724/100))</f>
        <v>23.233456176894723</v>
      </c>
      <c r="I724" s="5">
        <v>69</v>
      </c>
      <c r="J724" s="30">
        <v>140</v>
      </c>
      <c r="K724" s="30">
        <v>80</v>
      </c>
      <c r="L724" s="29">
        <f>IF(B724="Nữ",0,2)</f>
        <v>0</v>
      </c>
      <c r="M724" s="29">
        <f ca="1">IF(D724&lt;45,0,IF(D724&lt;=49,1,2))</f>
        <v>2</v>
      </c>
      <c r="N724" s="29">
        <f>IF(E724="Có",4,0)</f>
        <v>0</v>
      </c>
      <c r="O724" s="29">
        <f>IF(H724&lt;23,0,IF(H724&lt;27.5,3,5))</f>
        <v>3</v>
      </c>
      <c r="P724" s="29">
        <f>IF(OR(AND(B724="Nam",I724&gt;=90),AND(B724="Nữ",I724&gt;=80)),2,0)</f>
        <v>0</v>
      </c>
      <c r="Q724" s="29">
        <f>IF(OR(J724&gt;=140,K724&gt;=90),2,0)</f>
        <v>2</v>
      </c>
      <c r="R724" s="29">
        <f ca="1">SUM(L724:Q724)</f>
        <v>7</v>
      </c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5" t="s">
        <v>1393</v>
      </c>
      <c r="AE724" s="33"/>
      <c r="AF724" s="59" t="str">
        <f t="shared" si="34"/>
        <v>Không</v>
      </c>
      <c r="AG724" s="59" t="str">
        <f t="shared" si="35"/>
        <v>Không</v>
      </c>
      <c r="AH724" s="29" t="str">
        <f t="shared" ca="1" si="33"/>
        <v>Có</v>
      </c>
      <c r="AI724" s="29" t="str">
        <f ca="1">IF((R724)&gt;=6,"Có","Không")</f>
        <v>Có</v>
      </c>
      <c r="AJ724" s="29" t="str">
        <f>IF(OR(J724&gt;=140,K724&gt;=90),"Có","Không")</f>
        <v>Có</v>
      </c>
      <c r="AK724" s="5" t="s">
        <v>402</v>
      </c>
      <c r="AL724" s="32">
        <v>46142</v>
      </c>
      <c r="AM724" s="29" t="str">
        <f>"Tháng "&amp;MONTH(AL724)</f>
        <v>Tháng 4</v>
      </c>
      <c r="AN724" s="29" t="str">
        <f>LEFT(AK724,FIND(",",AK724)-1)</f>
        <v>Ấp An Trạch Đông</v>
      </c>
    </row>
    <row r="725" spans="1:40" x14ac:dyDescent="0.25">
      <c r="A725" s="49" t="s">
        <v>403</v>
      </c>
      <c r="B725" s="5" t="s">
        <v>30</v>
      </c>
      <c r="C725" s="5" t="s">
        <v>40</v>
      </c>
      <c r="D725" s="29">
        <f ca="1">DATEDIF(C725,TODAY(),"Y")</f>
        <v>70</v>
      </c>
      <c r="E725" s="5" t="s">
        <v>26</v>
      </c>
      <c r="F725" s="30">
        <v>169</v>
      </c>
      <c r="G725" s="30">
        <v>68</v>
      </c>
      <c r="H725" s="31">
        <f>G725/((F725/100)*(F725/100))</f>
        <v>23.808690171912751</v>
      </c>
      <c r="I725" s="5">
        <v>81</v>
      </c>
      <c r="J725" s="30">
        <v>120</v>
      </c>
      <c r="K725" s="30">
        <v>80</v>
      </c>
      <c r="L725" s="29">
        <f>IF(B725="Nữ",0,2)</f>
        <v>2</v>
      </c>
      <c r="M725" s="29">
        <f ca="1">IF(D725&lt;45,0,IF(D725&lt;=49,1,2))</f>
        <v>2</v>
      </c>
      <c r="N725" s="29">
        <f>IF(E725="Có",4,0)</f>
        <v>0</v>
      </c>
      <c r="O725" s="29">
        <f>IF(H725&lt;23,0,IF(H725&lt;27.5,3,5))</f>
        <v>3</v>
      </c>
      <c r="P725" s="29">
        <f>IF(OR(AND(B725="Nam",I725&gt;=90),AND(B725="Nữ",I725&gt;=80)),2,0)</f>
        <v>0</v>
      </c>
      <c r="Q725" s="29">
        <f>IF(OR(J725&gt;=140,K725&gt;=90),2,0)</f>
        <v>0</v>
      </c>
      <c r="R725" s="29">
        <f ca="1">SUM(L725:Q725)</f>
        <v>7</v>
      </c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5" t="s">
        <v>1393</v>
      </c>
      <c r="AE725" s="33"/>
      <c r="AF725" s="59" t="str">
        <f t="shared" si="34"/>
        <v>Không</v>
      </c>
      <c r="AG725" s="59" t="str">
        <f t="shared" si="35"/>
        <v>Không</v>
      </c>
      <c r="AH725" s="29" t="str">
        <f t="shared" ca="1" si="33"/>
        <v>Có</v>
      </c>
      <c r="AI725" s="29" t="str">
        <f ca="1">IF((R725)&gt;=6,"Có","Không")</f>
        <v>Có</v>
      </c>
      <c r="AJ725" s="29" t="str">
        <f>IF(OR(J725&gt;=140,K725&gt;=90),"Có","Không")</f>
        <v>Không</v>
      </c>
      <c r="AK725" s="5" t="s">
        <v>38</v>
      </c>
      <c r="AL725" s="32">
        <v>46142</v>
      </c>
      <c r="AM725" s="29" t="str">
        <f>"Tháng "&amp;MONTH(AL725)</f>
        <v>Tháng 4</v>
      </c>
      <c r="AN725" s="29" t="str">
        <f>LEFT(AK725,FIND(",",AK725)-1)</f>
        <v>Ấp Biển Đông B</v>
      </c>
    </row>
    <row r="726" spans="1:40" x14ac:dyDescent="0.25">
      <c r="A726" s="49" t="s">
        <v>405</v>
      </c>
      <c r="B726" s="5" t="s">
        <v>30</v>
      </c>
      <c r="C726" s="5" t="s">
        <v>42</v>
      </c>
      <c r="D726" s="29">
        <f ca="1">DATEDIF(C726,TODAY(),"Y")</f>
        <v>59</v>
      </c>
      <c r="E726" s="5" t="s">
        <v>25</v>
      </c>
      <c r="F726" s="30">
        <v>120</v>
      </c>
      <c r="G726" s="30">
        <v>19</v>
      </c>
      <c r="H726" s="31">
        <f>G726/((F726/100)*(F726/100))</f>
        <v>13.194444444444445</v>
      </c>
      <c r="I726" s="5">
        <v>91</v>
      </c>
      <c r="J726" s="30">
        <v>100</v>
      </c>
      <c r="K726" s="30">
        <v>80</v>
      </c>
      <c r="L726" s="29">
        <f>IF(B726="Nữ",0,2)</f>
        <v>2</v>
      </c>
      <c r="M726" s="29">
        <f ca="1">IF(D726&lt;45,0,IF(D726&lt;=49,1,2))</f>
        <v>2</v>
      </c>
      <c r="N726" s="29">
        <f>IF(E726="Có",4,0)</f>
        <v>4</v>
      </c>
      <c r="O726" s="29">
        <f>IF(H726&lt;23,0,IF(H726&lt;27.5,3,5))</f>
        <v>0</v>
      </c>
      <c r="P726" s="29">
        <f>IF(OR(AND(B726="Nam",I726&gt;=90),AND(B726="Nữ",I726&gt;=80)),2,0)</f>
        <v>2</v>
      </c>
      <c r="Q726" s="29">
        <f>IF(OR(J726&gt;=140,K726&gt;=90),2,0)</f>
        <v>0</v>
      </c>
      <c r="R726" s="29">
        <f ca="1">SUM(L726:Q726)</f>
        <v>10</v>
      </c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5" t="s">
        <v>1393</v>
      </c>
      <c r="AE726" s="33"/>
      <c r="AF726" s="59" t="str">
        <f t="shared" si="34"/>
        <v>Không</v>
      </c>
      <c r="AG726" s="59" t="str">
        <f t="shared" si="35"/>
        <v>Không</v>
      </c>
      <c r="AH726" s="29" t="str">
        <f t="shared" ca="1" si="33"/>
        <v>Có</v>
      </c>
      <c r="AI726" s="29" t="str">
        <f ca="1">IF((R726)&gt;=6,"Có","Không")</f>
        <v>Có</v>
      </c>
      <c r="AJ726" s="29" t="str">
        <f>IF(OR(J726&gt;=140,K726&gt;=90),"Có","Không")</f>
        <v>Không</v>
      </c>
      <c r="AK726" s="5" t="s">
        <v>406</v>
      </c>
      <c r="AL726" s="32">
        <v>46142</v>
      </c>
      <c r="AM726" s="29" t="str">
        <f>"Tháng "&amp;MONTH(AL726)</f>
        <v>Tháng 4</v>
      </c>
      <c r="AN726" s="29" t="str">
        <f>LEFT(AK726,FIND(",",AK726)-1)</f>
        <v>Phường 7</v>
      </c>
    </row>
    <row r="727" spans="1:40" x14ac:dyDescent="0.25">
      <c r="A727" s="49" t="s">
        <v>413</v>
      </c>
      <c r="B727" s="5" t="s">
        <v>23</v>
      </c>
      <c r="C727" s="5" t="s">
        <v>24</v>
      </c>
      <c r="D727" s="29">
        <f ca="1">DATEDIF(C727,TODAY(),"Y")</f>
        <v>83</v>
      </c>
      <c r="E727" s="5" t="s">
        <v>25</v>
      </c>
      <c r="F727" s="30">
        <v>155</v>
      </c>
      <c r="G727" s="30">
        <v>75</v>
      </c>
      <c r="H727" s="31">
        <f>G727/((F727/100)*(F727/100))</f>
        <v>31.217481789802285</v>
      </c>
      <c r="I727" s="5">
        <v>84</v>
      </c>
      <c r="J727" s="30">
        <v>130</v>
      </c>
      <c r="K727" s="30">
        <v>80</v>
      </c>
      <c r="L727" s="29">
        <f>IF(B727="Nữ",0,2)</f>
        <v>0</v>
      </c>
      <c r="M727" s="29">
        <f ca="1">IF(D727&lt;45,0,IF(D727&lt;=49,1,2))</f>
        <v>2</v>
      </c>
      <c r="N727" s="29">
        <f>IF(E727="Có",4,0)</f>
        <v>4</v>
      </c>
      <c r="O727" s="29">
        <f>IF(H727&lt;23,0,IF(H727&lt;27.5,3,5))</f>
        <v>5</v>
      </c>
      <c r="P727" s="29">
        <f>IF(OR(AND(B727="Nam",I727&gt;=90),AND(B727="Nữ",I727&gt;=80)),2,0)</f>
        <v>2</v>
      </c>
      <c r="Q727" s="29">
        <f>IF(OR(J727&gt;=140,K727&gt;=90),2,0)</f>
        <v>0</v>
      </c>
      <c r="R727" s="29">
        <f ca="1">SUM(L727:Q727)</f>
        <v>13</v>
      </c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5" t="s">
        <v>1393</v>
      </c>
      <c r="AE727" s="33"/>
      <c r="AF727" s="59" t="str">
        <f t="shared" si="34"/>
        <v>Không</v>
      </c>
      <c r="AG727" s="59" t="str">
        <f t="shared" si="35"/>
        <v>Không</v>
      </c>
      <c r="AH727" s="29" t="str">
        <f t="shared" ca="1" si="33"/>
        <v>Có</v>
      </c>
      <c r="AI727" s="29" t="str">
        <f ca="1">IF((R727)&gt;=6,"Có","Không")</f>
        <v>Có</v>
      </c>
      <c r="AJ727" s="29" t="str">
        <f>IF(OR(J727&gt;=140,K727&gt;=90),"Có","Không")</f>
        <v>Không</v>
      </c>
      <c r="AK727" s="5" t="s">
        <v>88</v>
      </c>
      <c r="AL727" s="32">
        <v>46142</v>
      </c>
      <c r="AM727" s="29" t="str">
        <f>"Tháng "&amp;MONTH(AL727)</f>
        <v>Tháng 4</v>
      </c>
      <c r="AN727" s="29" t="str">
        <f>LEFT(AK727,FIND(",",AK727)-1)</f>
        <v>Giồng Giữa</v>
      </c>
    </row>
    <row r="728" spans="1:40" x14ac:dyDescent="0.25">
      <c r="A728" s="49" t="s">
        <v>415</v>
      </c>
      <c r="B728" s="5" t="s">
        <v>23</v>
      </c>
      <c r="C728" s="5" t="s">
        <v>59</v>
      </c>
      <c r="D728" s="29">
        <f ca="1">DATEDIF(C728,TODAY(),"Y")</f>
        <v>74</v>
      </c>
      <c r="E728" s="5" t="s">
        <v>25</v>
      </c>
      <c r="F728" s="30">
        <v>158</v>
      </c>
      <c r="G728" s="30">
        <v>58</v>
      </c>
      <c r="H728" s="31">
        <f>G728/((F728/100)*(F728/100))</f>
        <v>23.233456176894723</v>
      </c>
      <c r="I728" s="5">
        <v>80</v>
      </c>
      <c r="J728" s="30">
        <v>140</v>
      </c>
      <c r="K728" s="30">
        <v>80</v>
      </c>
      <c r="L728" s="29">
        <f>IF(B728="Nữ",0,2)</f>
        <v>0</v>
      </c>
      <c r="M728" s="29">
        <f ca="1">IF(D728&lt;45,0,IF(D728&lt;=49,1,2))</f>
        <v>2</v>
      </c>
      <c r="N728" s="29">
        <f>IF(E728="Có",4,0)</f>
        <v>4</v>
      </c>
      <c r="O728" s="29">
        <f>IF(H728&lt;23,0,IF(H728&lt;27.5,3,5))</f>
        <v>3</v>
      </c>
      <c r="P728" s="29">
        <f>IF(OR(AND(B728="Nam",I728&gt;=90),AND(B728="Nữ",I728&gt;=80)),2,0)</f>
        <v>2</v>
      </c>
      <c r="Q728" s="29">
        <f>IF(OR(J728&gt;=140,K728&gt;=90),2,0)</f>
        <v>2</v>
      </c>
      <c r="R728" s="29">
        <f ca="1">SUM(L728:Q728)</f>
        <v>13</v>
      </c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5" t="s">
        <v>1393</v>
      </c>
      <c r="AE728" s="33"/>
      <c r="AF728" s="59" t="str">
        <f t="shared" si="34"/>
        <v>Không</v>
      </c>
      <c r="AG728" s="59" t="str">
        <f t="shared" si="35"/>
        <v>Không</v>
      </c>
      <c r="AH728" s="29" t="str">
        <f t="shared" ca="1" si="33"/>
        <v>Có</v>
      </c>
      <c r="AI728" s="29" t="str">
        <f ca="1">IF((R728)&gt;=6,"Có","Không")</f>
        <v>Có</v>
      </c>
      <c r="AJ728" s="29" t="str">
        <f>IF(OR(J728&gt;=140,K728&gt;=90),"Có","Không")</f>
        <v>Có</v>
      </c>
      <c r="AK728" s="5" t="s">
        <v>28</v>
      </c>
      <c r="AL728" s="32">
        <v>46142</v>
      </c>
      <c r="AM728" s="29" t="str">
        <f>"Tháng "&amp;MONTH(AL728)</f>
        <v>Tháng 4</v>
      </c>
      <c r="AN728" s="29" t="str">
        <f>LEFT(AK728,FIND(",",AK728)-1)</f>
        <v>Ấp Biển Đông A</v>
      </c>
    </row>
    <row r="729" spans="1:40" x14ac:dyDescent="0.25">
      <c r="A729" s="49" t="s">
        <v>417</v>
      </c>
      <c r="B729" s="5" t="s">
        <v>23</v>
      </c>
      <c r="C729" s="5" t="s">
        <v>300</v>
      </c>
      <c r="D729" s="29">
        <f ca="1">DATEDIF(C729,TODAY(),"Y")</f>
        <v>80</v>
      </c>
      <c r="E729" s="5" t="s">
        <v>26</v>
      </c>
      <c r="F729" s="30">
        <v>158</v>
      </c>
      <c r="G729" s="30">
        <v>58</v>
      </c>
      <c r="H729" s="31">
        <f>G729/((F729/100)*(F729/100))</f>
        <v>23.233456176894723</v>
      </c>
      <c r="I729" s="5">
        <v>79</v>
      </c>
      <c r="J729" s="30">
        <v>120</v>
      </c>
      <c r="K729" s="30">
        <v>80</v>
      </c>
      <c r="L729" s="29">
        <f>IF(B729="Nữ",0,2)</f>
        <v>0</v>
      </c>
      <c r="M729" s="29">
        <f ca="1">IF(D729&lt;45,0,IF(D729&lt;=49,1,2))</f>
        <v>2</v>
      </c>
      <c r="N729" s="29">
        <f>IF(E729="Có",4,0)</f>
        <v>0</v>
      </c>
      <c r="O729" s="29">
        <f>IF(H729&lt;23,0,IF(H729&lt;27.5,3,5))</f>
        <v>3</v>
      </c>
      <c r="P729" s="29">
        <f>IF(OR(AND(B729="Nam",I729&gt;=90),AND(B729="Nữ",I729&gt;=80)),2,0)</f>
        <v>0</v>
      </c>
      <c r="Q729" s="29">
        <f>IF(OR(J729&gt;=140,K729&gt;=90),2,0)</f>
        <v>0</v>
      </c>
      <c r="R729" s="29">
        <f ca="1">SUM(L729:Q729)</f>
        <v>5</v>
      </c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5" t="s">
        <v>1393</v>
      </c>
      <c r="AE729" s="33"/>
      <c r="AF729" s="59" t="str">
        <f t="shared" si="34"/>
        <v>Không</v>
      </c>
      <c r="AG729" s="59" t="str">
        <f t="shared" si="35"/>
        <v>Không</v>
      </c>
      <c r="AH729" s="29" t="str">
        <f t="shared" ca="1" si="33"/>
        <v>Không</v>
      </c>
      <c r="AI729" s="29" t="str">
        <f ca="1">IF((R729)&gt;=6,"Có","Không")</f>
        <v>Không</v>
      </c>
      <c r="AJ729" s="29" t="str">
        <f>IF(OR(J729&gt;=140,K729&gt;=90),"Có","Không")</f>
        <v>Không</v>
      </c>
      <c r="AK729" s="5" t="s">
        <v>32</v>
      </c>
      <c r="AL729" s="32">
        <v>46142</v>
      </c>
      <c r="AM729" s="29" t="str">
        <f>"Tháng "&amp;MONTH(AL729)</f>
        <v>Tháng 4</v>
      </c>
      <c r="AN729" s="29" t="str">
        <f>LEFT(AK729,FIND(",",AK729)-1)</f>
        <v>Ấp Giồng Giữa B</v>
      </c>
    </row>
    <row r="730" spans="1:40" x14ac:dyDescent="0.25">
      <c r="A730" s="49" t="s">
        <v>418</v>
      </c>
      <c r="B730" s="5" t="s">
        <v>30</v>
      </c>
      <c r="C730" s="5" t="s">
        <v>47</v>
      </c>
      <c r="D730" s="29">
        <f ca="1">DATEDIF(C730,TODAY(),"Y")</f>
        <v>55</v>
      </c>
      <c r="E730" s="5" t="s">
        <v>26</v>
      </c>
      <c r="F730" s="30">
        <v>169</v>
      </c>
      <c r="G730" s="30">
        <v>68</v>
      </c>
      <c r="H730" s="31">
        <f>G730/((F730/100)*(F730/100))</f>
        <v>23.808690171912751</v>
      </c>
      <c r="I730" s="5">
        <v>95</v>
      </c>
      <c r="J730" s="30">
        <v>150</v>
      </c>
      <c r="K730" s="30">
        <v>80</v>
      </c>
      <c r="L730" s="29">
        <f>IF(B730="Nữ",0,2)</f>
        <v>2</v>
      </c>
      <c r="M730" s="29">
        <f ca="1">IF(D730&lt;45,0,IF(D730&lt;=49,1,2))</f>
        <v>2</v>
      </c>
      <c r="N730" s="29">
        <f>IF(E730="Có",4,0)</f>
        <v>0</v>
      </c>
      <c r="O730" s="29">
        <f>IF(H730&lt;23,0,IF(H730&lt;27.5,3,5))</f>
        <v>3</v>
      </c>
      <c r="P730" s="29">
        <f>IF(OR(AND(B730="Nam",I730&gt;=90),AND(B730="Nữ",I730&gt;=80)),2,0)</f>
        <v>2</v>
      </c>
      <c r="Q730" s="29">
        <f>IF(OR(J730&gt;=140,K730&gt;=90),2,0)</f>
        <v>2</v>
      </c>
      <c r="R730" s="29">
        <f ca="1">SUM(L730:Q730)</f>
        <v>11</v>
      </c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5" t="s">
        <v>1393</v>
      </c>
      <c r="AE730" s="33"/>
      <c r="AF730" s="59" t="str">
        <f t="shared" si="34"/>
        <v>Không</v>
      </c>
      <c r="AG730" s="59" t="str">
        <f t="shared" si="35"/>
        <v>Không</v>
      </c>
      <c r="AH730" s="29" t="str">
        <f t="shared" ca="1" si="33"/>
        <v>Có</v>
      </c>
      <c r="AI730" s="29" t="str">
        <f ca="1">IF((R730)&gt;=6,"Có","Không")</f>
        <v>Có</v>
      </c>
      <c r="AJ730" s="29" t="str">
        <f>IF(OR(J730&gt;=140,K730&gt;=90),"Có","Không")</f>
        <v>Có</v>
      </c>
      <c r="AK730" s="5" t="s">
        <v>51</v>
      </c>
      <c r="AL730" s="32">
        <v>46142</v>
      </c>
      <c r="AM730" s="29" t="str">
        <f>"Tháng "&amp;MONTH(AL730)</f>
        <v>Tháng 4</v>
      </c>
      <c r="AN730" s="29" t="str">
        <f>LEFT(AK730,FIND(",",AK730)-1)</f>
        <v>Phường Hiệp Thành</v>
      </c>
    </row>
    <row r="731" spans="1:40" x14ac:dyDescent="0.25">
      <c r="A731" s="49" t="s">
        <v>425</v>
      </c>
      <c r="B731" s="5" t="s">
        <v>23</v>
      </c>
      <c r="C731" s="5" t="s">
        <v>53</v>
      </c>
      <c r="D731" s="29">
        <f ca="1">DATEDIF(C731,TODAY(),"Y")</f>
        <v>72</v>
      </c>
      <c r="E731" s="5" t="s">
        <v>26</v>
      </c>
      <c r="F731" s="30">
        <v>167</v>
      </c>
      <c r="G731" s="30">
        <v>54</v>
      </c>
      <c r="H731" s="31">
        <f>G731/((F731/100)*(F731/100))</f>
        <v>19.362472659471475</v>
      </c>
      <c r="I731" s="5">
        <v>73</v>
      </c>
      <c r="J731" s="30">
        <v>120</v>
      </c>
      <c r="K731" s="30">
        <v>70</v>
      </c>
      <c r="L731" s="29">
        <f>IF(B731="Nữ",0,2)</f>
        <v>0</v>
      </c>
      <c r="M731" s="29">
        <f ca="1">IF(D731&lt;45,0,IF(D731&lt;=49,1,2))</f>
        <v>2</v>
      </c>
      <c r="N731" s="29">
        <f>IF(E731="Có",4,0)</f>
        <v>0</v>
      </c>
      <c r="O731" s="29">
        <f>IF(H731&lt;23,0,IF(H731&lt;27.5,3,5))</f>
        <v>0</v>
      </c>
      <c r="P731" s="29">
        <f>IF(OR(AND(B731="Nam",I731&gt;=90),AND(B731="Nữ",I731&gt;=80)),2,0)</f>
        <v>0</v>
      </c>
      <c r="Q731" s="29">
        <f>IF(OR(J731&gt;=140,K731&gt;=90),2,0)</f>
        <v>0</v>
      </c>
      <c r="R731" s="29">
        <f ca="1">SUM(L731:Q731)</f>
        <v>2</v>
      </c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5" t="s">
        <v>1393</v>
      </c>
      <c r="AE731" s="33"/>
      <c r="AF731" s="59" t="str">
        <f t="shared" si="34"/>
        <v>Không</v>
      </c>
      <c r="AG731" s="59" t="str">
        <f t="shared" si="35"/>
        <v>Không</v>
      </c>
      <c r="AH731" s="29" t="str">
        <f t="shared" ca="1" si="33"/>
        <v>Không</v>
      </c>
      <c r="AI731" s="29" t="str">
        <f ca="1">IF((R731)&gt;=6,"Có","Không")</f>
        <v>Không</v>
      </c>
      <c r="AJ731" s="29" t="str">
        <f>IF(OR(J731&gt;=140,K731&gt;=90),"Có","Không")</f>
        <v>Không</v>
      </c>
      <c r="AK731" s="5" t="s">
        <v>160</v>
      </c>
      <c r="AL731" s="32">
        <v>46142</v>
      </c>
      <c r="AM731" s="29" t="str">
        <f>"Tháng "&amp;MONTH(AL731)</f>
        <v>Tháng 4</v>
      </c>
      <c r="AN731" s="29" t="str">
        <f>LEFT(AK731,FIND(",",AK731)-1)</f>
        <v>Ấp Giồng Nhãn</v>
      </c>
    </row>
    <row r="732" spans="1:40" x14ac:dyDescent="0.25">
      <c r="A732" s="49" t="s">
        <v>426</v>
      </c>
      <c r="B732" s="5" t="s">
        <v>30</v>
      </c>
      <c r="C732" s="5" t="s">
        <v>188</v>
      </c>
      <c r="D732" s="29">
        <f ca="1">DATEDIF(C732,TODAY(),"Y")</f>
        <v>63</v>
      </c>
      <c r="E732" s="5" t="s">
        <v>26</v>
      </c>
      <c r="F732" s="30">
        <v>160</v>
      </c>
      <c r="G732" s="30">
        <v>72</v>
      </c>
      <c r="H732" s="31">
        <f>G732/((F732/100)*(F732/100))</f>
        <v>28.124999999999993</v>
      </c>
      <c r="I732" s="5">
        <v>98</v>
      </c>
      <c r="J732" s="30">
        <v>160</v>
      </c>
      <c r="K732" s="30">
        <v>80</v>
      </c>
      <c r="L732" s="29">
        <f>IF(B732="Nữ",0,2)</f>
        <v>2</v>
      </c>
      <c r="M732" s="29">
        <f ca="1">IF(D732&lt;45,0,IF(D732&lt;=49,1,2))</f>
        <v>2</v>
      </c>
      <c r="N732" s="29">
        <f>IF(E732="Có",4,0)</f>
        <v>0</v>
      </c>
      <c r="O732" s="29">
        <f>IF(H732&lt;23,0,IF(H732&lt;27.5,3,5))</f>
        <v>5</v>
      </c>
      <c r="P732" s="29">
        <f>IF(OR(AND(B732="Nam",I732&gt;=90),AND(B732="Nữ",I732&gt;=80)),2,0)</f>
        <v>2</v>
      </c>
      <c r="Q732" s="29">
        <f>IF(OR(J732&gt;=140,K732&gt;=90),2,0)</f>
        <v>2</v>
      </c>
      <c r="R732" s="29">
        <f ca="1">SUM(L732:Q732)</f>
        <v>13</v>
      </c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5" t="s">
        <v>1393</v>
      </c>
      <c r="AE732" s="33"/>
      <c r="AF732" s="59" t="str">
        <f t="shared" si="34"/>
        <v>Không</v>
      </c>
      <c r="AG732" s="59" t="str">
        <f t="shared" si="35"/>
        <v>Không</v>
      </c>
      <c r="AH732" s="29" t="str">
        <f t="shared" ca="1" si="33"/>
        <v>Có</v>
      </c>
      <c r="AI732" s="29" t="str">
        <f ca="1">IF((R732)&gt;=6,"Có","Không")</f>
        <v>Có</v>
      </c>
      <c r="AJ732" s="29" t="str">
        <f>IF(OR(J732&gt;=140,K732&gt;=90),"Có","Không")</f>
        <v>Có</v>
      </c>
      <c r="AK732" s="5" t="s">
        <v>51</v>
      </c>
      <c r="AL732" s="32">
        <v>46142</v>
      </c>
      <c r="AM732" s="29" t="str">
        <f>"Tháng "&amp;MONTH(AL732)</f>
        <v>Tháng 4</v>
      </c>
      <c r="AN732" s="29" t="str">
        <f>LEFT(AK732,FIND(",",AK732)-1)</f>
        <v>Phường Hiệp Thành</v>
      </c>
    </row>
    <row r="733" spans="1:40" x14ac:dyDescent="0.25">
      <c r="A733" s="49" t="s">
        <v>428</v>
      </c>
      <c r="B733" s="5" t="s">
        <v>30</v>
      </c>
      <c r="C733" s="5" t="s">
        <v>31</v>
      </c>
      <c r="D733" s="29">
        <f ca="1">DATEDIF(C733,TODAY(),"Y")</f>
        <v>79</v>
      </c>
      <c r="E733" s="5" t="s">
        <v>25</v>
      </c>
      <c r="F733" s="30">
        <v>169</v>
      </c>
      <c r="G733" s="30">
        <v>68</v>
      </c>
      <c r="H733" s="31">
        <f>G733/((F733/100)*(F733/100))</f>
        <v>23.808690171912751</v>
      </c>
      <c r="I733" s="5">
        <v>94</v>
      </c>
      <c r="J733" s="30">
        <v>140</v>
      </c>
      <c r="K733" s="30">
        <v>80</v>
      </c>
      <c r="L733" s="29">
        <f>IF(B733="Nữ",0,2)</f>
        <v>2</v>
      </c>
      <c r="M733" s="29">
        <f ca="1">IF(D733&lt;45,0,IF(D733&lt;=49,1,2))</f>
        <v>2</v>
      </c>
      <c r="N733" s="29">
        <f>IF(E733="Có",4,0)</f>
        <v>4</v>
      </c>
      <c r="O733" s="29">
        <f>IF(H733&lt;23,0,IF(H733&lt;27.5,3,5))</f>
        <v>3</v>
      </c>
      <c r="P733" s="29">
        <f>IF(OR(AND(B733="Nam",I733&gt;=90),AND(B733="Nữ",I733&gt;=80)),2,0)</f>
        <v>2</v>
      </c>
      <c r="Q733" s="29">
        <f>IF(OR(J733&gt;=140,K733&gt;=90),2,0)</f>
        <v>2</v>
      </c>
      <c r="R733" s="29">
        <f ca="1">SUM(L733:Q733)</f>
        <v>15</v>
      </c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5" t="s">
        <v>1393</v>
      </c>
      <c r="AE733" s="33"/>
      <c r="AF733" s="59" t="str">
        <f t="shared" si="34"/>
        <v>Không</v>
      </c>
      <c r="AG733" s="59" t="str">
        <f t="shared" si="35"/>
        <v>Không</v>
      </c>
      <c r="AH733" s="29" t="str">
        <f t="shared" ca="1" si="33"/>
        <v>Có</v>
      </c>
      <c r="AI733" s="29" t="str">
        <f ca="1">IF((R733)&gt;=6,"Có","Không")</f>
        <v>Có</v>
      </c>
      <c r="AJ733" s="29" t="str">
        <f>IF(OR(J733&gt;=140,K733&gt;=90),"Có","Không")</f>
        <v>Có</v>
      </c>
      <c r="AK733" s="5" t="s">
        <v>32</v>
      </c>
      <c r="AL733" s="32">
        <v>46142</v>
      </c>
      <c r="AM733" s="29" t="str">
        <f>"Tháng "&amp;MONTH(AL733)</f>
        <v>Tháng 4</v>
      </c>
      <c r="AN733" s="29" t="str">
        <f>LEFT(AK733,FIND(",",AK733)-1)</f>
        <v>Ấp Giồng Giữa B</v>
      </c>
    </row>
    <row r="734" spans="1:40" x14ac:dyDescent="0.25">
      <c r="A734" s="49" t="s">
        <v>430</v>
      </c>
      <c r="B734" s="5" t="s">
        <v>30</v>
      </c>
      <c r="C734" s="5" t="s">
        <v>82</v>
      </c>
      <c r="D734" s="29">
        <f ca="1">DATEDIF(C734,TODAY(),"Y")</f>
        <v>73</v>
      </c>
      <c r="E734" s="5" t="s">
        <v>26</v>
      </c>
      <c r="F734" s="30">
        <v>169</v>
      </c>
      <c r="G734" s="30">
        <v>68</v>
      </c>
      <c r="H734" s="31">
        <f>G734/((F734/100)*(F734/100))</f>
        <v>23.808690171912751</v>
      </c>
      <c r="I734" s="5">
        <v>84</v>
      </c>
      <c r="J734" s="30">
        <v>150</v>
      </c>
      <c r="K734" s="30">
        <v>80</v>
      </c>
      <c r="L734" s="29">
        <f>IF(B734="Nữ",0,2)</f>
        <v>2</v>
      </c>
      <c r="M734" s="29">
        <f ca="1">IF(D734&lt;45,0,IF(D734&lt;=49,1,2))</f>
        <v>2</v>
      </c>
      <c r="N734" s="29">
        <f>IF(E734="Có",4,0)</f>
        <v>0</v>
      </c>
      <c r="O734" s="29">
        <f>IF(H734&lt;23,0,IF(H734&lt;27.5,3,5))</f>
        <v>3</v>
      </c>
      <c r="P734" s="29">
        <f>IF(OR(AND(B734="Nam",I734&gt;=90),AND(B734="Nữ",I734&gt;=80)),2,0)</f>
        <v>0</v>
      </c>
      <c r="Q734" s="29">
        <f>IF(OR(J734&gt;=140,K734&gt;=90),2,0)</f>
        <v>2</v>
      </c>
      <c r="R734" s="29">
        <f ca="1">SUM(L734:Q734)</f>
        <v>9</v>
      </c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5" t="s">
        <v>1393</v>
      </c>
      <c r="AE734" s="33"/>
      <c r="AF734" s="59" t="str">
        <f t="shared" si="34"/>
        <v>Không</v>
      </c>
      <c r="AG734" s="59" t="str">
        <f t="shared" si="35"/>
        <v>Không</v>
      </c>
      <c r="AH734" s="29" t="str">
        <f t="shared" ca="1" si="33"/>
        <v>Có</v>
      </c>
      <c r="AI734" s="29" t="str">
        <f ca="1">IF((R734)&gt;=6,"Có","Không")</f>
        <v>Có</v>
      </c>
      <c r="AJ734" s="29" t="str">
        <f>IF(OR(J734&gt;=140,K734&gt;=90),"Có","Không")</f>
        <v>Có</v>
      </c>
      <c r="AK734" s="5" t="s">
        <v>48</v>
      </c>
      <c r="AL734" s="32">
        <v>46142</v>
      </c>
      <c r="AM734" s="29" t="str">
        <f>"Tháng "&amp;MONTH(AL734)</f>
        <v>Tháng 4</v>
      </c>
      <c r="AN734" s="29" t="str">
        <f>LEFT(AK734,FIND(",",AK734)-1)</f>
        <v>ấp Giồng Giữa A</v>
      </c>
    </row>
    <row r="735" spans="1:40" x14ac:dyDescent="0.25">
      <c r="A735" s="49" t="s">
        <v>431</v>
      </c>
      <c r="B735" s="5" t="s">
        <v>23</v>
      </c>
      <c r="C735" s="5" t="s">
        <v>93</v>
      </c>
      <c r="D735" s="29">
        <f ca="1">DATEDIF(C735,TODAY(),"Y")</f>
        <v>66</v>
      </c>
      <c r="E735" s="5" t="s">
        <v>26</v>
      </c>
      <c r="F735" s="30">
        <v>158</v>
      </c>
      <c r="G735" s="30">
        <v>58</v>
      </c>
      <c r="H735" s="31">
        <f>G735/((F735/100)*(F735/100))</f>
        <v>23.233456176894723</v>
      </c>
      <c r="I735" s="5">
        <v>74</v>
      </c>
      <c r="J735" s="30">
        <v>140</v>
      </c>
      <c r="K735" s="30">
        <v>80</v>
      </c>
      <c r="L735" s="29">
        <f>IF(B735="Nữ",0,2)</f>
        <v>0</v>
      </c>
      <c r="M735" s="29">
        <f ca="1">IF(D735&lt;45,0,IF(D735&lt;=49,1,2))</f>
        <v>2</v>
      </c>
      <c r="N735" s="29">
        <f>IF(E735="Có",4,0)</f>
        <v>0</v>
      </c>
      <c r="O735" s="29">
        <f>IF(H735&lt;23,0,IF(H735&lt;27.5,3,5))</f>
        <v>3</v>
      </c>
      <c r="P735" s="29">
        <f>IF(OR(AND(B735="Nam",I735&gt;=90),AND(B735="Nữ",I735&gt;=80)),2,0)</f>
        <v>0</v>
      </c>
      <c r="Q735" s="29">
        <f>IF(OR(J735&gt;=140,K735&gt;=90),2,0)</f>
        <v>2</v>
      </c>
      <c r="R735" s="29">
        <f ca="1">SUM(L735:Q735)</f>
        <v>7</v>
      </c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5" t="s">
        <v>1393</v>
      </c>
      <c r="AE735" s="33"/>
      <c r="AF735" s="59" t="str">
        <f t="shared" si="34"/>
        <v>Không</v>
      </c>
      <c r="AG735" s="59" t="str">
        <f t="shared" si="35"/>
        <v>Không</v>
      </c>
      <c r="AH735" s="29" t="str">
        <f t="shared" ca="1" si="33"/>
        <v>Có</v>
      </c>
      <c r="AI735" s="29" t="str">
        <f ca="1">IF((R735)&gt;=6,"Có","Không")</f>
        <v>Có</v>
      </c>
      <c r="AJ735" s="29" t="str">
        <f>IF(OR(J735&gt;=140,K735&gt;=90),"Có","Không")</f>
        <v>Có</v>
      </c>
      <c r="AK735" s="5" t="s">
        <v>432</v>
      </c>
      <c r="AL735" s="32">
        <v>46142</v>
      </c>
      <c r="AM735" s="29" t="str">
        <f>"Tháng "&amp;MONTH(AL735)</f>
        <v>Tháng 4</v>
      </c>
      <c r="AN735" s="29" t="str">
        <f>LEFT(AK735,FIND(",",AK735)-1)</f>
        <v>ấp biển tây B</v>
      </c>
    </row>
    <row r="736" spans="1:40" x14ac:dyDescent="0.25">
      <c r="A736" s="49" t="s">
        <v>433</v>
      </c>
      <c r="B736" s="5" t="s">
        <v>23</v>
      </c>
      <c r="C736" s="5" t="s">
        <v>300</v>
      </c>
      <c r="D736" s="29">
        <f ca="1">DATEDIF(C736,TODAY(),"Y")</f>
        <v>80</v>
      </c>
      <c r="E736" s="5" t="s">
        <v>26</v>
      </c>
      <c r="F736" s="30">
        <v>160</v>
      </c>
      <c r="G736" s="30">
        <v>60</v>
      </c>
      <c r="H736" s="31">
        <f>G736/((F736/100)*(F736/100))</f>
        <v>23.437499999999996</v>
      </c>
      <c r="I736" s="5">
        <v>81</v>
      </c>
      <c r="J736" s="30">
        <v>140</v>
      </c>
      <c r="K736" s="30">
        <v>80</v>
      </c>
      <c r="L736" s="29">
        <f>IF(B736="Nữ",0,2)</f>
        <v>0</v>
      </c>
      <c r="M736" s="29">
        <f ca="1">IF(D736&lt;45,0,IF(D736&lt;=49,1,2))</f>
        <v>2</v>
      </c>
      <c r="N736" s="29">
        <f>IF(E736="Có",4,0)</f>
        <v>0</v>
      </c>
      <c r="O736" s="29">
        <f>IF(H736&lt;23,0,IF(H736&lt;27.5,3,5))</f>
        <v>3</v>
      </c>
      <c r="P736" s="29">
        <f>IF(OR(AND(B736="Nam",I736&gt;=90),AND(B736="Nữ",I736&gt;=80)),2,0)</f>
        <v>2</v>
      </c>
      <c r="Q736" s="29">
        <f>IF(OR(J736&gt;=140,K736&gt;=90),2,0)</f>
        <v>2</v>
      </c>
      <c r="R736" s="29">
        <f ca="1">SUM(L736:Q736)</f>
        <v>9</v>
      </c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5" t="s">
        <v>1393</v>
      </c>
      <c r="AE736" s="33"/>
      <c r="AF736" s="59" t="str">
        <f t="shared" si="34"/>
        <v>Không</v>
      </c>
      <c r="AG736" s="59" t="str">
        <f t="shared" si="35"/>
        <v>Không</v>
      </c>
      <c r="AH736" s="29" t="str">
        <f t="shared" ca="1" si="33"/>
        <v>Có</v>
      </c>
      <c r="AI736" s="29" t="str">
        <f ca="1">IF((R736)&gt;=6,"Có","Không")</f>
        <v>Có</v>
      </c>
      <c r="AJ736" s="29" t="str">
        <f>IF(OR(J736&gt;=140,K736&gt;=90),"Có","Không")</f>
        <v>Có</v>
      </c>
      <c r="AK736" s="5" t="s">
        <v>395</v>
      </c>
      <c r="AL736" s="32">
        <v>46142</v>
      </c>
      <c r="AM736" s="29" t="str">
        <f>"Tháng "&amp;MONTH(AL736)</f>
        <v>Tháng 4</v>
      </c>
      <c r="AN736" s="29" t="str">
        <f>LEFT(AK736,FIND(",",AK736)-1)</f>
        <v>Khóm Chòm Xoài</v>
      </c>
    </row>
    <row r="737" spans="1:40" x14ac:dyDescent="0.25">
      <c r="A737" s="49" t="s">
        <v>434</v>
      </c>
      <c r="B737" s="5" t="s">
        <v>30</v>
      </c>
      <c r="C737" s="5" t="s">
        <v>34</v>
      </c>
      <c r="D737" s="29">
        <f ca="1">DATEDIF(C737,TODAY(),"Y")</f>
        <v>78</v>
      </c>
      <c r="E737" s="5" t="s">
        <v>26</v>
      </c>
      <c r="F737" s="30">
        <v>169</v>
      </c>
      <c r="G737" s="30">
        <v>68</v>
      </c>
      <c r="H737" s="31">
        <f>G737/((F737/100)*(F737/100))</f>
        <v>23.808690171912751</v>
      </c>
      <c r="I737" s="5">
        <v>90</v>
      </c>
      <c r="J737" s="30">
        <v>130</v>
      </c>
      <c r="K737" s="30">
        <v>80</v>
      </c>
      <c r="L737" s="29">
        <f>IF(B737="Nữ",0,2)</f>
        <v>2</v>
      </c>
      <c r="M737" s="29">
        <f ca="1">IF(D737&lt;45,0,IF(D737&lt;=49,1,2))</f>
        <v>2</v>
      </c>
      <c r="N737" s="29">
        <f>IF(E737="Có",4,0)</f>
        <v>0</v>
      </c>
      <c r="O737" s="29">
        <f>IF(H737&lt;23,0,IF(H737&lt;27.5,3,5))</f>
        <v>3</v>
      </c>
      <c r="P737" s="29">
        <f>IF(OR(AND(B737="Nam",I737&gt;=90),AND(B737="Nữ",I737&gt;=80)),2,0)</f>
        <v>2</v>
      </c>
      <c r="Q737" s="29">
        <f>IF(OR(J737&gt;=140,K737&gt;=90),2,0)</f>
        <v>0</v>
      </c>
      <c r="R737" s="29">
        <f ca="1">SUM(L737:Q737)</f>
        <v>9</v>
      </c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5" t="s">
        <v>1393</v>
      </c>
      <c r="AE737" s="33"/>
      <c r="AF737" s="59" t="str">
        <f t="shared" si="34"/>
        <v>Không</v>
      </c>
      <c r="AG737" s="59" t="str">
        <f t="shared" si="35"/>
        <v>Không</v>
      </c>
      <c r="AH737" s="29" t="str">
        <f t="shared" ca="1" si="33"/>
        <v>Có</v>
      </c>
      <c r="AI737" s="29" t="str">
        <f ca="1">IF((R737)&gt;=6,"Có","Không")</f>
        <v>Có</v>
      </c>
      <c r="AJ737" s="29" t="str">
        <f>IF(OR(J737&gt;=140,K737&gt;=90),"Có","Không")</f>
        <v>Không</v>
      </c>
      <c r="AK737" s="5" t="s">
        <v>60</v>
      </c>
      <c r="AL737" s="32">
        <v>46142</v>
      </c>
      <c r="AM737" s="29" t="str">
        <f>"Tháng "&amp;MONTH(AL737)</f>
        <v>Tháng 4</v>
      </c>
      <c r="AN737" s="29" t="str">
        <f>LEFT(AK737,FIND(",",AK737)-1)</f>
        <v>ấp Biển Đông A</v>
      </c>
    </row>
    <row r="738" spans="1:40" x14ac:dyDescent="0.25">
      <c r="A738" s="49" t="s">
        <v>439</v>
      </c>
      <c r="B738" s="5" t="s">
        <v>23</v>
      </c>
      <c r="C738" s="5" t="s">
        <v>90</v>
      </c>
      <c r="D738" s="29">
        <f ca="1">DATEDIF(C738,TODAY(),"Y")</f>
        <v>54</v>
      </c>
      <c r="E738" s="5" t="s">
        <v>26</v>
      </c>
      <c r="F738" s="30">
        <v>158</v>
      </c>
      <c r="G738" s="30">
        <v>58</v>
      </c>
      <c r="H738" s="31">
        <f>G738/((F738/100)*(F738/100))</f>
        <v>23.233456176894723</v>
      </c>
      <c r="I738" s="5">
        <v>69</v>
      </c>
      <c r="J738" s="30">
        <v>120</v>
      </c>
      <c r="K738" s="30">
        <v>80</v>
      </c>
      <c r="L738" s="29">
        <f>IF(B738="Nữ",0,2)</f>
        <v>0</v>
      </c>
      <c r="M738" s="29">
        <f ca="1">IF(D738&lt;45,0,IF(D738&lt;=49,1,2))</f>
        <v>2</v>
      </c>
      <c r="N738" s="29">
        <f>IF(E738="Có",4,0)</f>
        <v>0</v>
      </c>
      <c r="O738" s="29">
        <f>IF(H738&lt;23,0,IF(H738&lt;27.5,3,5))</f>
        <v>3</v>
      </c>
      <c r="P738" s="29">
        <f>IF(OR(AND(B738="Nam",I738&gt;=90),AND(B738="Nữ",I738&gt;=80)),2,0)</f>
        <v>0</v>
      </c>
      <c r="Q738" s="29">
        <f>IF(OR(J738&gt;=140,K738&gt;=90),2,0)</f>
        <v>0</v>
      </c>
      <c r="R738" s="29">
        <f ca="1">SUM(L738:Q738)</f>
        <v>5</v>
      </c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5" t="s">
        <v>1393</v>
      </c>
      <c r="AE738" s="33"/>
      <c r="AF738" s="59" t="str">
        <f t="shared" si="34"/>
        <v>Không</v>
      </c>
      <c r="AG738" s="59" t="str">
        <f t="shared" si="35"/>
        <v>Không</v>
      </c>
      <c r="AH738" s="29" t="str">
        <f t="shared" ca="1" si="33"/>
        <v>Không</v>
      </c>
      <c r="AI738" s="29" t="str">
        <f ca="1">IF((R738)&gt;=6,"Có","Không")</f>
        <v>Không</v>
      </c>
      <c r="AJ738" s="29" t="str">
        <f>IF(OR(J738&gt;=140,K738&gt;=90),"Có","Không")</f>
        <v>Không</v>
      </c>
      <c r="AK738" s="5" t="s">
        <v>234</v>
      </c>
      <c r="AL738" s="32">
        <v>46142</v>
      </c>
      <c r="AM738" s="29" t="str">
        <f>"Tháng "&amp;MONTH(AL738)</f>
        <v>Tháng 4</v>
      </c>
      <c r="AN738" s="29" t="str">
        <f>LEFT(AK738,FIND(",",AK738)-1)</f>
        <v>ấp Biển Đông B</v>
      </c>
    </row>
    <row r="739" spans="1:40" x14ac:dyDescent="0.25">
      <c r="A739" s="49" t="s">
        <v>440</v>
      </c>
      <c r="B739" s="5" t="s">
        <v>30</v>
      </c>
      <c r="C739" s="5" t="s">
        <v>133</v>
      </c>
      <c r="D739" s="29">
        <f ca="1">DATEDIF(C739,TODAY(),"Y")</f>
        <v>56</v>
      </c>
      <c r="E739" s="5" t="s">
        <v>26</v>
      </c>
      <c r="F739" s="30">
        <v>169</v>
      </c>
      <c r="G739" s="30">
        <v>68</v>
      </c>
      <c r="H739" s="31">
        <f>G739/((F739/100)*(F739/100))</f>
        <v>23.808690171912751</v>
      </c>
      <c r="I739" s="5">
        <v>78</v>
      </c>
      <c r="J739" s="30">
        <v>120</v>
      </c>
      <c r="K739" s="30">
        <v>80</v>
      </c>
      <c r="L739" s="29">
        <f>IF(B739="Nữ",0,2)</f>
        <v>2</v>
      </c>
      <c r="M739" s="29">
        <f ca="1">IF(D739&lt;45,0,IF(D739&lt;=49,1,2))</f>
        <v>2</v>
      </c>
      <c r="N739" s="29">
        <f>IF(E739="Có",4,0)</f>
        <v>0</v>
      </c>
      <c r="O739" s="29">
        <f>IF(H739&lt;23,0,IF(H739&lt;27.5,3,5))</f>
        <v>3</v>
      </c>
      <c r="P739" s="29">
        <f>IF(OR(AND(B739="Nam",I739&gt;=90),AND(B739="Nữ",I739&gt;=80)),2,0)</f>
        <v>0</v>
      </c>
      <c r="Q739" s="29">
        <f>IF(OR(J739&gt;=140,K739&gt;=90),2,0)</f>
        <v>0</v>
      </c>
      <c r="R739" s="29">
        <f ca="1">SUM(L739:Q739)</f>
        <v>7</v>
      </c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5" t="s">
        <v>1393</v>
      </c>
      <c r="AE739" s="33"/>
      <c r="AF739" s="59" t="str">
        <f t="shared" si="34"/>
        <v>Không</v>
      </c>
      <c r="AG739" s="59" t="str">
        <f t="shared" si="35"/>
        <v>Không</v>
      </c>
      <c r="AH739" s="29" t="str">
        <f t="shared" ca="1" si="33"/>
        <v>Có</v>
      </c>
      <c r="AI739" s="29" t="str">
        <f ca="1">IF((R739)&gt;=6,"Có","Không")</f>
        <v>Có</v>
      </c>
      <c r="AJ739" s="29" t="str">
        <f>IF(OR(J739&gt;=140,K739&gt;=90),"Có","Không")</f>
        <v>Không</v>
      </c>
      <c r="AK739" s="5" t="s">
        <v>32</v>
      </c>
      <c r="AL739" s="32">
        <v>46142</v>
      </c>
      <c r="AM739" s="29" t="str">
        <f>"Tháng "&amp;MONTH(AL739)</f>
        <v>Tháng 4</v>
      </c>
      <c r="AN739" s="29" t="str">
        <f>LEFT(AK739,FIND(",",AK739)-1)</f>
        <v>Ấp Giồng Giữa B</v>
      </c>
    </row>
    <row r="740" spans="1:40" x14ac:dyDescent="0.25">
      <c r="A740" s="49" t="s">
        <v>453</v>
      </c>
      <c r="B740" s="5" t="s">
        <v>23</v>
      </c>
      <c r="C740" s="5" t="s">
        <v>105</v>
      </c>
      <c r="D740" s="29">
        <f ca="1">DATEDIF(C740,TODAY(),"Y")</f>
        <v>60</v>
      </c>
      <c r="E740" s="5" t="s">
        <v>26</v>
      </c>
      <c r="F740" s="30">
        <v>158</v>
      </c>
      <c r="G740" s="30">
        <v>58</v>
      </c>
      <c r="H740" s="31">
        <f>G740/((F740/100)*(F740/100))</f>
        <v>23.233456176894723</v>
      </c>
      <c r="I740" s="5">
        <v>81</v>
      </c>
      <c r="J740" s="30">
        <v>140</v>
      </c>
      <c r="K740" s="30">
        <v>80</v>
      </c>
      <c r="L740" s="29">
        <f>IF(B740="Nữ",0,2)</f>
        <v>0</v>
      </c>
      <c r="M740" s="29">
        <f ca="1">IF(D740&lt;45,0,IF(D740&lt;=49,1,2))</f>
        <v>2</v>
      </c>
      <c r="N740" s="29">
        <f>IF(E740="Có",4,0)</f>
        <v>0</v>
      </c>
      <c r="O740" s="29">
        <f>IF(H740&lt;23,0,IF(H740&lt;27.5,3,5))</f>
        <v>3</v>
      </c>
      <c r="P740" s="29">
        <f>IF(OR(AND(B740="Nam",I740&gt;=90),AND(B740="Nữ",I740&gt;=80)),2,0)</f>
        <v>2</v>
      </c>
      <c r="Q740" s="29">
        <f>IF(OR(J740&gt;=140,K740&gt;=90),2,0)</f>
        <v>2</v>
      </c>
      <c r="R740" s="29">
        <f ca="1">SUM(L740:Q740)</f>
        <v>9</v>
      </c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5" t="s">
        <v>1393</v>
      </c>
      <c r="AE740" s="33"/>
      <c r="AF740" s="59" t="str">
        <f t="shared" si="34"/>
        <v>Không</v>
      </c>
      <c r="AG740" s="59" t="str">
        <f t="shared" si="35"/>
        <v>Không</v>
      </c>
      <c r="AH740" s="29" t="str">
        <f t="shared" ca="1" si="33"/>
        <v>Có</v>
      </c>
      <c r="AI740" s="29" t="str">
        <f ca="1">IF((R740)&gt;=6,"Có","Không")</f>
        <v>Có</v>
      </c>
      <c r="AJ740" s="29" t="str">
        <f>IF(OR(J740&gt;=140,K740&gt;=90),"Có","Không")</f>
        <v>Có</v>
      </c>
      <c r="AK740" s="5" t="s">
        <v>70</v>
      </c>
      <c r="AL740" s="32">
        <v>46142</v>
      </c>
      <c r="AM740" s="29" t="str">
        <f>"Tháng "&amp;MONTH(AL740)</f>
        <v>Tháng 4</v>
      </c>
      <c r="AN740" s="29" t="str">
        <f>LEFT(AK740,FIND(",",AK740)-1)</f>
        <v>Ấp Biển Tây A</v>
      </c>
    </row>
    <row r="741" spans="1:40" x14ac:dyDescent="0.25">
      <c r="A741" s="49" t="s">
        <v>454</v>
      </c>
      <c r="B741" s="5" t="s">
        <v>30</v>
      </c>
      <c r="C741" s="5" t="s">
        <v>256</v>
      </c>
      <c r="D741" s="29">
        <f ca="1">DATEDIF(C741,TODAY(),"Y")</f>
        <v>41</v>
      </c>
      <c r="E741" s="5" t="s">
        <v>25</v>
      </c>
      <c r="F741" s="30">
        <v>160</v>
      </c>
      <c r="G741" s="30">
        <v>60</v>
      </c>
      <c r="H741" s="31">
        <f>G741/((F741/100)*(F741/100))</f>
        <v>23.437499999999996</v>
      </c>
      <c r="I741" s="5">
        <v>83</v>
      </c>
      <c r="J741" s="30">
        <v>130</v>
      </c>
      <c r="K741" s="30">
        <v>80</v>
      </c>
      <c r="L741" s="29">
        <f>IF(B741="Nữ",0,2)</f>
        <v>2</v>
      </c>
      <c r="M741" s="29">
        <f ca="1">IF(D741&lt;45,0,IF(D741&lt;=49,1,2))</f>
        <v>0</v>
      </c>
      <c r="N741" s="29">
        <f>IF(E741="Có",4,0)</f>
        <v>4</v>
      </c>
      <c r="O741" s="29">
        <f>IF(H741&lt;23,0,IF(H741&lt;27.5,3,5))</f>
        <v>3</v>
      </c>
      <c r="P741" s="29">
        <f>IF(OR(AND(B741="Nam",I741&gt;=90),AND(B741="Nữ",I741&gt;=80)),2,0)</f>
        <v>0</v>
      </c>
      <c r="Q741" s="29">
        <f>IF(OR(J741&gt;=140,K741&gt;=90),2,0)</f>
        <v>0</v>
      </c>
      <c r="R741" s="29">
        <f ca="1">SUM(L741:Q741)</f>
        <v>9</v>
      </c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5" t="s">
        <v>1393</v>
      </c>
      <c r="AE741" s="33"/>
      <c r="AF741" s="59" t="str">
        <f t="shared" si="34"/>
        <v>Không</v>
      </c>
      <c r="AG741" s="59" t="str">
        <f t="shared" si="35"/>
        <v>Không</v>
      </c>
      <c r="AH741" s="29" t="str">
        <f t="shared" ca="1" si="33"/>
        <v>Có</v>
      </c>
      <c r="AI741" s="29" t="str">
        <f ca="1">IF((R741)&gt;=6,"Có","Không")</f>
        <v>Có</v>
      </c>
      <c r="AJ741" s="29" t="str">
        <f>IF(OR(J741&gt;=140,K741&gt;=90),"Có","Không")</f>
        <v>Không</v>
      </c>
      <c r="AK741" s="5" t="s">
        <v>319</v>
      </c>
      <c r="AL741" s="32">
        <v>46142</v>
      </c>
      <c r="AM741" s="29" t="str">
        <f>"Tháng "&amp;MONTH(AL741)</f>
        <v>Tháng 4</v>
      </c>
      <c r="AN741" s="29" t="str">
        <f>LEFT(AK741,FIND(",",AK741)-1)</f>
        <v>Khóm Đầu Lộ A</v>
      </c>
    </row>
    <row r="742" spans="1:40" x14ac:dyDescent="0.25">
      <c r="A742" s="49" t="s">
        <v>455</v>
      </c>
      <c r="B742" s="5" t="s">
        <v>30</v>
      </c>
      <c r="C742" s="5" t="s">
        <v>84</v>
      </c>
      <c r="D742" s="29">
        <f ca="1">DATEDIF(C742,TODAY(),"Y")</f>
        <v>69</v>
      </c>
      <c r="E742" s="5" t="s">
        <v>26</v>
      </c>
      <c r="F742" s="30">
        <v>169</v>
      </c>
      <c r="G742" s="30">
        <v>68</v>
      </c>
      <c r="H742" s="31">
        <f>G742/((F742/100)*(F742/100))</f>
        <v>23.808690171912751</v>
      </c>
      <c r="I742" s="5">
        <v>81</v>
      </c>
      <c r="J742" s="30">
        <v>110</v>
      </c>
      <c r="K742" s="30">
        <v>80</v>
      </c>
      <c r="L742" s="29">
        <f>IF(B742="Nữ",0,2)</f>
        <v>2</v>
      </c>
      <c r="M742" s="29">
        <f ca="1">IF(D742&lt;45,0,IF(D742&lt;=49,1,2))</f>
        <v>2</v>
      </c>
      <c r="N742" s="29">
        <f>IF(E742="Có",4,0)</f>
        <v>0</v>
      </c>
      <c r="O742" s="29">
        <f>IF(H742&lt;23,0,IF(H742&lt;27.5,3,5))</f>
        <v>3</v>
      </c>
      <c r="P742" s="29">
        <f>IF(OR(AND(B742="Nam",I742&gt;=90),AND(B742="Nữ",I742&gt;=80)),2,0)</f>
        <v>0</v>
      </c>
      <c r="Q742" s="29">
        <f>IF(OR(J742&gt;=140,K742&gt;=90),2,0)</f>
        <v>0</v>
      </c>
      <c r="R742" s="29">
        <f ca="1">SUM(L742:Q742)</f>
        <v>7</v>
      </c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5" t="s">
        <v>1393</v>
      </c>
      <c r="AE742" s="33"/>
      <c r="AF742" s="59" t="str">
        <f t="shared" si="34"/>
        <v>Không</v>
      </c>
      <c r="AG742" s="59" t="str">
        <f t="shared" si="35"/>
        <v>Không</v>
      </c>
      <c r="AH742" s="29" t="str">
        <f t="shared" ca="1" si="33"/>
        <v>Có</v>
      </c>
      <c r="AI742" s="29" t="str">
        <f ca="1">IF((R742)&gt;=6,"Có","Không")</f>
        <v>Có</v>
      </c>
      <c r="AJ742" s="29" t="str">
        <f>IF(OR(J742&gt;=140,K742&gt;=90),"Có","Không")</f>
        <v>Không</v>
      </c>
      <c r="AK742" s="5" t="s">
        <v>70</v>
      </c>
      <c r="AL742" s="32">
        <v>46142</v>
      </c>
      <c r="AM742" s="29" t="str">
        <f>"Tháng "&amp;MONTH(AL742)</f>
        <v>Tháng 4</v>
      </c>
      <c r="AN742" s="29" t="str">
        <f>LEFT(AK742,FIND(",",AK742)-1)</f>
        <v>Ấp Biển Tây A</v>
      </c>
    </row>
    <row r="743" spans="1:40" x14ac:dyDescent="0.25">
      <c r="A743" s="49" t="s">
        <v>457</v>
      </c>
      <c r="B743" s="5" t="s">
        <v>23</v>
      </c>
      <c r="C743" s="5" t="s">
        <v>80</v>
      </c>
      <c r="D743" s="29">
        <f ca="1">DATEDIF(C743,TODAY(),"Y")</f>
        <v>71</v>
      </c>
      <c r="E743" s="5" t="s">
        <v>26</v>
      </c>
      <c r="F743" s="30">
        <v>150</v>
      </c>
      <c r="G743" s="30">
        <v>46</v>
      </c>
      <c r="H743" s="31">
        <f>G743/((F743/100)*(F743/100))</f>
        <v>20.444444444444443</v>
      </c>
      <c r="I743" s="5">
        <v>86</v>
      </c>
      <c r="J743" s="30">
        <v>120</v>
      </c>
      <c r="K743" s="30">
        <v>80</v>
      </c>
      <c r="L743" s="29">
        <f>IF(B743="Nữ",0,2)</f>
        <v>0</v>
      </c>
      <c r="M743" s="29">
        <f ca="1">IF(D743&lt;45,0,IF(D743&lt;=49,1,2))</f>
        <v>2</v>
      </c>
      <c r="N743" s="29">
        <f>IF(E743="Có",4,0)</f>
        <v>0</v>
      </c>
      <c r="O743" s="29">
        <f>IF(H743&lt;23,0,IF(H743&lt;27.5,3,5))</f>
        <v>0</v>
      </c>
      <c r="P743" s="29">
        <f>IF(OR(AND(B743="Nam",I743&gt;=90),AND(B743="Nữ",I743&gt;=80)),2,0)</f>
        <v>2</v>
      </c>
      <c r="Q743" s="29">
        <f>IF(OR(J743&gt;=140,K743&gt;=90),2,0)</f>
        <v>0</v>
      </c>
      <c r="R743" s="29">
        <f ca="1">SUM(L743:Q743)</f>
        <v>4</v>
      </c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5" t="s">
        <v>1393</v>
      </c>
      <c r="AE743" s="33"/>
      <c r="AF743" s="59" t="str">
        <f t="shared" si="34"/>
        <v>Không</v>
      </c>
      <c r="AG743" s="59" t="str">
        <f t="shared" si="35"/>
        <v>Không</v>
      </c>
      <c r="AH743" s="29" t="str">
        <f t="shared" ca="1" si="33"/>
        <v>Không</v>
      </c>
      <c r="AI743" s="29" t="str">
        <f ca="1">IF((R743)&gt;=6,"Có","Không")</f>
        <v>Không</v>
      </c>
      <c r="AJ743" s="29" t="str">
        <f>IF(OR(J743&gt;=140,K743&gt;=90),"Có","Không")</f>
        <v>Không</v>
      </c>
      <c r="AK743" s="5" t="s">
        <v>160</v>
      </c>
      <c r="AL743" s="32">
        <v>46142</v>
      </c>
      <c r="AM743" s="29" t="str">
        <f>"Tháng "&amp;MONTH(AL743)</f>
        <v>Tháng 4</v>
      </c>
      <c r="AN743" s="29" t="str">
        <f>LEFT(AK743,FIND(",",AK743)-1)</f>
        <v>Ấp Giồng Nhãn</v>
      </c>
    </row>
    <row r="744" spans="1:40" x14ac:dyDescent="0.25">
      <c r="A744" s="49" t="s">
        <v>458</v>
      </c>
      <c r="B744" s="5" t="s">
        <v>30</v>
      </c>
      <c r="C744" s="5" t="s">
        <v>76</v>
      </c>
      <c r="D744" s="29">
        <f ca="1">DATEDIF(C744,TODAY(),"Y")</f>
        <v>68</v>
      </c>
      <c r="E744" s="5" t="s">
        <v>26</v>
      </c>
      <c r="F744" s="30">
        <v>158</v>
      </c>
      <c r="G744" s="30">
        <v>68</v>
      </c>
      <c r="H744" s="31">
        <f>G744/((F744/100)*(F744/100))</f>
        <v>27.239224483255885</v>
      </c>
      <c r="I744" s="5">
        <v>71</v>
      </c>
      <c r="J744" s="30">
        <v>150</v>
      </c>
      <c r="K744" s="30">
        <v>80</v>
      </c>
      <c r="L744" s="29">
        <f>IF(B744="Nữ",0,2)</f>
        <v>2</v>
      </c>
      <c r="M744" s="29">
        <f ca="1">IF(D744&lt;45,0,IF(D744&lt;=49,1,2))</f>
        <v>2</v>
      </c>
      <c r="N744" s="29">
        <f>IF(E744="Có",4,0)</f>
        <v>0</v>
      </c>
      <c r="O744" s="29">
        <f>IF(H744&lt;23,0,IF(H744&lt;27.5,3,5))</f>
        <v>3</v>
      </c>
      <c r="P744" s="29">
        <f>IF(OR(AND(B744="Nam",I744&gt;=90),AND(B744="Nữ",I744&gt;=80)),2,0)</f>
        <v>0</v>
      </c>
      <c r="Q744" s="29">
        <f>IF(OR(J744&gt;=140,K744&gt;=90),2,0)</f>
        <v>2</v>
      </c>
      <c r="R744" s="29">
        <f ca="1">SUM(L744:Q744)</f>
        <v>9</v>
      </c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5" t="s">
        <v>1393</v>
      </c>
      <c r="AE744" s="33"/>
      <c r="AF744" s="59" t="str">
        <f t="shared" si="34"/>
        <v>Không</v>
      </c>
      <c r="AG744" s="59" t="str">
        <f t="shared" si="35"/>
        <v>Không</v>
      </c>
      <c r="AH744" s="29" t="str">
        <f t="shared" ca="1" si="33"/>
        <v>Có</v>
      </c>
      <c r="AI744" s="29" t="str">
        <f ca="1">IF((R744)&gt;=6,"Có","Không")</f>
        <v>Có</v>
      </c>
      <c r="AJ744" s="29" t="str">
        <f>IF(OR(J744&gt;=140,K744&gt;=90),"Có","Không")</f>
        <v>Có</v>
      </c>
      <c r="AK744" s="5" t="s">
        <v>459</v>
      </c>
      <c r="AL744" s="32">
        <v>46142</v>
      </c>
      <c r="AM744" s="29" t="str">
        <f>"Tháng "&amp;MONTH(AL744)</f>
        <v>Tháng 4</v>
      </c>
      <c r="AN744" s="29" t="str">
        <f>LEFT(AK744,FIND(",",AK744)-1)</f>
        <v>Ấp Phước Hậu</v>
      </c>
    </row>
    <row r="745" spans="1:40" x14ac:dyDescent="0.25">
      <c r="A745" s="49" t="s">
        <v>460</v>
      </c>
      <c r="B745" s="5" t="s">
        <v>23</v>
      </c>
      <c r="C745" s="5" t="s">
        <v>37</v>
      </c>
      <c r="D745" s="29">
        <f ca="1">DATEDIF(C745,TODAY(),"Y")</f>
        <v>75</v>
      </c>
      <c r="E745" s="5" t="s">
        <v>26</v>
      </c>
      <c r="F745" s="30">
        <v>160</v>
      </c>
      <c r="G745" s="30">
        <v>83</v>
      </c>
      <c r="H745" s="31">
        <f>G745/((F745/100)*(F745/100))</f>
        <v>32.421874999999993</v>
      </c>
      <c r="I745" s="5">
        <v>87</v>
      </c>
      <c r="J745" s="30">
        <v>120</v>
      </c>
      <c r="K745" s="30">
        <v>80</v>
      </c>
      <c r="L745" s="29">
        <f>IF(B745="Nữ",0,2)</f>
        <v>0</v>
      </c>
      <c r="M745" s="29">
        <f ca="1">IF(D745&lt;45,0,IF(D745&lt;=49,1,2))</f>
        <v>2</v>
      </c>
      <c r="N745" s="29">
        <f>IF(E745="Có",4,0)</f>
        <v>0</v>
      </c>
      <c r="O745" s="29">
        <f>IF(H745&lt;23,0,IF(H745&lt;27.5,3,5))</f>
        <v>5</v>
      </c>
      <c r="P745" s="29">
        <f>IF(OR(AND(B745="Nam",I745&gt;=90),AND(B745="Nữ",I745&gt;=80)),2,0)</f>
        <v>2</v>
      </c>
      <c r="Q745" s="29">
        <f>IF(OR(J745&gt;=140,K745&gt;=90),2,0)</f>
        <v>0</v>
      </c>
      <c r="R745" s="29">
        <f ca="1">SUM(L745:Q745)</f>
        <v>9</v>
      </c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5" t="s">
        <v>1393</v>
      </c>
      <c r="AE745" s="33"/>
      <c r="AF745" s="59" t="str">
        <f t="shared" si="34"/>
        <v>Không</v>
      </c>
      <c r="AG745" s="59" t="str">
        <f t="shared" si="35"/>
        <v>Không</v>
      </c>
      <c r="AH745" s="29" t="str">
        <f t="shared" ca="1" si="33"/>
        <v>Có</v>
      </c>
      <c r="AI745" s="29" t="str">
        <f ca="1">IF((R745)&gt;=6,"Có","Không")</f>
        <v>Có</v>
      </c>
      <c r="AJ745" s="29" t="str">
        <f>IF(OR(J745&gt;=140,K745&gt;=90),"Có","Không")</f>
        <v>Không</v>
      </c>
      <c r="AK745" s="5" t="s">
        <v>461</v>
      </c>
      <c r="AL745" s="32">
        <v>46142</v>
      </c>
      <c r="AM745" s="29" t="str">
        <f>"Tháng "&amp;MONTH(AL745)</f>
        <v>Tháng 4</v>
      </c>
      <c r="AN745" s="29" t="str">
        <f>LEFT(AK745,FIND(",",AK745)-1)</f>
        <v xml:space="preserve">khóm giồng nhãn </v>
      </c>
    </row>
    <row r="746" spans="1:40" x14ac:dyDescent="0.25">
      <c r="A746" s="49" t="s">
        <v>462</v>
      </c>
      <c r="B746" s="5" t="s">
        <v>30</v>
      </c>
      <c r="C746" s="5" t="s">
        <v>62</v>
      </c>
      <c r="D746" s="29">
        <f ca="1">DATEDIF(C746,TODAY(),"Y")</f>
        <v>64</v>
      </c>
      <c r="E746" s="5" t="s">
        <v>26</v>
      </c>
      <c r="F746" s="30">
        <v>169</v>
      </c>
      <c r="G746" s="30">
        <v>68</v>
      </c>
      <c r="H746" s="31">
        <f>G746/((F746/100)*(F746/100))</f>
        <v>23.808690171912751</v>
      </c>
      <c r="I746" s="5">
        <v>65</v>
      </c>
      <c r="J746" s="30">
        <v>120</v>
      </c>
      <c r="K746" s="30">
        <v>80</v>
      </c>
      <c r="L746" s="29">
        <f>IF(B746="Nữ",0,2)</f>
        <v>2</v>
      </c>
      <c r="M746" s="29">
        <f ca="1">IF(D746&lt;45,0,IF(D746&lt;=49,1,2))</f>
        <v>2</v>
      </c>
      <c r="N746" s="29">
        <f>IF(E746="Có",4,0)</f>
        <v>0</v>
      </c>
      <c r="O746" s="29">
        <f>IF(H746&lt;23,0,IF(H746&lt;27.5,3,5))</f>
        <v>3</v>
      </c>
      <c r="P746" s="29">
        <f>IF(OR(AND(B746="Nam",I746&gt;=90),AND(B746="Nữ",I746&gt;=80)),2,0)</f>
        <v>0</v>
      </c>
      <c r="Q746" s="29">
        <f>IF(OR(J746&gt;=140,K746&gt;=90),2,0)</f>
        <v>0</v>
      </c>
      <c r="R746" s="29">
        <f ca="1">SUM(L746:Q746)</f>
        <v>7</v>
      </c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5" t="s">
        <v>1393</v>
      </c>
      <c r="AE746" s="33"/>
      <c r="AF746" s="59" t="str">
        <f t="shared" si="34"/>
        <v>Không</v>
      </c>
      <c r="AG746" s="59" t="str">
        <f t="shared" si="35"/>
        <v>Không</v>
      </c>
      <c r="AH746" s="29" t="str">
        <f t="shared" ca="1" si="33"/>
        <v>Có</v>
      </c>
      <c r="AI746" s="29" t="str">
        <f ca="1">IF((R746)&gt;=6,"Có","Không")</f>
        <v>Có</v>
      </c>
      <c r="AJ746" s="29" t="str">
        <f>IF(OR(J746&gt;=140,K746&gt;=90),"Có","Không")</f>
        <v>Không</v>
      </c>
      <c r="AK746" s="5" t="s">
        <v>38</v>
      </c>
      <c r="AL746" s="32">
        <v>46142</v>
      </c>
      <c r="AM746" s="29" t="str">
        <f>"Tháng "&amp;MONTH(AL746)</f>
        <v>Tháng 4</v>
      </c>
      <c r="AN746" s="29" t="str">
        <f>LEFT(AK746,FIND(",",AK746)-1)</f>
        <v>Ấp Biển Đông B</v>
      </c>
    </row>
    <row r="747" spans="1:40" x14ac:dyDescent="0.25">
      <c r="A747" s="49" t="s">
        <v>466</v>
      </c>
      <c r="B747" s="5" t="s">
        <v>23</v>
      </c>
      <c r="C747" s="5" t="s">
        <v>90</v>
      </c>
      <c r="D747" s="29">
        <f ca="1">DATEDIF(C747,TODAY(),"Y")</f>
        <v>54</v>
      </c>
      <c r="E747" s="5" t="s">
        <v>26</v>
      </c>
      <c r="F747" s="30">
        <v>158</v>
      </c>
      <c r="G747" s="30">
        <v>58</v>
      </c>
      <c r="H747" s="31">
        <f>G747/((F747/100)*(F747/100))</f>
        <v>23.233456176894723</v>
      </c>
      <c r="I747" s="5">
        <v>87</v>
      </c>
      <c r="J747" s="30">
        <v>120</v>
      </c>
      <c r="K747" s="30">
        <v>80</v>
      </c>
      <c r="L747" s="29">
        <f>IF(B747="Nữ",0,2)</f>
        <v>0</v>
      </c>
      <c r="M747" s="29">
        <f ca="1">IF(D747&lt;45,0,IF(D747&lt;=49,1,2))</f>
        <v>2</v>
      </c>
      <c r="N747" s="29">
        <f>IF(E747="Có",4,0)</f>
        <v>0</v>
      </c>
      <c r="O747" s="29">
        <f>IF(H747&lt;23,0,IF(H747&lt;27.5,3,5))</f>
        <v>3</v>
      </c>
      <c r="P747" s="29">
        <f>IF(OR(AND(B747="Nam",I747&gt;=90),AND(B747="Nữ",I747&gt;=80)),2,0)</f>
        <v>2</v>
      </c>
      <c r="Q747" s="29">
        <f>IF(OR(J747&gt;=140,K747&gt;=90),2,0)</f>
        <v>0</v>
      </c>
      <c r="R747" s="29">
        <f ca="1">SUM(L747:Q747)</f>
        <v>7</v>
      </c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5" t="s">
        <v>1393</v>
      </c>
      <c r="AE747" s="33"/>
      <c r="AF747" s="59" t="str">
        <f t="shared" si="34"/>
        <v>Không</v>
      </c>
      <c r="AG747" s="59" t="str">
        <f t="shared" si="35"/>
        <v>Không</v>
      </c>
      <c r="AH747" s="29" t="str">
        <f t="shared" ca="1" si="33"/>
        <v>Có</v>
      </c>
      <c r="AI747" s="29" t="str">
        <f ca="1">IF((R747)&gt;=6,"Có","Không")</f>
        <v>Có</v>
      </c>
      <c r="AJ747" s="29" t="str">
        <f>IF(OR(J747&gt;=140,K747&gt;=90),"Có","Không")</f>
        <v>Không</v>
      </c>
      <c r="AK747" s="5" t="s">
        <v>32</v>
      </c>
      <c r="AL747" s="32">
        <v>46142</v>
      </c>
      <c r="AM747" s="29" t="str">
        <f>"Tháng "&amp;MONTH(AL747)</f>
        <v>Tháng 4</v>
      </c>
      <c r="AN747" s="29" t="str">
        <f>LEFT(AK747,FIND(",",AK747)-1)</f>
        <v>Ấp Giồng Giữa B</v>
      </c>
    </row>
    <row r="748" spans="1:40" x14ac:dyDescent="0.25">
      <c r="A748" s="49" t="s">
        <v>468</v>
      </c>
      <c r="B748" s="5" t="s">
        <v>30</v>
      </c>
      <c r="C748" s="5" t="s">
        <v>110</v>
      </c>
      <c r="D748" s="29">
        <f ca="1">DATEDIF(C748,TODAY(),"Y")</f>
        <v>62</v>
      </c>
      <c r="E748" s="5" t="s">
        <v>26</v>
      </c>
      <c r="F748" s="30">
        <v>170</v>
      </c>
      <c r="G748" s="30">
        <v>85</v>
      </c>
      <c r="H748" s="31">
        <f>G748/((F748/100)*(F748/100))</f>
        <v>29.411764705882355</v>
      </c>
      <c r="I748" s="5">
        <v>76</v>
      </c>
      <c r="J748" s="30">
        <v>120</v>
      </c>
      <c r="K748" s="30">
        <v>80</v>
      </c>
      <c r="L748" s="29">
        <f>IF(B748="Nữ",0,2)</f>
        <v>2</v>
      </c>
      <c r="M748" s="29">
        <f ca="1">IF(D748&lt;45,0,IF(D748&lt;=49,1,2))</f>
        <v>2</v>
      </c>
      <c r="N748" s="29">
        <f>IF(E748="Có",4,0)</f>
        <v>0</v>
      </c>
      <c r="O748" s="29">
        <f>IF(H748&lt;23,0,IF(H748&lt;27.5,3,5))</f>
        <v>5</v>
      </c>
      <c r="P748" s="29">
        <f>IF(OR(AND(B748="Nam",I748&gt;=90),AND(B748="Nữ",I748&gt;=80)),2,0)</f>
        <v>0</v>
      </c>
      <c r="Q748" s="29">
        <f>IF(OR(J748&gt;=140,K748&gt;=90),2,0)</f>
        <v>0</v>
      </c>
      <c r="R748" s="29">
        <f ca="1">SUM(L748:Q748)</f>
        <v>9</v>
      </c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5" t="s">
        <v>1393</v>
      </c>
      <c r="AE748" s="33"/>
      <c r="AF748" s="59" t="str">
        <f t="shared" si="34"/>
        <v>Không</v>
      </c>
      <c r="AG748" s="59" t="str">
        <f t="shared" si="35"/>
        <v>Không</v>
      </c>
      <c r="AH748" s="29" t="str">
        <f t="shared" ca="1" si="33"/>
        <v>Có</v>
      </c>
      <c r="AI748" s="29" t="str">
        <f ca="1">IF((R748)&gt;=6,"Có","Không")</f>
        <v>Có</v>
      </c>
      <c r="AJ748" s="29" t="str">
        <f>IF(OR(J748&gt;=140,K748&gt;=90),"Có","Không")</f>
        <v>Không</v>
      </c>
      <c r="AK748" s="5" t="s">
        <v>160</v>
      </c>
      <c r="AL748" s="32">
        <v>46142</v>
      </c>
      <c r="AM748" s="29" t="str">
        <f>"Tháng "&amp;MONTH(AL748)</f>
        <v>Tháng 4</v>
      </c>
      <c r="AN748" s="29" t="str">
        <f>LEFT(AK748,FIND(",",AK748)-1)</f>
        <v>Ấp Giồng Nhãn</v>
      </c>
    </row>
    <row r="749" spans="1:40" x14ac:dyDescent="0.25">
      <c r="A749" s="49" t="s">
        <v>469</v>
      </c>
      <c r="B749" s="5" t="s">
        <v>30</v>
      </c>
      <c r="C749" s="5" t="s">
        <v>34</v>
      </c>
      <c r="D749" s="29">
        <f ca="1">DATEDIF(C749,TODAY(),"Y")</f>
        <v>78</v>
      </c>
      <c r="E749" s="5" t="s">
        <v>26</v>
      </c>
      <c r="F749" s="30">
        <v>169</v>
      </c>
      <c r="G749" s="30">
        <v>58</v>
      </c>
      <c r="H749" s="31">
        <f>G749/((F749/100)*(F749/100))</f>
        <v>20.307412205454995</v>
      </c>
      <c r="I749" s="5">
        <v>93</v>
      </c>
      <c r="J749" s="30">
        <v>150</v>
      </c>
      <c r="K749" s="30">
        <v>80</v>
      </c>
      <c r="L749" s="29">
        <f>IF(B749="Nữ",0,2)</f>
        <v>2</v>
      </c>
      <c r="M749" s="29">
        <f ca="1">IF(D749&lt;45,0,IF(D749&lt;=49,1,2))</f>
        <v>2</v>
      </c>
      <c r="N749" s="29">
        <f>IF(E749="Có",4,0)</f>
        <v>0</v>
      </c>
      <c r="O749" s="29">
        <f>IF(H749&lt;23,0,IF(H749&lt;27.5,3,5))</f>
        <v>0</v>
      </c>
      <c r="P749" s="29">
        <f>IF(OR(AND(B749="Nam",I749&gt;=90),AND(B749="Nữ",I749&gt;=80)),2,0)</f>
        <v>2</v>
      </c>
      <c r="Q749" s="29">
        <f>IF(OR(J749&gt;=140,K749&gt;=90),2,0)</f>
        <v>2</v>
      </c>
      <c r="R749" s="29">
        <f ca="1">SUM(L749:Q749)</f>
        <v>8</v>
      </c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5" t="s">
        <v>1393</v>
      </c>
      <c r="AE749" s="33"/>
      <c r="AF749" s="59" t="str">
        <f t="shared" si="34"/>
        <v>Không</v>
      </c>
      <c r="AG749" s="59" t="str">
        <f t="shared" si="35"/>
        <v>Không</v>
      </c>
      <c r="AH749" s="29" t="str">
        <f t="shared" ca="1" si="33"/>
        <v>Có</v>
      </c>
      <c r="AI749" s="29" t="str">
        <f ca="1">IF((R749)&gt;=6,"Có","Không")</f>
        <v>Có</v>
      </c>
      <c r="AJ749" s="29" t="str">
        <f>IF(OR(J749&gt;=140,K749&gt;=90),"Có","Không")</f>
        <v>Có</v>
      </c>
      <c r="AK749" s="5" t="s">
        <v>60</v>
      </c>
      <c r="AL749" s="32">
        <v>46142</v>
      </c>
      <c r="AM749" s="29" t="str">
        <f>"Tháng "&amp;MONTH(AL749)</f>
        <v>Tháng 4</v>
      </c>
      <c r="AN749" s="29" t="str">
        <f>LEFT(AK749,FIND(",",AK749)-1)</f>
        <v>ấp Biển Đông A</v>
      </c>
    </row>
    <row r="750" spans="1:40" x14ac:dyDescent="0.25">
      <c r="A750" s="49" t="s">
        <v>470</v>
      </c>
      <c r="B750" s="5" t="s">
        <v>23</v>
      </c>
      <c r="C750" s="5" t="s">
        <v>133</v>
      </c>
      <c r="D750" s="29">
        <f ca="1">DATEDIF(C750,TODAY(),"Y")</f>
        <v>56</v>
      </c>
      <c r="E750" s="5" t="s">
        <v>25</v>
      </c>
      <c r="F750" s="30">
        <v>156</v>
      </c>
      <c r="G750" s="30">
        <v>73</v>
      </c>
      <c r="H750" s="31">
        <f>G750/((F750/100)*(F750/100))</f>
        <v>29.996712689020377</v>
      </c>
      <c r="I750" s="5">
        <v>73</v>
      </c>
      <c r="J750" s="30">
        <v>130</v>
      </c>
      <c r="K750" s="30">
        <v>80</v>
      </c>
      <c r="L750" s="29">
        <f>IF(B750="Nữ",0,2)</f>
        <v>0</v>
      </c>
      <c r="M750" s="29">
        <f ca="1">IF(D750&lt;45,0,IF(D750&lt;=49,1,2))</f>
        <v>2</v>
      </c>
      <c r="N750" s="29">
        <f>IF(E750="Có",4,0)</f>
        <v>4</v>
      </c>
      <c r="O750" s="29">
        <f>IF(H750&lt;23,0,IF(H750&lt;27.5,3,5))</f>
        <v>5</v>
      </c>
      <c r="P750" s="29">
        <f>IF(OR(AND(B750="Nam",I750&gt;=90),AND(B750="Nữ",I750&gt;=80)),2,0)</f>
        <v>0</v>
      </c>
      <c r="Q750" s="29">
        <f>IF(OR(J750&gt;=140,K750&gt;=90),2,0)</f>
        <v>0</v>
      </c>
      <c r="R750" s="29">
        <f ca="1">SUM(L750:Q750)</f>
        <v>11</v>
      </c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5" t="s">
        <v>1393</v>
      </c>
      <c r="AE750" s="33"/>
      <c r="AF750" s="59" t="str">
        <f t="shared" si="34"/>
        <v>Không</v>
      </c>
      <c r="AG750" s="59" t="str">
        <f t="shared" si="35"/>
        <v>Không</v>
      </c>
      <c r="AH750" s="29" t="str">
        <f t="shared" ca="1" si="33"/>
        <v>Có</v>
      </c>
      <c r="AI750" s="29" t="str">
        <f ca="1">IF((R750)&gt;=6,"Có","Không")</f>
        <v>Có</v>
      </c>
      <c r="AJ750" s="29" t="str">
        <f>IF(OR(J750&gt;=140,K750&gt;=90),"Có","Không")</f>
        <v>Không</v>
      </c>
      <c r="AK750" s="5" t="s">
        <v>122</v>
      </c>
      <c r="AL750" s="32">
        <v>46142</v>
      </c>
      <c r="AM750" s="29" t="str">
        <f>"Tháng "&amp;MONTH(AL750)</f>
        <v>Tháng 4</v>
      </c>
      <c r="AN750" s="29" t="str">
        <f>LEFT(AK750,FIND(",",AK750)-1)</f>
        <v>Giồng Nhãn</v>
      </c>
    </row>
    <row r="751" spans="1:40" x14ac:dyDescent="0.25">
      <c r="A751" s="49" t="s">
        <v>471</v>
      </c>
      <c r="B751" s="5" t="s">
        <v>30</v>
      </c>
      <c r="C751" s="5" t="s">
        <v>93</v>
      </c>
      <c r="D751" s="29">
        <f ca="1">DATEDIF(C751,TODAY(),"Y")</f>
        <v>66</v>
      </c>
      <c r="E751" s="5" t="s">
        <v>26</v>
      </c>
      <c r="F751" s="30">
        <v>168</v>
      </c>
      <c r="G751" s="30">
        <v>75</v>
      </c>
      <c r="H751" s="31">
        <f>G751/((F751/100)*(F751/100))</f>
        <v>26.573129251700685</v>
      </c>
      <c r="I751" s="5">
        <v>91</v>
      </c>
      <c r="J751" s="30">
        <v>120</v>
      </c>
      <c r="K751" s="30">
        <v>80</v>
      </c>
      <c r="L751" s="29">
        <f>IF(B751="Nữ",0,2)</f>
        <v>2</v>
      </c>
      <c r="M751" s="29">
        <f ca="1">IF(D751&lt;45,0,IF(D751&lt;=49,1,2))</f>
        <v>2</v>
      </c>
      <c r="N751" s="29">
        <f>IF(E751="Có",4,0)</f>
        <v>0</v>
      </c>
      <c r="O751" s="29">
        <f>IF(H751&lt;23,0,IF(H751&lt;27.5,3,5))</f>
        <v>3</v>
      </c>
      <c r="P751" s="29">
        <f>IF(OR(AND(B751="Nam",I751&gt;=90),AND(B751="Nữ",I751&gt;=80)),2,0)</f>
        <v>2</v>
      </c>
      <c r="Q751" s="29">
        <f>IF(OR(J751&gt;=140,K751&gt;=90),2,0)</f>
        <v>0</v>
      </c>
      <c r="R751" s="29">
        <f ca="1">SUM(L751:Q751)</f>
        <v>9</v>
      </c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5" t="s">
        <v>1393</v>
      </c>
      <c r="AE751" s="33"/>
      <c r="AF751" s="59" t="str">
        <f t="shared" si="34"/>
        <v>Không</v>
      </c>
      <c r="AG751" s="59" t="str">
        <f t="shared" si="35"/>
        <v>Không</v>
      </c>
      <c r="AH751" s="29" t="str">
        <f t="shared" ca="1" si="33"/>
        <v>Có</v>
      </c>
      <c r="AI751" s="29" t="str">
        <f ca="1">IF((R751)&gt;=6,"Có","Không")</f>
        <v>Có</v>
      </c>
      <c r="AJ751" s="29" t="str">
        <f>IF(OR(J751&gt;=140,K751&gt;=90),"Có","Không")</f>
        <v>Không</v>
      </c>
      <c r="AK751" s="5" t="s">
        <v>472</v>
      </c>
      <c r="AL751" s="32">
        <v>46142</v>
      </c>
      <c r="AM751" s="29" t="str">
        <f>"Tháng "&amp;MONTH(AL751)</f>
        <v>Tháng 4</v>
      </c>
      <c r="AN751" s="29" t="str">
        <f>LEFT(AK751,FIND(",",AK751)-1)</f>
        <v>Khóm Nhà Mát Phường Hiệp Thành</v>
      </c>
    </row>
    <row r="752" spans="1:40" x14ac:dyDescent="0.25">
      <c r="A752" s="49" t="s">
        <v>477</v>
      </c>
      <c r="B752" s="5" t="s">
        <v>23</v>
      </c>
      <c r="C752" s="5" t="s">
        <v>130</v>
      </c>
      <c r="D752" s="29">
        <f ca="1">DATEDIF(C752,TODAY(),"Y")</f>
        <v>57</v>
      </c>
      <c r="E752" s="5" t="s">
        <v>26</v>
      </c>
      <c r="F752" s="30">
        <v>150</v>
      </c>
      <c r="G752" s="30">
        <v>50</v>
      </c>
      <c r="H752" s="31">
        <f>G752/((F752/100)*(F752/100))</f>
        <v>22.222222222222221</v>
      </c>
      <c r="I752" s="5">
        <v>65</v>
      </c>
      <c r="J752" s="30">
        <v>120</v>
      </c>
      <c r="K752" s="30">
        <v>80</v>
      </c>
      <c r="L752" s="29">
        <f>IF(B752="Nữ",0,2)</f>
        <v>0</v>
      </c>
      <c r="M752" s="29">
        <f ca="1">IF(D752&lt;45,0,IF(D752&lt;=49,1,2))</f>
        <v>2</v>
      </c>
      <c r="N752" s="29">
        <f>IF(E752="Có",4,0)</f>
        <v>0</v>
      </c>
      <c r="O752" s="29">
        <f>IF(H752&lt;23,0,IF(H752&lt;27.5,3,5))</f>
        <v>0</v>
      </c>
      <c r="P752" s="29">
        <f>IF(OR(AND(B752="Nam",I752&gt;=90),AND(B752="Nữ",I752&gt;=80)),2,0)</f>
        <v>0</v>
      </c>
      <c r="Q752" s="29">
        <f>IF(OR(J752&gt;=140,K752&gt;=90),2,0)</f>
        <v>0</v>
      </c>
      <c r="R752" s="29">
        <f ca="1">SUM(L752:Q752)</f>
        <v>2</v>
      </c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5" t="s">
        <v>1393</v>
      </c>
      <c r="AE752" s="33"/>
      <c r="AF752" s="59" t="str">
        <f t="shared" si="34"/>
        <v>Không</v>
      </c>
      <c r="AG752" s="59" t="str">
        <f t="shared" si="35"/>
        <v>Không</v>
      </c>
      <c r="AH752" s="29" t="str">
        <f t="shared" ca="1" si="33"/>
        <v>Không</v>
      </c>
      <c r="AI752" s="29" t="str">
        <f ca="1">IF((R752)&gt;=6,"Có","Không")</f>
        <v>Không</v>
      </c>
      <c r="AJ752" s="29" t="str">
        <f>IF(OR(J752&gt;=140,K752&gt;=90),"Có","Không")</f>
        <v>Không</v>
      </c>
      <c r="AK752" s="5" t="s">
        <v>478</v>
      </c>
      <c r="AL752" s="32">
        <v>46142</v>
      </c>
      <c r="AM752" s="29" t="str">
        <f>"Tháng "&amp;MONTH(AL752)</f>
        <v>Tháng 4</v>
      </c>
      <c r="AN752" s="29" t="str">
        <f>LEFT(AK752,FIND(",",AK752)-1)</f>
        <v>Giồng nhãn A</v>
      </c>
    </row>
    <row r="753" spans="1:40" x14ac:dyDescent="0.25">
      <c r="A753" s="49" t="s">
        <v>490</v>
      </c>
      <c r="B753" s="5" t="s">
        <v>30</v>
      </c>
      <c r="C753" s="5" t="s">
        <v>82</v>
      </c>
      <c r="D753" s="29">
        <f ca="1">DATEDIF(C753,TODAY(),"Y")</f>
        <v>73</v>
      </c>
      <c r="E753" s="5" t="s">
        <v>26</v>
      </c>
      <c r="F753" s="30">
        <v>169</v>
      </c>
      <c r="G753" s="30">
        <v>68</v>
      </c>
      <c r="H753" s="31">
        <f>G753/((F753/100)*(F753/100))</f>
        <v>23.808690171912751</v>
      </c>
      <c r="I753" s="5">
        <v>99</v>
      </c>
      <c r="J753" s="30">
        <v>130</v>
      </c>
      <c r="K753" s="30">
        <v>80</v>
      </c>
      <c r="L753" s="29">
        <f>IF(B753="Nữ",0,2)</f>
        <v>2</v>
      </c>
      <c r="M753" s="29">
        <f ca="1">IF(D753&lt;45,0,IF(D753&lt;=49,1,2))</f>
        <v>2</v>
      </c>
      <c r="N753" s="29">
        <f>IF(E753="Có",4,0)</f>
        <v>0</v>
      </c>
      <c r="O753" s="29">
        <f>IF(H753&lt;23,0,IF(H753&lt;27.5,3,5))</f>
        <v>3</v>
      </c>
      <c r="P753" s="29">
        <f>IF(OR(AND(B753="Nam",I753&gt;=90),AND(B753="Nữ",I753&gt;=80)),2,0)</f>
        <v>2</v>
      </c>
      <c r="Q753" s="29">
        <f>IF(OR(J753&gt;=140,K753&gt;=90),2,0)</f>
        <v>0</v>
      </c>
      <c r="R753" s="29">
        <f ca="1">SUM(L753:Q753)</f>
        <v>9</v>
      </c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5" t="s">
        <v>1393</v>
      </c>
      <c r="AE753" s="33"/>
      <c r="AF753" s="59" t="str">
        <f t="shared" si="34"/>
        <v>Không</v>
      </c>
      <c r="AG753" s="59" t="str">
        <f t="shared" si="35"/>
        <v>Không</v>
      </c>
      <c r="AH753" s="29" t="str">
        <f t="shared" ca="1" si="33"/>
        <v>Có</v>
      </c>
      <c r="AI753" s="29" t="str">
        <f ca="1">IF((R753)&gt;=6,"Có","Không")</f>
        <v>Có</v>
      </c>
      <c r="AJ753" s="29" t="str">
        <f>IF(OR(J753&gt;=140,K753&gt;=90),"Có","Không")</f>
        <v>Không</v>
      </c>
      <c r="AK753" s="5" t="s">
        <v>491</v>
      </c>
      <c r="AL753" s="32">
        <v>46142</v>
      </c>
      <c r="AM753" s="29" t="str">
        <f>"Tháng "&amp;MONTH(AL753)</f>
        <v>Tháng 4</v>
      </c>
      <c r="AN753" s="29" t="str">
        <f>LEFT(AK753,FIND(",",AK753)-1)</f>
        <v>Khóm 3</v>
      </c>
    </row>
    <row r="754" spans="1:40" x14ac:dyDescent="0.25">
      <c r="A754" s="49" t="s">
        <v>494</v>
      </c>
      <c r="B754" s="5" t="s">
        <v>23</v>
      </c>
      <c r="C754" s="5" t="s">
        <v>188</v>
      </c>
      <c r="D754" s="29">
        <f ca="1">DATEDIF(C754,TODAY(),"Y")</f>
        <v>63</v>
      </c>
      <c r="E754" s="5" t="s">
        <v>25</v>
      </c>
      <c r="F754" s="30">
        <v>160</v>
      </c>
      <c r="G754" s="30">
        <v>72</v>
      </c>
      <c r="H754" s="31">
        <f>G754/((F754/100)*(F754/100))</f>
        <v>28.124999999999993</v>
      </c>
      <c r="I754" s="5">
        <v>66</v>
      </c>
      <c r="J754" s="30">
        <v>120</v>
      </c>
      <c r="K754" s="30">
        <v>80</v>
      </c>
      <c r="L754" s="29">
        <f>IF(B754="Nữ",0,2)</f>
        <v>0</v>
      </c>
      <c r="M754" s="29">
        <f ca="1">IF(D754&lt;45,0,IF(D754&lt;=49,1,2))</f>
        <v>2</v>
      </c>
      <c r="N754" s="29">
        <f>IF(E754="Có",4,0)</f>
        <v>4</v>
      </c>
      <c r="O754" s="29">
        <f>IF(H754&lt;23,0,IF(H754&lt;27.5,3,5))</f>
        <v>5</v>
      </c>
      <c r="P754" s="29">
        <f>IF(OR(AND(B754="Nam",I754&gt;=90),AND(B754="Nữ",I754&gt;=80)),2,0)</f>
        <v>0</v>
      </c>
      <c r="Q754" s="29">
        <f>IF(OR(J754&gt;=140,K754&gt;=90),2,0)</f>
        <v>0</v>
      </c>
      <c r="R754" s="29">
        <f ca="1">SUM(L754:Q754)</f>
        <v>11</v>
      </c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5" t="s">
        <v>1393</v>
      </c>
      <c r="AE754" s="33"/>
      <c r="AF754" s="59" t="str">
        <f t="shared" si="34"/>
        <v>Không</v>
      </c>
      <c r="AG754" s="59" t="str">
        <f t="shared" si="35"/>
        <v>Không</v>
      </c>
      <c r="AH754" s="29" t="str">
        <f t="shared" ca="1" si="33"/>
        <v>Có</v>
      </c>
      <c r="AI754" s="29" t="str">
        <f ca="1">IF((R754)&gt;=6,"Có","Không")</f>
        <v>Có</v>
      </c>
      <c r="AJ754" s="29" t="str">
        <f>IF(OR(J754&gt;=140,K754&gt;=90),"Có","Không")</f>
        <v>Không</v>
      </c>
      <c r="AK754" s="5" t="s">
        <v>495</v>
      </c>
      <c r="AL754" s="32">
        <v>46142</v>
      </c>
      <c r="AM754" s="29" t="str">
        <f>"Tháng "&amp;MONTH(AL754)</f>
        <v>Tháng 4</v>
      </c>
      <c r="AN754" s="29" t="str">
        <f>LEFT(AK754,FIND(",",AK754)-1)</f>
        <v>giồng giữa B phường Hiệp Thành</v>
      </c>
    </row>
    <row r="755" spans="1:40" x14ac:dyDescent="0.25">
      <c r="A755" s="49" t="s">
        <v>496</v>
      </c>
      <c r="B755" s="5" t="s">
        <v>23</v>
      </c>
      <c r="C755" s="5" t="s">
        <v>138</v>
      </c>
      <c r="D755" s="29">
        <f ca="1">DATEDIF(C755,TODAY(),"Y")</f>
        <v>67</v>
      </c>
      <c r="E755" s="5" t="s">
        <v>26</v>
      </c>
      <c r="F755" s="30">
        <v>150</v>
      </c>
      <c r="G755" s="30">
        <v>64</v>
      </c>
      <c r="H755" s="31">
        <f>G755/((F755/100)*(F755/100))</f>
        <v>28.444444444444443</v>
      </c>
      <c r="I755" s="5">
        <v>89</v>
      </c>
      <c r="J755" s="30">
        <v>140</v>
      </c>
      <c r="K755" s="30">
        <v>80</v>
      </c>
      <c r="L755" s="29">
        <f>IF(B755="Nữ",0,2)</f>
        <v>0</v>
      </c>
      <c r="M755" s="29">
        <f ca="1">IF(D755&lt;45,0,IF(D755&lt;=49,1,2))</f>
        <v>2</v>
      </c>
      <c r="N755" s="29">
        <f>IF(E755="Có",4,0)</f>
        <v>0</v>
      </c>
      <c r="O755" s="29">
        <f>IF(H755&lt;23,0,IF(H755&lt;27.5,3,5))</f>
        <v>5</v>
      </c>
      <c r="P755" s="29">
        <f>IF(OR(AND(B755="Nam",I755&gt;=90),AND(B755="Nữ",I755&gt;=80)),2,0)</f>
        <v>2</v>
      </c>
      <c r="Q755" s="29">
        <f>IF(OR(J755&gt;=140,K755&gt;=90),2,0)</f>
        <v>2</v>
      </c>
      <c r="R755" s="29">
        <f ca="1">SUM(L755:Q755)</f>
        <v>11</v>
      </c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5" t="s">
        <v>1393</v>
      </c>
      <c r="AE755" s="33"/>
      <c r="AF755" s="59" t="str">
        <f t="shared" si="34"/>
        <v>Không</v>
      </c>
      <c r="AG755" s="59" t="str">
        <f t="shared" si="35"/>
        <v>Không</v>
      </c>
      <c r="AH755" s="29" t="str">
        <f t="shared" ca="1" si="33"/>
        <v>Có</v>
      </c>
      <c r="AI755" s="29" t="str">
        <f ca="1">IF((R755)&gt;=6,"Có","Không")</f>
        <v>Có</v>
      </c>
      <c r="AJ755" s="29" t="str">
        <f>IF(OR(J755&gt;=140,K755&gt;=90),"Có","Không")</f>
        <v>Có</v>
      </c>
      <c r="AK755" s="5" t="s">
        <v>51</v>
      </c>
      <c r="AL755" s="32">
        <v>46142</v>
      </c>
      <c r="AM755" s="29" t="str">
        <f>"Tháng "&amp;MONTH(AL755)</f>
        <v>Tháng 4</v>
      </c>
      <c r="AN755" s="29" t="str">
        <f>LEFT(AK755,FIND(",",AK755)-1)</f>
        <v>Phường Hiệp Thành</v>
      </c>
    </row>
    <row r="756" spans="1:40" x14ac:dyDescent="0.25">
      <c r="A756" s="49" t="s">
        <v>497</v>
      </c>
      <c r="B756" s="5" t="s">
        <v>23</v>
      </c>
      <c r="C756" s="5" t="s">
        <v>93</v>
      </c>
      <c r="D756" s="29">
        <f ca="1">DATEDIF(C756,TODAY(),"Y")</f>
        <v>66</v>
      </c>
      <c r="E756" s="5" t="s">
        <v>26</v>
      </c>
      <c r="F756" s="30">
        <v>160</v>
      </c>
      <c r="G756" s="30">
        <v>60</v>
      </c>
      <c r="H756" s="31">
        <f>G756/((F756/100)*(F756/100))</f>
        <v>23.437499999999996</v>
      </c>
      <c r="I756" s="5">
        <v>93</v>
      </c>
      <c r="J756" s="30">
        <v>120</v>
      </c>
      <c r="K756" s="30">
        <v>70</v>
      </c>
      <c r="L756" s="29">
        <f>IF(B756="Nữ",0,2)</f>
        <v>0</v>
      </c>
      <c r="M756" s="29">
        <f ca="1">IF(D756&lt;45,0,IF(D756&lt;=49,1,2))</f>
        <v>2</v>
      </c>
      <c r="N756" s="29">
        <f>IF(E756="Có",4,0)</f>
        <v>0</v>
      </c>
      <c r="O756" s="29">
        <f>IF(H756&lt;23,0,IF(H756&lt;27.5,3,5))</f>
        <v>3</v>
      </c>
      <c r="P756" s="29">
        <f>IF(OR(AND(B756="Nam",I756&gt;=90),AND(B756="Nữ",I756&gt;=80)),2,0)</f>
        <v>2</v>
      </c>
      <c r="Q756" s="29">
        <f>IF(OR(J756&gt;=140,K756&gt;=90),2,0)</f>
        <v>0</v>
      </c>
      <c r="R756" s="29">
        <f ca="1">SUM(L756:Q756)</f>
        <v>7</v>
      </c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5" t="s">
        <v>1393</v>
      </c>
      <c r="AE756" s="33"/>
      <c r="AF756" s="59" t="str">
        <f t="shared" si="34"/>
        <v>Không</v>
      </c>
      <c r="AG756" s="59" t="str">
        <f t="shared" si="35"/>
        <v>Không</v>
      </c>
      <c r="AH756" s="29" t="str">
        <f t="shared" ca="1" si="33"/>
        <v>Có</v>
      </c>
      <c r="AI756" s="29" t="str">
        <f ca="1">IF((R756)&gt;=6,"Có","Không")</f>
        <v>Có</v>
      </c>
      <c r="AJ756" s="29" t="str">
        <f>IF(OR(J756&gt;=140,K756&gt;=90),"Có","Không")</f>
        <v>Không</v>
      </c>
      <c r="AK756" s="5" t="s">
        <v>68</v>
      </c>
      <c r="AL756" s="32">
        <v>46142</v>
      </c>
      <c r="AM756" s="29" t="str">
        <f>"Tháng "&amp;MONTH(AL756)</f>
        <v>Tháng 4</v>
      </c>
      <c r="AN756" s="29" t="str">
        <f>LEFT(AK756,FIND(",",AK756)-1)</f>
        <v>Ấp Biển Tây B</v>
      </c>
    </row>
    <row r="757" spans="1:40" x14ac:dyDescent="0.25">
      <c r="A757" s="49" t="s">
        <v>498</v>
      </c>
      <c r="B757" s="5" t="s">
        <v>23</v>
      </c>
      <c r="C757" s="5" t="s">
        <v>59</v>
      </c>
      <c r="D757" s="29">
        <f ca="1">DATEDIF(C757,TODAY(),"Y")</f>
        <v>74</v>
      </c>
      <c r="E757" s="5" t="s">
        <v>26</v>
      </c>
      <c r="F757" s="30">
        <v>158</v>
      </c>
      <c r="G757" s="30">
        <v>58</v>
      </c>
      <c r="H757" s="31">
        <f>G757/((F757/100)*(F757/100))</f>
        <v>23.233456176894723</v>
      </c>
      <c r="I757" s="5">
        <v>89</v>
      </c>
      <c r="J757" s="30">
        <v>140</v>
      </c>
      <c r="K757" s="30">
        <v>80</v>
      </c>
      <c r="L757" s="29">
        <f>IF(B757="Nữ",0,2)</f>
        <v>0</v>
      </c>
      <c r="M757" s="29">
        <f ca="1">IF(D757&lt;45,0,IF(D757&lt;=49,1,2))</f>
        <v>2</v>
      </c>
      <c r="N757" s="29">
        <f>IF(E757="Có",4,0)</f>
        <v>0</v>
      </c>
      <c r="O757" s="29">
        <f>IF(H757&lt;23,0,IF(H757&lt;27.5,3,5))</f>
        <v>3</v>
      </c>
      <c r="P757" s="29">
        <f>IF(OR(AND(B757="Nam",I757&gt;=90),AND(B757="Nữ",I757&gt;=80)),2,0)</f>
        <v>2</v>
      </c>
      <c r="Q757" s="29">
        <f>IF(OR(J757&gt;=140,K757&gt;=90),2,0)</f>
        <v>2</v>
      </c>
      <c r="R757" s="29">
        <f ca="1">SUM(L757:Q757)</f>
        <v>9</v>
      </c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5" t="s">
        <v>1393</v>
      </c>
      <c r="AE757" s="33"/>
      <c r="AF757" s="59" t="str">
        <f t="shared" si="34"/>
        <v>Không</v>
      </c>
      <c r="AG757" s="59" t="str">
        <f t="shared" si="35"/>
        <v>Không</v>
      </c>
      <c r="AH757" s="29" t="str">
        <f t="shared" ca="1" si="33"/>
        <v>Có</v>
      </c>
      <c r="AI757" s="29" t="str">
        <f ca="1">IF((R757)&gt;=6,"Có","Không")</f>
        <v>Có</v>
      </c>
      <c r="AJ757" s="29" t="str">
        <f>IF(OR(J757&gt;=140,K757&gt;=90),"Có","Không")</f>
        <v>Có</v>
      </c>
      <c r="AK757" s="5" t="s">
        <v>499</v>
      </c>
      <c r="AL757" s="32">
        <v>46142</v>
      </c>
      <c r="AM757" s="29" t="str">
        <f>"Tháng "&amp;MONTH(AL757)</f>
        <v>Tháng 4</v>
      </c>
      <c r="AN757" s="29" t="str">
        <f>LEFT(AK757,FIND(",",AK757)-1)</f>
        <v>Ấp Biển Đông A</v>
      </c>
    </row>
    <row r="758" spans="1:40" x14ac:dyDescent="0.25">
      <c r="A758" s="49" t="s">
        <v>500</v>
      </c>
      <c r="B758" s="5" t="s">
        <v>23</v>
      </c>
      <c r="C758" s="5" t="s">
        <v>146</v>
      </c>
      <c r="D758" s="29">
        <f ca="1">DATEDIF(C758,TODAY(),"Y")</f>
        <v>52</v>
      </c>
      <c r="E758" s="5" t="s">
        <v>26</v>
      </c>
      <c r="F758" s="30">
        <v>159</v>
      </c>
      <c r="G758" s="30">
        <v>55</v>
      </c>
      <c r="H758" s="31">
        <f>G758/((F758/100)*(F758/100))</f>
        <v>21.75546853368142</v>
      </c>
      <c r="I758" s="5">
        <v>87</v>
      </c>
      <c r="J758" s="30">
        <v>120</v>
      </c>
      <c r="K758" s="30">
        <v>80</v>
      </c>
      <c r="L758" s="29">
        <f>IF(B758="Nữ",0,2)</f>
        <v>0</v>
      </c>
      <c r="M758" s="29">
        <f ca="1">IF(D758&lt;45,0,IF(D758&lt;=49,1,2))</f>
        <v>2</v>
      </c>
      <c r="N758" s="29">
        <f>IF(E758="Có",4,0)</f>
        <v>0</v>
      </c>
      <c r="O758" s="29">
        <f>IF(H758&lt;23,0,IF(H758&lt;27.5,3,5))</f>
        <v>0</v>
      </c>
      <c r="P758" s="29">
        <f>IF(OR(AND(B758="Nam",I758&gt;=90),AND(B758="Nữ",I758&gt;=80)),2,0)</f>
        <v>2</v>
      </c>
      <c r="Q758" s="29">
        <f>IF(OR(J758&gt;=140,K758&gt;=90),2,0)</f>
        <v>0</v>
      </c>
      <c r="R758" s="29">
        <f ca="1">SUM(L758:Q758)</f>
        <v>4</v>
      </c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5" t="s">
        <v>1393</v>
      </c>
      <c r="AE758" s="33"/>
      <c r="AF758" s="59" t="str">
        <f t="shared" si="34"/>
        <v>Không</v>
      </c>
      <c r="AG758" s="59" t="str">
        <f t="shared" si="35"/>
        <v>Không</v>
      </c>
      <c r="AH758" s="29" t="str">
        <f t="shared" ca="1" si="33"/>
        <v>Không</v>
      </c>
      <c r="AI758" s="29" t="str">
        <f ca="1">IF((R758)&gt;=6,"Có","Không")</f>
        <v>Không</v>
      </c>
      <c r="AJ758" s="29" t="str">
        <f>IF(OR(J758&gt;=140,K758&gt;=90),"Có","Không")</f>
        <v>Không</v>
      </c>
      <c r="AK758" s="5" t="s">
        <v>501</v>
      </c>
      <c r="AL758" s="32">
        <v>46142</v>
      </c>
      <c r="AM758" s="29" t="str">
        <f>"Tháng "&amp;MONTH(AL758)</f>
        <v>Tháng 4</v>
      </c>
      <c r="AN758" s="29" t="str">
        <f>LEFT(AK758,FIND(",",AK758)-1)</f>
        <v>ấp Giồng Nhãn</v>
      </c>
    </row>
    <row r="759" spans="1:40" x14ac:dyDescent="0.25">
      <c r="A759" s="49" t="s">
        <v>502</v>
      </c>
      <c r="B759" s="5" t="s">
        <v>23</v>
      </c>
      <c r="C759" s="5" t="s">
        <v>40</v>
      </c>
      <c r="D759" s="29">
        <f ca="1">DATEDIF(C759,TODAY(),"Y")</f>
        <v>70</v>
      </c>
      <c r="E759" s="5" t="s">
        <v>25</v>
      </c>
      <c r="F759" s="30">
        <v>158</v>
      </c>
      <c r="G759" s="30">
        <v>58</v>
      </c>
      <c r="H759" s="31">
        <f>G759/((F759/100)*(F759/100))</f>
        <v>23.233456176894723</v>
      </c>
      <c r="I759" s="5">
        <v>92</v>
      </c>
      <c r="J759" s="30">
        <v>120</v>
      </c>
      <c r="K759" s="30">
        <v>80</v>
      </c>
      <c r="L759" s="29">
        <f>IF(B759="Nữ",0,2)</f>
        <v>0</v>
      </c>
      <c r="M759" s="29">
        <f ca="1">IF(D759&lt;45,0,IF(D759&lt;=49,1,2))</f>
        <v>2</v>
      </c>
      <c r="N759" s="29">
        <f>IF(E759="Có",4,0)</f>
        <v>4</v>
      </c>
      <c r="O759" s="29">
        <f>IF(H759&lt;23,0,IF(H759&lt;27.5,3,5))</f>
        <v>3</v>
      </c>
      <c r="P759" s="29">
        <f>IF(OR(AND(B759="Nam",I759&gt;=90),AND(B759="Nữ",I759&gt;=80)),2,0)</f>
        <v>2</v>
      </c>
      <c r="Q759" s="29">
        <f>IF(OR(J759&gt;=140,K759&gt;=90),2,0)</f>
        <v>0</v>
      </c>
      <c r="R759" s="29">
        <f ca="1">SUM(L759:Q759)</f>
        <v>11</v>
      </c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5" t="s">
        <v>1393</v>
      </c>
      <c r="AE759" s="33"/>
      <c r="AF759" s="59" t="str">
        <f t="shared" si="34"/>
        <v>Không</v>
      </c>
      <c r="AG759" s="59" t="str">
        <f t="shared" si="35"/>
        <v>Không</v>
      </c>
      <c r="AH759" s="29" t="str">
        <f t="shared" ca="1" si="33"/>
        <v>Có</v>
      </c>
      <c r="AI759" s="29" t="str">
        <f ca="1">IF((R759)&gt;=6,"Có","Không")</f>
        <v>Có</v>
      </c>
      <c r="AJ759" s="29" t="str">
        <f>IF(OR(J759&gt;=140,K759&gt;=90),"Có","Không")</f>
        <v>Không</v>
      </c>
      <c r="AK759" s="5" t="s">
        <v>38</v>
      </c>
      <c r="AL759" s="32">
        <v>46142</v>
      </c>
      <c r="AM759" s="29" t="str">
        <f>"Tháng "&amp;MONTH(AL759)</f>
        <v>Tháng 4</v>
      </c>
      <c r="AN759" s="29" t="str">
        <f>LEFT(AK759,FIND(",",AK759)-1)</f>
        <v>Ấp Biển Đông B</v>
      </c>
    </row>
    <row r="760" spans="1:40" x14ac:dyDescent="0.25">
      <c r="A760" s="49" t="s">
        <v>503</v>
      </c>
      <c r="B760" s="5" t="s">
        <v>23</v>
      </c>
      <c r="C760" s="5" t="s">
        <v>40</v>
      </c>
      <c r="D760" s="29">
        <f ca="1">DATEDIF(C760,TODAY(),"Y")</f>
        <v>70</v>
      </c>
      <c r="E760" s="5" t="s">
        <v>25</v>
      </c>
      <c r="F760" s="30">
        <v>158</v>
      </c>
      <c r="G760" s="30">
        <v>58</v>
      </c>
      <c r="H760" s="31">
        <f>G760/((F760/100)*(F760/100))</f>
        <v>23.233456176894723</v>
      </c>
      <c r="I760" s="5">
        <v>89</v>
      </c>
      <c r="J760" s="30">
        <v>140</v>
      </c>
      <c r="K760" s="30">
        <v>80</v>
      </c>
      <c r="L760" s="29">
        <f>IF(B760="Nữ",0,2)</f>
        <v>0</v>
      </c>
      <c r="M760" s="29">
        <f ca="1">IF(D760&lt;45,0,IF(D760&lt;=49,1,2))</f>
        <v>2</v>
      </c>
      <c r="N760" s="29">
        <f>IF(E760="Có",4,0)</f>
        <v>4</v>
      </c>
      <c r="O760" s="29">
        <f>IF(H760&lt;23,0,IF(H760&lt;27.5,3,5))</f>
        <v>3</v>
      </c>
      <c r="P760" s="29">
        <f>IF(OR(AND(B760="Nam",I760&gt;=90),AND(B760="Nữ",I760&gt;=80)),2,0)</f>
        <v>2</v>
      </c>
      <c r="Q760" s="29">
        <f>IF(OR(J760&gt;=140,K760&gt;=90),2,0)</f>
        <v>2</v>
      </c>
      <c r="R760" s="29">
        <f ca="1">SUM(L760:Q760)</f>
        <v>13</v>
      </c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5" t="s">
        <v>1393</v>
      </c>
      <c r="AE760" s="33"/>
      <c r="AF760" s="59" t="str">
        <f t="shared" si="34"/>
        <v>Không</v>
      </c>
      <c r="AG760" s="59" t="str">
        <f t="shared" si="35"/>
        <v>Không</v>
      </c>
      <c r="AH760" s="29" t="str">
        <f t="shared" ca="1" si="33"/>
        <v>Có</v>
      </c>
      <c r="AI760" s="29" t="str">
        <f ca="1">IF((R760)&gt;=6,"Có","Không")</f>
        <v>Có</v>
      </c>
      <c r="AJ760" s="29" t="str">
        <f>IF(OR(J760&gt;=140,K760&gt;=90),"Có","Không")</f>
        <v>Có</v>
      </c>
      <c r="AK760" s="5" t="s">
        <v>51</v>
      </c>
      <c r="AL760" s="32">
        <v>46142</v>
      </c>
      <c r="AM760" s="29" t="str">
        <f>"Tháng "&amp;MONTH(AL760)</f>
        <v>Tháng 4</v>
      </c>
      <c r="AN760" s="29" t="str">
        <f>LEFT(AK760,FIND(",",AK760)-1)</f>
        <v>Phường Hiệp Thành</v>
      </c>
    </row>
    <row r="761" spans="1:40" x14ac:dyDescent="0.25">
      <c r="A761" s="49" t="s">
        <v>504</v>
      </c>
      <c r="B761" s="5" t="s">
        <v>23</v>
      </c>
      <c r="C761" s="5" t="s">
        <v>62</v>
      </c>
      <c r="D761" s="29">
        <f ca="1">DATEDIF(C761,TODAY(),"Y")</f>
        <v>64</v>
      </c>
      <c r="E761" s="5" t="s">
        <v>26</v>
      </c>
      <c r="F761" s="30">
        <v>158</v>
      </c>
      <c r="G761" s="30">
        <v>58</v>
      </c>
      <c r="H761" s="31">
        <f>G761/((F761/100)*(F761/100))</f>
        <v>23.233456176894723</v>
      </c>
      <c r="I761" s="5">
        <v>81</v>
      </c>
      <c r="J761" s="30">
        <v>120</v>
      </c>
      <c r="K761" s="30">
        <v>80</v>
      </c>
      <c r="L761" s="29">
        <f>IF(B761="Nữ",0,2)</f>
        <v>0</v>
      </c>
      <c r="M761" s="29">
        <f ca="1">IF(D761&lt;45,0,IF(D761&lt;=49,1,2))</f>
        <v>2</v>
      </c>
      <c r="N761" s="29">
        <f>IF(E761="Có",4,0)</f>
        <v>0</v>
      </c>
      <c r="O761" s="29">
        <f>IF(H761&lt;23,0,IF(H761&lt;27.5,3,5))</f>
        <v>3</v>
      </c>
      <c r="P761" s="29">
        <f>IF(OR(AND(B761="Nam",I761&gt;=90),AND(B761="Nữ",I761&gt;=80)),2,0)</f>
        <v>2</v>
      </c>
      <c r="Q761" s="29">
        <f>IF(OR(J761&gt;=140,K761&gt;=90),2,0)</f>
        <v>0</v>
      </c>
      <c r="R761" s="29">
        <f ca="1">SUM(L761:Q761)</f>
        <v>7</v>
      </c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5" t="s">
        <v>1393</v>
      </c>
      <c r="AE761" s="33"/>
      <c r="AF761" s="59" t="str">
        <f t="shared" si="34"/>
        <v>Không</v>
      </c>
      <c r="AG761" s="59" t="str">
        <f t="shared" si="35"/>
        <v>Không</v>
      </c>
      <c r="AH761" s="29" t="str">
        <f t="shared" ca="1" si="33"/>
        <v>Có</v>
      </c>
      <c r="AI761" s="29" t="str">
        <f ca="1">IF((R761)&gt;=6,"Có","Không")</f>
        <v>Có</v>
      </c>
      <c r="AJ761" s="29" t="str">
        <f>IF(OR(J761&gt;=140,K761&gt;=90),"Có","Không")</f>
        <v>Không</v>
      </c>
      <c r="AK761" s="5" t="s">
        <v>28</v>
      </c>
      <c r="AL761" s="32">
        <v>46142</v>
      </c>
      <c r="AM761" s="29" t="str">
        <f>"Tháng "&amp;MONTH(AL761)</f>
        <v>Tháng 4</v>
      </c>
      <c r="AN761" s="29" t="str">
        <f>LEFT(AK761,FIND(",",AK761)-1)</f>
        <v>Ấp Biển Đông A</v>
      </c>
    </row>
    <row r="762" spans="1:40" x14ac:dyDescent="0.25">
      <c r="A762" s="49" t="s">
        <v>505</v>
      </c>
      <c r="B762" s="5" t="s">
        <v>23</v>
      </c>
      <c r="C762" s="5" t="s">
        <v>80</v>
      </c>
      <c r="D762" s="29">
        <f ca="1">DATEDIF(C762,TODAY(),"Y")</f>
        <v>71</v>
      </c>
      <c r="E762" s="5" t="s">
        <v>26</v>
      </c>
      <c r="F762" s="30">
        <v>158</v>
      </c>
      <c r="G762" s="30">
        <v>64</v>
      </c>
      <c r="H762" s="31">
        <f>G762/((F762/100)*(F762/100))</f>
        <v>25.63691716071142</v>
      </c>
      <c r="I762" s="5">
        <v>95</v>
      </c>
      <c r="J762" s="30">
        <v>160</v>
      </c>
      <c r="K762" s="30">
        <v>90</v>
      </c>
      <c r="L762" s="29">
        <f>IF(B762="Nữ",0,2)</f>
        <v>0</v>
      </c>
      <c r="M762" s="29">
        <f ca="1">IF(D762&lt;45,0,IF(D762&lt;=49,1,2))</f>
        <v>2</v>
      </c>
      <c r="N762" s="29">
        <f>IF(E762="Có",4,0)</f>
        <v>0</v>
      </c>
      <c r="O762" s="29">
        <f>IF(H762&lt;23,0,IF(H762&lt;27.5,3,5))</f>
        <v>3</v>
      </c>
      <c r="P762" s="29">
        <f>IF(OR(AND(B762="Nam",I762&gt;=90),AND(B762="Nữ",I762&gt;=80)),2,0)</f>
        <v>2</v>
      </c>
      <c r="Q762" s="29">
        <f>IF(OR(J762&gt;=140,K762&gt;=90),2,0)</f>
        <v>2</v>
      </c>
      <c r="R762" s="29">
        <f ca="1">SUM(L762:Q762)</f>
        <v>9</v>
      </c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5" t="s">
        <v>1393</v>
      </c>
      <c r="AE762" s="33"/>
      <c r="AF762" s="59" t="str">
        <f t="shared" si="34"/>
        <v>Không</v>
      </c>
      <c r="AG762" s="59" t="str">
        <f t="shared" si="35"/>
        <v>Không</v>
      </c>
      <c r="AH762" s="29" t="str">
        <f t="shared" ca="1" si="33"/>
        <v>Có</v>
      </c>
      <c r="AI762" s="29" t="str">
        <f ca="1">IF((R762)&gt;=6,"Có","Không")</f>
        <v>Có</v>
      </c>
      <c r="AJ762" s="29" t="str">
        <f>IF(OR(J762&gt;=140,K762&gt;=90),"Có","Không")</f>
        <v>Có</v>
      </c>
      <c r="AK762" s="5" t="s">
        <v>506</v>
      </c>
      <c r="AL762" s="32">
        <v>46142</v>
      </c>
      <c r="AM762" s="29" t="str">
        <f>"Tháng "&amp;MONTH(AL762)</f>
        <v>Tháng 4</v>
      </c>
      <c r="AN762" s="29" t="str">
        <f>LEFT(AK762,FIND(",",AK762)-1)</f>
        <v>ấp Biển Tây B</v>
      </c>
    </row>
    <row r="763" spans="1:40" x14ac:dyDescent="0.25">
      <c r="A763" s="49" t="s">
        <v>507</v>
      </c>
      <c r="B763" s="5" t="s">
        <v>30</v>
      </c>
      <c r="C763" s="5" t="s">
        <v>273</v>
      </c>
      <c r="D763" s="29">
        <f ca="1">DATEDIF(C763,TODAY(),"Y")</f>
        <v>47</v>
      </c>
      <c r="E763" s="5" t="s">
        <v>25</v>
      </c>
      <c r="F763" s="30">
        <v>158</v>
      </c>
      <c r="G763" s="30">
        <v>58</v>
      </c>
      <c r="H763" s="31">
        <f>G763/((F763/100)*(F763/100))</f>
        <v>23.233456176894723</v>
      </c>
      <c r="I763" s="5">
        <v>73</v>
      </c>
      <c r="J763" s="30">
        <v>140</v>
      </c>
      <c r="K763" s="30">
        <v>80</v>
      </c>
      <c r="L763" s="29">
        <f>IF(B763="Nữ",0,2)</f>
        <v>2</v>
      </c>
      <c r="M763" s="29">
        <f ca="1">IF(D763&lt;45,0,IF(D763&lt;=49,1,2))</f>
        <v>1</v>
      </c>
      <c r="N763" s="29">
        <f>IF(E763="Có",4,0)</f>
        <v>4</v>
      </c>
      <c r="O763" s="29">
        <f>IF(H763&lt;23,0,IF(H763&lt;27.5,3,5))</f>
        <v>3</v>
      </c>
      <c r="P763" s="29">
        <f>IF(OR(AND(B763="Nam",I763&gt;=90),AND(B763="Nữ",I763&gt;=80)),2,0)</f>
        <v>0</v>
      </c>
      <c r="Q763" s="29">
        <f>IF(OR(J763&gt;=140,K763&gt;=90),2,0)</f>
        <v>2</v>
      </c>
      <c r="R763" s="29">
        <f ca="1">SUM(L763:Q763)</f>
        <v>12</v>
      </c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5" t="s">
        <v>1393</v>
      </c>
      <c r="AE763" s="33"/>
      <c r="AF763" s="59" t="str">
        <f t="shared" si="34"/>
        <v>Không</v>
      </c>
      <c r="AG763" s="59" t="str">
        <f t="shared" si="35"/>
        <v>Không</v>
      </c>
      <c r="AH763" s="29" t="str">
        <f t="shared" ca="1" si="33"/>
        <v>Có</v>
      </c>
      <c r="AI763" s="29" t="str">
        <f ca="1">IF((R763)&gt;=6,"Có","Không")</f>
        <v>Có</v>
      </c>
      <c r="AJ763" s="29" t="str">
        <f>IF(OR(J763&gt;=140,K763&gt;=90),"Có","Không")</f>
        <v>Có</v>
      </c>
      <c r="AK763" s="5" t="s">
        <v>28</v>
      </c>
      <c r="AL763" s="32">
        <v>46142</v>
      </c>
      <c r="AM763" s="29" t="str">
        <f>"Tháng "&amp;MONTH(AL763)</f>
        <v>Tháng 4</v>
      </c>
      <c r="AN763" s="29" t="str">
        <f>LEFT(AK763,FIND(",",AK763)-1)</f>
        <v>Ấp Biển Đông A</v>
      </c>
    </row>
    <row r="764" spans="1:40" x14ac:dyDescent="0.25">
      <c r="A764" s="49" t="s">
        <v>508</v>
      </c>
      <c r="B764" s="5" t="s">
        <v>23</v>
      </c>
      <c r="C764" s="5" t="s">
        <v>56</v>
      </c>
      <c r="D764" s="29">
        <f ca="1">DATEDIF(C764,TODAY(),"Y")</f>
        <v>65</v>
      </c>
      <c r="E764" s="5" t="s">
        <v>26</v>
      </c>
      <c r="F764" s="30">
        <v>162</v>
      </c>
      <c r="G764" s="30">
        <v>55</v>
      </c>
      <c r="H764" s="31">
        <f>G764/((F764/100)*(F764/100))</f>
        <v>20.957171162932475</v>
      </c>
      <c r="I764" s="5">
        <v>75</v>
      </c>
      <c r="J764" s="30">
        <v>120</v>
      </c>
      <c r="K764" s="30">
        <v>80</v>
      </c>
      <c r="L764" s="29">
        <f>IF(B764="Nữ",0,2)</f>
        <v>0</v>
      </c>
      <c r="M764" s="29">
        <f ca="1">IF(D764&lt;45,0,IF(D764&lt;=49,1,2))</f>
        <v>2</v>
      </c>
      <c r="N764" s="29">
        <f>IF(E764="Có",4,0)</f>
        <v>0</v>
      </c>
      <c r="O764" s="29">
        <f>IF(H764&lt;23,0,IF(H764&lt;27.5,3,5))</f>
        <v>0</v>
      </c>
      <c r="P764" s="29">
        <f>IF(OR(AND(B764="Nam",I764&gt;=90),AND(B764="Nữ",I764&gt;=80)),2,0)</f>
        <v>0</v>
      </c>
      <c r="Q764" s="29">
        <f>IF(OR(J764&gt;=140,K764&gt;=90),2,0)</f>
        <v>0</v>
      </c>
      <c r="R764" s="29">
        <f ca="1">SUM(L764:Q764)</f>
        <v>2</v>
      </c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5" t="s">
        <v>1393</v>
      </c>
      <c r="AE764" s="33"/>
      <c r="AF764" s="59" t="str">
        <f t="shared" si="34"/>
        <v>Không</v>
      </c>
      <c r="AG764" s="59" t="str">
        <f t="shared" si="35"/>
        <v>Không</v>
      </c>
      <c r="AH764" s="29" t="str">
        <f t="shared" ca="1" si="33"/>
        <v>Không</v>
      </c>
      <c r="AI764" s="29" t="str">
        <f ca="1">IF((R764)&gt;=6,"Có","Không")</f>
        <v>Không</v>
      </c>
      <c r="AJ764" s="29" t="str">
        <f>IF(OR(J764&gt;=140,K764&gt;=90),"Có","Không")</f>
        <v>Không</v>
      </c>
      <c r="AK764" s="5" t="s">
        <v>509</v>
      </c>
      <c r="AL764" s="32">
        <v>46142</v>
      </c>
      <c r="AM764" s="29" t="str">
        <f>"Tháng "&amp;MONTH(AL764)</f>
        <v>Tháng 4</v>
      </c>
      <c r="AN764" s="29" t="str">
        <f>LEFT(AK764,FIND(",",AK764)-1)</f>
        <v>Khóm Nhà Mát</v>
      </c>
    </row>
    <row r="765" spans="1:40" x14ac:dyDescent="0.25">
      <c r="A765" s="49" t="s">
        <v>510</v>
      </c>
      <c r="B765" s="5" t="s">
        <v>30</v>
      </c>
      <c r="C765" s="5" t="s">
        <v>127</v>
      </c>
      <c r="D765" s="29">
        <f ca="1">DATEDIF(C765,TODAY(),"Y")</f>
        <v>76</v>
      </c>
      <c r="E765" s="5" t="s">
        <v>26</v>
      </c>
      <c r="F765" s="30">
        <v>169</v>
      </c>
      <c r="G765" s="30">
        <v>68</v>
      </c>
      <c r="H765" s="31">
        <f>G765/((F765/100)*(F765/100))</f>
        <v>23.808690171912751</v>
      </c>
      <c r="I765" s="5">
        <v>88</v>
      </c>
      <c r="J765" s="30">
        <v>120</v>
      </c>
      <c r="K765" s="30">
        <v>80</v>
      </c>
      <c r="L765" s="29">
        <f>IF(B765="Nữ",0,2)</f>
        <v>2</v>
      </c>
      <c r="M765" s="29">
        <f ca="1">IF(D765&lt;45,0,IF(D765&lt;=49,1,2))</f>
        <v>2</v>
      </c>
      <c r="N765" s="29">
        <f>IF(E765="Có",4,0)</f>
        <v>0</v>
      </c>
      <c r="O765" s="29">
        <f>IF(H765&lt;23,0,IF(H765&lt;27.5,3,5))</f>
        <v>3</v>
      </c>
      <c r="P765" s="29">
        <f>IF(OR(AND(B765="Nam",I765&gt;=90),AND(B765="Nữ",I765&gt;=80)),2,0)</f>
        <v>0</v>
      </c>
      <c r="Q765" s="29">
        <f>IF(OR(J765&gt;=140,K765&gt;=90),2,0)</f>
        <v>0</v>
      </c>
      <c r="R765" s="29">
        <f ca="1">SUM(L765:Q765)</f>
        <v>7</v>
      </c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5" t="s">
        <v>1393</v>
      </c>
      <c r="AE765" s="33"/>
      <c r="AF765" s="59" t="str">
        <f t="shared" si="34"/>
        <v>Không</v>
      </c>
      <c r="AG765" s="59" t="str">
        <f t="shared" si="35"/>
        <v>Không</v>
      </c>
      <c r="AH765" s="29" t="str">
        <f t="shared" ca="1" si="33"/>
        <v>Có</v>
      </c>
      <c r="AI765" s="29" t="str">
        <f ca="1">IF((R765)&gt;=6,"Có","Không")</f>
        <v>Có</v>
      </c>
      <c r="AJ765" s="29" t="str">
        <f>IF(OR(J765&gt;=140,K765&gt;=90),"Có","Không")</f>
        <v>Không</v>
      </c>
      <c r="AK765" s="5" t="s">
        <v>68</v>
      </c>
      <c r="AL765" s="32">
        <v>46142</v>
      </c>
      <c r="AM765" s="29" t="str">
        <f>"Tháng "&amp;MONTH(AL765)</f>
        <v>Tháng 4</v>
      </c>
      <c r="AN765" s="29" t="str">
        <f>LEFT(AK765,FIND(",",AK765)-1)</f>
        <v>Ấp Biển Tây B</v>
      </c>
    </row>
    <row r="766" spans="1:40" x14ac:dyDescent="0.25">
      <c r="A766" s="49" t="s">
        <v>511</v>
      </c>
      <c r="B766" s="5" t="s">
        <v>23</v>
      </c>
      <c r="C766" s="5" t="s">
        <v>84</v>
      </c>
      <c r="D766" s="29">
        <f ca="1">DATEDIF(C766,TODAY(),"Y")</f>
        <v>69</v>
      </c>
      <c r="E766" s="5" t="s">
        <v>25</v>
      </c>
      <c r="F766" s="30">
        <v>158</v>
      </c>
      <c r="G766" s="30">
        <v>58</v>
      </c>
      <c r="H766" s="31">
        <f>G766/((F766/100)*(F766/100))</f>
        <v>23.233456176894723</v>
      </c>
      <c r="I766" s="5">
        <v>83</v>
      </c>
      <c r="J766" s="30">
        <v>100</v>
      </c>
      <c r="K766" s="30">
        <v>70</v>
      </c>
      <c r="L766" s="29">
        <f>IF(B766="Nữ",0,2)</f>
        <v>0</v>
      </c>
      <c r="M766" s="29">
        <f ca="1">IF(D766&lt;45,0,IF(D766&lt;=49,1,2))</f>
        <v>2</v>
      </c>
      <c r="N766" s="29">
        <f>IF(E766="Có",4,0)</f>
        <v>4</v>
      </c>
      <c r="O766" s="29">
        <f>IF(H766&lt;23,0,IF(H766&lt;27.5,3,5))</f>
        <v>3</v>
      </c>
      <c r="P766" s="29">
        <f>IF(OR(AND(B766="Nam",I766&gt;=90),AND(B766="Nữ",I766&gt;=80)),2,0)</f>
        <v>2</v>
      </c>
      <c r="Q766" s="29">
        <f>IF(OR(J766&gt;=140,K766&gt;=90),2,0)</f>
        <v>0</v>
      </c>
      <c r="R766" s="29">
        <f ca="1">SUM(L766:Q766)</f>
        <v>11</v>
      </c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5" t="s">
        <v>1393</v>
      </c>
      <c r="AE766" s="33"/>
      <c r="AF766" s="59" t="str">
        <f t="shared" si="34"/>
        <v>Không</v>
      </c>
      <c r="AG766" s="59" t="str">
        <f t="shared" si="35"/>
        <v>Không</v>
      </c>
      <c r="AH766" s="29" t="str">
        <f t="shared" ca="1" si="33"/>
        <v>Có</v>
      </c>
      <c r="AI766" s="29" t="str">
        <f ca="1">IF((R766)&gt;=6,"Có","Không")</f>
        <v>Có</v>
      </c>
      <c r="AJ766" s="29" t="str">
        <f>IF(OR(J766&gt;=140,K766&gt;=90),"Có","Không")</f>
        <v>Không</v>
      </c>
      <c r="AK766" s="5" t="s">
        <v>512</v>
      </c>
      <c r="AL766" s="32">
        <v>46142</v>
      </c>
      <c r="AM766" s="29" t="str">
        <f>"Tháng "&amp;MONTH(AL766)</f>
        <v>Tháng 4</v>
      </c>
      <c r="AN766" s="29" t="str">
        <f>LEFT(AK766,FIND(",",AK766)-1)</f>
        <v>Ấp Biển Tây B</v>
      </c>
    </row>
    <row r="767" spans="1:40" x14ac:dyDescent="0.25">
      <c r="A767" s="49" t="s">
        <v>513</v>
      </c>
      <c r="B767" s="5" t="s">
        <v>23</v>
      </c>
      <c r="C767" s="5" t="s">
        <v>42</v>
      </c>
      <c r="D767" s="29">
        <f ca="1">DATEDIF(C767,TODAY(),"Y")</f>
        <v>59</v>
      </c>
      <c r="E767" s="5" t="s">
        <v>26</v>
      </c>
      <c r="F767" s="30">
        <v>158</v>
      </c>
      <c r="G767" s="30">
        <v>58</v>
      </c>
      <c r="H767" s="31">
        <f>G767/((F767/100)*(F767/100))</f>
        <v>23.233456176894723</v>
      </c>
      <c r="I767" s="5">
        <v>83</v>
      </c>
      <c r="J767" s="30">
        <v>170</v>
      </c>
      <c r="K767" s="30">
        <v>80</v>
      </c>
      <c r="L767" s="29">
        <f>IF(B767="Nữ",0,2)</f>
        <v>0</v>
      </c>
      <c r="M767" s="29">
        <f ca="1">IF(D767&lt;45,0,IF(D767&lt;=49,1,2))</f>
        <v>2</v>
      </c>
      <c r="N767" s="29">
        <f>IF(E767="Có",4,0)</f>
        <v>0</v>
      </c>
      <c r="O767" s="29">
        <f>IF(H767&lt;23,0,IF(H767&lt;27.5,3,5))</f>
        <v>3</v>
      </c>
      <c r="P767" s="29">
        <f>IF(OR(AND(B767="Nam",I767&gt;=90),AND(B767="Nữ",I767&gt;=80)),2,0)</f>
        <v>2</v>
      </c>
      <c r="Q767" s="29">
        <f>IF(OR(J767&gt;=140,K767&gt;=90),2,0)</f>
        <v>2</v>
      </c>
      <c r="R767" s="29">
        <f ca="1">SUM(L767:Q767)</f>
        <v>9</v>
      </c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5" t="s">
        <v>1393</v>
      </c>
      <c r="AE767" s="33"/>
      <c r="AF767" s="59" t="str">
        <f t="shared" si="34"/>
        <v>Không</v>
      </c>
      <c r="AG767" s="59" t="str">
        <f t="shared" si="35"/>
        <v>Không</v>
      </c>
      <c r="AH767" s="29" t="str">
        <f t="shared" ca="1" si="33"/>
        <v>Có</v>
      </c>
      <c r="AI767" s="29" t="str">
        <f ca="1">IF((R767)&gt;=6,"Có","Không")</f>
        <v>Có</v>
      </c>
      <c r="AJ767" s="29" t="str">
        <f>IF(OR(J767&gt;=140,K767&gt;=90),"Có","Không")</f>
        <v>Có</v>
      </c>
      <c r="AK767" s="5" t="s">
        <v>28</v>
      </c>
      <c r="AL767" s="32">
        <v>46142</v>
      </c>
      <c r="AM767" s="29" t="str">
        <f>"Tháng "&amp;MONTH(AL767)</f>
        <v>Tháng 4</v>
      </c>
      <c r="AN767" s="29" t="str">
        <f>LEFT(AK767,FIND(",",AK767)-1)</f>
        <v>Ấp Biển Đông A</v>
      </c>
    </row>
    <row r="768" spans="1:40" x14ac:dyDescent="0.25">
      <c r="A768" s="49" t="s">
        <v>514</v>
      </c>
      <c r="B768" s="5" t="s">
        <v>23</v>
      </c>
      <c r="C768" s="5" t="s">
        <v>40</v>
      </c>
      <c r="D768" s="29">
        <f ca="1">DATEDIF(C768,TODAY(),"Y")</f>
        <v>70</v>
      </c>
      <c r="E768" s="5" t="s">
        <v>25</v>
      </c>
      <c r="F768" s="30">
        <v>158</v>
      </c>
      <c r="G768" s="30">
        <v>58</v>
      </c>
      <c r="H768" s="31">
        <f>G768/((F768/100)*(F768/100))</f>
        <v>23.233456176894723</v>
      </c>
      <c r="I768" s="5">
        <v>86</v>
      </c>
      <c r="J768" s="30">
        <v>120</v>
      </c>
      <c r="K768" s="30">
        <v>80</v>
      </c>
      <c r="L768" s="29">
        <f>IF(B768="Nữ",0,2)</f>
        <v>0</v>
      </c>
      <c r="M768" s="29">
        <f ca="1">IF(D768&lt;45,0,IF(D768&lt;=49,1,2))</f>
        <v>2</v>
      </c>
      <c r="N768" s="29">
        <f>IF(E768="Có",4,0)</f>
        <v>4</v>
      </c>
      <c r="O768" s="29">
        <f>IF(H768&lt;23,0,IF(H768&lt;27.5,3,5))</f>
        <v>3</v>
      </c>
      <c r="P768" s="29">
        <f>IF(OR(AND(B768="Nam",I768&gt;=90),AND(B768="Nữ",I768&gt;=80)),2,0)</f>
        <v>2</v>
      </c>
      <c r="Q768" s="29">
        <f>IF(OR(J768&gt;=140,K768&gt;=90),2,0)</f>
        <v>0</v>
      </c>
      <c r="R768" s="29">
        <f ca="1">SUM(L768:Q768)</f>
        <v>11</v>
      </c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5" t="s">
        <v>1393</v>
      </c>
      <c r="AE768" s="33"/>
      <c r="AF768" s="59" t="str">
        <f t="shared" si="34"/>
        <v>Không</v>
      </c>
      <c r="AG768" s="59" t="str">
        <f t="shared" si="35"/>
        <v>Không</v>
      </c>
      <c r="AH768" s="29" t="str">
        <f t="shared" ca="1" si="33"/>
        <v>Có</v>
      </c>
      <c r="AI768" s="29" t="str">
        <f ca="1">IF((R768)&gt;=6,"Có","Không")</f>
        <v>Có</v>
      </c>
      <c r="AJ768" s="29" t="str">
        <f>IF(OR(J768&gt;=140,K768&gt;=90),"Có","Không")</f>
        <v>Không</v>
      </c>
      <c r="AK768" s="5" t="s">
        <v>68</v>
      </c>
      <c r="AL768" s="32">
        <v>46142</v>
      </c>
      <c r="AM768" s="29" t="str">
        <f>"Tháng "&amp;MONTH(AL768)</f>
        <v>Tháng 4</v>
      </c>
      <c r="AN768" s="29" t="str">
        <f>LEFT(AK768,FIND(",",AK768)-1)</f>
        <v>Ấp Biển Tây B</v>
      </c>
    </row>
    <row r="769" spans="1:40" x14ac:dyDescent="0.25">
      <c r="A769" s="49" t="s">
        <v>515</v>
      </c>
      <c r="B769" s="5" t="s">
        <v>30</v>
      </c>
      <c r="C769" s="5" t="s">
        <v>50</v>
      </c>
      <c r="D769" s="29">
        <f ca="1">DATEDIF(C769,TODAY(),"Y")</f>
        <v>58</v>
      </c>
      <c r="E769" s="5" t="s">
        <v>26</v>
      </c>
      <c r="F769" s="30">
        <v>24</v>
      </c>
      <c r="G769" s="30">
        <v>110</v>
      </c>
      <c r="H769" s="31">
        <f>G769/((F769/100)*(F769/100))</f>
        <v>1909.7222222222222</v>
      </c>
      <c r="I769" s="5">
        <v>81</v>
      </c>
      <c r="J769" s="30">
        <v>100</v>
      </c>
      <c r="K769" s="30">
        <v>60</v>
      </c>
      <c r="L769" s="29">
        <f>IF(B769="Nữ",0,2)</f>
        <v>2</v>
      </c>
      <c r="M769" s="29">
        <f ca="1">IF(D769&lt;45,0,IF(D769&lt;=49,1,2))</f>
        <v>2</v>
      </c>
      <c r="N769" s="29">
        <f>IF(E769="Có",4,0)</f>
        <v>0</v>
      </c>
      <c r="O769" s="29">
        <f>IF(H769&lt;23,0,IF(H769&lt;27.5,3,5))</f>
        <v>5</v>
      </c>
      <c r="P769" s="29">
        <f>IF(OR(AND(B769="Nam",I769&gt;=90),AND(B769="Nữ",I769&gt;=80)),2,0)</f>
        <v>0</v>
      </c>
      <c r="Q769" s="29">
        <f>IF(OR(J769&gt;=140,K769&gt;=90),2,0)</f>
        <v>0</v>
      </c>
      <c r="R769" s="29">
        <f ca="1">SUM(L769:Q769)</f>
        <v>9</v>
      </c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5" t="s">
        <v>1393</v>
      </c>
      <c r="AE769" s="33"/>
      <c r="AF769" s="59" t="str">
        <f t="shared" si="34"/>
        <v>Không</v>
      </c>
      <c r="AG769" s="59" t="str">
        <f t="shared" si="35"/>
        <v>Không</v>
      </c>
      <c r="AH769" s="29" t="str">
        <f t="shared" ca="1" si="33"/>
        <v>Có</v>
      </c>
      <c r="AI769" s="29" t="str">
        <f ca="1">IF((R769)&gt;=6,"Có","Không")</f>
        <v>Có</v>
      </c>
      <c r="AJ769" s="29" t="str">
        <f>IF(OR(J769&gt;=140,K769&gt;=90),"Có","Không")</f>
        <v>Không</v>
      </c>
      <c r="AK769" s="5" t="s">
        <v>229</v>
      </c>
      <c r="AL769" s="32">
        <v>46142</v>
      </c>
      <c r="AM769" s="29" t="str">
        <f>"Tháng "&amp;MONTH(AL769)</f>
        <v>Tháng 4</v>
      </c>
      <c r="AN769" s="29" t="str">
        <f>LEFT(AK769,FIND(",",AK769)-1)</f>
        <v>Xã Vĩnh Trạch Đông</v>
      </c>
    </row>
    <row r="770" spans="1:40" x14ac:dyDescent="0.25">
      <c r="A770" s="49" t="s">
        <v>516</v>
      </c>
      <c r="B770" s="5" t="s">
        <v>30</v>
      </c>
      <c r="C770" s="5" t="s">
        <v>341</v>
      </c>
      <c r="D770" s="29">
        <f ca="1">DATEDIF(C770,TODAY(),"Y")</f>
        <v>51</v>
      </c>
      <c r="E770" s="5" t="s">
        <v>26</v>
      </c>
      <c r="F770" s="30">
        <v>169</v>
      </c>
      <c r="G770" s="30">
        <v>68</v>
      </c>
      <c r="H770" s="31">
        <f>G770/((F770/100)*(F770/100))</f>
        <v>23.808690171912751</v>
      </c>
      <c r="I770" s="5">
        <v>65</v>
      </c>
      <c r="J770" s="30">
        <v>110</v>
      </c>
      <c r="K770" s="30">
        <v>80</v>
      </c>
      <c r="L770" s="29">
        <f>IF(B770="Nữ",0,2)</f>
        <v>2</v>
      </c>
      <c r="M770" s="29">
        <f ca="1">IF(D770&lt;45,0,IF(D770&lt;=49,1,2))</f>
        <v>2</v>
      </c>
      <c r="N770" s="29">
        <f>IF(E770="Có",4,0)</f>
        <v>0</v>
      </c>
      <c r="O770" s="29">
        <f>IF(H770&lt;23,0,IF(H770&lt;27.5,3,5))</f>
        <v>3</v>
      </c>
      <c r="P770" s="29">
        <f>IF(OR(AND(B770="Nam",I770&gt;=90),AND(B770="Nữ",I770&gt;=80)),2,0)</f>
        <v>0</v>
      </c>
      <c r="Q770" s="29">
        <f>IF(OR(J770&gt;=140,K770&gt;=90),2,0)</f>
        <v>0</v>
      </c>
      <c r="R770" s="29">
        <f ca="1">SUM(L770:Q770)</f>
        <v>7</v>
      </c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5" t="s">
        <v>1393</v>
      </c>
      <c r="AE770" s="33"/>
      <c r="AF770" s="59" t="str">
        <f t="shared" si="34"/>
        <v>Không</v>
      </c>
      <c r="AG770" s="59" t="str">
        <f t="shared" si="35"/>
        <v>Không</v>
      </c>
      <c r="AH770" s="29" t="str">
        <f t="shared" ca="1" si="33"/>
        <v>Có</v>
      </c>
      <c r="AI770" s="29" t="str">
        <f ca="1">IF((R770)&gt;=6,"Có","Không")</f>
        <v>Có</v>
      </c>
      <c r="AJ770" s="29" t="str">
        <f>IF(OR(J770&gt;=140,K770&gt;=90),"Có","Không")</f>
        <v>Không</v>
      </c>
      <c r="AK770" s="5" t="s">
        <v>140</v>
      </c>
      <c r="AL770" s="32">
        <v>46142</v>
      </c>
      <c r="AM770" s="29" t="str">
        <f>"Tháng "&amp;MONTH(AL770)</f>
        <v>Tháng 4</v>
      </c>
      <c r="AN770" s="29" t="str">
        <f>LEFT(AK770,FIND(",",AK770)-1)</f>
        <v>Biển Tây A</v>
      </c>
    </row>
    <row r="771" spans="1:40" x14ac:dyDescent="0.25">
      <c r="A771" s="49" t="s">
        <v>517</v>
      </c>
      <c r="B771" s="5" t="s">
        <v>30</v>
      </c>
      <c r="C771" s="5" t="s">
        <v>90</v>
      </c>
      <c r="D771" s="29">
        <f ca="1">DATEDIF(C771,TODAY(),"Y")</f>
        <v>54</v>
      </c>
      <c r="E771" s="5" t="s">
        <v>26</v>
      </c>
      <c r="F771" s="30">
        <v>169</v>
      </c>
      <c r="G771" s="30">
        <v>68</v>
      </c>
      <c r="H771" s="31">
        <f>G771/((F771/100)*(F771/100))</f>
        <v>23.808690171912751</v>
      </c>
      <c r="I771" s="5">
        <v>100</v>
      </c>
      <c r="J771" s="30">
        <v>120</v>
      </c>
      <c r="K771" s="30">
        <v>80</v>
      </c>
      <c r="L771" s="29">
        <f>IF(B771="Nữ",0,2)</f>
        <v>2</v>
      </c>
      <c r="M771" s="29">
        <f ca="1">IF(D771&lt;45,0,IF(D771&lt;=49,1,2))</f>
        <v>2</v>
      </c>
      <c r="N771" s="29">
        <f>IF(E771="Có",4,0)</f>
        <v>0</v>
      </c>
      <c r="O771" s="29">
        <f>IF(H771&lt;23,0,IF(H771&lt;27.5,3,5))</f>
        <v>3</v>
      </c>
      <c r="P771" s="29">
        <f>IF(OR(AND(B771="Nam",I771&gt;=90),AND(B771="Nữ",I771&gt;=80)),2,0)</f>
        <v>2</v>
      </c>
      <c r="Q771" s="29">
        <f>IF(OR(J771&gt;=140,K771&gt;=90),2,0)</f>
        <v>0</v>
      </c>
      <c r="R771" s="29">
        <f ca="1">SUM(L771:Q771)</f>
        <v>9</v>
      </c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5" t="s">
        <v>1393</v>
      </c>
      <c r="AE771" s="33"/>
      <c r="AF771" s="59" t="str">
        <f t="shared" si="34"/>
        <v>Không</v>
      </c>
      <c r="AG771" s="59" t="str">
        <f t="shared" si="35"/>
        <v>Không</v>
      </c>
      <c r="AH771" s="29" t="str">
        <f t="shared" ca="1" si="33"/>
        <v>Có</v>
      </c>
      <c r="AI771" s="29" t="str">
        <f ca="1">IF((R771)&gt;=6,"Có","Không")</f>
        <v>Có</v>
      </c>
      <c r="AJ771" s="29" t="str">
        <f>IF(OR(J771&gt;=140,K771&gt;=90),"Có","Không")</f>
        <v>Không</v>
      </c>
      <c r="AK771" s="5" t="s">
        <v>51</v>
      </c>
      <c r="AL771" s="32">
        <v>46142</v>
      </c>
      <c r="AM771" s="29" t="str">
        <f>"Tháng "&amp;MONTH(AL771)</f>
        <v>Tháng 4</v>
      </c>
      <c r="AN771" s="29" t="str">
        <f>LEFT(AK771,FIND(",",AK771)-1)</f>
        <v>Phường Hiệp Thành</v>
      </c>
    </row>
    <row r="772" spans="1:40" x14ac:dyDescent="0.25">
      <c r="A772" s="49" t="s">
        <v>518</v>
      </c>
      <c r="B772" s="5" t="s">
        <v>23</v>
      </c>
      <c r="C772" s="5" t="s">
        <v>318</v>
      </c>
      <c r="D772" s="29">
        <f ca="1">DATEDIF(C772,TODAY(),"Y")</f>
        <v>82</v>
      </c>
      <c r="E772" s="5" t="s">
        <v>26</v>
      </c>
      <c r="F772" s="30">
        <v>158</v>
      </c>
      <c r="G772" s="30">
        <v>58</v>
      </c>
      <c r="H772" s="31">
        <f>G772/((F772/100)*(F772/100))</f>
        <v>23.233456176894723</v>
      </c>
      <c r="I772" s="5">
        <v>100</v>
      </c>
      <c r="J772" s="30">
        <v>150</v>
      </c>
      <c r="K772" s="30">
        <v>80</v>
      </c>
      <c r="L772" s="29">
        <f>IF(B772="Nữ",0,2)</f>
        <v>0</v>
      </c>
      <c r="M772" s="29">
        <f ca="1">IF(D772&lt;45,0,IF(D772&lt;=49,1,2))</f>
        <v>2</v>
      </c>
      <c r="N772" s="29">
        <f>IF(E772="Có",4,0)</f>
        <v>0</v>
      </c>
      <c r="O772" s="29">
        <f>IF(H772&lt;23,0,IF(H772&lt;27.5,3,5))</f>
        <v>3</v>
      </c>
      <c r="P772" s="29">
        <f>IF(OR(AND(B772="Nam",I772&gt;=90),AND(B772="Nữ",I772&gt;=80)),2,0)</f>
        <v>2</v>
      </c>
      <c r="Q772" s="29">
        <f>IF(OR(J772&gt;=140,K772&gt;=90),2,0)</f>
        <v>2</v>
      </c>
      <c r="R772" s="29">
        <f ca="1">SUM(L772:Q772)</f>
        <v>9</v>
      </c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5" t="s">
        <v>1393</v>
      </c>
      <c r="AE772" s="33"/>
      <c r="AF772" s="59" t="str">
        <f t="shared" si="34"/>
        <v>Không</v>
      </c>
      <c r="AG772" s="59" t="str">
        <f t="shared" si="35"/>
        <v>Không</v>
      </c>
      <c r="AH772" s="29" t="str">
        <f t="shared" ref="AH772:AH835" ca="1" si="36">IF((R772)&gt;=6,"Có","Không")</f>
        <v>Có</v>
      </c>
      <c r="AI772" s="29" t="str">
        <f ca="1">IF((R772)&gt;=6,"Có","Không")</f>
        <v>Có</v>
      </c>
      <c r="AJ772" s="29" t="str">
        <f>IF(OR(J772&gt;=140,K772&gt;=90),"Có","Không")</f>
        <v>Có</v>
      </c>
      <c r="AK772" s="5" t="s">
        <v>519</v>
      </c>
      <c r="AL772" s="32">
        <v>46142</v>
      </c>
      <c r="AM772" s="29" t="str">
        <f>"Tháng "&amp;MONTH(AL772)</f>
        <v>Tháng 4</v>
      </c>
      <c r="AN772" s="29" t="str">
        <f>LEFT(AK772,FIND(",",AK772)-1)</f>
        <v>ẤP Biển Tây A</v>
      </c>
    </row>
    <row r="773" spans="1:40" x14ac:dyDescent="0.25">
      <c r="A773" s="49" t="s">
        <v>520</v>
      </c>
      <c r="B773" s="5" t="s">
        <v>30</v>
      </c>
      <c r="C773" s="5" t="s">
        <v>155</v>
      </c>
      <c r="D773" s="29">
        <f ca="1">DATEDIF(C773,TODAY(),"Y")</f>
        <v>53</v>
      </c>
      <c r="E773" s="5" t="s">
        <v>26</v>
      </c>
      <c r="F773" s="30">
        <v>169</v>
      </c>
      <c r="G773" s="30">
        <v>68</v>
      </c>
      <c r="H773" s="31">
        <f>G773/((F773/100)*(F773/100))</f>
        <v>23.808690171912751</v>
      </c>
      <c r="I773" s="5">
        <v>96</v>
      </c>
      <c r="J773" s="30">
        <v>140</v>
      </c>
      <c r="K773" s="30">
        <v>80</v>
      </c>
      <c r="L773" s="29">
        <f>IF(B773="Nữ",0,2)</f>
        <v>2</v>
      </c>
      <c r="M773" s="29">
        <f ca="1">IF(D773&lt;45,0,IF(D773&lt;=49,1,2))</f>
        <v>2</v>
      </c>
      <c r="N773" s="29">
        <f>IF(E773="Có",4,0)</f>
        <v>0</v>
      </c>
      <c r="O773" s="29">
        <f>IF(H773&lt;23,0,IF(H773&lt;27.5,3,5))</f>
        <v>3</v>
      </c>
      <c r="P773" s="29">
        <f>IF(OR(AND(B773="Nam",I773&gt;=90),AND(B773="Nữ",I773&gt;=80)),2,0)</f>
        <v>2</v>
      </c>
      <c r="Q773" s="29">
        <f>IF(OR(J773&gt;=140,K773&gt;=90),2,0)</f>
        <v>2</v>
      </c>
      <c r="R773" s="29">
        <f ca="1">SUM(L773:Q773)</f>
        <v>11</v>
      </c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5" t="s">
        <v>1393</v>
      </c>
      <c r="AE773" s="33"/>
      <c r="AF773" s="59" t="str">
        <f t="shared" ref="AF773:AF836" si="37">IF(COUNTIF(S773:Z773,"X")&gt;=2,"Có","Không")</f>
        <v>Không</v>
      </c>
      <c r="AG773" s="59" t="str">
        <f t="shared" ref="AG773:AG836" si="38">IF(COUNTIF(AA773:AE773,"X")&gt;=3,"Có","Không")</f>
        <v>Không</v>
      </c>
      <c r="AH773" s="29" t="str">
        <f t="shared" ca="1" si="36"/>
        <v>Có</v>
      </c>
      <c r="AI773" s="29" t="str">
        <f ca="1">IF((R773)&gt;=6,"Có","Không")</f>
        <v>Có</v>
      </c>
      <c r="AJ773" s="29" t="str">
        <f>IF(OR(J773&gt;=140,K773&gt;=90),"Có","Không")</f>
        <v>Có</v>
      </c>
      <c r="AK773" s="5" t="s">
        <v>306</v>
      </c>
      <c r="AL773" s="32">
        <v>46142</v>
      </c>
      <c r="AM773" s="29" t="str">
        <f>"Tháng "&amp;MONTH(AL773)</f>
        <v>Tháng 4</v>
      </c>
      <c r="AN773" s="29" t="str">
        <f>LEFT(AK773,FIND(",",AK773)-1)</f>
        <v>Giồng Giữa A</v>
      </c>
    </row>
    <row r="774" spans="1:40" x14ac:dyDescent="0.25">
      <c r="A774" s="49" t="s">
        <v>521</v>
      </c>
      <c r="B774" s="5" t="s">
        <v>23</v>
      </c>
      <c r="C774" s="5" t="s">
        <v>155</v>
      </c>
      <c r="D774" s="29">
        <f ca="1">DATEDIF(C774,TODAY(),"Y")</f>
        <v>53</v>
      </c>
      <c r="E774" s="5" t="s">
        <v>26</v>
      </c>
      <c r="F774" s="30">
        <v>150</v>
      </c>
      <c r="G774" s="30">
        <v>45</v>
      </c>
      <c r="H774" s="31">
        <f>G774/((F774/100)*(F774/100))</f>
        <v>20</v>
      </c>
      <c r="I774" s="5">
        <v>90</v>
      </c>
      <c r="J774" s="30">
        <v>120</v>
      </c>
      <c r="K774" s="30">
        <v>70</v>
      </c>
      <c r="L774" s="29">
        <f>IF(B774="Nữ",0,2)</f>
        <v>0</v>
      </c>
      <c r="M774" s="29">
        <f ca="1">IF(D774&lt;45,0,IF(D774&lt;=49,1,2))</f>
        <v>2</v>
      </c>
      <c r="N774" s="29">
        <f>IF(E774="Có",4,0)</f>
        <v>0</v>
      </c>
      <c r="O774" s="29">
        <f>IF(H774&lt;23,0,IF(H774&lt;27.5,3,5))</f>
        <v>0</v>
      </c>
      <c r="P774" s="29">
        <f>IF(OR(AND(B774="Nam",I774&gt;=90),AND(B774="Nữ",I774&gt;=80)),2,0)</f>
        <v>2</v>
      </c>
      <c r="Q774" s="29">
        <f>IF(OR(J774&gt;=140,K774&gt;=90),2,0)</f>
        <v>0</v>
      </c>
      <c r="R774" s="29">
        <f ca="1">SUM(L774:Q774)</f>
        <v>4</v>
      </c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5" t="s">
        <v>1393</v>
      </c>
      <c r="AE774" s="33"/>
      <c r="AF774" s="59" t="str">
        <f t="shared" si="37"/>
        <v>Không</v>
      </c>
      <c r="AG774" s="59" t="str">
        <f t="shared" si="38"/>
        <v>Không</v>
      </c>
      <c r="AH774" s="29" t="str">
        <f t="shared" ca="1" si="36"/>
        <v>Không</v>
      </c>
      <c r="AI774" s="29" t="str">
        <f ca="1">IF((R774)&gt;=6,"Có","Không")</f>
        <v>Không</v>
      </c>
      <c r="AJ774" s="29" t="str">
        <f>IF(OR(J774&gt;=140,K774&gt;=90),"Có","Không")</f>
        <v>Không</v>
      </c>
      <c r="AK774" s="5" t="s">
        <v>365</v>
      </c>
      <c r="AL774" s="32">
        <v>46142</v>
      </c>
      <c r="AM774" s="29" t="str">
        <f>"Tháng "&amp;MONTH(AL774)</f>
        <v>Tháng 4</v>
      </c>
      <c r="AN774" s="29" t="str">
        <f>LEFT(AK774,FIND(",",AK774)-1)</f>
        <v>Phường Bạc Liêu</v>
      </c>
    </row>
    <row r="775" spans="1:40" x14ac:dyDescent="0.25">
      <c r="A775" s="49" t="s">
        <v>523</v>
      </c>
      <c r="B775" s="5" t="s">
        <v>30</v>
      </c>
      <c r="C775" s="5" t="s">
        <v>84</v>
      </c>
      <c r="D775" s="29">
        <f ca="1">DATEDIF(C775,TODAY(),"Y")</f>
        <v>69</v>
      </c>
      <c r="E775" s="5" t="s">
        <v>26</v>
      </c>
      <c r="F775" s="30">
        <v>169</v>
      </c>
      <c r="G775" s="30">
        <v>68</v>
      </c>
      <c r="H775" s="31">
        <f>G775/((F775/100)*(F775/100))</f>
        <v>23.808690171912751</v>
      </c>
      <c r="I775" s="5">
        <v>85</v>
      </c>
      <c r="J775" s="30">
        <v>120</v>
      </c>
      <c r="K775" s="30">
        <v>80</v>
      </c>
      <c r="L775" s="29">
        <f>IF(B775="Nữ",0,2)</f>
        <v>2</v>
      </c>
      <c r="M775" s="29">
        <f ca="1">IF(D775&lt;45,0,IF(D775&lt;=49,1,2))</f>
        <v>2</v>
      </c>
      <c r="N775" s="29">
        <f>IF(E775="Có",4,0)</f>
        <v>0</v>
      </c>
      <c r="O775" s="29">
        <f>IF(H775&lt;23,0,IF(H775&lt;27.5,3,5))</f>
        <v>3</v>
      </c>
      <c r="P775" s="29">
        <f>IF(OR(AND(B775="Nam",I775&gt;=90),AND(B775="Nữ",I775&gt;=80)),2,0)</f>
        <v>0</v>
      </c>
      <c r="Q775" s="29">
        <f>IF(OR(J775&gt;=140,K775&gt;=90),2,0)</f>
        <v>0</v>
      </c>
      <c r="R775" s="29">
        <f ca="1">SUM(L775:Q775)</f>
        <v>7</v>
      </c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5" t="s">
        <v>1393</v>
      </c>
      <c r="AE775" s="33"/>
      <c r="AF775" s="59" t="str">
        <f t="shared" si="37"/>
        <v>Không</v>
      </c>
      <c r="AG775" s="59" t="str">
        <f t="shared" si="38"/>
        <v>Không</v>
      </c>
      <c r="AH775" s="29" t="str">
        <f t="shared" ca="1" si="36"/>
        <v>Có</v>
      </c>
      <c r="AI775" s="29" t="str">
        <f ca="1">IF((R775)&gt;=6,"Có","Không")</f>
        <v>Có</v>
      </c>
      <c r="AJ775" s="29" t="str">
        <f>IF(OR(J775&gt;=140,K775&gt;=90),"Có","Không")</f>
        <v>Không</v>
      </c>
      <c r="AK775" s="5" t="s">
        <v>524</v>
      </c>
      <c r="AL775" s="32">
        <v>46142</v>
      </c>
      <c r="AM775" s="29" t="str">
        <f>"Tháng "&amp;MONTH(AL775)</f>
        <v>Tháng 4</v>
      </c>
      <c r="AN775" s="29" t="str">
        <f>LEFT(AK775,FIND(",",AK775)-1)</f>
        <v>Khóm Giồng Giữa A</v>
      </c>
    </row>
    <row r="776" spans="1:40" x14ac:dyDescent="0.25">
      <c r="A776" s="49" t="s">
        <v>525</v>
      </c>
      <c r="B776" s="5" t="s">
        <v>23</v>
      </c>
      <c r="C776" s="5" t="s">
        <v>188</v>
      </c>
      <c r="D776" s="29">
        <f ca="1">DATEDIF(C776,TODAY(),"Y")</f>
        <v>63</v>
      </c>
      <c r="E776" s="5" t="s">
        <v>26</v>
      </c>
      <c r="F776" s="30">
        <v>160</v>
      </c>
      <c r="G776" s="30">
        <v>80</v>
      </c>
      <c r="H776" s="31">
        <f>G776/((F776/100)*(F776/100))</f>
        <v>31.249999999999993</v>
      </c>
      <c r="I776" s="5">
        <v>76</v>
      </c>
      <c r="J776" s="30">
        <v>120</v>
      </c>
      <c r="K776" s="30">
        <v>70</v>
      </c>
      <c r="L776" s="29">
        <f>IF(B776="Nữ",0,2)</f>
        <v>0</v>
      </c>
      <c r="M776" s="29">
        <f ca="1">IF(D776&lt;45,0,IF(D776&lt;=49,1,2))</f>
        <v>2</v>
      </c>
      <c r="N776" s="29">
        <f>IF(E776="Có",4,0)</f>
        <v>0</v>
      </c>
      <c r="O776" s="29">
        <f>IF(H776&lt;23,0,IF(H776&lt;27.5,3,5))</f>
        <v>5</v>
      </c>
      <c r="P776" s="29">
        <f>IF(OR(AND(B776="Nam",I776&gt;=90),AND(B776="Nữ",I776&gt;=80)),2,0)</f>
        <v>0</v>
      </c>
      <c r="Q776" s="29">
        <f>IF(OR(J776&gt;=140,K776&gt;=90),2,0)</f>
        <v>0</v>
      </c>
      <c r="R776" s="29">
        <f ca="1">SUM(L776:Q776)</f>
        <v>7</v>
      </c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5" t="s">
        <v>1393</v>
      </c>
      <c r="AE776" s="33"/>
      <c r="AF776" s="59" t="str">
        <f t="shared" si="37"/>
        <v>Không</v>
      </c>
      <c r="AG776" s="59" t="str">
        <f t="shared" si="38"/>
        <v>Không</v>
      </c>
      <c r="AH776" s="29" t="str">
        <f t="shared" ca="1" si="36"/>
        <v>Có</v>
      </c>
      <c r="AI776" s="29" t="str">
        <f ca="1">IF((R776)&gt;=6,"Có","Không")</f>
        <v>Có</v>
      </c>
      <c r="AJ776" s="29" t="str">
        <f>IF(OR(J776&gt;=140,K776&gt;=90),"Có","Không")</f>
        <v>Không</v>
      </c>
      <c r="AK776" s="5" t="s">
        <v>43</v>
      </c>
      <c r="AL776" s="32">
        <v>46142</v>
      </c>
      <c r="AM776" s="29" t="str">
        <f>"Tháng "&amp;MONTH(AL776)</f>
        <v>Tháng 4</v>
      </c>
      <c r="AN776" s="29" t="str">
        <f>LEFT(AK776,FIND(",",AK776)-1)</f>
        <v>Ấp Giồng Nhãn A</v>
      </c>
    </row>
    <row r="777" spans="1:40" x14ac:dyDescent="0.25">
      <c r="A777" s="49" t="s">
        <v>536</v>
      </c>
      <c r="B777" s="5" t="s">
        <v>23</v>
      </c>
      <c r="C777" s="5" t="s">
        <v>133</v>
      </c>
      <c r="D777" s="29">
        <f ca="1">DATEDIF(C777,TODAY(),"Y")</f>
        <v>56</v>
      </c>
      <c r="E777" s="5" t="s">
        <v>26</v>
      </c>
      <c r="F777" s="30">
        <v>158</v>
      </c>
      <c r="G777" s="30">
        <v>58</v>
      </c>
      <c r="H777" s="31">
        <f>G777/((F777/100)*(F777/100))</f>
        <v>23.233456176894723</v>
      </c>
      <c r="I777" s="5">
        <v>77</v>
      </c>
      <c r="J777" s="30">
        <v>120</v>
      </c>
      <c r="K777" s="30">
        <v>80</v>
      </c>
      <c r="L777" s="29">
        <f>IF(B777="Nữ",0,2)</f>
        <v>0</v>
      </c>
      <c r="M777" s="29">
        <f ca="1">IF(D777&lt;45,0,IF(D777&lt;=49,1,2))</f>
        <v>2</v>
      </c>
      <c r="N777" s="29">
        <f>IF(E777="Có",4,0)</f>
        <v>0</v>
      </c>
      <c r="O777" s="29">
        <f>IF(H777&lt;23,0,IF(H777&lt;27.5,3,5))</f>
        <v>3</v>
      </c>
      <c r="P777" s="29">
        <f>IF(OR(AND(B777="Nam",I777&gt;=90),AND(B777="Nữ",I777&gt;=80)),2,0)</f>
        <v>0</v>
      </c>
      <c r="Q777" s="29">
        <f>IF(OR(J777&gt;=140,K777&gt;=90),2,0)</f>
        <v>0</v>
      </c>
      <c r="R777" s="29">
        <f ca="1">SUM(L777:Q777)</f>
        <v>5</v>
      </c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5" t="s">
        <v>1393</v>
      </c>
      <c r="AE777" s="33"/>
      <c r="AF777" s="59" t="str">
        <f t="shared" si="37"/>
        <v>Không</v>
      </c>
      <c r="AG777" s="59" t="str">
        <f t="shared" si="38"/>
        <v>Không</v>
      </c>
      <c r="AH777" s="29" t="str">
        <f t="shared" ca="1" si="36"/>
        <v>Không</v>
      </c>
      <c r="AI777" s="29" t="str">
        <f ca="1">IF((R777)&gt;=6,"Có","Không")</f>
        <v>Không</v>
      </c>
      <c r="AJ777" s="29" t="str">
        <f>IF(OR(J777&gt;=140,K777&gt;=90),"Có","Không")</f>
        <v>Không</v>
      </c>
      <c r="AK777" s="5" t="s">
        <v>51</v>
      </c>
      <c r="AL777" s="32">
        <v>46142</v>
      </c>
      <c r="AM777" s="29" t="str">
        <f>"Tháng "&amp;MONTH(AL777)</f>
        <v>Tháng 4</v>
      </c>
      <c r="AN777" s="29" t="str">
        <f>LEFT(AK777,FIND(",",AK777)-1)</f>
        <v>Phường Hiệp Thành</v>
      </c>
    </row>
    <row r="778" spans="1:40" x14ac:dyDescent="0.25">
      <c r="A778" s="49" t="s">
        <v>540</v>
      </c>
      <c r="B778" s="5" t="s">
        <v>30</v>
      </c>
      <c r="C778" s="5" t="s">
        <v>146</v>
      </c>
      <c r="D778" s="29">
        <f ca="1">DATEDIF(C778,TODAY(),"Y")</f>
        <v>52</v>
      </c>
      <c r="E778" s="5" t="s">
        <v>26</v>
      </c>
      <c r="F778" s="30">
        <v>160</v>
      </c>
      <c r="G778" s="30">
        <v>50</v>
      </c>
      <c r="H778" s="31">
        <f>G778/((F778/100)*(F778/100))</f>
        <v>19.531249999999996</v>
      </c>
      <c r="I778" s="5">
        <v>97</v>
      </c>
      <c r="J778" s="30">
        <v>130</v>
      </c>
      <c r="K778" s="30">
        <v>80</v>
      </c>
      <c r="L778" s="29">
        <f>IF(B778="Nữ",0,2)</f>
        <v>2</v>
      </c>
      <c r="M778" s="29">
        <f ca="1">IF(D778&lt;45,0,IF(D778&lt;=49,1,2))</f>
        <v>2</v>
      </c>
      <c r="N778" s="29">
        <f>IF(E778="Có",4,0)</f>
        <v>0</v>
      </c>
      <c r="O778" s="29">
        <f>IF(H778&lt;23,0,IF(H778&lt;27.5,3,5))</f>
        <v>0</v>
      </c>
      <c r="P778" s="29">
        <f>IF(OR(AND(B778="Nam",I778&gt;=90),AND(B778="Nữ",I778&gt;=80)),2,0)</f>
        <v>2</v>
      </c>
      <c r="Q778" s="29">
        <f>IF(OR(J778&gt;=140,K778&gt;=90),2,0)</f>
        <v>0</v>
      </c>
      <c r="R778" s="29">
        <f ca="1">SUM(L778:Q778)</f>
        <v>6</v>
      </c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5" t="s">
        <v>1393</v>
      </c>
      <c r="AE778" s="33"/>
      <c r="AF778" s="59" t="str">
        <f t="shared" si="37"/>
        <v>Không</v>
      </c>
      <c r="AG778" s="59" t="str">
        <f t="shared" si="38"/>
        <v>Không</v>
      </c>
      <c r="AH778" s="29" t="str">
        <f t="shared" ca="1" si="36"/>
        <v>Có</v>
      </c>
      <c r="AI778" s="29" t="str">
        <f ca="1">IF((R778)&gt;=6,"Có","Không")</f>
        <v>Có</v>
      </c>
      <c r="AJ778" s="29" t="str">
        <f>IF(OR(J778&gt;=140,K778&gt;=90),"Có","Không")</f>
        <v>Không</v>
      </c>
      <c r="AK778" s="5" t="s">
        <v>68</v>
      </c>
      <c r="AL778" s="32">
        <v>46142</v>
      </c>
      <c r="AM778" s="29" t="str">
        <f>"Tháng "&amp;MONTH(AL778)</f>
        <v>Tháng 4</v>
      </c>
      <c r="AN778" s="29" t="str">
        <f>LEFT(AK778,FIND(",",AK778)-1)</f>
        <v>Ấp Biển Tây B</v>
      </c>
    </row>
    <row r="779" spans="1:40" x14ac:dyDescent="0.25">
      <c r="A779" s="49" t="s">
        <v>541</v>
      </c>
      <c r="B779" s="5" t="s">
        <v>23</v>
      </c>
      <c r="C779" s="5" t="s">
        <v>300</v>
      </c>
      <c r="D779" s="29">
        <f ca="1">DATEDIF(C779,TODAY(),"Y")</f>
        <v>80</v>
      </c>
      <c r="E779" s="5" t="s">
        <v>26</v>
      </c>
      <c r="F779" s="30">
        <v>155</v>
      </c>
      <c r="G779" s="30">
        <v>63</v>
      </c>
      <c r="H779" s="31">
        <f>G779/((F779/100)*(F779/100))</f>
        <v>26.22268470343392</v>
      </c>
      <c r="I779" s="5">
        <v>86</v>
      </c>
      <c r="J779" s="30">
        <v>120</v>
      </c>
      <c r="K779" s="30">
        <v>80</v>
      </c>
      <c r="L779" s="29">
        <f>IF(B779="Nữ",0,2)</f>
        <v>0</v>
      </c>
      <c r="M779" s="29">
        <f ca="1">IF(D779&lt;45,0,IF(D779&lt;=49,1,2))</f>
        <v>2</v>
      </c>
      <c r="N779" s="29">
        <f>IF(E779="Có",4,0)</f>
        <v>0</v>
      </c>
      <c r="O779" s="29">
        <f>IF(H779&lt;23,0,IF(H779&lt;27.5,3,5))</f>
        <v>3</v>
      </c>
      <c r="P779" s="29">
        <f>IF(OR(AND(B779="Nam",I779&gt;=90),AND(B779="Nữ",I779&gt;=80)),2,0)</f>
        <v>2</v>
      </c>
      <c r="Q779" s="29">
        <f>IF(OR(J779&gt;=140,K779&gt;=90),2,0)</f>
        <v>0</v>
      </c>
      <c r="R779" s="29">
        <f ca="1">SUM(L779:Q779)</f>
        <v>7</v>
      </c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5" t="s">
        <v>1393</v>
      </c>
      <c r="AE779" s="33"/>
      <c r="AF779" s="59" t="str">
        <f t="shared" si="37"/>
        <v>Không</v>
      </c>
      <c r="AG779" s="59" t="str">
        <f t="shared" si="38"/>
        <v>Không</v>
      </c>
      <c r="AH779" s="29" t="str">
        <f t="shared" ca="1" si="36"/>
        <v>Có</v>
      </c>
      <c r="AI779" s="29" t="str">
        <f ca="1">IF((R779)&gt;=6,"Có","Không")</f>
        <v>Có</v>
      </c>
      <c r="AJ779" s="29" t="str">
        <f>IF(OR(J779&gt;=140,K779&gt;=90),"Có","Không")</f>
        <v>Không</v>
      </c>
      <c r="AK779" s="5" t="s">
        <v>542</v>
      </c>
      <c r="AL779" s="32">
        <v>46142</v>
      </c>
      <c r="AM779" s="29" t="str">
        <f>"Tháng "&amp;MONTH(AL779)</f>
        <v>Tháng 4</v>
      </c>
      <c r="AN779" s="29" t="str">
        <f>LEFT(AK779,FIND(",",AK779)-1)</f>
        <v>Ấp Giồng Nhãn A</v>
      </c>
    </row>
    <row r="780" spans="1:40" x14ac:dyDescent="0.25">
      <c r="A780" s="49" t="s">
        <v>543</v>
      </c>
      <c r="B780" s="5" t="s">
        <v>30</v>
      </c>
      <c r="C780" s="5" t="s">
        <v>47</v>
      </c>
      <c r="D780" s="29">
        <f ca="1">DATEDIF(C780,TODAY(),"Y")</f>
        <v>55</v>
      </c>
      <c r="E780" s="5" t="s">
        <v>26</v>
      </c>
      <c r="F780" s="30">
        <v>169</v>
      </c>
      <c r="G780" s="30">
        <v>68</v>
      </c>
      <c r="H780" s="31">
        <f>G780/((F780/100)*(F780/100))</f>
        <v>23.808690171912751</v>
      </c>
      <c r="I780" s="5">
        <v>75</v>
      </c>
      <c r="J780" s="30">
        <v>140</v>
      </c>
      <c r="K780" s="30">
        <v>80</v>
      </c>
      <c r="L780" s="29">
        <f>IF(B780="Nữ",0,2)</f>
        <v>2</v>
      </c>
      <c r="M780" s="29">
        <f ca="1">IF(D780&lt;45,0,IF(D780&lt;=49,1,2))</f>
        <v>2</v>
      </c>
      <c r="N780" s="29">
        <f>IF(E780="Có",4,0)</f>
        <v>0</v>
      </c>
      <c r="O780" s="29">
        <f>IF(H780&lt;23,0,IF(H780&lt;27.5,3,5))</f>
        <v>3</v>
      </c>
      <c r="P780" s="29">
        <f>IF(OR(AND(B780="Nam",I780&gt;=90),AND(B780="Nữ",I780&gt;=80)),2,0)</f>
        <v>0</v>
      </c>
      <c r="Q780" s="29">
        <f>IF(OR(J780&gt;=140,K780&gt;=90),2,0)</f>
        <v>2</v>
      </c>
      <c r="R780" s="29">
        <f ca="1">SUM(L780:Q780)</f>
        <v>9</v>
      </c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5" t="s">
        <v>1393</v>
      </c>
      <c r="AE780" s="33"/>
      <c r="AF780" s="59" t="str">
        <f t="shared" si="37"/>
        <v>Không</v>
      </c>
      <c r="AG780" s="59" t="str">
        <f t="shared" si="38"/>
        <v>Không</v>
      </c>
      <c r="AH780" s="29" t="str">
        <f t="shared" ca="1" si="36"/>
        <v>Có</v>
      </c>
      <c r="AI780" s="29" t="str">
        <f ca="1">IF((R780)&gt;=6,"Có","Không")</f>
        <v>Có</v>
      </c>
      <c r="AJ780" s="29" t="str">
        <f>IF(OR(J780&gt;=140,K780&gt;=90),"Có","Không")</f>
        <v>Có</v>
      </c>
      <c r="AK780" s="5" t="s">
        <v>381</v>
      </c>
      <c r="AL780" s="32">
        <v>46142</v>
      </c>
      <c r="AM780" s="29" t="str">
        <f>"Tháng "&amp;MONTH(AL780)</f>
        <v>Tháng 4</v>
      </c>
      <c r="AN780" s="29" t="str">
        <f>LEFT(AK780,FIND(",",AK780)-1)</f>
        <v>Ấp Biển Đông B</v>
      </c>
    </row>
    <row r="781" spans="1:40" x14ac:dyDescent="0.25">
      <c r="A781" s="49" t="s">
        <v>544</v>
      </c>
      <c r="B781" s="5" t="s">
        <v>23</v>
      </c>
      <c r="C781" s="5" t="s">
        <v>93</v>
      </c>
      <c r="D781" s="29">
        <f ca="1">DATEDIF(C781,TODAY(),"Y")</f>
        <v>66</v>
      </c>
      <c r="E781" s="5" t="s">
        <v>26</v>
      </c>
      <c r="F781" s="30">
        <v>158</v>
      </c>
      <c r="G781" s="30">
        <v>58</v>
      </c>
      <c r="H781" s="31">
        <f>G781/((F781/100)*(F781/100))</f>
        <v>23.233456176894723</v>
      </c>
      <c r="I781" s="5">
        <v>82</v>
      </c>
      <c r="J781" s="30">
        <v>120</v>
      </c>
      <c r="K781" s="30">
        <v>80</v>
      </c>
      <c r="L781" s="29">
        <f>IF(B781="Nữ",0,2)</f>
        <v>0</v>
      </c>
      <c r="M781" s="29">
        <f ca="1">IF(D781&lt;45,0,IF(D781&lt;=49,1,2))</f>
        <v>2</v>
      </c>
      <c r="N781" s="29">
        <f>IF(E781="Có",4,0)</f>
        <v>0</v>
      </c>
      <c r="O781" s="29">
        <f>IF(H781&lt;23,0,IF(H781&lt;27.5,3,5))</f>
        <v>3</v>
      </c>
      <c r="P781" s="29">
        <f>IF(OR(AND(B781="Nam",I781&gt;=90),AND(B781="Nữ",I781&gt;=80)),2,0)</f>
        <v>2</v>
      </c>
      <c r="Q781" s="29">
        <f>IF(OR(J781&gt;=140,K781&gt;=90),2,0)</f>
        <v>0</v>
      </c>
      <c r="R781" s="29">
        <f ca="1">SUM(L781:Q781)</f>
        <v>7</v>
      </c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5" t="s">
        <v>1393</v>
      </c>
      <c r="AE781" s="33"/>
      <c r="AF781" s="59" t="str">
        <f t="shared" si="37"/>
        <v>Không</v>
      </c>
      <c r="AG781" s="59" t="str">
        <f t="shared" si="38"/>
        <v>Không</v>
      </c>
      <c r="AH781" s="29" t="str">
        <f t="shared" ca="1" si="36"/>
        <v>Có</v>
      </c>
      <c r="AI781" s="29" t="str">
        <f ca="1">IF((R781)&gt;=6,"Có","Không")</f>
        <v>Có</v>
      </c>
      <c r="AJ781" s="29" t="str">
        <f>IF(OR(J781&gt;=140,K781&gt;=90),"Có","Không")</f>
        <v>Không</v>
      </c>
      <c r="AK781" s="5" t="s">
        <v>246</v>
      </c>
      <c r="AL781" s="32">
        <v>46142</v>
      </c>
      <c r="AM781" s="29" t="str">
        <f>"Tháng "&amp;MONTH(AL781)</f>
        <v>Tháng 4</v>
      </c>
      <c r="AN781" s="29" t="str">
        <f>LEFT(AK781,FIND(",",AK781)-1)</f>
        <v>ấp Biển Tây B</v>
      </c>
    </row>
    <row r="782" spans="1:40" x14ac:dyDescent="0.25">
      <c r="A782" s="49" t="s">
        <v>545</v>
      </c>
      <c r="B782" s="5" t="s">
        <v>30</v>
      </c>
      <c r="C782" s="5" t="s">
        <v>110</v>
      </c>
      <c r="D782" s="29">
        <f ca="1">DATEDIF(C782,TODAY(),"Y")</f>
        <v>62</v>
      </c>
      <c r="E782" s="5" t="s">
        <v>26</v>
      </c>
      <c r="F782" s="30">
        <v>170</v>
      </c>
      <c r="G782" s="30">
        <v>62</v>
      </c>
      <c r="H782" s="31">
        <f>G782/((F782/100)*(F782/100))</f>
        <v>21.453287197231838</v>
      </c>
      <c r="I782" s="5">
        <v>88</v>
      </c>
      <c r="J782" s="30">
        <v>120</v>
      </c>
      <c r="K782" s="30">
        <v>80</v>
      </c>
      <c r="L782" s="29">
        <f>IF(B782="Nữ",0,2)</f>
        <v>2</v>
      </c>
      <c r="M782" s="29">
        <f ca="1">IF(D782&lt;45,0,IF(D782&lt;=49,1,2))</f>
        <v>2</v>
      </c>
      <c r="N782" s="29">
        <f>IF(E782="Có",4,0)</f>
        <v>0</v>
      </c>
      <c r="O782" s="29">
        <f>IF(H782&lt;23,0,IF(H782&lt;27.5,3,5))</f>
        <v>0</v>
      </c>
      <c r="P782" s="29">
        <f>IF(OR(AND(B782="Nam",I782&gt;=90),AND(B782="Nữ",I782&gt;=80)),2,0)</f>
        <v>0</v>
      </c>
      <c r="Q782" s="29">
        <f>IF(OR(J782&gt;=140,K782&gt;=90),2,0)</f>
        <v>0</v>
      </c>
      <c r="R782" s="29">
        <f ca="1">SUM(L782:Q782)</f>
        <v>4</v>
      </c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5" t="s">
        <v>1393</v>
      </c>
      <c r="AE782" s="33"/>
      <c r="AF782" s="59" t="str">
        <f t="shared" si="37"/>
        <v>Không</v>
      </c>
      <c r="AG782" s="59" t="str">
        <f t="shared" si="38"/>
        <v>Không</v>
      </c>
      <c r="AH782" s="29" t="str">
        <f t="shared" ca="1" si="36"/>
        <v>Không</v>
      </c>
      <c r="AI782" s="29" t="str">
        <f ca="1">IF((R782)&gt;=6,"Có","Không")</f>
        <v>Không</v>
      </c>
      <c r="AJ782" s="29" t="str">
        <f>IF(OR(J782&gt;=140,K782&gt;=90),"Có","Không")</f>
        <v>Không</v>
      </c>
      <c r="AK782" s="5" t="s">
        <v>43</v>
      </c>
      <c r="AL782" s="32">
        <v>46142</v>
      </c>
      <c r="AM782" s="29" t="str">
        <f>"Tháng "&amp;MONTH(AL782)</f>
        <v>Tháng 4</v>
      </c>
      <c r="AN782" s="29" t="str">
        <f>LEFT(AK782,FIND(",",AK782)-1)</f>
        <v>Ấp Giồng Nhãn A</v>
      </c>
    </row>
    <row r="783" spans="1:40" x14ac:dyDescent="0.25">
      <c r="A783" s="49" t="s">
        <v>546</v>
      </c>
      <c r="B783" s="5" t="s">
        <v>23</v>
      </c>
      <c r="C783" s="5" t="s">
        <v>155</v>
      </c>
      <c r="D783" s="29">
        <f ca="1">DATEDIF(C783,TODAY(),"Y")</f>
        <v>53</v>
      </c>
      <c r="E783" s="5" t="s">
        <v>26</v>
      </c>
      <c r="F783" s="30">
        <v>155</v>
      </c>
      <c r="G783" s="30">
        <v>55</v>
      </c>
      <c r="H783" s="31">
        <f>G783/((F783/100)*(F783/100))</f>
        <v>22.892819979188342</v>
      </c>
      <c r="I783" s="5">
        <v>88</v>
      </c>
      <c r="J783" s="30">
        <v>140</v>
      </c>
      <c r="K783" s="30">
        <v>80</v>
      </c>
      <c r="L783" s="29">
        <f>IF(B783="Nữ",0,2)</f>
        <v>0</v>
      </c>
      <c r="M783" s="29">
        <f ca="1">IF(D783&lt;45,0,IF(D783&lt;=49,1,2))</f>
        <v>2</v>
      </c>
      <c r="N783" s="29">
        <f>IF(E783="Có",4,0)</f>
        <v>0</v>
      </c>
      <c r="O783" s="29">
        <f>IF(H783&lt;23,0,IF(H783&lt;27.5,3,5))</f>
        <v>0</v>
      </c>
      <c r="P783" s="29">
        <f>IF(OR(AND(B783="Nam",I783&gt;=90),AND(B783="Nữ",I783&gt;=80)),2,0)</f>
        <v>2</v>
      </c>
      <c r="Q783" s="29">
        <f>IF(OR(J783&gt;=140,K783&gt;=90),2,0)</f>
        <v>2</v>
      </c>
      <c r="R783" s="29">
        <f ca="1">SUM(L783:Q783)</f>
        <v>6</v>
      </c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5" t="s">
        <v>1393</v>
      </c>
      <c r="AE783" s="33"/>
      <c r="AF783" s="59" t="str">
        <f t="shared" si="37"/>
        <v>Không</v>
      </c>
      <c r="AG783" s="59" t="str">
        <f t="shared" si="38"/>
        <v>Không</v>
      </c>
      <c r="AH783" s="29" t="str">
        <f t="shared" ca="1" si="36"/>
        <v>Có</v>
      </c>
      <c r="AI783" s="29" t="str">
        <f ca="1">IF((R783)&gt;=6,"Có","Không")</f>
        <v>Có</v>
      </c>
      <c r="AJ783" s="29" t="str">
        <f>IF(OR(J783&gt;=140,K783&gt;=90),"Có","Không")</f>
        <v>Có</v>
      </c>
      <c r="AK783" s="5" t="s">
        <v>51</v>
      </c>
      <c r="AL783" s="32">
        <v>46142</v>
      </c>
      <c r="AM783" s="29" t="str">
        <f>"Tháng "&amp;MONTH(AL783)</f>
        <v>Tháng 4</v>
      </c>
      <c r="AN783" s="29" t="str">
        <f>LEFT(AK783,FIND(",",AK783)-1)</f>
        <v>Phường Hiệp Thành</v>
      </c>
    </row>
    <row r="784" spans="1:40" x14ac:dyDescent="0.25">
      <c r="A784" s="49" t="s">
        <v>547</v>
      </c>
      <c r="B784" s="5" t="s">
        <v>23</v>
      </c>
      <c r="C784" s="5" t="s">
        <v>115</v>
      </c>
      <c r="D784" s="29">
        <f ca="1">DATEDIF(C784,TODAY(),"Y")</f>
        <v>40</v>
      </c>
      <c r="E784" s="5" t="s">
        <v>25</v>
      </c>
      <c r="F784" s="30">
        <v>160</v>
      </c>
      <c r="G784" s="30">
        <v>80</v>
      </c>
      <c r="H784" s="31">
        <f>G784/((F784/100)*(F784/100))</f>
        <v>31.249999999999993</v>
      </c>
      <c r="I784" s="5">
        <v>89</v>
      </c>
      <c r="J784" s="30">
        <v>120</v>
      </c>
      <c r="K784" s="30">
        <v>80</v>
      </c>
      <c r="L784" s="29">
        <f>IF(B784="Nữ",0,2)</f>
        <v>0</v>
      </c>
      <c r="M784" s="29">
        <f ca="1">IF(D784&lt;45,0,IF(D784&lt;=49,1,2))</f>
        <v>0</v>
      </c>
      <c r="N784" s="29">
        <f>IF(E784="Có",4,0)</f>
        <v>4</v>
      </c>
      <c r="O784" s="29">
        <f>IF(H784&lt;23,0,IF(H784&lt;27.5,3,5))</f>
        <v>5</v>
      </c>
      <c r="P784" s="29">
        <f>IF(OR(AND(B784="Nam",I784&gt;=90),AND(B784="Nữ",I784&gt;=80)),2,0)</f>
        <v>2</v>
      </c>
      <c r="Q784" s="29">
        <f>IF(OR(J784&gt;=140,K784&gt;=90),2,0)</f>
        <v>0</v>
      </c>
      <c r="R784" s="29">
        <f ca="1">SUM(L784:Q784)</f>
        <v>11</v>
      </c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5" t="s">
        <v>1393</v>
      </c>
      <c r="AE784" s="33"/>
      <c r="AF784" s="59" t="str">
        <f t="shared" si="37"/>
        <v>Không</v>
      </c>
      <c r="AG784" s="59" t="str">
        <f t="shared" si="38"/>
        <v>Không</v>
      </c>
      <c r="AH784" s="29" t="str">
        <f t="shared" ca="1" si="36"/>
        <v>Có</v>
      </c>
      <c r="AI784" s="29" t="str">
        <f ca="1">IF((R784)&gt;=6,"Có","Không")</f>
        <v>Có</v>
      </c>
      <c r="AJ784" s="29" t="str">
        <f>IF(OR(J784&gt;=140,K784&gt;=90),"Có","Không")</f>
        <v>Không</v>
      </c>
      <c r="AK784" s="5" t="s">
        <v>68</v>
      </c>
      <c r="AL784" s="32">
        <v>46142</v>
      </c>
      <c r="AM784" s="29" t="str">
        <f>"Tháng "&amp;MONTH(AL784)</f>
        <v>Tháng 4</v>
      </c>
      <c r="AN784" s="29" t="str">
        <f>LEFT(AK784,FIND(",",AK784)-1)</f>
        <v>Ấp Biển Tây B</v>
      </c>
    </row>
    <row r="785" spans="1:40" x14ac:dyDescent="0.25">
      <c r="A785" s="49" t="s">
        <v>548</v>
      </c>
      <c r="B785" s="5" t="s">
        <v>23</v>
      </c>
      <c r="C785" s="5" t="s">
        <v>84</v>
      </c>
      <c r="D785" s="29">
        <f ca="1">DATEDIF(C785,TODAY(),"Y")</f>
        <v>69</v>
      </c>
      <c r="E785" s="5" t="s">
        <v>25</v>
      </c>
      <c r="F785" s="30">
        <v>155</v>
      </c>
      <c r="G785" s="30">
        <v>63</v>
      </c>
      <c r="H785" s="31">
        <f>G785/((F785/100)*(F785/100))</f>
        <v>26.22268470343392</v>
      </c>
      <c r="I785" s="5">
        <v>73</v>
      </c>
      <c r="J785" s="30">
        <v>120</v>
      </c>
      <c r="K785" s="30">
        <v>80</v>
      </c>
      <c r="L785" s="29">
        <f>IF(B785="Nữ",0,2)</f>
        <v>0</v>
      </c>
      <c r="M785" s="29">
        <f ca="1">IF(D785&lt;45,0,IF(D785&lt;=49,1,2))</f>
        <v>2</v>
      </c>
      <c r="N785" s="29">
        <f>IF(E785="Có",4,0)</f>
        <v>4</v>
      </c>
      <c r="O785" s="29">
        <f>IF(H785&lt;23,0,IF(H785&lt;27.5,3,5))</f>
        <v>3</v>
      </c>
      <c r="P785" s="29">
        <f>IF(OR(AND(B785="Nam",I785&gt;=90),AND(B785="Nữ",I785&gt;=80)),2,0)</f>
        <v>0</v>
      </c>
      <c r="Q785" s="29">
        <f>IF(OR(J785&gt;=140,K785&gt;=90),2,0)</f>
        <v>0</v>
      </c>
      <c r="R785" s="29">
        <f ca="1">SUM(L785:Q785)</f>
        <v>9</v>
      </c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5" t="s">
        <v>1393</v>
      </c>
      <c r="AE785" s="33"/>
      <c r="AF785" s="59" t="str">
        <f t="shared" si="37"/>
        <v>Không</v>
      </c>
      <c r="AG785" s="59" t="str">
        <f t="shared" si="38"/>
        <v>Không</v>
      </c>
      <c r="AH785" s="29" t="str">
        <f t="shared" ca="1" si="36"/>
        <v>Có</v>
      </c>
      <c r="AI785" s="29" t="str">
        <f ca="1">IF((R785)&gt;=6,"Có","Không")</f>
        <v>Có</v>
      </c>
      <c r="AJ785" s="29" t="str">
        <f>IF(OR(J785&gt;=140,K785&gt;=90),"Có","Không")</f>
        <v>Không</v>
      </c>
      <c r="AK785" s="5" t="s">
        <v>166</v>
      </c>
      <c r="AL785" s="32">
        <v>46142</v>
      </c>
      <c r="AM785" s="29" t="str">
        <f>"Tháng "&amp;MONTH(AL785)</f>
        <v>Tháng 4</v>
      </c>
      <c r="AN785" s="29" t="str">
        <f>LEFT(AK785,FIND(",",AK785)-1)</f>
        <v>khóm Giồng Nhãn</v>
      </c>
    </row>
    <row r="786" spans="1:40" x14ac:dyDescent="0.25">
      <c r="A786" s="49" t="s">
        <v>549</v>
      </c>
      <c r="B786" s="5" t="s">
        <v>23</v>
      </c>
      <c r="C786" s="5" t="s">
        <v>273</v>
      </c>
      <c r="D786" s="29">
        <f ca="1">DATEDIF(C786,TODAY(),"Y")</f>
        <v>47</v>
      </c>
      <c r="E786" s="5" t="s">
        <v>26</v>
      </c>
      <c r="F786" s="30">
        <v>155</v>
      </c>
      <c r="G786" s="30">
        <v>62</v>
      </c>
      <c r="H786" s="31">
        <f>G786/((F786/100)*(F786/100))</f>
        <v>25.806451612903224</v>
      </c>
      <c r="I786" s="5">
        <v>68</v>
      </c>
      <c r="J786" s="30">
        <v>110</v>
      </c>
      <c r="K786" s="30">
        <v>70</v>
      </c>
      <c r="L786" s="29">
        <f>IF(B786="Nữ",0,2)</f>
        <v>0</v>
      </c>
      <c r="M786" s="29">
        <f ca="1">IF(D786&lt;45,0,IF(D786&lt;=49,1,2))</f>
        <v>1</v>
      </c>
      <c r="N786" s="29">
        <f>IF(E786="Có",4,0)</f>
        <v>0</v>
      </c>
      <c r="O786" s="29">
        <f>IF(H786&lt;23,0,IF(H786&lt;27.5,3,5))</f>
        <v>3</v>
      </c>
      <c r="P786" s="29">
        <f>IF(OR(AND(B786="Nam",I786&gt;=90),AND(B786="Nữ",I786&gt;=80)),2,0)</f>
        <v>0</v>
      </c>
      <c r="Q786" s="29">
        <f>IF(OR(J786&gt;=140,K786&gt;=90),2,0)</f>
        <v>0</v>
      </c>
      <c r="R786" s="29">
        <f ca="1">SUM(L786:Q786)</f>
        <v>4</v>
      </c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5" t="s">
        <v>1393</v>
      </c>
      <c r="AE786" s="33"/>
      <c r="AF786" s="59" t="str">
        <f t="shared" si="37"/>
        <v>Không</v>
      </c>
      <c r="AG786" s="59" t="str">
        <f t="shared" si="38"/>
        <v>Không</v>
      </c>
      <c r="AH786" s="29" t="str">
        <f t="shared" ca="1" si="36"/>
        <v>Không</v>
      </c>
      <c r="AI786" s="29" t="str">
        <f ca="1">IF((R786)&gt;=6,"Có","Không")</f>
        <v>Không</v>
      </c>
      <c r="AJ786" s="29" t="str">
        <f>IF(OR(J786&gt;=140,K786&gt;=90),"Có","Không")</f>
        <v>Không</v>
      </c>
      <c r="AK786" s="5" t="s">
        <v>51</v>
      </c>
      <c r="AL786" s="32">
        <v>46142</v>
      </c>
      <c r="AM786" s="29" t="str">
        <f>"Tháng "&amp;MONTH(AL786)</f>
        <v>Tháng 4</v>
      </c>
      <c r="AN786" s="29" t="str">
        <f>LEFT(AK786,FIND(",",AK786)-1)</f>
        <v>Phường Hiệp Thành</v>
      </c>
    </row>
    <row r="787" spans="1:40" x14ac:dyDescent="0.25">
      <c r="A787" s="49" t="s">
        <v>550</v>
      </c>
      <c r="B787" s="5" t="s">
        <v>30</v>
      </c>
      <c r="C787" s="5" t="s">
        <v>80</v>
      </c>
      <c r="D787" s="29">
        <f ca="1">DATEDIF(C787,TODAY(),"Y")</f>
        <v>71</v>
      </c>
      <c r="E787" s="5" t="s">
        <v>26</v>
      </c>
      <c r="F787" s="30">
        <v>169</v>
      </c>
      <c r="G787" s="30">
        <v>68</v>
      </c>
      <c r="H787" s="31">
        <f>G787/((F787/100)*(F787/100))</f>
        <v>23.808690171912751</v>
      </c>
      <c r="I787" s="5">
        <v>76</v>
      </c>
      <c r="J787" s="30">
        <v>140</v>
      </c>
      <c r="K787" s="30">
        <v>80</v>
      </c>
      <c r="L787" s="29">
        <f>IF(B787="Nữ",0,2)</f>
        <v>2</v>
      </c>
      <c r="M787" s="29">
        <f ca="1">IF(D787&lt;45,0,IF(D787&lt;=49,1,2))</f>
        <v>2</v>
      </c>
      <c r="N787" s="29">
        <f>IF(E787="Có",4,0)</f>
        <v>0</v>
      </c>
      <c r="O787" s="29">
        <f>IF(H787&lt;23,0,IF(H787&lt;27.5,3,5))</f>
        <v>3</v>
      </c>
      <c r="P787" s="29">
        <f>IF(OR(AND(B787="Nam",I787&gt;=90),AND(B787="Nữ",I787&gt;=80)),2,0)</f>
        <v>0</v>
      </c>
      <c r="Q787" s="29">
        <f>IF(OR(J787&gt;=140,K787&gt;=90),2,0)</f>
        <v>2</v>
      </c>
      <c r="R787" s="29">
        <f ca="1">SUM(L787:Q787)</f>
        <v>9</v>
      </c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5" t="s">
        <v>1393</v>
      </c>
      <c r="AE787" s="33"/>
      <c r="AF787" s="59" t="str">
        <f t="shared" si="37"/>
        <v>Không</v>
      </c>
      <c r="AG787" s="59" t="str">
        <f t="shared" si="38"/>
        <v>Không</v>
      </c>
      <c r="AH787" s="29" t="str">
        <f t="shared" ca="1" si="36"/>
        <v>Có</v>
      </c>
      <c r="AI787" s="29" t="str">
        <f ca="1">IF((R787)&gt;=6,"Có","Không")</f>
        <v>Có</v>
      </c>
      <c r="AJ787" s="29" t="str">
        <f>IF(OR(J787&gt;=140,K787&gt;=90),"Có","Không")</f>
        <v>Có</v>
      </c>
      <c r="AK787" s="5" t="s">
        <v>243</v>
      </c>
      <c r="AL787" s="32">
        <v>46142</v>
      </c>
      <c r="AM787" s="29" t="str">
        <f>"Tháng "&amp;MONTH(AL787)</f>
        <v>Tháng 4</v>
      </c>
      <c r="AN787" s="29" t="str">
        <f>LEFT(AK787,FIND(",",AK787)-1)</f>
        <v>ấp Giồng Giữa B</v>
      </c>
    </row>
    <row r="788" spans="1:40" x14ac:dyDescent="0.25">
      <c r="A788" s="49" t="s">
        <v>551</v>
      </c>
      <c r="B788" s="5" t="s">
        <v>23</v>
      </c>
      <c r="C788" s="5" t="s">
        <v>67</v>
      </c>
      <c r="D788" s="29">
        <f ca="1">DATEDIF(C788,TODAY(),"Y")</f>
        <v>48</v>
      </c>
      <c r="E788" s="5" t="s">
        <v>26</v>
      </c>
      <c r="F788" s="30">
        <v>158</v>
      </c>
      <c r="G788" s="30">
        <v>58</v>
      </c>
      <c r="H788" s="31">
        <f>G788/((F788/100)*(F788/100))</f>
        <v>23.233456176894723</v>
      </c>
      <c r="I788" s="5">
        <v>83</v>
      </c>
      <c r="J788" s="30">
        <v>120</v>
      </c>
      <c r="K788" s="30">
        <v>80</v>
      </c>
      <c r="L788" s="29">
        <f>IF(B788="Nữ",0,2)</f>
        <v>0</v>
      </c>
      <c r="M788" s="29">
        <f ca="1">IF(D788&lt;45,0,IF(D788&lt;=49,1,2))</f>
        <v>1</v>
      </c>
      <c r="N788" s="29">
        <f>IF(E788="Có",4,0)</f>
        <v>0</v>
      </c>
      <c r="O788" s="29">
        <f>IF(H788&lt;23,0,IF(H788&lt;27.5,3,5))</f>
        <v>3</v>
      </c>
      <c r="P788" s="29">
        <f>IF(OR(AND(B788="Nam",I788&gt;=90),AND(B788="Nữ",I788&gt;=80)),2,0)</f>
        <v>2</v>
      </c>
      <c r="Q788" s="29">
        <f>IF(OR(J788&gt;=140,K788&gt;=90),2,0)</f>
        <v>0</v>
      </c>
      <c r="R788" s="29">
        <f ca="1">SUM(L788:Q788)</f>
        <v>6</v>
      </c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5" t="s">
        <v>1393</v>
      </c>
      <c r="AE788" s="33"/>
      <c r="AF788" s="59" t="str">
        <f t="shared" si="37"/>
        <v>Không</v>
      </c>
      <c r="AG788" s="59" t="str">
        <f t="shared" si="38"/>
        <v>Không</v>
      </c>
      <c r="AH788" s="29" t="str">
        <f t="shared" ca="1" si="36"/>
        <v>Có</v>
      </c>
      <c r="AI788" s="29" t="str">
        <f ca="1">IF((R788)&gt;=6,"Có","Không")</f>
        <v>Có</v>
      </c>
      <c r="AJ788" s="29" t="str">
        <f>IF(OR(J788&gt;=140,K788&gt;=90),"Có","Không")</f>
        <v>Không</v>
      </c>
      <c r="AK788" s="5" t="s">
        <v>552</v>
      </c>
      <c r="AL788" s="32">
        <v>46142</v>
      </c>
      <c r="AM788" s="29" t="str">
        <f>"Tháng "&amp;MONTH(AL788)</f>
        <v>Tháng 4</v>
      </c>
      <c r="AN788" s="29" t="str">
        <f>LEFT(AK788,FIND(",",AK788)-1)</f>
        <v xml:space="preserve">ấp Biển Đông A </v>
      </c>
    </row>
    <row r="789" spans="1:40" x14ac:dyDescent="0.25">
      <c r="A789" s="49" t="s">
        <v>553</v>
      </c>
      <c r="B789" s="5" t="s">
        <v>30</v>
      </c>
      <c r="C789" s="5" t="s">
        <v>90</v>
      </c>
      <c r="D789" s="29">
        <f ca="1">DATEDIF(C789,TODAY(),"Y")</f>
        <v>54</v>
      </c>
      <c r="E789" s="5" t="s">
        <v>26</v>
      </c>
      <c r="F789" s="30">
        <v>169</v>
      </c>
      <c r="G789" s="30">
        <v>68</v>
      </c>
      <c r="H789" s="31">
        <f>G789/((F789/100)*(F789/100))</f>
        <v>23.808690171912751</v>
      </c>
      <c r="I789" s="5">
        <v>100</v>
      </c>
      <c r="J789" s="30">
        <v>140</v>
      </c>
      <c r="K789" s="30">
        <v>80</v>
      </c>
      <c r="L789" s="29">
        <f>IF(B789="Nữ",0,2)</f>
        <v>2</v>
      </c>
      <c r="M789" s="29">
        <f ca="1">IF(D789&lt;45,0,IF(D789&lt;=49,1,2))</f>
        <v>2</v>
      </c>
      <c r="N789" s="29">
        <f>IF(E789="Có",4,0)</f>
        <v>0</v>
      </c>
      <c r="O789" s="29">
        <f>IF(H789&lt;23,0,IF(H789&lt;27.5,3,5))</f>
        <v>3</v>
      </c>
      <c r="P789" s="29">
        <f>IF(OR(AND(B789="Nam",I789&gt;=90),AND(B789="Nữ",I789&gt;=80)),2,0)</f>
        <v>2</v>
      </c>
      <c r="Q789" s="29">
        <f>IF(OR(J789&gt;=140,K789&gt;=90),2,0)</f>
        <v>2</v>
      </c>
      <c r="R789" s="29">
        <f ca="1">SUM(L789:Q789)</f>
        <v>11</v>
      </c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5" t="s">
        <v>1393</v>
      </c>
      <c r="AE789" s="33"/>
      <c r="AF789" s="59" t="str">
        <f t="shared" si="37"/>
        <v>Không</v>
      </c>
      <c r="AG789" s="59" t="str">
        <f t="shared" si="38"/>
        <v>Không</v>
      </c>
      <c r="AH789" s="29" t="str">
        <f t="shared" ca="1" si="36"/>
        <v>Có</v>
      </c>
      <c r="AI789" s="29" t="str">
        <f ca="1">IF((R789)&gt;=6,"Có","Không")</f>
        <v>Có</v>
      </c>
      <c r="AJ789" s="29" t="str">
        <f>IF(OR(J789&gt;=140,K789&gt;=90),"Có","Không")</f>
        <v>Có</v>
      </c>
      <c r="AK789" s="5" t="s">
        <v>206</v>
      </c>
      <c r="AL789" s="32">
        <v>46142</v>
      </c>
      <c r="AM789" s="29" t="str">
        <f>"Tháng "&amp;MONTH(AL789)</f>
        <v>Tháng 4</v>
      </c>
      <c r="AN789" s="29" t="str">
        <f>LEFT(AK789,FIND(",",AK789)-1)</f>
        <v>Prey Chóp B</v>
      </c>
    </row>
    <row r="790" spans="1:40" x14ac:dyDescent="0.25">
      <c r="A790" s="49" t="s">
        <v>554</v>
      </c>
      <c r="B790" s="5" t="s">
        <v>23</v>
      </c>
      <c r="C790" s="5" t="s">
        <v>64</v>
      </c>
      <c r="D790" s="29">
        <f ca="1">DATEDIF(C790,TODAY(),"Y")</f>
        <v>42</v>
      </c>
      <c r="E790" s="5" t="s">
        <v>26</v>
      </c>
      <c r="F790" s="30">
        <v>155</v>
      </c>
      <c r="G790" s="30">
        <v>55</v>
      </c>
      <c r="H790" s="31">
        <f>G790/((F790/100)*(F790/100))</f>
        <v>22.892819979188342</v>
      </c>
      <c r="I790" s="5">
        <v>98</v>
      </c>
      <c r="J790" s="30">
        <v>120</v>
      </c>
      <c r="K790" s="30">
        <v>80</v>
      </c>
      <c r="L790" s="29">
        <f>IF(B790="Nữ",0,2)</f>
        <v>0</v>
      </c>
      <c r="M790" s="29">
        <f ca="1">IF(D790&lt;45,0,IF(D790&lt;=49,1,2))</f>
        <v>0</v>
      </c>
      <c r="N790" s="29">
        <f>IF(E790="Có",4,0)</f>
        <v>0</v>
      </c>
      <c r="O790" s="29">
        <f>IF(H790&lt;23,0,IF(H790&lt;27.5,3,5))</f>
        <v>0</v>
      </c>
      <c r="P790" s="29">
        <f>IF(OR(AND(B790="Nam",I790&gt;=90),AND(B790="Nữ",I790&gt;=80)),2,0)</f>
        <v>2</v>
      </c>
      <c r="Q790" s="29">
        <f>IF(OR(J790&gt;=140,K790&gt;=90),2,0)</f>
        <v>0</v>
      </c>
      <c r="R790" s="29">
        <f ca="1">SUM(L790:Q790)</f>
        <v>2</v>
      </c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5" t="s">
        <v>1393</v>
      </c>
      <c r="AE790" s="33"/>
      <c r="AF790" s="59" t="str">
        <f t="shared" si="37"/>
        <v>Không</v>
      </c>
      <c r="AG790" s="59" t="str">
        <f t="shared" si="38"/>
        <v>Không</v>
      </c>
      <c r="AH790" s="29" t="str">
        <f t="shared" ca="1" si="36"/>
        <v>Không</v>
      </c>
      <c r="AI790" s="29" t="str">
        <f ca="1">IF((R790)&gt;=6,"Có","Không")</f>
        <v>Không</v>
      </c>
      <c r="AJ790" s="29" t="str">
        <f>IF(OR(J790&gt;=140,K790&gt;=90),"Có","Không")</f>
        <v>Không</v>
      </c>
      <c r="AK790" s="5" t="s">
        <v>342</v>
      </c>
      <c r="AL790" s="32">
        <v>46142</v>
      </c>
      <c r="AM790" s="29" t="str">
        <f>"Tháng "&amp;MONTH(AL790)</f>
        <v>Tháng 4</v>
      </c>
      <c r="AN790" s="29" t="str">
        <f>LEFT(AK790,FIND(",",AK790)-1)</f>
        <v>ấp Giồng nhãn A</v>
      </c>
    </row>
    <row r="791" spans="1:40" x14ac:dyDescent="0.25">
      <c r="A791" s="49" t="s">
        <v>555</v>
      </c>
      <c r="B791" s="5" t="s">
        <v>23</v>
      </c>
      <c r="C791" s="5" t="s">
        <v>67</v>
      </c>
      <c r="D791" s="29">
        <f ca="1">DATEDIF(C791,TODAY(),"Y")</f>
        <v>48</v>
      </c>
      <c r="E791" s="5" t="s">
        <v>26</v>
      </c>
      <c r="F791" s="30">
        <v>165</v>
      </c>
      <c r="G791" s="30">
        <v>60</v>
      </c>
      <c r="H791" s="31">
        <f>G791/((F791/100)*(F791/100))</f>
        <v>22.03856749311295</v>
      </c>
      <c r="I791" s="5">
        <v>65</v>
      </c>
      <c r="J791" s="30">
        <v>120</v>
      </c>
      <c r="K791" s="30">
        <v>80</v>
      </c>
      <c r="L791" s="29">
        <f>IF(B791="Nữ",0,2)</f>
        <v>0</v>
      </c>
      <c r="M791" s="29">
        <f ca="1">IF(D791&lt;45,0,IF(D791&lt;=49,1,2))</f>
        <v>1</v>
      </c>
      <c r="N791" s="29">
        <f>IF(E791="Có",4,0)</f>
        <v>0</v>
      </c>
      <c r="O791" s="29">
        <f>IF(H791&lt;23,0,IF(H791&lt;27.5,3,5))</f>
        <v>0</v>
      </c>
      <c r="P791" s="29">
        <f>IF(OR(AND(B791="Nam",I791&gt;=90),AND(B791="Nữ",I791&gt;=80)),2,0)</f>
        <v>0</v>
      </c>
      <c r="Q791" s="29">
        <f>IF(OR(J791&gt;=140,K791&gt;=90),2,0)</f>
        <v>0</v>
      </c>
      <c r="R791" s="29">
        <f ca="1">SUM(L791:Q791)</f>
        <v>1</v>
      </c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5" t="s">
        <v>1393</v>
      </c>
      <c r="AE791" s="33"/>
      <c r="AF791" s="59" t="str">
        <f t="shared" si="37"/>
        <v>Không</v>
      </c>
      <c r="AG791" s="59" t="str">
        <f t="shared" si="38"/>
        <v>Không</v>
      </c>
      <c r="AH791" s="29" t="str">
        <f t="shared" ca="1" si="36"/>
        <v>Không</v>
      </c>
      <c r="AI791" s="29" t="str">
        <f ca="1">IF((R791)&gt;=6,"Có","Không")</f>
        <v>Không</v>
      </c>
      <c r="AJ791" s="29" t="str">
        <f>IF(OR(J791&gt;=140,K791&gt;=90),"Có","Không")</f>
        <v>Không</v>
      </c>
      <c r="AK791" s="5" t="s">
        <v>556</v>
      </c>
      <c r="AL791" s="32">
        <v>46142</v>
      </c>
      <c r="AM791" s="29" t="str">
        <f>"Tháng "&amp;MONTH(AL791)</f>
        <v>Tháng 4</v>
      </c>
      <c r="AN791" s="29" t="str">
        <f>LEFT(AK791,FIND(",",AK791)-1)</f>
        <v>khóm Xóm Lẫm</v>
      </c>
    </row>
    <row r="792" spans="1:40" x14ac:dyDescent="0.25">
      <c r="A792" s="49" t="s">
        <v>557</v>
      </c>
      <c r="B792" s="5" t="s">
        <v>30</v>
      </c>
      <c r="C792" s="5" t="s">
        <v>138</v>
      </c>
      <c r="D792" s="29">
        <f ca="1">DATEDIF(C792,TODAY(),"Y")</f>
        <v>67</v>
      </c>
      <c r="E792" s="5" t="s">
        <v>26</v>
      </c>
      <c r="F792" s="30">
        <v>159</v>
      </c>
      <c r="G792" s="30">
        <v>65</v>
      </c>
      <c r="H792" s="31">
        <f>G792/((F792/100)*(F792/100))</f>
        <v>25.711008267078039</v>
      </c>
      <c r="I792" s="5">
        <v>75</v>
      </c>
      <c r="J792" s="30">
        <v>120</v>
      </c>
      <c r="K792" s="30">
        <v>80</v>
      </c>
      <c r="L792" s="29">
        <f>IF(B792="Nữ",0,2)</f>
        <v>2</v>
      </c>
      <c r="M792" s="29">
        <f ca="1">IF(D792&lt;45,0,IF(D792&lt;=49,1,2))</f>
        <v>2</v>
      </c>
      <c r="N792" s="29">
        <f>IF(E792="Có",4,0)</f>
        <v>0</v>
      </c>
      <c r="O792" s="29">
        <f>IF(H792&lt;23,0,IF(H792&lt;27.5,3,5))</f>
        <v>3</v>
      </c>
      <c r="P792" s="29">
        <f>IF(OR(AND(B792="Nam",I792&gt;=90),AND(B792="Nữ",I792&gt;=80)),2,0)</f>
        <v>0</v>
      </c>
      <c r="Q792" s="29">
        <f>IF(OR(J792&gt;=140,K792&gt;=90),2,0)</f>
        <v>0</v>
      </c>
      <c r="R792" s="29">
        <f ca="1">SUM(L792:Q792)</f>
        <v>7</v>
      </c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5" t="s">
        <v>1393</v>
      </c>
      <c r="AE792" s="33"/>
      <c r="AF792" s="59" t="str">
        <f t="shared" si="37"/>
        <v>Không</v>
      </c>
      <c r="AG792" s="59" t="str">
        <f t="shared" si="38"/>
        <v>Không</v>
      </c>
      <c r="AH792" s="29" t="str">
        <f t="shared" ca="1" si="36"/>
        <v>Có</v>
      </c>
      <c r="AI792" s="29" t="str">
        <f ca="1">IF((R792)&gt;=6,"Có","Không")</f>
        <v>Có</v>
      </c>
      <c r="AJ792" s="29" t="str">
        <f>IF(OR(J792&gt;=140,K792&gt;=90),"Có","Không")</f>
        <v>Không</v>
      </c>
      <c r="AK792" s="5" t="s">
        <v>51</v>
      </c>
      <c r="AL792" s="32">
        <v>46142</v>
      </c>
      <c r="AM792" s="29" t="str">
        <f>"Tháng "&amp;MONTH(AL792)</f>
        <v>Tháng 4</v>
      </c>
      <c r="AN792" s="29" t="str">
        <f>LEFT(AK792,FIND(",",AK792)-1)</f>
        <v>Phường Hiệp Thành</v>
      </c>
    </row>
    <row r="793" spans="1:40" x14ac:dyDescent="0.25">
      <c r="A793" s="49" t="s">
        <v>559</v>
      </c>
      <c r="B793" s="5" t="s">
        <v>23</v>
      </c>
      <c r="C793" s="5" t="s">
        <v>40</v>
      </c>
      <c r="D793" s="29">
        <f ca="1">DATEDIF(C793,TODAY(),"Y")</f>
        <v>70</v>
      </c>
      <c r="E793" s="5" t="s">
        <v>26</v>
      </c>
      <c r="F793" s="30">
        <v>158</v>
      </c>
      <c r="G793" s="30">
        <v>58</v>
      </c>
      <c r="H793" s="31">
        <f>G793/((F793/100)*(F793/100))</f>
        <v>23.233456176894723</v>
      </c>
      <c r="I793" s="5">
        <v>90</v>
      </c>
      <c r="J793" s="30">
        <v>120</v>
      </c>
      <c r="K793" s="30">
        <v>80</v>
      </c>
      <c r="L793" s="29">
        <f>IF(B793="Nữ",0,2)</f>
        <v>0</v>
      </c>
      <c r="M793" s="29">
        <f ca="1">IF(D793&lt;45,0,IF(D793&lt;=49,1,2))</f>
        <v>2</v>
      </c>
      <c r="N793" s="29">
        <f>IF(E793="Có",4,0)</f>
        <v>0</v>
      </c>
      <c r="O793" s="29">
        <f>IF(H793&lt;23,0,IF(H793&lt;27.5,3,5))</f>
        <v>3</v>
      </c>
      <c r="P793" s="29">
        <f>IF(OR(AND(B793="Nam",I793&gt;=90),AND(B793="Nữ",I793&gt;=80)),2,0)</f>
        <v>2</v>
      </c>
      <c r="Q793" s="29">
        <f>IF(OR(J793&gt;=140,K793&gt;=90),2,0)</f>
        <v>0</v>
      </c>
      <c r="R793" s="29">
        <f ca="1">SUM(L793:Q793)</f>
        <v>7</v>
      </c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5" t="s">
        <v>1393</v>
      </c>
      <c r="AE793" s="33"/>
      <c r="AF793" s="59" t="str">
        <f t="shared" si="37"/>
        <v>Không</v>
      </c>
      <c r="AG793" s="59" t="str">
        <f t="shared" si="38"/>
        <v>Không</v>
      </c>
      <c r="AH793" s="29" t="str">
        <f t="shared" ca="1" si="36"/>
        <v>Có</v>
      </c>
      <c r="AI793" s="29" t="str">
        <f ca="1">IF((R793)&gt;=6,"Có","Không")</f>
        <v>Có</v>
      </c>
      <c r="AJ793" s="29" t="str">
        <f>IF(OR(J793&gt;=140,K793&gt;=90),"Có","Không")</f>
        <v>Không</v>
      </c>
      <c r="AK793" s="5" t="s">
        <v>51</v>
      </c>
      <c r="AL793" s="32">
        <v>46142</v>
      </c>
      <c r="AM793" s="29" t="str">
        <f>"Tháng "&amp;MONTH(AL793)</f>
        <v>Tháng 4</v>
      </c>
      <c r="AN793" s="29" t="str">
        <f>LEFT(AK793,FIND(",",AK793)-1)</f>
        <v>Phường Hiệp Thành</v>
      </c>
    </row>
    <row r="794" spans="1:40" x14ac:dyDescent="0.25">
      <c r="A794" s="49" t="s">
        <v>563</v>
      </c>
      <c r="B794" s="5" t="s">
        <v>30</v>
      </c>
      <c r="C794" s="5" t="s">
        <v>373</v>
      </c>
      <c r="D794" s="29">
        <f ca="1">DATEDIF(C794,TODAY(),"Y")</f>
        <v>61</v>
      </c>
      <c r="E794" s="5" t="s">
        <v>26</v>
      </c>
      <c r="F794" s="30">
        <v>170</v>
      </c>
      <c r="G794" s="30">
        <v>59</v>
      </c>
      <c r="H794" s="31">
        <f>G794/((F794/100)*(F794/100))</f>
        <v>20.415224913494811</v>
      </c>
      <c r="I794" s="5">
        <v>73</v>
      </c>
      <c r="J794" s="30">
        <v>140</v>
      </c>
      <c r="K794" s="30">
        <v>100</v>
      </c>
      <c r="L794" s="29">
        <f>IF(B794="Nữ",0,2)</f>
        <v>2</v>
      </c>
      <c r="M794" s="29">
        <f ca="1">IF(D794&lt;45,0,IF(D794&lt;=49,1,2))</f>
        <v>2</v>
      </c>
      <c r="N794" s="29">
        <f>IF(E794="Có",4,0)</f>
        <v>0</v>
      </c>
      <c r="O794" s="29">
        <f>IF(H794&lt;23,0,IF(H794&lt;27.5,3,5))</f>
        <v>0</v>
      </c>
      <c r="P794" s="29">
        <f>IF(OR(AND(B794="Nam",I794&gt;=90),AND(B794="Nữ",I794&gt;=80)),2,0)</f>
        <v>0</v>
      </c>
      <c r="Q794" s="29">
        <f>IF(OR(J794&gt;=140,K794&gt;=90),2,0)</f>
        <v>2</v>
      </c>
      <c r="R794" s="29">
        <f ca="1">SUM(L794:Q794)</f>
        <v>6</v>
      </c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5" t="s">
        <v>1393</v>
      </c>
      <c r="AE794" s="33"/>
      <c r="AF794" s="59" t="str">
        <f t="shared" si="37"/>
        <v>Không</v>
      </c>
      <c r="AG794" s="59" t="str">
        <f t="shared" si="38"/>
        <v>Không</v>
      </c>
      <c r="AH794" s="29" t="str">
        <f t="shared" ca="1" si="36"/>
        <v>Có</v>
      </c>
      <c r="AI794" s="29" t="str">
        <f ca="1">IF((R794)&gt;=6,"Có","Không")</f>
        <v>Có</v>
      </c>
      <c r="AJ794" s="29" t="str">
        <f>IF(OR(J794&gt;=140,K794&gt;=90),"Có","Không")</f>
        <v>Có</v>
      </c>
      <c r="AK794" s="5" t="s">
        <v>564</v>
      </c>
      <c r="AL794" s="32">
        <v>46142</v>
      </c>
      <c r="AM794" s="29" t="str">
        <f>"Tháng "&amp;MONTH(AL794)</f>
        <v>Tháng 4</v>
      </c>
      <c r="AN794" s="29" t="str">
        <f>LEFT(AK794,FIND(",",AK794)-1)</f>
        <v>ấp giồng giữa</v>
      </c>
    </row>
    <row r="795" spans="1:40" x14ac:dyDescent="0.25">
      <c r="A795" s="49" t="s">
        <v>565</v>
      </c>
      <c r="B795" s="5" t="s">
        <v>30</v>
      </c>
      <c r="C795" s="5" t="s">
        <v>138</v>
      </c>
      <c r="D795" s="29">
        <f ca="1">DATEDIF(C795,TODAY(),"Y")</f>
        <v>67</v>
      </c>
      <c r="E795" s="5" t="s">
        <v>26</v>
      </c>
      <c r="F795" s="30">
        <v>169</v>
      </c>
      <c r="G795" s="30">
        <v>68</v>
      </c>
      <c r="H795" s="31">
        <f>G795/((F795/100)*(F795/100))</f>
        <v>23.808690171912751</v>
      </c>
      <c r="I795" s="5">
        <v>72</v>
      </c>
      <c r="J795" s="30">
        <v>140</v>
      </c>
      <c r="K795" s="30">
        <v>80</v>
      </c>
      <c r="L795" s="29">
        <f>IF(B795="Nữ",0,2)</f>
        <v>2</v>
      </c>
      <c r="M795" s="29">
        <f ca="1">IF(D795&lt;45,0,IF(D795&lt;=49,1,2))</f>
        <v>2</v>
      </c>
      <c r="N795" s="29">
        <f>IF(E795="Có",4,0)</f>
        <v>0</v>
      </c>
      <c r="O795" s="29">
        <f>IF(H795&lt;23,0,IF(H795&lt;27.5,3,5))</f>
        <v>3</v>
      </c>
      <c r="P795" s="29">
        <f>IF(OR(AND(B795="Nam",I795&gt;=90),AND(B795="Nữ",I795&gt;=80)),2,0)</f>
        <v>0</v>
      </c>
      <c r="Q795" s="29">
        <f>IF(OR(J795&gt;=140,K795&gt;=90),2,0)</f>
        <v>2</v>
      </c>
      <c r="R795" s="29">
        <f ca="1">SUM(L795:Q795)</f>
        <v>9</v>
      </c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5" t="s">
        <v>1393</v>
      </c>
      <c r="AE795" s="33"/>
      <c r="AF795" s="59" t="str">
        <f t="shared" si="37"/>
        <v>Không</v>
      </c>
      <c r="AG795" s="59" t="str">
        <f t="shared" si="38"/>
        <v>Không</v>
      </c>
      <c r="AH795" s="29" t="str">
        <f t="shared" ca="1" si="36"/>
        <v>Có</v>
      </c>
      <c r="AI795" s="29" t="str">
        <f ca="1">IF((R795)&gt;=6,"Có","Không")</f>
        <v>Có</v>
      </c>
      <c r="AJ795" s="29" t="str">
        <f>IF(OR(J795&gt;=140,K795&gt;=90),"Có","Không")</f>
        <v>Có</v>
      </c>
      <c r="AK795" s="5" t="s">
        <v>234</v>
      </c>
      <c r="AL795" s="32">
        <v>46142</v>
      </c>
      <c r="AM795" s="29" t="str">
        <f>"Tháng "&amp;MONTH(AL795)</f>
        <v>Tháng 4</v>
      </c>
      <c r="AN795" s="29" t="str">
        <f>LEFT(AK795,FIND(",",AK795)-1)</f>
        <v>ấp Biển Đông B</v>
      </c>
    </row>
    <row r="796" spans="1:40" x14ac:dyDescent="0.25">
      <c r="A796" s="49" t="s">
        <v>566</v>
      </c>
      <c r="B796" s="5" t="s">
        <v>30</v>
      </c>
      <c r="C796" s="5" t="s">
        <v>105</v>
      </c>
      <c r="D796" s="29">
        <f ca="1">DATEDIF(C796,TODAY(),"Y")</f>
        <v>60</v>
      </c>
      <c r="E796" s="5" t="s">
        <v>26</v>
      </c>
      <c r="F796" s="30">
        <v>169</v>
      </c>
      <c r="G796" s="30">
        <v>68</v>
      </c>
      <c r="H796" s="31">
        <f>G796/((F796/100)*(F796/100))</f>
        <v>23.808690171912751</v>
      </c>
      <c r="I796" s="5">
        <v>91</v>
      </c>
      <c r="J796" s="30">
        <v>120</v>
      </c>
      <c r="K796" s="30">
        <v>80</v>
      </c>
      <c r="L796" s="29">
        <f>IF(B796="Nữ",0,2)</f>
        <v>2</v>
      </c>
      <c r="M796" s="29">
        <f ca="1">IF(D796&lt;45,0,IF(D796&lt;=49,1,2))</f>
        <v>2</v>
      </c>
      <c r="N796" s="29">
        <f>IF(E796="Có",4,0)</f>
        <v>0</v>
      </c>
      <c r="O796" s="29">
        <f>IF(H796&lt;23,0,IF(H796&lt;27.5,3,5))</f>
        <v>3</v>
      </c>
      <c r="P796" s="29">
        <f>IF(OR(AND(B796="Nam",I796&gt;=90),AND(B796="Nữ",I796&gt;=80)),2,0)</f>
        <v>2</v>
      </c>
      <c r="Q796" s="29">
        <f>IF(OR(J796&gt;=140,K796&gt;=90),2,0)</f>
        <v>0</v>
      </c>
      <c r="R796" s="29">
        <f ca="1">SUM(L796:Q796)</f>
        <v>9</v>
      </c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5" t="s">
        <v>1393</v>
      </c>
      <c r="AE796" s="33"/>
      <c r="AF796" s="59" t="str">
        <f t="shared" si="37"/>
        <v>Không</v>
      </c>
      <c r="AG796" s="59" t="str">
        <f t="shared" si="38"/>
        <v>Không</v>
      </c>
      <c r="AH796" s="29" t="str">
        <f t="shared" ca="1" si="36"/>
        <v>Có</v>
      </c>
      <c r="AI796" s="29" t="str">
        <f ca="1">IF((R796)&gt;=6,"Có","Không")</f>
        <v>Có</v>
      </c>
      <c r="AJ796" s="29" t="str">
        <f>IF(OR(J796&gt;=140,K796&gt;=90),"Có","Không")</f>
        <v>Không</v>
      </c>
      <c r="AK796" s="5" t="s">
        <v>51</v>
      </c>
      <c r="AL796" s="32">
        <v>46142</v>
      </c>
      <c r="AM796" s="29" t="str">
        <f>"Tháng "&amp;MONTH(AL796)</f>
        <v>Tháng 4</v>
      </c>
      <c r="AN796" s="29" t="str">
        <f>LEFT(AK796,FIND(",",AK796)-1)</f>
        <v>Phường Hiệp Thành</v>
      </c>
    </row>
    <row r="797" spans="1:40" x14ac:dyDescent="0.25">
      <c r="A797" s="49" t="s">
        <v>567</v>
      </c>
      <c r="B797" s="5" t="s">
        <v>23</v>
      </c>
      <c r="C797" s="5" t="s">
        <v>56</v>
      </c>
      <c r="D797" s="29">
        <f ca="1">DATEDIF(C797,TODAY(),"Y")</f>
        <v>65</v>
      </c>
      <c r="E797" s="5" t="s">
        <v>26</v>
      </c>
      <c r="F797" s="30">
        <v>155</v>
      </c>
      <c r="G797" s="30">
        <v>66</v>
      </c>
      <c r="H797" s="31">
        <f>G797/((F797/100)*(F797/100))</f>
        <v>27.471383975026011</v>
      </c>
      <c r="I797" s="5">
        <v>65</v>
      </c>
      <c r="J797" s="30">
        <v>130</v>
      </c>
      <c r="K797" s="30">
        <v>80</v>
      </c>
      <c r="L797" s="29">
        <f>IF(B797="Nữ",0,2)</f>
        <v>0</v>
      </c>
      <c r="M797" s="29">
        <f ca="1">IF(D797&lt;45,0,IF(D797&lt;=49,1,2))</f>
        <v>2</v>
      </c>
      <c r="N797" s="29">
        <f>IF(E797="Có",4,0)</f>
        <v>0</v>
      </c>
      <c r="O797" s="29">
        <f>IF(H797&lt;23,0,IF(H797&lt;27.5,3,5))</f>
        <v>3</v>
      </c>
      <c r="P797" s="29">
        <f>IF(OR(AND(B797="Nam",I797&gt;=90),AND(B797="Nữ",I797&gt;=80)),2,0)</f>
        <v>0</v>
      </c>
      <c r="Q797" s="29">
        <f>IF(OR(J797&gt;=140,K797&gt;=90),2,0)</f>
        <v>0</v>
      </c>
      <c r="R797" s="29">
        <f ca="1">SUM(L797:Q797)</f>
        <v>5</v>
      </c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5" t="s">
        <v>1393</v>
      </c>
      <c r="AE797" s="33"/>
      <c r="AF797" s="59" t="str">
        <f t="shared" si="37"/>
        <v>Không</v>
      </c>
      <c r="AG797" s="59" t="str">
        <f t="shared" si="38"/>
        <v>Không</v>
      </c>
      <c r="AH797" s="29" t="str">
        <f t="shared" ca="1" si="36"/>
        <v>Không</v>
      </c>
      <c r="AI797" s="29" t="str">
        <f ca="1">IF((R797)&gt;=6,"Có","Không")</f>
        <v>Không</v>
      </c>
      <c r="AJ797" s="29" t="str">
        <f>IF(OR(J797&gt;=140,K797&gt;=90),"Có","Không")</f>
        <v>Không</v>
      </c>
      <c r="AK797" s="5" t="s">
        <v>91</v>
      </c>
      <c r="AL797" s="32">
        <v>46142</v>
      </c>
      <c r="AM797" s="29" t="str">
        <f>"Tháng "&amp;MONTH(AL797)</f>
        <v>Tháng 4</v>
      </c>
      <c r="AN797" s="29" t="str">
        <f>LEFT(AK797,FIND(",",AK797)-1)</f>
        <v>Ấp Giồng Giữa</v>
      </c>
    </row>
    <row r="798" spans="1:40" x14ac:dyDescent="0.25">
      <c r="A798" s="49" t="s">
        <v>568</v>
      </c>
      <c r="B798" s="5" t="s">
        <v>23</v>
      </c>
      <c r="C798" s="5" t="s">
        <v>138</v>
      </c>
      <c r="D798" s="29">
        <f ca="1">DATEDIF(C798,TODAY(),"Y")</f>
        <v>67</v>
      </c>
      <c r="E798" s="5" t="s">
        <v>26</v>
      </c>
      <c r="F798" s="30">
        <v>158</v>
      </c>
      <c r="G798" s="30">
        <v>50</v>
      </c>
      <c r="H798" s="31">
        <f>G798/((F798/100)*(F798/100))</f>
        <v>20.028841531805796</v>
      </c>
      <c r="I798" s="5">
        <v>74</v>
      </c>
      <c r="J798" s="30">
        <v>160</v>
      </c>
      <c r="K798" s="30">
        <v>80</v>
      </c>
      <c r="L798" s="29">
        <f>IF(B798="Nữ",0,2)</f>
        <v>0</v>
      </c>
      <c r="M798" s="29">
        <f ca="1">IF(D798&lt;45,0,IF(D798&lt;=49,1,2))</f>
        <v>2</v>
      </c>
      <c r="N798" s="29">
        <f>IF(E798="Có",4,0)</f>
        <v>0</v>
      </c>
      <c r="O798" s="29">
        <f>IF(H798&lt;23,0,IF(H798&lt;27.5,3,5))</f>
        <v>0</v>
      </c>
      <c r="P798" s="29">
        <f>IF(OR(AND(B798="Nam",I798&gt;=90),AND(B798="Nữ",I798&gt;=80)),2,0)</f>
        <v>0</v>
      </c>
      <c r="Q798" s="29">
        <f>IF(OR(J798&gt;=140,K798&gt;=90),2,0)</f>
        <v>2</v>
      </c>
      <c r="R798" s="29">
        <f ca="1">SUM(L798:Q798)</f>
        <v>4</v>
      </c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5" t="s">
        <v>1393</v>
      </c>
      <c r="AE798" s="33"/>
      <c r="AF798" s="59" t="str">
        <f t="shared" si="37"/>
        <v>Không</v>
      </c>
      <c r="AG798" s="59" t="str">
        <f t="shared" si="38"/>
        <v>Không</v>
      </c>
      <c r="AH798" s="29" t="str">
        <f t="shared" ca="1" si="36"/>
        <v>Không</v>
      </c>
      <c r="AI798" s="29" t="str">
        <f ca="1">IF((R798)&gt;=6,"Có","Không")</f>
        <v>Không</v>
      </c>
      <c r="AJ798" s="29" t="str">
        <f>IF(OR(J798&gt;=140,K798&gt;=90),"Có","Không")</f>
        <v>Có</v>
      </c>
      <c r="AK798" s="5" t="s">
        <v>215</v>
      </c>
      <c r="AL798" s="32">
        <v>46142</v>
      </c>
      <c r="AM798" s="29" t="str">
        <f>"Tháng "&amp;MONTH(AL798)</f>
        <v>Tháng 4</v>
      </c>
      <c r="AN798" s="29" t="str">
        <f>LEFT(AK798,FIND(",",AK798)-1)</f>
        <v>Giồng Nhãn A</v>
      </c>
    </row>
    <row r="799" spans="1:40" x14ac:dyDescent="0.25">
      <c r="A799" s="49" t="s">
        <v>569</v>
      </c>
      <c r="B799" s="5" t="s">
        <v>23</v>
      </c>
      <c r="C799" s="5" t="s">
        <v>62</v>
      </c>
      <c r="D799" s="29">
        <f ca="1">DATEDIF(C799,TODAY(),"Y")</f>
        <v>64</v>
      </c>
      <c r="E799" s="5" t="s">
        <v>26</v>
      </c>
      <c r="F799" s="30">
        <v>158</v>
      </c>
      <c r="G799" s="30">
        <v>58</v>
      </c>
      <c r="H799" s="31">
        <f>G799/((F799/100)*(F799/100))</f>
        <v>23.233456176894723</v>
      </c>
      <c r="I799" s="5">
        <v>88</v>
      </c>
      <c r="J799" s="30">
        <v>130</v>
      </c>
      <c r="K799" s="30">
        <v>80</v>
      </c>
      <c r="L799" s="29">
        <f>IF(B799="Nữ",0,2)</f>
        <v>0</v>
      </c>
      <c r="M799" s="29">
        <f ca="1">IF(D799&lt;45,0,IF(D799&lt;=49,1,2))</f>
        <v>2</v>
      </c>
      <c r="N799" s="29">
        <f>IF(E799="Có",4,0)</f>
        <v>0</v>
      </c>
      <c r="O799" s="29">
        <f>IF(H799&lt;23,0,IF(H799&lt;27.5,3,5))</f>
        <v>3</v>
      </c>
      <c r="P799" s="29">
        <f>IF(OR(AND(B799="Nam",I799&gt;=90),AND(B799="Nữ",I799&gt;=80)),2,0)</f>
        <v>2</v>
      </c>
      <c r="Q799" s="29">
        <f>IF(OR(J799&gt;=140,K799&gt;=90),2,0)</f>
        <v>0</v>
      </c>
      <c r="R799" s="29">
        <f ca="1">SUM(L799:Q799)</f>
        <v>7</v>
      </c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5" t="s">
        <v>1393</v>
      </c>
      <c r="AE799" s="33"/>
      <c r="AF799" s="59" t="str">
        <f t="shared" si="37"/>
        <v>Không</v>
      </c>
      <c r="AG799" s="59" t="str">
        <f t="shared" si="38"/>
        <v>Không</v>
      </c>
      <c r="AH799" s="29" t="str">
        <f t="shared" ca="1" si="36"/>
        <v>Có</v>
      </c>
      <c r="AI799" s="29" t="str">
        <f ca="1">IF((R799)&gt;=6,"Có","Không")</f>
        <v>Có</v>
      </c>
      <c r="AJ799" s="29" t="str">
        <f>IF(OR(J799&gt;=140,K799&gt;=90),"Có","Không")</f>
        <v>Không</v>
      </c>
      <c r="AK799" s="5" t="s">
        <v>246</v>
      </c>
      <c r="AL799" s="32">
        <v>46142</v>
      </c>
      <c r="AM799" s="29" t="str">
        <f>"Tháng "&amp;MONTH(AL799)</f>
        <v>Tháng 4</v>
      </c>
      <c r="AN799" s="29" t="str">
        <f>LEFT(AK799,FIND(",",AK799)-1)</f>
        <v>ấp Biển Tây B</v>
      </c>
    </row>
    <row r="800" spans="1:40" x14ac:dyDescent="0.25">
      <c r="A800" s="49" t="s">
        <v>570</v>
      </c>
      <c r="B800" s="5" t="s">
        <v>23</v>
      </c>
      <c r="C800" s="5" t="s">
        <v>373</v>
      </c>
      <c r="D800" s="29">
        <f ca="1">DATEDIF(C800,TODAY(),"Y")</f>
        <v>61</v>
      </c>
      <c r="E800" s="5" t="s">
        <v>26</v>
      </c>
      <c r="F800" s="30">
        <v>158</v>
      </c>
      <c r="G800" s="30">
        <v>58</v>
      </c>
      <c r="H800" s="31">
        <f>G800/((F800/100)*(F800/100))</f>
        <v>23.233456176894723</v>
      </c>
      <c r="I800" s="5">
        <v>72</v>
      </c>
      <c r="J800" s="30">
        <v>130</v>
      </c>
      <c r="K800" s="30">
        <v>80</v>
      </c>
      <c r="L800" s="29">
        <f>IF(B800="Nữ",0,2)</f>
        <v>0</v>
      </c>
      <c r="M800" s="29">
        <f ca="1">IF(D800&lt;45,0,IF(D800&lt;=49,1,2))</f>
        <v>2</v>
      </c>
      <c r="N800" s="29">
        <f>IF(E800="Có",4,0)</f>
        <v>0</v>
      </c>
      <c r="O800" s="29">
        <f>IF(H800&lt;23,0,IF(H800&lt;27.5,3,5))</f>
        <v>3</v>
      </c>
      <c r="P800" s="29">
        <f>IF(OR(AND(B800="Nam",I800&gt;=90),AND(B800="Nữ",I800&gt;=80)),2,0)</f>
        <v>0</v>
      </c>
      <c r="Q800" s="29">
        <f>IF(OR(J800&gt;=140,K800&gt;=90),2,0)</f>
        <v>0</v>
      </c>
      <c r="R800" s="29">
        <f ca="1">SUM(L800:Q800)</f>
        <v>5</v>
      </c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5" t="s">
        <v>1393</v>
      </c>
      <c r="AE800" s="33"/>
      <c r="AF800" s="59" t="str">
        <f t="shared" si="37"/>
        <v>Không</v>
      </c>
      <c r="AG800" s="59" t="str">
        <f t="shared" si="38"/>
        <v>Không</v>
      </c>
      <c r="AH800" s="29" t="str">
        <f t="shared" ca="1" si="36"/>
        <v>Không</v>
      </c>
      <c r="AI800" s="29" t="str">
        <f ca="1">IF((R800)&gt;=6,"Có","Không")</f>
        <v>Không</v>
      </c>
      <c r="AJ800" s="29" t="str">
        <f>IF(OR(J800&gt;=140,K800&gt;=90),"Có","Không")</f>
        <v>Không</v>
      </c>
      <c r="AK800" s="5" t="s">
        <v>298</v>
      </c>
      <c r="AL800" s="32">
        <v>46142</v>
      </c>
      <c r="AM800" s="29" t="str">
        <f>"Tháng "&amp;MONTH(AL800)</f>
        <v>Tháng 4</v>
      </c>
      <c r="AN800" s="29" t="str">
        <f>LEFT(AK800,FIND(",",AK800)-1)</f>
        <v>ấp Biển Tây A</v>
      </c>
    </row>
    <row r="801" spans="1:40" x14ac:dyDescent="0.25">
      <c r="A801" s="49" t="s">
        <v>571</v>
      </c>
      <c r="B801" s="5" t="s">
        <v>30</v>
      </c>
      <c r="C801" s="5" t="s">
        <v>87</v>
      </c>
      <c r="D801" s="29">
        <f ca="1">DATEDIF(C801,TODAY(),"Y")</f>
        <v>49</v>
      </c>
      <c r="E801" s="5" t="s">
        <v>26</v>
      </c>
      <c r="F801" s="30">
        <v>169</v>
      </c>
      <c r="G801" s="30">
        <v>68</v>
      </c>
      <c r="H801" s="31">
        <f>G801/((F801/100)*(F801/100))</f>
        <v>23.808690171912751</v>
      </c>
      <c r="I801" s="5">
        <v>65</v>
      </c>
      <c r="J801" s="30">
        <v>120</v>
      </c>
      <c r="K801" s="30">
        <v>80</v>
      </c>
      <c r="L801" s="29">
        <f>IF(B801="Nữ",0,2)</f>
        <v>2</v>
      </c>
      <c r="M801" s="29">
        <f ca="1">IF(D801&lt;45,0,IF(D801&lt;=49,1,2))</f>
        <v>1</v>
      </c>
      <c r="N801" s="29">
        <f>IF(E801="Có",4,0)</f>
        <v>0</v>
      </c>
      <c r="O801" s="29">
        <f>IF(H801&lt;23,0,IF(H801&lt;27.5,3,5))</f>
        <v>3</v>
      </c>
      <c r="P801" s="29">
        <f>IF(OR(AND(B801="Nam",I801&gt;=90),AND(B801="Nữ",I801&gt;=80)),2,0)</f>
        <v>0</v>
      </c>
      <c r="Q801" s="29">
        <f>IF(OR(J801&gt;=140,K801&gt;=90),2,0)</f>
        <v>0</v>
      </c>
      <c r="R801" s="29">
        <f ca="1">SUM(L801:Q801)</f>
        <v>6</v>
      </c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5" t="s">
        <v>1393</v>
      </c>
      <c r="AE801" s="33"/>
      <c r="AF801" s="59" t="str">
        <f t="shared" si="37"/>
        <v>Không</v>
      </c>
      <c r="AG801" s="59" t="str">
        <f t="shared" si="38"/>
        <v>Không</v>
      </c>
      <c r="AH801" s="29" t="str">
        <f t="shared" ca="1" si="36"/>
        <v>Có</v>
      </c>
      <c r="AI801" s="29" t="str">
        <f ca="1">IF((R801)&gt;=6,"Có","Không")</f>
        <v>Có</v>
      </c>
      <c r="AJ801" s="29" t="str">
        <f>IF(OR(J801&gt;=140,K801&gt;=90),"Có","Không")</f>
        <v>Không</v>
      </c>
      <c r="AK801" s="5" t="s">
        <v>246</v>
      </c>
      <c r="AL801" s="32">
        <v>46142</v>
      </c>
      <c r="AM801" s="29" t="str">
        <f>"Tháng "&amp;MONTH(AL801)</f>
        <v>Tháng 4</v>
      </c>
      <c r="AN801" s="29" t="str">
        <f>LEFT(AK801,FIND(",",AK801)-1)</f>
        <v>ấp Biển Tây B</v>
      </c>
    </row>
    <row r="802" spans="1:40" x14ac:dyDescent="0.25">
      <c r="A802" s="49" t="s">
        <v>572</v>
      </c>
      <c r="B802" s="5" t="s">
        <v>23</v>
      </c>
      <c r="C802" s="5" t="s">
        <v>146</v>
      </c>
      <c r="D802" s="29">
        <f ca="1">DATEDIF(C802,TODAY(),"Y")</f>
        <v>52</v>
      </c>
      <c r="E802" s="5" t="s">
        <v>26</v>
      </c>
      <c r="F802" s="30">
        <v>158</v>
      </c>
      <c r="G802" s="30">
        <v>58</v>
      </c>
      <c r="H802" s="31">
        <f>G802/((F802/100)*(F802/100))</f>
        <v>23.233456176894723</v>
      </c>
      <c r="I802" s="5">
        <v>72</v>
      </c>
      <c r="J802" s="30">
        <v>140</v>
      </c>
      <c r="K802" s="30">
        <v>80</v>
      </c>
      <c r="L802" s="29">
        <f>IF(B802="Nữ",0,2)</f>
        <v>0</v>
      </c>
      <c r="M802" s="29">
        <f ca="1">IF(D802&lt;45,0,IF(D802&lt;=49,1,2))</f>
        <v>2</v>
      </c>
      <c r="N802" s="29">
        <f>IF(E802="Có",4,0)</f>
        <v>0</v>
      </c>
      <c r="O802" s="29">
        <f>IF(H802&lt;23,0,IF(H802&lt;27.5,3,5))</f>
        <v>3</v>
      </c>
      <c r="P802" s="29">
        <f>IF(OR(AND(B802="Nam",I802&gt;=90),AND(B802="Nữ",I802&gt;=80)),2,0)</f>
        <v>0</v>
      </c>
      <c r="Q802" s="29">
        <f>IF(OR(J802&gt;=140,K802&gt;=90),2,0)</f>
        <v>2</v>
      </c>
      <c r="R802" s="29">
        <f ca="1">SUM(L802:Q802)</f>
        <v>7</v>
      </c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5" t="s">
        <v>1393</v>
      </c>
      <c r="AE802" s="33"/>
      <c r="AF802" s="59" t="str">
        <f t="shared" si="37"/>
        <v>Không</v>
      </c>
      <c r="AG802" s="59" t="str">
        <f t="shared" si="38"/>
        <v>Không</v>
      </c>
      <c r="AH802" s="29" t="str">
        <f t="shared" ca="1" si="36"/>
        <v>Có</v>
      </c>
      <c r="AI802" s="29" t="str">
        <f ca="1">IF((R802)&gt;=6,"Có","Không")</f>
        <v>Có</v>
      </c>
      <c r="AJ802" s="29" t="str">
        <f>IF(OR(J802&gt;=140,K802&gt;=90),"Có","Không")</f>
        <v>Có</v>
      </c>
      <c r="AK802" s="5" t="s">
        <v>218</v>
      </c>
      <c r="AL802" s="32">
        <v>46142</v>
      </c>
      <c r="AM802" s="29" t="str">
        <f>"Tháng "&amp;MONTH(AL802)</f>
        <v>Tháng 4</v>
      </c>
      <c r="AN802" s="29" t="str">
        <f>LEFT(AK802,FIND(",",AK802)-1)</f>
        <v>Biển Đông B</v>
      </c>
    </row>
    <row r="803" spans="1:40" x14ac:dyDescent="0.25">
      <c r="A803" s="49" t="s">
        <v>573</v>
      </c>
      <c r="B803" s="5" t="s">
        <v>30</v>
      </c>
      <c r="C803" s="5" t="s">
        <v>133</v>
      </c>
      <c r="D803" s="29">
        <f ca="1">DATEDIF(C803,TODAY(),"Y")</f>
        <v>56</v>
      </c>
      <c r="E803" s="5" t="s">
        <v>26</v>
      </c>
      <c r="F803" s="30">
        <v>165</v>
      </c>
      <c r="G803" s="30">
        <v>48</v>
      </c>
      <c r="H803" s="31">
        <f>G803/((F803/100)*(F803/100))</f>
        <v>17.630853994490359</v>
      </c>
      <c r="I803" s="5">
        <v>76</v>
      </c>
      <c r="J803" s="30">
        <v>120</v>
      </c>
      <c r="K803" s="30">
        <v>80</v>
      </c>
      <c r="L803" s="29">
        <f>IF(B803="Nữ",0,2)</f>
        <v>2</v>
      </c>
      <c r="M803" s="29">
        <f ca="1">IF(D803&lt;45,0,IF(D803&lt;=49,1,2))</f>
        <v>2</v>
      </c>
      <c r="N803" s="29">
        <f>IF(E803="Có",4,0)</f>
        <v>0</v>
      </c>
      <c r="O803" s="29">
        <f>IF(H803&lt;23,0,IF(H803&lt;27.5,3,5))</f>
        <v>0</v>
      </c>
      <c r="P803" s="29">
        <f>IF(OR(AND(B803="Nam",I803&gt;=90),AND(B803="Nữ",I803&gt;=80)),2,0)</f>
        <v>0</v>
      </c>
      <c r="Q803" s="29">
        <f>IF(OR(J803&gt;=140,K803&gt;=90),2,0)</f>
        <v>0</v>
      </c>
      <c r="R803" s="29">
        <f ca="1">SUM(L803:Q803)</f>
        <v>4</v>
      </c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5" t="s">
        <v>1393</v>
      </c>
      <c r="AE803" s="33"/>
      <c r="AF803" s="59" t="str">
        <f t="shared" si="37"/>
        <v>Không</v>
      </c>
      <c r="AG803" s="59" t="str">
        <f t="shared" si="38"/>
        <v>Không</v>
      </c>
      <c r="AH803" s="29" t="str">
        <f t="shared" ca="1" si="36"/>
        <v>Không</v>
      </c>
      <c r="AI803" s="29" t="str">
        <f ca="1">IF((R803)&gt;=6,"Có","Không")</f>
        <v>Không</v>
      </c>
      <c r="AJ803" s="29" t="str">
        <f>IF(OR(J803&gt;=140,K803&gt;=90),"Có","Không")</f>
        <v>Không</v>
      </c>
      <c r="AK803" s="5" t="s">
        <v>51</v>
      </c>
      <c r="AL803" s="32">
        <v>46142</v>
      </c>
      <c r="AM803" s="29" t="str">
        <f>"Tháng "&amp;MONTH(AL803)</f>
        <v>Tháng 4</v>
      </c>
      <c r="AN803" s="29" t="str">
        <f>LEFT(AK803,FIND(",",AK803)-1)</f>
        <v>Phường Hiệp Thành</v>
      </c>
    </row>
    <row r="804" spans="1:40" x14ac:dyDescent="0.25">
      <c r="A804" s="49" t="s">
        <v>574</v>
      </c>
      <c r="B804" s="5" t="s">
        <v>23</v>
      </c>
      <c r="C804" s="5" t="s">
        <v>138</v>
      </c>
      <c r="D804" s="29">
        <f ca="1">DATEDIF(C804,TODAY(),"Y")</f>
        <v>67</v>
      </c>
      <c r="E804" s="5" t="s">
        <v>26</v>
      </c>
      <c r="F804" s="30">
        <v>158</v>
      </c>
      <c r="G804" s="30">
        <v>52</v>
      </c>
      <c r="H804" s="31">
        <f>G804/((F804/100)*(F804/100))</f>
        <v>20.82999519307803</v>
      </c>
      <c r="I804" s="5">
        <v>96</v>
      </c>
      <c r="J804" s="30">
        <v>130</v>
      </c>
      <c r="K804" s="30">
        <v>80</v>
      </c>
      <c r="L804" s="29">
        <f>IF(B804="Nữ",0,2)</f>
        <v>0</v>
      </c>
      <c r="M804" s="29">
        <f ca="1">IF(D804&lt;45,0,IF(D804&lt;=49,1,2))</f>
        <v>2</v>
      </c>
      <c r="N804" s="29">
        <f>IF(E804="Có",4,0)</f>
        <v>0</v>
      </c>
      <c r="O804" s="29">
        <f>IF(H804&lt;23,0,IF(H804&lt;27.5,3,5))</f>
        <v>0</v>
      </c>
      <c r="P804" s="29">
        <f>IF(OR(AND(B804="Nam",I804&gt;=90),AND(B804="Nữ",I804&gt;=80)),2,0)</f>
        <v>2</v>
      </c>
      <c r="Q804" s="29">
        <f>IF(OR(J804&gt;=140,K804&gt;=90),2,0)</f>
        <v>0</v>
      </c>
      <c r="R804" s="29">
        <f ca="1">SUM(L804:Q804)</f>
        <v>4</v>
      </c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5" t="s">
        <v>1393</v>
      </c>
      <c r="AE804" s="33"/>
      <c r="AF804" s="59" t="str">
        <f t="shared" si="37"/>
        <v>Không</v>
      </c>
      <c r="AG804" s="59" t="str">
        <f t="shared" si="38"/>
        <v>Không</v>
      </c>
      <c r="AH804" s="29" t="str">
        <f t="shared" ca="1" si="36"/>
        <v>Không</v>
      </c>
      <c r="AI804" s="29" t="str">
        <f ca="1">IF((R804)&gt;=6,"Có","Không")</f>
        <v>Không</v>
      </c>
      <c r="AJ804" s="29" t="str">
        <f>IF(OR(J804&gt;=140,K804&gt;=90),"Có","Không")</f>
        <v>Không</v>
      </c>
      <c r="AK804" s="5" t="s">
        <v>575</v>
      </c>
      <c r="AL804" s="32">
        <v>46142</v>
      </c>
      <c r="AM804" s="29" t="str">
        <f>"Tháng "&amp;MONTH(AL804)</f>
        <v>Tháng 4</v>
      </c>
      <c r="AN804" s="29" t="str">
        <f>LEFT(AK804,FIND(",",AK804)-1)</f>
        <v>Giồng giữa</v>
      </c>
    </row>
    <row r="805" spans="1:40" x14ac:dyDescent="0.25">
      <c r="A805" s="49" t="s">
        <v>576</v>
      </c>
      <c r="B805" s="5" t="s">
        <v>23</v>
      </c>
      <c r="C805" s="5" t="s">
        <v>50</v>
      </c>
      <c r="D805" s="29">
        <f ca="1">DATEDIF(C805,TODAY(),"Y")</f>
        <v>58</v>
      </c>
      <c r="E805" s="5" t="s">
        <v>26</v>
      </c>
      <c r="F805" s="30">
        <v>158</v>
      </c>
      <c r="G805" s="30">
        <v>58</v>
      </c>
      <c r="H805" s="31">
        <f>G805/((F805/100)*(F805/100))</f>
        <v>23.233456176894723</v>
      </c>
      <c r="I805" s="5">
        <v>69</v>
      </c>
      <c r="J805" s="30">
        <v>120</v>
      </c>
      <c r="K805" s="30">
        <v>80</v>
      </c>
      <c r="L805" s="29">
        <f>IF(B805="Nữ",0,2)</f>
        <v>0</v>
      </c>
      <c r="M805" s="29">
        <f ca="1">IF(D805&lt;45,0,IF(D805&lt;=49,1,2))</f>
        <v>2</v>
      </c>
      <c r="N805" s="29">
        <f>IF(E805="Có",4,0)</f>
        <v>0</v>
      </c>
      <c r="O805" s="29">
        <f>IF(H805&lt;23,0,IF(H805&lt;27.5,3,5))</f>
        <v>3</v>
      </c>
      <c r="P805" s="29">
        <f>IF(OR(AND(B805="Nam",I805&gt;=90),AND(B805="Nữ",I805&gt;=80)),2,0)</f>
        <v>0</v>
      </c>
      <c r="Q805" s="29">
        <f>IF(OR(J805&gt;=140,K805&gt;=90),2,0)</f>
        <v>0</v>
      </c>
      <c r="R805" s="29">
        <f ca="1">SUM(L805:Q805)</f>
        <v>5</v>
      </c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5" t="s">
        <v>1393</v>
      </c>
      <c r="AE805" s="33"/>
      <c r="AF805" s="59" t="str">
        <f t="shared" si="37"/>
        <v>Không</v>
      </c>
      <c r="AG805" s="59" t="str">
        <f t="shared" si="38"/>
        <v>Không</v>
      </c>
      <c r="AH805" s="29" t="str">
        <f t="shared" ca="1" si="36"/>
        <v>Không</v>
      </c>
      <c r="AI805" s="29" t="str">
        <f ca="1">IF((R805)&gt;=6,"Có","Không")</f>
        <v>Không</v>
      </c>
      <c r="AJ805" s="29" t="str">
        <f>IF(OR(J805&gt;=140,K805&gt;=90),"Có","Không")</f>
        <v>Không</v>
      </c>
      <c r="AK805" s="5" t="s">
        <v>577</v>
      </c>
      <c r="AL805" s="32">
        <v>46142</v>
      </c>
      <c r="AM805" s="29" t="str">
        <f>"Tháng "&amp;MONTH(AL805)</f>
        <v>Tháng 4</v>
      </c>
      <c r="AN805" s="29" t="str">
        <f>LEFT(AK805,FIND(",",AK805)-1)</f>
        <v>ấp Biển Đông B</v>
      </c>
    </row>
    <row r="806" spans="1:40" x14ac:dyDescent="0.25">
      <c r="A806" s="49" t="s">
        <v>578</v>
      </c>
      <c r="B806" s="5" t="s">
        <v>23</v>
      </c>
      <c r="C806" s="5" t="s">
        <v>373</v>
      </c>
      <c r="D806" s="29">
        <f ca="1">DATEDIF(C806,TODAY(),"Y")</f>
        <v>61</v>
      </c>
      <c r="E806" s="5" t="s">
        <v>25</v>
      </c>
      <c r="F806" s="30">
        <v>158</v>
      </c>
      <c r="G806" s="30">
        <v>58</v>
      </c>
      <c r="H806" s="31">
        <f>G806/((F806/100)*(F806/100))</f>
        <v>23.233456176894723</v>
      </c>
      <c r="I806" s="5">
        <v>88</v>
      </c>
      <c r="J806" s="30">
        <v>150</v>
      </c>
      <c r="K806" s="30">
        <v>80</v>
      </c>
      <c r="L806" s="29">
        <f>IF(B806="Nữ",0,2)</f>
        <v>0</v>
      </c>
      <c r="M806" s="29">
        <f ca="1">IF(D806&lt;45,0,IF(D806&lt;=49,1,2))</f>
        <v>2</v>
      </c>
      <c r="N806" s="29">
        <f>IF(E806="Có",4,0)</f>
        <v>4</v>
      </c>
      <c r="O806" s="29">
        <f>IF(H806&lt;23,0,IF(H806&lt;27.5,3,5))</f>
        <v>3</v>
      </c>
      <c r="P806" s="29">
        <f>IF(OR(AND(B806="Nam",I806&gt;=90),AND(B806="Nữ",I806&gt;=80)),2,0)</f>
        <v>2</v>
      </c>
      <c r="Q806" s="29">
        <f>IF(OR(J806&gt;=140,K806&gt;=90),2,0)</f>
        <v>2</v>
      </c>
      <c r="R806" s="29">
        <f ca="1">SUM(L806:Q806)</f>
        <v>13</v>
      </c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5" t="s">
        <v>1393</v>
      </c>
      <c r="AE806" s="33"/>
      <c r="AF806" s="59" t="str">
        <f t="shared" si="37"/>
        <v>Không</v>
      </c>
      <c r="AG806" s="59" t="str">
        <f t="shared" si="38"/>
        <v>Không</v>
      </c>
      <c r="AH806" s="29" t="str">
        <f t="shared" ca="1" si="36"/>
        <v>Có</v>
      </c>
      <c r="AI806" s="29" t="str">
        <f ca="1">IF((R806)&gt;=6,"Có","Không")</f>
        <v>Có</v>
      </c>
      <c r="AJ806" s="29" t="str">
        <f>IF(OR(J806&gt;=140,K806&gt;=90),"Có","Không")</f>
        <v>Có</v>
      </c>
      <c r="AK806" s="5" t="s">
        <v>325</v>
      </c>
      <c r="AL806" s="32">
        <v>46142</v>
      </c>
      <c r="AM806" s="29" t="str">
        <f>"Tháng "&amp;MONTH(AL806)</f>
        <v>Tháng 4</v>
      </c>
      <c r="AN806" s="29" t="str">
        <f>LEFT(AK806,FIND(",",AK806)-1)</f>
        <v>Ấp Giồng Giữa A</v>
      </c>
    </row>
    <row r="807" spans="1:40" x14ac:dyDescent="0.25">
      <c r="A807" s="49" t="s">
        <v>579</v>
      </c>
      <c r="B807" s="5" t="s">
        <v>30</v>
      </c>
      <c r="C807" s="5" t="s">
        <v>50</v>
      </c>
      <c r="D807" s="29">
        <f ca="1">DATEDIF(C807,TODAY(),"Y")</f>
        <v>58</v>
      </c>
      <c r="E807" s="5" t="s">
        <v>26</v>
      </c>
      <c r="F807" s="30">
        <v>169</v>
      </c>
      <c r="G807" s="30">
        <v>68</v>
      </c>
      <c r="H807" s="31">
        <f>G807/((F807/100)*(F807/100))</f>
        <v>23.808690171912751</v>
      </c>
      <c r="I807" s="5">
        <v>71</v>
      </c>
      <c r="J807" s="30">
        <v>150</v>
      </c>
      <c r="K807" s="30">
        <v>80</v>
      </c>
      <c r="L807" s="29">
        <f>IF(B807="Nữ",0,2)</f>
        <v>2</v>
      </c>
      <c r="M807" s="29">
        <f ca="1">IF(D807&lt;45,0,IF(D807&lt;=49,1,2))</f>
        <v>2</v>
      </c>
      <c r="N807" s="29">
        <f>IF(E807="Có",4,0)</f>
        <v>0</v>
      </c>
      <c r="O807" s="29">
        <f>IF(H807&lt;23,0,IF(H807&lt;27.5,3,5))</f>
        <v>3</v>
      </c>
      <c r="P807" s="29">
        <f>IF(OR(AND(B807="Nam",I807&gt;=90),AND(B807="Nữ",I807&gt;=80)),2,0)</f>
        <v>0</v>
      </c>
      <c r="Q807" s="29">
        <f>IF(OR(J807&gt;=140,K807&gt;=90),2,0)</f>
        <v>2</v>
      </c>
      <c r="R807" s="29">
        <f ca="1">SUM(L807:Q807)</f>
        <v>9</v>
      </c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5" t="s">
        <v>1393</v>
      </c>
      <c r="AE807" s="33"/>
      <c r="AF807" s="59" t="str">
        <f t="shared" si="37"/>
        <v>Không</v>
      </c>
      <c r="AG807" s="59" t="str">
        <f t="shared" si="38"/>
        <v>Không</v>
      </c>
      <c r="AH807" s="29" t="str">
        <f t="shared" ca="1" si="36"/>
        <v>Có</v>
      </c>
      <c r="AI807" s="29" t="str">
        <f ca="1">IF((R807)&gt;=6,"Có","Không")</f>
        <v>Có</v>
      </c>
      <c r="AJ807" s="29" t="str">
        <f>IF(OR(J807&gt;=140,K807&gt;=90),"Có","Không")</f>
        <v>Có</v>
      </c>
      <c r="AK807" s="5" t="s">
        <v>140</v>
      </c>
      <c r="AL807" s="32">
        <v>46142</v>
      </c>
      <c r="AM807" s="29" t="str">
        <f>"Tháng "&amp;MONTH(AL807)</f>
        <v>Tháng 4</v>
      </c>
      <c r="AN807" s="29" t="str">
        <f>LEFT(AK807,FIND(",",AK807)-1)</f>
        <v>Biển Tây A</v>
      </c>
    </row>
    <row r="808" spans="1:40" x14ac:dyDescent="0.25">
      <c r="A808" s="49" t="s">
        <v>580</v>
      </c>
      <c r="B808" s="5" t="s">
        <v>30</v>
      </c>
      <c r="C808" s="5" t="s">
        <v>341</v>
      </c>
      <c r="D808" s="29">
        <f ca="1">DATEDIF(C808,TODAY(),"Y")</f>
        <v>51</v>
      </c>
      <c r="E808" s="5" t="s">
        <v>25</v>
      </c>
      <c r="F808" s="30">
        <v>158</v>
      </c>
      <c r="G808" s="30">
        <v>58</v>
      </c>
      <c r="H808" s="31">
        <f>G808/((F808/100)*(F808/100))</f>
        <v>23.233456176894723</v>
      </c>
      <c r="I808" s="5">
        <v>80</v>
      </c>
      <c r="J808" s="30">
        <v>120</v>
      </c>
      <c r="K808" s="30">
        <v>80</v>
      </c>
      <c r="L808" s="29">
        <f>IF(B808="Nữ",0,2)</f>
        <v>2</v>
      </c>
      <c r="M808" s="29">
        <f ca="1">IF(D808&lt;45,0,IF(D808&lt;=49,1,2))</f>
        <v>2</v>
      </c>
      <c r="N808" s="29">
        <f>IF(E808="Có",4,0)</f>
        <v>4</v>
      </c>
      <c r="O808" s="29">
        <f>IF(H808&lt;23,0,IF(H808&lt;27.5,3,5))</f>
        <v>3</v>
      </c>
      <c r="P808" s="29">
        <f>IF(OR(AND(B808="Nam",I808&gt;=90),AND(B808="Nữ",I808&gt;=80)),2,0)</f>
        <v>0</v>
      </c>
      <c r="Q808" s="29">
        <f>IF(OR(J808&gt;=140,K808&gt;=90),2,0)</f>
        <v>0</v>
      </c>
      <c r="R808" s="29">
        <f ca="1">SUM(L808:Q808)</f>
        <v>11</v>
      </c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5" t="s">
        <v>1393</v>
      </c>
      <c r="AE808" s="33"/>
      <c r="AF808" s="59" t="str">
        <f t="shared" si="37"/>
        <v>Không</v>
      </c>
      <c r="AG808" s="59" t="str">
        <f t="shared" si="38"/>
        <v>Không</v>
      </c>
      <c r="AH808" s="29" t="str">
        <f t="shared" ca="1" si="36"/>
        <v>Có</v>
      </c>
      <c r="AI808" s="29" t="str">
        <f ca="1">IF((R808)&gt;=6,"Có","Không")</f>
        <v>Có</v>
      </c>
      <c r="AJ808" s="29" t="str">
        <f>IF(OR(J808&gt;=140,K808&gt;=90),"Có","Không")</f>
        <v>Không</v>
      </c>
      <c r="AK808" s="5" t="s">
        <v>68</v>
      </c>
      <c r="AL808" s="32">
        <v>46142</v>
      </c>
      <c r="AM808" s="29" t="str">
        <f>"Tháng "&amp;MONTH(AL808)</f>
        <v>Tháng 4</v>
      </c>
      <c r="AN808" s="29" t="str">
        <f>LEFT(AK808,FIND(",",AK808)-1)</f>
        <v>Ấp Biển Tây B</v>
      </c>
    </row>
    <row r="809" spans="1:40" x14ac:dyDescent="0.25">
      <c r="A809" s="49" t="s">
        <v>581</v>
      </c>
      <c r="B809" s="5" t="s">
        <v>23</v>
      </c>
      <c r="C809" s="5" t="s">
        <v>130</v>
      </c>
      <c r="D809" s="29">
        <f ca="1">DATEDIF(C809,TODAY(),"Y")</f>
        <v>57</v>
      </c>
      <c r="E809" s="5" t="s">
        <v>26</v>
      </c>
      <c r="F809" s="30">
        <v>158</v>
      </c>
      <c r="G809" s="30">
        <v>58</v>
      </c>
      <c r="H809" s="31">
        <f>G809/((F809/100)*(F809/100))</f>
        <v>23.233456176894723</v>
      </c>
      <c r="I809" s="5">
        <v>99</v>
      </c>
      <c r="J809" s="30">
        <v>130</v>
      </c>
      <c r="K809" s="30">
        <v>80</v>
      </c>
      <c r="L809" s="29">
        <f>IF(B809="Nữ",0,2)</f>
        <v>0</v>
      </c>
      <c r="M809" s="29">
        <f ca="1">IF(D809&lt;45,0,IF(D809&lt;=49,1,2))</f>
        <v>2</v>
      </c>
      <c r="N809" s="29">
        <f>IF(E809="Có",4,0)</f>
        <v>0</v>
      </c>
      <c r="O809" s="29">
        <f>IF(H809&lt;23,0,IF(H809&lt;27.5,3,5))</f>
        <v>3</v>
      </c>
      <c r="P809" s="29">
        <f>IF(OR(AND(B809="Nam",I809&gt;=90),AND(B809="Nữ",I809&gt;=80)),2,0)</f>
        <v>2</v>
      </c>
      <c r="Q809" s="29">
        <f>IF(OR(J809&gt;=140,K809&gt;=90),2,0)</f>
        <v>0</v>
      </c>
      <c r="R809" s="29">
        <f ca="1">SUM(L809:Q809)</f>
        <v>7</v>
      </c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5" t="s">
        <v>1393</v>
      </c>
      <c r="AE809" s="33"/>
      <c r="AF809" s="59" t="str">
        <f t="shared" si="37"/>
        <v>Không</v>
      </c>
      <c r="AG809" s="59" t="str">
        <f t="shared" si="38"/>
        <v>Không</v>
      </c>
      <c r="AH809" s="29" t="str">
        <f t="shared" ca="1" si="36"/>
        <v>Có</v>
      </c>
      <c r="AI809" s="29" t="str">
        <f ca="1">IF((R809)&gt;=6,"Có","Không")</f>
        <v>Có</v>
      </c>
      <c r="AJ809" s="29" t="str">
        <f>IF(OR(J809&gt;=140,K809&gt;=90),"Có","Không")</f>
        <v>Không</v>
      </c>
      <c r="AK809" s="5" t="s">
        <v>582</v>
      </c>
      <c r="AL809" s="32">
        <v>46142</v>
      </c>
      <c r="AM809" s="29" t="str">
        <f>"Tháng "&amp;MONTH(AL809)</f>
        <v>Tháng 4</v>
      </c>
      <c r="AN809" s="29" t="str">
        <f>LEFT(AK809,FIND(",",AK809)-1)</f>
        <v>Ấp Lung Lá</v>
      </c>
    </row>
    <row r="810" spans="1:40" x14ac:dyDescent="0.25">
      <c r="A810" s="49" t="s">
        <v>583</v>
      </c>
      <c r="B810" s="5" t="s">
        <v>23</v>
      </c>
      <c r="C810" s="5" t="s">
        <v>67</v>
      </c>
      <c r="D810" s="29">
        <f ca="1">DATEDIF(C810,TODAY(),"Y")</f>
        <v>48</v>
      </c>
      <c r="E810" s="5" t="s">
        <v>26</v>
      </c>
      <c r="F810" s="30">
        <v>158</v>
      </c>
      <c r="G810" s="30">
        <v>58</v>
      </c>
      <c r="H810" s="31">
        <f>G810/((F810/100)*(F810/100))</f>
        <v>23.233456176894723</v>
      </c>
      <c r="I810" s="5">
        <v>76</v>
      </c>
      <c r="J810" s="30">
        <v>140</v>
      </c>
      <c r="K810" s="30">
        <v>80</v>
      </c>
      <c r="L810" s="29">
        <f>IF(B810="Nữ",0,2)</f>
        <v>0</v>
      </c>
      <c r="M810" s="29">
        <f ca="1">IF(D810&lt;45,0,IF(D810&lt;=49,1,2))</f>
        <v>1</v>
      </c>
      <c r="N810" s="29">
        <f>IF(E810="Có",4,0)</f>
        <v>0</v>
      </c>
      <c r="O810" s="29">
        <f>IF(H810&lt;23,0,IF(H810&lt;27.5,3,5))</f>
        <v>3</v>
      </c>
      <c r="P810" s="29">
        <f>IF(OR(AND(B810="Nam",I810&gt;=90),AND(B810="Nữ",I810&gt;=80)),2,0)</f>
        <v>0</v>
      </c>
      <c r="Q810" s="29">
        <f>IF(OR(J810&gt;=140,K810&gt;=90),2,0)</f>
        <v>2</v>
      </c>
      <c r="R810" s="29">
        <f ca="1">SUM(L810:Q810)</f>
        <v>6</v>
      </c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5" t="s">
        <v>1393</v>
      </c>
      <c r="AE810" s="33"/>
      <c r="AF810" s="59" t="str">
        <f t="shared" si="37"/>
        <v>Không</v>
      </c>
      <c r="AG810" s="59" t="str">
        <f t="shared" si="38"/>
        <v>Không</v>
      </c>
      <c r="AH810" s="29" t="str">
        <f t="shared" ca="1" si="36"/>
        <v>Có</v>
      </c>
      <c r="AI810" s="29" t="str">
        <f ca="1">IF((R810)&gt;=6,"Có","Không")</f>
        <v>Có</v>
      </c>
      <c r="AJ810" s="29" t="str">
        <f>IF(OR(J810&gt;=140,K810&gt;=90),"Có","Không")</f>
        <v>Có</v>
      </c>
      <c r="AK810" s="5" t="s">
        <v>54</v>
      </c>
      <c r="AL810" s="32">
        <v>46142</v>
      </c>
      <c r="AM810" s="29" t="str">
        <f>"Tháng "&amp;MONTH(AL810)</f>
        <v>Tháng 4</v>
      </c>
      <c r="AN810" s="29" t="str">
        <f>LEFT(AK810,FIND(",",AK810)-1)</f>
        <v>Khóm 3</v>
      </c>
    </row>
    <row r="811" spans="1:40" x14ac:dyDescent="0.25">
      <c r="A811" s="49" t="s">
        <v>584</v>
      </c>
      <c r="B811" s="5" t="s">
        <v>23</v>
      </c>
      <c r="C811" s="5" t="s">
        <v>394</v>
      </c>
      <c r="D811" s="29">
        <f ca="1">DATEDIF(C811,TODAY(),"Y")</f>
        <v>45</v>
      </c>
      <c r="E811" s="5" t="s">
        <v>26</v>
      </c>
      <c r="F811" s="30">
        <v>158</v>
      </c>
      <c r="G811" s="30">
        <v>58</v>
      </c>
      <c r="H811" s="31">
        <f>G811/((F811/100)*(F811/100))</f>
        <v>23.233456176894723</v>
      </c>
      <c r="I811" s="5">
        <v>86</v>
      </c>
      <c r="J811" s="30">
        <v>140</v>
      </c>
      <c r="K811" s="30">
        <v>80</v>
      </c>
      <c r="L811" s="29">
        <f>IF(B811="Nữ",0,2)</f>
        <v>0</v>
      </c>
      <c r="M811" s="29">
        <f ca="1">IF(D811&lt;45,0,IF(D811&lt;=49,1,2))</f>
        <v>1</v>
      </c>
      <c r="N811" s="29">
        <f>IF(E811="Có",4,0)</f>
        <v>0</v>
      </c>
      <c r="O811" s="29">
        <f>IF(H811&lt;23,0,IF(H811&lt;27.5,3,5))</f>
        <v>3</v>
      </c>
      <c r="P811" s="29">
        <f>IF(OR(AND(B811="Nam",I811&gt;=90),AND(B811="Nữ",I811&gt;=80)),2,0)</f>
        <v>2</v>
      </c>
      <c r="Q811" s="29">
        <f>IF(OR(J811&gt;=140,K811&gt;=90),2,0)</f>
        <v>2</v>
      </c>
      <c r="R811" s="29">
        <f ca="1">SUM(L811:Q811)</f>
        <v>8</v>
      </c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5" t="s">
        <v>1393</v>
      </c>
      <c r="AE811" s="33"/>
      <c r="AF811" s="59" t="str">
        <f t="shared" si="37"/>
        <v>Không</v>
      </c>
      <c r="AG811" s="59" t="str">
        <f t="shared" si="38"/>
        <v>Không</v>
      </c>
      <c r="AH811" s="29" t="str">
        <f t="shared" ca="1" si="36"/>
        <v>Có</v>
      </c>
      <c r="AI811" s="29" t="str">
        <f ca="1">IF((R811)&gt;=6,"Có","Không")</f>
        <v>Có</v>
      </c>
      <c r="AJ811" s="29" t="str">
        <f>IF(OR(J811&gt;=140,K811&gt;=90),"Có","Không")</f>
        <v>Có</v>
      </c>
      <c r="AK811" s="5" t="s">
        <v>298</v>
      </c>
      <c r="AL811" s="32">
        <v>46142</v>
      </c>
      <c r="AM811" s="29" t="str">
        <f>"Tháng "&amp;MONTH(AL811)</f>
        <v>Tháng 4</v>
      </c>
      <c r="AN811" s="29" t="str">
        <f>LEFT(AK811,FIND(",",AK811)-1)</f>
        <v>ấp Biển Tây A</v>
      </c>
    </row>
    <row r="812" spans="1:40" x14ac:dyDescent="0.25">
      <c r="A812" s="49" t="s">
        <v>586</v>
      </c>
      <c r="B812" s="5" t="s">
        <v>30</v>
      </c>
      <c r="C812" s="5" t="s">
        <v>93</v>
      </c>
      <c r="D812" s="29">
        <f ca="1">DATEDIF(C812,TODAY(),"Y")</f>
        <v>66</v>
      </c>
      <c r="E812" s="5" t="s">
        <v>25</v>
      </c>
      <c r="F812" s="30">
        <v>169</v>
      </c>
      <c r="G812" s="30">
        <v>68</v>
      </c>
      <c r="H812" s="31">
        <f>G812/((F812/100)*(F812/100))</f>
        <v>23.808690171912751</v>
      </c>
      <c r="I812" s="5">
        <v>74</v>
      </c>
      <c r="J812" s="30">
        <v>120</v>
      </c>
      <c r="K812" s="30">
        <v>80</v>
      </c>
      <c r="L812" s="29">
        <f>IF(B812="Nữ",0,2)</f>
        <v>2</v>
      </c>
      <c r="M812" s="29">
        <f ca="1">IF(D812&lt;45,0,IF(D812&lt;=49,1,2))</f>
        <v>2</v>
      </c>
      <c r="N812" s="29">
        <f>IF(E812="Có",4,0)</f>
        <v>4</v>
      </c>
      <c r="O812" s="29">
        <f>IF(H812&lt;23,0,IF(H812&lt;27.5,3,5))</f>
        <v>3</v>
      </c>
      <c r="P812" s="29">
        <f>IF(OR(AND(B812="Nam",I812&gt;=90),AND(B812="Nữ",I812&gt;=80)),2,0)</f>
        <v>0</v>
      </c>
      <c r="Q812" s="29">
        <f>IF(OR(J812&gt;=140,K812&gt;=90),2,0)</f>
        <v>0</v>
      </c>
      <c r="R812" s="29">
        <f ca="1">SUM(L812:Q812)</f>
        <v>11</v>
      </c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5" t="s">
        <v>1393</v>
      </c>
      <c r="AE812" s="33"/>
      <c r="AF812" s="59" t="str">
        <f t="shared" si="37"/>
        <v>Không</v>
      </c>
      <c r="AG812" s="59" t="str">
        <f t="shared" si="38"/>
        <v>Không</v>
      </c>
      <c r="AH812" s="29" t="str">
        <f t="shared" ca="1" si="36"/>
        <v>Có</v>
      </c>
      <c r="AI812" s="29" t="str">
        <f ca="1">IF((R812)&gt;=6,"Có","Không")</f>
        <v>Có</v>
      </c>
      <c r="AJ812" s="29" t="str">
        <f>IF(OR(J812&gt;=140,K812&gt;=90),"Có","Không")</f>
        <v>Không</v>
      </c>
      <c r="AK812" s="5" t="s">
        <v>325</v>
      </c>
      <c r="AL812" s="32">
        <v>46142</v>
      </c>
      <c r="AM812" s="29" t="str">
        <f>"Tháng "&amp;MONTH(AL812)</f>
        <v>Tháng 4</v>
      </c>
      <c r="AN812" s="29" t="str">
        <f>LEFT(AK812,FIND(",",AK812)-1)</f>
        <v>Ấp Giồng Giữa A</v>
      </c>
    </row>
    <row r="813" spans="1:40" x14ac:dyDescent="0.25">
      <c r="A813" s="49" t="s">
        <v>587</v>
      </c>
      <c r="B813" s="5" t="s">
        <v>23</v>
      </c>
      <c r="C813" s="5" t="s">
        <v>45</v>
      </c>
      <c r="D813" s="29">
        <f ca="1">DATEDIF(C813,TODAY(),"Y")</f>
        <v>50</v>
      </c>
      <c r="E813" s="5" t="s">
        <v>25</v>
      </c>
      <c r="F813" s="30">
        <v>163</v>
      </c>
      <c r="G813" s="30">
        <v>69</v>
      </c>
      <c r="H813" s="31">
        <f>G813/((F813/100)*(F813/100))</f>
        <v>25.970115548195267</v>
      </c>
      <c r="I813" s="5">
        <v>90</v>
      </c>
      <c r="J813" s="30">
        <v>150</v>
      </c>
      <c r="K813" s="30">
        <v>90</v>
      </c>
      <c r="L813" s="29">
        <f>IF(B813="Nữ",0,2)</f>
        <v>0</v>
      </c>
      <c r="M813" s="29">
        <f ca="1">IF(D813&lt;45,0,IF(D813&lt;=49,1,2))</f>
        <v>2</v>
      </c>
      <c r="N813" s="29">
        <f>IF(E813="Có",4,0)</f>
        <v>4</v>
      </c>
      <c r="O813" s="29">
        <f>IF(H813&lt;23,0,IF(H813&lt;27.5,3,5))</f>
        <v>3</v>
      </c>
      <c r="P813" s="29">
        <f>IF(OR(AND(B813="Nam",I813&gt;=90),AND(B813="Nữ",I813&gt;=80)),2,0)</f>
        <v>2</v>
      </c>
      <c r="Q813" s="29">
        <f>IF(OR(J813&gt;=140,K813&gt;=90),2,0)</f>
        <v>2</v>
      </c>
      <c r="R813" s="29">
        <f ca="1">SUM(L813:Q813)</f>
        <v>13</v>
      </c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5" t="s">
        <v>1393</v>
      </c>
      <c r="AE813" s="33"/>
      <c r="AF813" s="59" t="str">
        <f t="shared" si="37"/>
        <v>Không</v>
      </c>
      <c r="AG813" s="59" t="str">
        <f t="shared" si="38"/>
        <v>Không</v>
      </c>
      <c r="AH813" s="29" t="str">
        <f t="shared" ca="1" si="36"/>
        <v>Có</v>
      </c>
      <c r="AI813" s="29" t="str">
        <f ca="1">IF((R813)&gt;=6,"Có","Không")</f>
        <v>Có</v>
      </c>
      <c r="AJ813" s="29" t="str">
        <f>IF(OR(J813&gt;=140,K813&gt;=90),"Có","Không")</f>
        <v>Có</v>
      </c>
      <c r="AK813" s="5" t="s">
        <v>501</v>
      </c>
      <c r="AL813" s="32">
        <v>46142</v>
      </c>
      <c r="AM813" s="29" t="str">
        <f>"Tháng "&amp;MONTH(AL813)</f>
        <v>Tháng 4</v>
      </c>
      <c r="AN813" s="29" t="str">
        <f>LEFT(AK813,FIND(",",AK813)-1)</f>
        <v>ấp Giồng Nhãn</v>
      </c>
    </row>
    <row r="814" spans="1:40" x14ac:dyDescent="0.25">
      <c r="A814" s="49" t="s">
        <v>588</v>
      </c>
      <c r="B814" s="5" t="s">
        <v>30</v>
      </c>
      <c r="C814" s="5" t="s">
        <v>341</v>
      </c>
      <c r="D814" s="29">
        <f ca="1">DATEDIF(C814,TODAY(),"Y")</f>
        <v>51</v>
      </c>
      <c r="E814" s="5" t="s">
        <v>26</v>
      </c>
      <c r="F814" s="30">
        <v>170</v>
      </c>
      <c r="G814" s="30">
        <v>80</v>
      </c>
      <c r="H814" s="31">
        <f>G814/((F814/100)*(F814/100))</f>
        <v>27.681660899653981</v>
      </c>
      <c r="I814" s="5">
        <v>69</v>
      </c>
      <c r="J814" s="30">
        <v>120</v>
      </c>
      <c r="K814" s="30">
        <v>70</v>
      </c>
      <c r="L814" s="29">
        <f>IF(B814="Nữ",0,2)</f>
        <v>2</v>
      </c>
      <c r="M814" s="29">
        <f ca="1">IF(D814&lt;45,0,IF(D814&lt;=49,1,2))</f>
        <v>2</v>
      </c>
      <c r="N814" s="29">
        <f>IF(E814="Có",4,0)</f>
        <v>0</v>
      </c>
      <c r="O814" s="29">
        <f>IF(H814&lt;23,0,IF(H814&lt;27.5,3,5))</f>
        <v>5</v>
      </c>
      <c r="P814" s="29">
        <f>IF(OR(AND(B814="Nam",I814&gt;=90),AND(B814="Nữ",I814&gt;=80)),2,0)</f>
        <v>0</v>
      </c>
      <c r="Q814" s="29">
        <f>IF(OR(J814&gt;=140,K814&gt;=90),2,0)</f>
        <v>0</v>
      </c>
      <c r="R814" s="29">
        <f ca="1">SUM(L814:Q814)</f>
        <v>9</v>
      </c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5" t="s">
        <v>1393</v>
      </c>
      <c r="AE814" s="33"/>
      <c r="AF814" s="59" t="str">
        <f t="shared" si="37"/>
        <v>Không</v>
      </c>
      <c r="AG814" s="59" t="str">
        <f t="shared" si="38"/>
        <v>Không</v>
      </c>
      <c r="AH814" s="29" t="str">
        <f t="shared" ca="1" si="36"/>
        <v>Có</v>
      </c>
      <c r="AI814" s="29" t="str">
        <f ca="1">IF((R814)&gt;=6,"Có","Không")</f>
        <v>Có</v>
      </c>
      <c r="AJ814" s="29" t="str">
        <f>IF(OR(J814&gt;=140,K814&gt;=90),"Có","Không")</f>
        <v>Không</v>
      </c>
      <c r="AK814" s="5" t="s">
        <v>88</v>
      </c>
      <c r="AL814" s="32">
        <v>46142</v>
      </c>
      <c r="AM814" s="29" t="str">
        <f>"Tháng "&amp;MONTH(AL814)</f>
        <v>Tháng 4</v>
      </c>
      <c r="AN814" s="29" t="str">
        <f>LEFT(AK814,FIND(",",AK814)-1)</f>
        <v>Giồng Giữa</v>
      </c>
    </row>
    <row r="815" spans="1:40" x14ac:dyDescent="0.25">
      <c r="A815" s="49" t="s">
        <v>591</v>
      </c>
      <c r="B815" s="5" t="s">
        <v>23</v>
      </c>
      <c r="C815" s="5" t="s">
        <v>188</v>
      </c>
      <c r="D815" s="29">
        <f ca="1">DATEDIF(C815,TODAY(),"Y")</f>
        <v>63</v>
      </c>
      <c r="E815" s="5" t="s">
        <v>26</v>
      </c>
      <c r="F815" s="30">
        <v>164</v>
      </c>
      <c r="G815" s="30">
        <v>68</v>
      </c>
      <c r="H815" s="31">
        <f>G815/((F815/100)*(F815/100))</f>
        <v>25.282569898869724</v>
      </c>
      <c r="I815" s="5">
        <v>91</v>
      </c>
      <c r="J815" s="30">
        <v>120</v>
      </c>
      <c r="K815" s="30">
        <v>80</v>
      </c>
      <c r="L815" s="29">
        <f>IF(B815="Nữ",0,2)</f>
        <v>0</v>
      </c>
      <c r="M815" s="29">
        <f ca="1">IF(D815&lt;45,0,IF(D815&lt;=49,1,2))</f>
        <v>2</v>
      </c>
      <c r="N815" s="29">
        <f>IF(E815="Có",4,0)</f>
        <v>0</v>
      </c>
      <c r="O815" s="29">
        <f>IF(H815&lt;23,0,IF(H815&lt;27.5,3,5))</f>
        <v>3</v>
      </c>
      <c r="P815" s="29">
        <f>IF(OR(AND(B815="Nam",I815&gt;=90),AND(B815="Nữ",I815&gt;=80)),2,0)</f>
        <v>2</v>
      </c>
      <c r="Q815" s="29">
        <f>IF(OR(J815&gt;=140,K815&gt;=90),2,0)</f>
        <v>0</v>
      </c>
      <c r="R815" s="29">
        <f ca="1">SUM(L815:Q815)</f>
        <v>7</v>
      </c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5" t="s">
        <v>1393</v>
      </c>
      <c r="AE815" s="33"/>
      <c r="AF815" s="59" t="str">
        <f t="shared" si="37"/>
        <v>Không</v>
      </c>
      <c r="AG815" s="59" t="str">
        <f t="shared" si="38"/>
        <v>Không</v>
      </c>
      <c r="AH815" s="29" t="str">
        <f t="shared" ca="1" si="36"/>
        <v>Có</v>
      </c>
      <c r="AI815" s="29" t="str">
        <f ca="1">IF((R815)&gt;=6,"Có","Không")</f>
        <v>Có</v>
      </c>
      <c r="AJ815" s="29" t="str">
        <f>IF(OR(J815&gt;=140,K815&gt;=90),"Có","Không")</f>
        <v>Không</v>
      </c>
      <c r="AK815" s="5" t="s">
        <v>51</v>
      </c>
      <c r="AL815" s="32">
        <v>46142</v>
      </c>
      <c r="AM815" s="29" t="str">
        <f>"Tháng "&amp;MONTH(AL815)</f>
        <v>Tháng 4</v>
      </c>
      <c r="AN815" s="29" t="str">
        <f>LEFT(AK815,FIND(",",AK815)-1)</f>
        <v>Phường Hiệp Thành</v>
      </c>
    </row>
    <row r="816" spans="1:40" x14ac:dyDescent="0.25">
      <c r="A816" s="49" t="s">
        <v>594</v>
      </c>
      <c r="B816" s="5" t="s">
        <v>23</v>
      </c>
      <c r="C816" s="5" t="s">
        <v>37</v>
      </c>
      <c r="D816" s="29">
        <f ca="1">DATEDIF(C816,TODAY(),"Y")</f>
        <v>75</v>
      </c>
      <c r="E816" s="5" t="s">
        <v>26</v>
      </c>
      <c r="F816" s="30">
        <v>165</v>
      </c>
      <c r="G816" s="30">
        <v>66</v>
      </c>
      <c r="H816" s="31">
        <f>G816/((F816/100)*(F816/100))</f>
        <v>24.242424242424246</v>
      </c>
      <c r="I816" s="5">
        <v>67</v>
      </c>
      <c r="J816" s="30">
        <v>130</v>
      </c>
      <c r="K816" s="30">
        <v>80</v>
      </c>
      <c r="L816" s="29">
        <f>IF(B816="Nữ",0,2)</f>
        <v>0</v>
      </c>
      <c r="M816" s="29">
        <f ca="1">IF(D816&lt;45,0,IF(D816&lt;=49,1,2))</f>
        <v>2</v>
      </c>
      <c r="N816" s="29">
        <f>IF(E816="Có",4,0)</f>
        <v>0</v>
      </c>
      <c r="O816" s="29">
        <f>IF(H816&lt;23,0,IF(H816&lt;27.5,3,5))</f>
        <v>3</v>
      </c>
      <c r="P816" s="29">
        <f>IF(OR(AND(B816="Nam",I816&gt;=90),AND(B816="Nữ",I816&gt;=80)),2,0)</f>
        <v>0</v>
      </c>
      <c r="Q816" s="29">
        <f>IF(OR(J816&gt;=140,K816&gt;=90),2,0)</f>
        <v>0</v>
      </c>
      <c r="R816" s="29">
        <f ca="1">SUM(L816:Q816)</f>
        <v>5</v>
      </c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5" t="s">
        <v>1393</v>
      </c>
      <c r="AE816" s="33"/>
      <c r="AF816" s="59" t="str">
        <f t="shared" si="37"/>
        <v>Không</v>
      </c>
      <c r="AG816" s="59" t="str">
        <f t="shared" si="38"/>
        <v>Không</v>
      </c>
      <c r="AH816" s="29" t="str">
        <f t="shared" ca="1" si="36"/>
        <v>Không</v>
      </c>
      <c r="AI816" s="29" t="str">
        <f ca="1">IF((R816)&gt;=6,"Có","Không")</f>
        <v>Không</v>
      </c>
      <c r="AJ816" s="29" t="str">
        <f>IF(OR(J816&gt;=140,K816&gt;=90),"Có","Không")</f>
        <v>Không</v>
      </c>
      <c r="AK816" s="5" t="s">
        <v>122</v>
      </c>
      <c r="AL816" s="32">
        <v>46142</v>
      </c>
      <c r="AM816" s="29" t="str">
        <f>"Tháng "&amp;MONTH(AL816)</f>
        <v>Tháng 4</v>
      </c>
      <c r="AN816" s="29" t="str">
        <f>LEFT(AK816,FIND(",",AK816)-1)</f>
        <v>Giồng Nhãn</v>
      </c>
    </row>
    <row r="817" spans="1:40" x14ac:dyDescent="0.25">
      <c r="A817" s="49" t="s">
        <v>596</v>
      </c>
      <c r="B817" s="5" t="s">
        <v>30</v>
      </c>
      <c r="C817" s="5" t="s">
        <v>314</v>
      </c>
      <c r="D817" s="29">
        <f ca="1">DATEDIF(C817,TODAY(),"Y")</f>
        <v>77</v>
      </c>
      <c r="E817" s="5" t="s">
        <v>26</v>
      </c>
      <c r="F817" s="30">
        <v>172</v>
      </c>
      <c r="G817" s="30">
        <v>60</v>
      </c>
      <c r="H817" s="31">
        <f>G817/((F817/100)*(F817/100))</f>
        <v>20.281233098972418</v>
      </c>
      <c r="I817" s="5">
        <v>82</v>
      </c>
      <c r="J817" s="30">
        <v>120</v>
      </c>
      <c r="K817" s="30">
        <v>80</v>
      </c>
      <c r="L817" s="29">
        <f>IF(B817="Nữ",0,2)</f>
        <v>2</v>
      </c>
      <c r="M817" s="29">
        <f ca="1">IF(D817&lt;45,0,IF(D817&lt;=49,1,2))</f>
        <v>2</v>
      </c>
      <c r="N817" s="29">
        <f>IF(E817="Có",4,0)</f>
        <v>0</v>
      </c>
      <c r="O817" s="29">
        <f>IF(H817&lt;23,0,IF(H817&lt;27.5,3,5))</f>
        <v>0</v>
      </c>
      <c r="P817" s="29">
        <f>IF(OR(AND(B817="Nam",I817&gt;=90),AND(B817="Nữ",I817&gt;=80)),2,0)</f>
        <v>0</v>
      </c>
      <c r="Q817" s="29">
        <f>IF(OR(J817&gt;=140,K817&gt;=90),2,0)</f>
        <v>0</v>
      </c>
      <c r="R817" s="29">
        <f ca="1">SUM(L817:Q817)</f>
        <v>4</v>
      </c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5" t="s">
        <v>1393</v>
      </c>
      <c r="AE817" s="33"/>
      <c r="AF817" s="59" t="str">
        <f t="shared" si="37"/>
        <v>Không</v>
      </c>
      <c r="AG817" s="59" t="str">
        <f t="shared" si="38"/>
        <v>Không</v>
      </c>
      <c r="AH817" s="29" t="str">
        <f t="shared" ca="1" si="36"/>
        <v>Không</v>
      </c>
      <c r="AI817" s="29" t="str">
        <f ca="1">IF((R817)&gt;=6,"Có","Không")</f>
        <v>Không</v>
      </c>
      <c r="AJ817" s="29" t="str">
        <f>IF(OR(J817&gt;=140,K817&gt;=90),"Có","Không")</f>
        <v>Không</v>
      </c>
      <c r="AK817" s="5" t="s">
        <v>68</v>
      </c>
      <c r="AL817" s="32">
        <v>46142</v>
      </c>
      <c r="AM817" s="29" t="str">
        <f>"Tháng "&amp;MONTH(AL817)</f>
        <v>Tháng 4</v>
      </c>
      <c r="AN817" s="29" t="str">
        <f>LEFT(AK817,FIND(",",AK817)-1)</f>
        <v>Ấp Biển Tây B</v>
      </c>
    </row>
    <row r="818" spans="1:40" x14ac:dyDescent="0.25">
      <c r="A818" s="49" t="s">
        <v>600</v>
      </c>
      <c r="B818" s="5" t="s">
        <v>23</v>
      </c>
      <c r="C818" s="5" t="s">
        <v>138</v>
      </c>
      <c r="D818" s="29">
        <f ca="1">DATEDIF(C818,TODAY(),"Y")</f>
        <v>67</v>
      </c>
      <c r="E818" s="5" t="s">
        <v>26</v>
      </c>
      <c r="F818" s="30">
        <v>155</v>
      </c>
      <c r="G818" s="30">
        <v>57</v>
      </c>
      <c r="H818" s="31">
        <f>G818/((F818/100)*(F818/100))</f>
        <v>23.725286160249738</v>
      </c>
      <c r="I818" s="5">
        <v>95</v>
      </c>
      <c r="J818" s="30">
        <v>120</v>
      </c>
      <c r="K818" s="30">
        <v>80</v>
      </c>
      <c r="L818" s="29">
        <f>IF(B818="Nữ",0,2)</f>
        <v>0</v>
      </c>
      <c r="M818" s="29">
        <f ca="1">IF(D818&lt;45,0,IF(D818&lt;=49,1,2))</f>
        <v>2</v>
      </c>
      <c r="N818" s="29">
        <f>IF(E818="Có",4,0)</f>
        <v>0</v>
      </c>
      <c r="O818" s="29">
        <f>IF(H818&lt;23,0,IF(H818&lt;27.5,3,5))</f>
        <v>3</v>
      </c>
      <c r="P818" s="29">
        <f>IF(OR(AND(B818="Nam",I818&gt;=90),AND(B818="Nữ",I818&gt;=80)),2,0)</f>
        <v>2</v>
      </c>
      <c r="Q818" s="29">
        <f>IF(OR(J818&gt;=140,K818&gt;=90),2,0)</f>
        <v>0</v>
      </c>
      <c r="R818" s="29">
        <f ca="1">SUM(L818:Q818)</f>
        <v>7</v>
      </c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5" t="s">
        <v>1393</v>
      </c>
      <c r="AE818" s="33"/>
      <c r="AF818" s="59" t="str">
        <f t="shared" si="37"/>
        <v>Không</v>
      </c>
      <c r="AG818" s="59" t="str">
        <f t="shared" si="38"/>
        <v>Không</v>
      </c>
      <c r="AH818" s="29" t="str">
        <f t="shared" ca="1" si="36"/>
        <v>Có</v>
      </c>
      <c r="AI818" s="29" t="str">
        <f ca="1">IF((R818)&gt;=6,"Có","Không")</f>
        <v>Có</v>
      </c>
      <c r="AJ818" s="29" t="str">
        <f>IF(OR(J818&gt;=140,K818&gt;=90),"Có","Không")</f>
        <v>Không</v>
      </c>
      <c r="AK818" s="5" t="s">
        <v>160</v>
      </c>
      <c r="AL818" s="32">
        <v>46142</v>
      </c>
      <c r="AM818" s="29" t="str">
        <f>"Tháng "&amp;MONTH(AL818)</f>
        <v>Tháng 4</v>
      </c>
      <c r="AN818" s="29" t="str">
        <f>LEFT(AK818,FIND(",",AK818)-1)</f>
        <v>Ấp Giồng Nhãn</v>
      </c>
    </row>
    <row r="819" spans="1:40" x14ac:dyDescent="0.25">
      <c r="A819" s="49" t="s">
        <v>606</v>
      </c>
      <c r="B819" s="5" t="s">
        <v>23</v>
      </c>
      <c r="C819" s="5" t="s">
        <v>50</v>
      </c>
      <c r="D819" s="29">
        <f ca="1">DATEDIF(C819,TODAY(),"Y")</f>
        <v>58</v>
      </c>
      <c r="E819" s="5" t="s">
        <v>26</v>
      </c>
      <c r="F819" s="30">
        <v>158</v>
      </c>
      <c r="G819" s="30">
        <v>58</v>
      </c>
      <c r="H819" s="31">
        <f>G819/((F819/100)*(F819/100))</f>
        <v>23.233456176894723</v>
      </c>
      <c r="I819" s="5">
        <v>99</v>
      </c>
      <c r="J819" s="30">
        <v>140</v>
      </c>
      <c r="K819" s="30">
        <v>80</v>
      </c>
      <c r="L819" s="29">
        <f>IF(B819="Nữ",0,2)</f>
        <v>0</v>
      </c>
      <c r="M819" s="29">
        <f ca="1">IF(D819&lt;45,0,IF(D819&lt;=49,1,2))</f>
        <v>2</v>
      </c>
      <c r="N819" s="29">
        <f>IF(E819="Có",4,0)</f>
        <v>0</v>
      </c>
      <c r="O819" s="29">
        <f>IF(H819&lt;23,0,IF(H819&lt;27.5,3,5))</f>
        <v>3</v>
      </c>
      <c r="P819" s="29">
        <f>IF(OR(AND(B819="Nam",I819&gt;=90),AND(B819="Nữ",I819&gt;=80)),2,0)</f>
        <v>2</v>
      </c>
      <c r="Q819" s="29">
        <f>IF(OR(J819&gt;=140,K819&gt;=90),2,0)</f>
        <v>2</v>
      </c>
      <c r="R819" s="29">
        <f ca="1">SUM(L819:Q819)</f>
        <v>9</v>
      </c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5" t="s">
        <v>1393</v>
      </c>
      <c r="AE819" s="33"/>
      <c r="AF819" s="59" t="str">
        <f t="shared" si="37"/>
        <v>Không</v>
      </c>
      <c r="AG819" s="59" t="str">
        <f t="shared" si="38"/>
        <v>Không</v>
      </c>
      <c r="AH819" s="29" t="str">
        <f t="shared" ca="1" si="36"/>
        <v>Có</v>
      </c>
      <c r="AI819" s="29" t="str">
        <f ca="1">IF((R819)&gt;=6,"Có","Không")</f>
        <v>Có</v>
      </c>
      <c r="AJ819" s="29" t="str">
        <f>IF(OR(J819&gt;=140,K819&gt;=90),"Có","Không")</f>
        <v>Có</v>
      </c>
      <c r="AK819" s="5" t="s">
        <v>60</v>
      </c>
      <c r="AL819" s="32">
        <v>46142</v>
      </c>
      <c r="AM819" s="29" t="str">
        <f>"Tháng "&amp;MONTH(AL819)</f>
        <v>Tháng 4</v>
      </c>
      <c r="AN819" s="29" t="str">
        <f>LEFT(AK819,FIND(",",AK819)-1)</f>
        <v>ấp Biển Đông A</v>
      </c>
    </row>
    <row r="820" spans="1:40" x14ac:dyDescent="0.25">
      <c r="A820" s="49" t="s">
        <v>607</v>
      </c>
      <c r="B820" s="5" t="s">
        <v>30</v>
      </c>
      <c r="C820" s="5" t="s">
        <v>188</v>
      </c>
      <c r="D820" s="29">
        <f ca="1">DATEDIF(C820,TODAY(),"Y")</f>
        <v>63</v>
      </c>
      <c r="E820" s="5" t="s">
        <v>26</v>
      </c>
      <c r="F820" s="30">
        <v>169</v>
      </c>
      <c r="G820" s="30">
        <v>68</v>
      </c>
      <c r="H820" s="31">
        <f>G820/((F820/100)*(F820/100))</f>
        <v>23.808690171912751</v>
      </c>
      <c r="I820" s="5">
        <v>88</v>
      </c>
      <c r="J820" s="30">
        <v>160</v>
      </c>
      <c r="K820" s="30">
        <v>80</v>
      </c>
      <c r="L820" s="29">
        <f>IF(B820="Nữ",0,2)</f>
        <v>2</v>
      </c>
      <c r="M820" s="29">
        <f ca="1">IF(D820&lt;45,0,IF(D820&lt;=49,1,2))</f>
        <v>2</v>
      </c>
      <c r="N820" s="29">
        <f>IF(E820="Có",4,0)</f>
        <v>0</v>
      </c>
      <c r="O820" s="29">
        <f>IF(H820&lt;23,0,IF(H820&lt;27.5,3,5))</f>
        <v>3</v>
      </c>
      <c r="P820" s="29">
        <f>IF(OR(AND(B820="Nam",I820&gt;=90),AND(B820="Nữ",I820&gt;=80)),2,0)</f>
        <v>0</v>
      </c>
      <c r="Q820" s="29">
        <f>IF(OR(J820&gt;=140,K820&gt;=90),2,0)</f>
        <v>2</v>
      </c>
      <c r="R820" s="29">
        <f ca="1">SUM(L820:Q820)</f>
        <v>9</v>
      </c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5" t="s">
        <v>1393</v>
      </c>
      <c r="AE820" s="33"/>
      <c r="AF820" s="59" t="str">
        <f t="shared" si="37"/>
        <v>Không</v>
      </c>
      <c r="AG820" s="59" t="str">
        <f t="shared" si="38"/>
        <v>Không</v>
      </c>
      <c r="AH820" s="29" t="str">
        <f t="shared" ca="1" si="36"/>
        <v>Có</v>
      </c>
      <c r="AI820" s="29" t="str">
        <f ca="1">IF((R820)&gt;=6,"Có","Không")</f>
        <v>Có</v>
      </c>
      <c r="AJ820" s="29" t="str">
        <f>IF(OR(J820&gt;=140,K820&gt;=90),"Có","Không")</f>
        <v>Có</v>
      </c>
      <c r="AK820" s="5" t="s">
        <v>70</v>
      </c>
      <c r="AL820" s="32">
        <v>46142</v>
      </c>
      <c r="AM820" s="29" t="str">
        <f>"Tháng "&amp;MONTH(AL820)</f>
        <v>Tháng 4</v>
      </c>
      <c r="AN820" s="29" t="str">
        <f>LEFT(AK820,FIND(",",AK820)-1)</f>
        <v>Ấp Biển Tây A</v>
      </c>
    </row>
    <row r="821" spans="1:40" x14ac:dyDescent="0.25">
      <c r="A821" s="49" t="s">
        <v>613</v>
      </c>
      <c r="B821" s="5" t="s">
        <v>23</v>
      </c>
      <c r="C821" s="5" t="s">
        <v>155</v>
      </c>
      <c r="D821" s="29">
        <f ca="1">DATEDIF(C821,TODAY(),"Y")</f>
        <v>53</v>
      </c>
      <c r="E821" s="5" t="s">
        <v>25</v>
      </c>
      <c r="F821" s="30">
        <v>158</v>
      </c>
      <c r="G821" s="30">
        <v>58</v>
      </c>
      <c r="H821" s="31">
        <f>G821/((F821/100)*(F821/100))</f>
        <v>23.233456176894723</v>
      </c>
      <c r="I821" s="5">
        <v>74</v>
      </c>
      <c r="J821" s="30">
        <v>140</v>
      </c>
      <c r="K821" s="30">
        <v>80</v>
      </c>
      <c r="L821" s="29">
        <f>IF(B821="Nữ",0,2)</f>
        <v>0</v>
      </c>
      <c r="M821" s="29">
        <f ca="1">IF(D821&lt;45,0,IF(D821&lt;=49,1,2))</f>
        <v>2</v>
      </c>
      <c r="N821" s="29">
        <f>IF(E821="Có",4,0)</f>
        <v>4</v>
      </c>
      <c r="O821" s="29">
        <f>IF(H821&lt;23,0,IF(H821&lt;27.5,3,5))</f>
        <v>3</v>
      </c>
      <c r="P821" s="29">
        <f>IF(OR(AND(B821="Nam",I821&gt;=90),AND(B821="Nữ",I821&gt;=80)),2,0)</f>
        <v>0</v>
      </c>
      <c r="Q821" s="29">
        <f>IF(OR(J821&gt;=140,K821&gt;=90),2,0)</f>
        <v>2</v>
      </c>
      <c r="R821" s="29">
        <f ca="1">SUM(L821:Q821)</f>
        <v>11</v>
      </c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5" t="s">
        <v>1393</v>
      </c>
      <c r="AE821" s="33"/>
      <c r="AF821" s="59" t="str">
        <f t="shared" si="37"/>
        <v>Không</v>
      </c>
      <c r="AG821" s="59" t="str">
        <f t="shared" si="38"/>
        <v>Không</v>
      </c>
      <c r="AH821" s="29" t="str">
        <f t="shared" ca="1" si="36"/>
        <v>Có</v>
      </c>
      <c r="AI821" s="29" t="str">
        <f ca="1">IF((R821)&gt;=6,"Có","Không")</f>
        <v>Có</v>
      </c>
      <c r="AJ821" s="29" t="str">
        <f>IF(OR(J821&gt;=140,K821&gt;=90),"Có","Không")</f>
        <v>Có</v>
      </c>
      <c r="AK821" s="5" t="s">
        <v>306</v>
      </c>
      <c r="AL821" s="32">
        <v>46142</v>
      </c>
      <c r="AM821" s="29" t="str">
        <f>"Tháng "&amp;MONTH(AL821)</f>
        <v>Tháng 4</v>
      </c>
      <c r="AN821" s="29" t="str">
        <f>LEFT(AK821,FIND(",",AK821)-1)</f>
        <v>Giồng Giữa A</v>
      </c>
    </row>
    <row r="822" spans="1:40" x14ac:dyDescent="0.25">
      <c r="A822" s="49" t="s">
        <v>623</v>
      </c>
      <c r="B822" s="5" t="s">
        <v>23</v>
      </c>
      <c r="C822" s="5" t="s">
        <v>53</v>
      </c>
      <c r="D822" s="29">
        <f ca="1">DATEDIF(C822,TODAY(),"Y")</f>
        <v>72</v>
      </c>
      <c r="E822" s="5" t="s">
        <v>25</v>
      </c>
      <c r="F822" s="30">
        <v>160</v>
      </c>
      <c r="G822" s="30">
        <v>60</v>
      </c>
      <c r="H822" s="31">
        <f>G822/((F822/100)*(F822/100))</f>
        <v>23.437499999999996</v>
      </c>
      <c r="I822" s="5">
        <v>82</v>
      </c>
      <c r="J822" s="30">
        <v>130</v>
      </c>
      <c r="K822" s="30">
        <v>80</v>
      </c>
      <c r="L822" s="29">
        <f>IF(B822="Nữ",0,2)</f>
        <v>0</v>
      </c>
      <c r="M822" s="29">
        <f ca="1">IF(D822&lt;45,0,IF(D822&lt;=49,1,2))</f>
        <v>2</v>
      </c>
      <c r="N822" s="29">
        <f>IF(E822="Có",4,0)</f>
        <v>4</v>
      </c>
      <c r="O822" s="29">
        <f>IF(H822&lt;23,0,IF(H822&lt;27.5,3,5))</f>
        <v>3</v>
      </c>
      <c r="P822" s="29">
        <f>IF(OR(AND(B822="Nam",I822&gt;=90),AND(B822="Nữ",I822&gt;=80)),2,0)</f>
        <v>2</v>
      </c>
      <c r="Q822" s="29">
        <f>IF(OR(J822&gt;=140,K822&gt;=90),2,0)</f>
        <v>0</v>
      </c>
      <c r="R822" s="29">
        <f ca="1">SUM(L822:Q822)</f>
        <v>11</v>
      </c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5" t="s">
        <v>1393</v>
      </c>
      <c r="AE822" s="33"/>
      <c r="AF822" s="59" t="str">
        <f t="shared" si="37"/>
        <v>Không</v>
      </c>
      <c r="AG822" s="59" t="str">
        <f t="shared" si="38"/>
        <v>Không</v>
      </c>
      <c r="AH822" s="29" t="str">
        <f t="shared" ca="1" si="36"/>
        <v>Có</v>
      </c>
      <c r="AI822" s="29" t="str">
        <f ca="1">IF((R822)&gt;=6,"Có","Không")</f>
        <v>Có</v>
      </c>
      <c r="AJ822" s="29" t="str">
        <f>IF(OR(J822&gt;=140,K822&gt;=90),"Có","Không")</f>
        <v>Không</v>
      </c>
      <c r="AK822" s="5" t="s">
        <v>478</v>
      </c>
      <c r="AL822" s="32">
        <v>46142</v>
      </c>
      <c r="AM822" s="29" t="str">
        <f>"Tháng "&amp;MONTH(AL822)</f>
        <v>Tháng 4</v>
      </c>
      <c r="AN822" s="29" t="str">
        <f>LEFT(AK822,FIND(",",AK822)-1)</f>
        <v>Giồng nhãn A</v>
      </c>
    </row>
    <row r="823" spans="1:40" x14ac:dyDescent="0.25">
      <c r="A823" s="49" t="s">
        <v>624</v>
      </c>
      <c r="B823" s="5" t="s">
        <v>23</v>
      </c>
      <c r="C823" s="5" t="s">
        <v>82</v>
      </c>
      <c r="D823" s="29">
        <f ca="1">DATEDIF(C823,TODAY(),"Y")</f>
        <v>73</v>
      </c>
      <c r="E823" s="5" t="s">
        <v>26</v>
      </c>
      <c r="F823" s="30">
        <v>165</v>
      </c>
      <c r="G823" s="30">
        <v>56</v>
      </c>
      <c r="H823" s="31">
        <f>G823/((F823/100)*(F823/100))</f>
        <v>20.569329660238754</v>
      </c>
      <c r="I823" s="5">
        <v>85</v>
      </c>
      <c r="J823" s="30">
        <v>120</v>
      </c>
      <c r="K823" s="30">
        <v>80</v>
      </c>
      <c r="L823" s="29">
        <f>IF(B823="Nữ",0,2)</f>
        <v>0</v>
      </c>
      <c r="M823" s="29">
        <f ca="1">IF(D823&lt;45,0,IF(D823&lt;=49,1,2))</f>
        <v>2</v>
      </c>
      <c r="N823" s="29">
        <f>IF(E823="Có",4,0)</f>
        <v>0</v>
      </c>
      <c r="O823" s="29">
        <f>IF(H823&lt;23,0,IF(H823&lt;27.5,3,5))</f>
        <v>0</v>
      </c>
      <c r="P823" s="29">
        <f>IF(OR(AND(B823="Nam",I823&gt;=90),AND(B823="Nữ",I823&gt;=80)),2,0)</f>
        <v>2</v>
      </c>
      <c r="Q823" s="29">
        <f>IF(OR(J823&gt;=140,K823&gt;=90),2,0)</f>
        <v>0</v>
      </c>
      <c r="R823" s="29">
        <f ca="1">SUM(L823:Q823)</f>
        <v>4</v>
      </c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5" t="s">
        <v>1393</v>
      </c>
      <c r="AE823" s="33"/>
      <c r="AF823" s="59" t="str">
        <f t="shared" si="37"/>
        <v>Không</v>
      </c>
      <c r="AG823" s="59" t="str">
        <f t="shared" si="38"/>
        <v>Không</v>
      </c>
      <c r="AH823" s="29" t="str">
        <f t="shared" ca="1" si="36"/>
        <v>Không</v>
      </c>
      <c r="AI823" s="29" t="str">
        <f ca="1">IF((R823)&gt;=6,"Có","Không")</f>
        <v>Không</v>
      </c>
      <c r="AJ823" s="29" t="str">
        <f>IF(OR(J823&gt;=140,K823&gt;=90),"Có","Không")</f>
        <v>Không</v>
      </c>
      <c r="AK823" s="5" t="s">
        <v>298</v>
      </c>
      <c r="AL823" s="32">
        <v>46142</v>
      </c>
      <c r="AM823" s="29" t="str">
        <f>"Tháng "&amp;MONTH(AL823)</f>
        <v>Tháng 4</v>
      </c>
      <c r="AN823" s="29" t="str">
        <f>LEFT(AK823,FIND(",",AK823)-1)</f>
        <v>ấp Biển Tây A</v>
      </c>
    </row>
    <row r="824" spans="1:40" x14ac:dyDescent="0.25">
      <c r="A824" s="49" t="s">
        <v>625</v>
      </c>
      <c r="B824" s="5" t="s">
        <v>23</v>
      </c>
      <c r="C824" s="5" t="s">
        <v>93</v>
      </c>
      <c r="D824" s="29">
        <f ca="1">DATEDIF(C824,TODAY(),"Y")</f>
        <v>66</v>
      </c>
      <c r="E824" s="5" t="s">
        <v>25</v>
      </c>
      <c r="F824" s="30">
        <v>158</v>
      </c>
      <c r="G824" s="30">
        <v>58</v>
      </c>
      <c r="H824" s="31">
        <f>G824/((F824/100)*(F824/100))</f>
        <v>23.233456176894723</v>
      </c>
      <c r="I824" s="5">
        <v>72</v>
      </c>
      <c r="J824" s="30">
        <v>150</v>
      </c>
      <c r="K824" s="30">
        <v>80</v>
      </c>
      <c r="L824" s="29">
        <f>IF(B824="Nữ",0,2)</f>
        <v>0</v>
      </c>
      <c r="M824" s="29">
        <f ca="1">IF(D824&lt;45,0,IF(D824&lt;=49,1,2))</f>
        <v>2</v>
      </c>
      <c r="N824" s="29">
        <f>IF(E824="Có",4,0)</f>
        <v>4</v>
      </c>
      <c r="O824" s="29">
        <f>IF(H824&lt;23,0,IF(H824&lt;27.5,3,5))</f>
        <v>3</v>
      </c>
      <c r="P824" s="29">
        <f>IF(OR(AND(B824="Nam",I824&gt;=90),AND(B824="Nữ",I824&gt;=80)),2,0)</f>
        <v>0</v>
      </c>
      <c r="Q824" s="29">
        <f>IF(OR(J824&gt;=140,K824&gt;=90),2,0)</f>
        <v>2</v>
      </c>
      <c r="R824" s="29">
        <f ca="1">SUM(L824:Q824)</f>
        <v>11</v>
      </c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5" t="s">
        <v>1393</v>
      </c>
      <c r="AE824" s="33"/>
      <c r="AF824" s="59" t="str">
        <f t="shared" si="37"/>
        <v>Không</v>
      </c>
      <c r="AG824" s="59" t="str">
        <f t="shared" si="38"/>
        <v>Không</v>
      </c>
      <c r="AH824" s="29" t="str">
        <f t="shared" ca="1" si="36"/>
        <v>Có</v>
      </c>
      <c r="AI824" s="29" t="str">
        <f ca="1">IF((R824)&gt;=6,"Có","Không")</f>
        <v>Có</v>
      </c>
      <c r="AJ824" s="29" t="str">
        <f>IF(OR(J824&gt;=140,K824&gt;=90),"Có","Không")</f>
        <v>Có</v>
      </c>
      <c r="AK824" s="5" t="s">
        <v>164</v>
      </c>
      <c r="AL824" s="32">
        <v>46142</v>
      </c>
      <c r="AM824" s="29" t="str">
        <f>"Tháng "&amp;MONTH(AL824)</f>
        <v>Tháng 4</v>
      </c>
      <c r="AN824" s="29" t="str">
        <f>LEFT(AK824,FIND(",",AK824)-1)</f>
        <v>ấp Biển Đông B</v>
      </c>
    </row>
    <row r="825" spans="1:40" x14ac:dyDescent="0.25">
      <c r="A825" s="49" t="s">
        <v>626</v>
      </c>
      <c r="B825" s="5" t="s">
        <v>23</v>
      </c>
      <c r="C825" s="5" t="s">
        <v>42</v>
      </c>
      <c r="D825" s="29">
        <f ca="1">DATEDIF(C825,TODAY(),"Y")</f>
        <v>59</v>
      </c>
      <c r="E825" s="5" t="s">
        <v>26</v>
      </c>
      <c r="F825" s="30">
        <v>158</v>
      </c>
      <c r="G825" s="30">
        <v>58</v>
      </c>
      <c r="H825" s="31">
        <f>G825/((F825/100)*(F825/100))</f>
        <v>23.233456176894723</v>
      </c>
      <c r="I825" s="5">
        <v>76</v>
      </c>
      <c r="J825" s="30">
        <v>140</v>
      </c>
      <c r="K825" s="30">
        <v>80</v>
      </c>
      <c r="L825" s="29">
        <f>IF(B825="Nữ",0,2)</f>
        <v>0</v>
      </c>
      <c r="M825" s="29">
        <f ca="1">IF(D825&lt;45,0,IF(D825&lt;=49,1,2))</f>
        <v>2</v>
      </c>
      <c r="N825" s="29">
        <f>IF(E825="Có",4,0)</f>
        <v>0</v>
      </c>
      <c r="O825" s="29">
        <f>IF(H825&lt;23,0,IF(H825&lt;27.5,3,5))</f>
        <v>3</v>
      </c>
      <c r="P825" s="29">
        <f>IF(OR(AND(B825="Nam",I825&gt;=90),AND(B825="Nữ",I825&gt;=80)),2,0)</f>
        <v>0</v>
      </c>
      <c r="Q825" s="29">
        <f>IF(OR(J825&gt;=140,K825&gt;=90),2,0)</f>
        <v>2</v>
      </c>
      <c r="R825" s="29">
        <f ca="1">SUM(L825:Q825)</f>
        <v>7</v>
      </c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5" t="s">
        <v>1393</v>
      </c>
      <c r="AE825" s="33"/>
      <c r="AF825" s="59" t="str">
        <f t="shared" si="37"/>
        <v>Không</v>
      </c>
      <c r="AG825" s="59" t="str">
        <f t="shared" si="38"/>
        <v>Không</v>
      </c>
      <c r="AH825" s="29" t="str">
        <f t="shared" ca="1" si="36"/>
        <v>Có</v>
      </c>
      <c r="AI825" s="29" t="str">
        <f ca="1">IF((R825)&gt;=6,"Có","Không")</f>
        <v>Có</v>
      </c>
      <c r="AJ825" s="29" t="str">
        <f>IF(OR(J825&gt;=140,K825&gt;=90),"Có","Không")</f>
        <v>Có</v>
      </c>
      <c r="AK825" s="5" t="s">
        <v>111</v>
      </c>
      <c r="AL825" s="32">
        <v>46142</v>
      </c>
      <c r="AM825" s="29" t="str">
        <f>"Tháng "&amp;MONTH(AL825)</f>
        <v>Tháng 4</v>
      </c>
      <c r="AN825" s="29" t="str">
        <f>LEFT(AK825,FIND(",",AK825)-1)</f>
        <v>Phường Vĩnh Trạch</v>
      </c>
    </row>
    <row r="826" spans="1:40" x14ac:dyDescent="0.25">
      <c r="A826" s="49" t="s">
        <v>627</v>
      </c>
      <c r="B826" s="5" t="s">
        <v>23</v>
      </c>
      <c r="C826" s="5" t="s">
        <v>82</v>
      </c>
      <c r="D826" s="29">
        <f ca="1">DATEDIF(C826,TODAY(),"Y")</f>
        <v>73</v>
      </c>
      <c r="E826" s="5" t="s">
        <v>25</v>
      </c>
      <c r="F826" s="30">
        <v>157</v>
      </c>
      <c r="G826" s="30">
        <v>50</v>
      </c>
      <c r="H826" s="31">
        <f>G826/((F826/100)*(F826/100))</f>
        <v>20.28479857195018</v>
      </c>
      <c r="I826" s="5">
        <v>66</v>
      </c>
      <c r="J826" s="30">
        <v>120</v>
      </c>
      <c r="K826" s="30">
        <v>70</v>
      </c>
      <c r="L826" s="29">
        <f>IF(B826="Nữ",0,2)</f>
        <v>0</v>
      </c>
      <c r="M826" s="29">
        <f ca="1">IF(D826&lt;45,0,IF(D826&lt;=49,1,2))</f>
        <v>2</v>
      </c>
      <c r="N826" s="29">
        <f>IF(E826="Có",4,0)</f>
        <v>4</v>
      </c>
      <c r="O826" s="29">
        <f>IF(H826&lt;23,0,IF(H826&lt;27.5,3,5))</f>
        <v>0</v>
      </c>
      <c r="P826" s="29">
        <f>IF(OR(AND(B826="Nam",I826&gt;=90),AND(B826="Nữ",I826&gt;=80)),2,0)</f>
        <v>0</v>
      </c>
      <c r="Q826" s="29">
        <f>IF(OR(J826&gt;=140,K826&gt;=90),2,0)</f>
        <v>0</v>
      </c>
      <c r="R826" s="29">
        <f ca="1">SUM(L826:Q826)</f>
        <v>6</v>
      </c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5" t="s">
        <v>1393</v>
      </c>
      <c r="AE826" s="33"/>
      <c r="AF826" s="59" t="str">
        <f t="shared" si="37"/>
        <v>Không</v>
      </c>
      <c r="AG826" s="59" t="str">
        <f t="shared" si="38"/>
        <v>Không</v>
      </c>
      <c r="AH826" s="29" t="str">
        <f t="shared" ca="1" si="36"/>
        <v>Có</v>
      </c>
      <c r="AI826" s="29" t="str">
        <f ca="1">IF((R826)&gt;=6,"Có","Không")</f>
        <v>Có</v>
      </c>
      <c r="AJ826" s="29" t="str">
        <f>IF(OR(J826&gt;=140,K826&gt;=90),"Có","Không")</f>
        <v>Không</v>
      </c>
      <c r="AK826" s="5" t="s">
        <v>91</v>
      </c>
      <c r="AL826" s="32">
        <v>46142</v>
      </c>
      <c r="AM826" s="29" t="str">
        <f>"Tháng "&amp;MONTH(AL826)</f>
        <v>Tháng 4</v>
      </c>
      <c r="AN826" s="29" t="str">
        <f>LEFT(AK826,FIND(",",AK826)-1)</f>
        <v>Ấp Giồng Giữa</v>
      </c>
    </row>
    <row r="827" spans="1:40" x14ac:dyDescent="0.25">
      <c r="A827" s="49" t="s">
        <v>628</v>
      </c>
      <c r="B827" s="5" t="s">
        <v>30</v>
      </c>
      <c r="C827" s="5" t="s">
        <v>59</v>
      </c>
      <c r="D827" s="29">
        <f ca="1">DATEDIF(C827,TODAY(),"Y")</f>
        <v>74</v>
      </c>
      <c r="E827" s="5" t="s">
        <v>26</v>
      </c>
      <c r="F827" s="30">
        <v>169</v>
      </c>
      <c r="G827" s="30">
        <v>68</v>
      </c>
      <c r="H827" s="31">
        <f>G827/((F827/100)*(F827/100))</f>
        <v>23.808690171912751</v>
      </c>
      <c r="I827" s="5">
        <v>94</v>
      </c>
      <c r="J827" s="30">
        <v>140</v>
      </c>
      <c r="K827" s="30">
        <v>80</v>
      </c>
      <c r="L827" s="29">
        <f>IF(B827="Nữ",0,2)</f>
        <v>2</v>
      </c>
      <c r="M827" s="29">
        <f ca="1">IF(D827&lt;45,0,IF(D827&lt;=49,1,2))</f>
        <v>2</v>
      </c>
      <c r="N827" s="29">
        <f>IF(E827="Có",4,0)</f>
        <v>0</v>
      </c>
      <c r="O827" s="29">
        <f>IF(H827&lt;23,0,IF(H827&lt;27.5,3,5))</f>
        <v>3</v>
      </c>
      <c r="P827" s="29">
        <f>IF(OR(AND(B827="Nam",I827&gt;=90),AND(B827="Nữ",I827&gt;=80)),2,0)</f>
        <v>2</v>
      </c>
      <c r="Q827" s="29">
        <f>IF(OR(J827&gt;=140,K827&gt;=90),2,0)</f>
        <v>2</v>
      </c>
      <c r="R827" s="29">
        <f ca="1">SUM(L827:Q827)</f>
        <v>11</v>
      </c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5" t="s">
        <v>1393</v>
      </c>
      <c r="AE827" s="33"/>
      <c r="AF827" s="59" t="str">
        <f t="shared" si="37"/>
        <v>Không</v>
      </c>
      <c r="AG827" s="59" t="str">
        <f t="shared" si="38"/>
        <v>Không</v>
      </c>
      <c r="AH827" s="29" t="str">
        <f t="shared" ca="1" si="36"/>
        <v>Có</v>
      </c>
      <c r="AI827" s="29" t="str">
        <f ca="1">IF((R827)&gt;=6,"Có","Không")</f>
        <v>Có</v>
      </c>
      <c r="AJ827" s="29" t="str">
        <f>IF(OR(J827&gt;=140,K827&gt;=90),"Có","Không")</f>
        <v>Có</v>
      </c>
      <c r="AK827" s="5" t="s">
        <v>28</v>
      </c>
      <c r="AL827" s="32">
        <v>46142</v>
      </c>
      <c r="AM827" s="29" t="str">
        <f>"Tháng "&amp;MONTH(AL827)</f>
        <v>Tháng 4</v>
      </c>
      <c r="AN827" s="29" t="str">
        <f>LEFT(AK827,FIND(",",AK827)-1)</f>
        <v>Ấp Biển Đông A</v>
      </c>
    </row>
    <row r="828" spans="1:40" x14ac:dyDescent="0.25">
      <c r="A828" s="49" t="s">
        <v>629</v>
      </c>
      <c r="B828" s="5" t="s">
        <v>23</v>
      </c>
      <c r="C828" s="5" t="s">
        <v>329</v>
      </c>
      <c r="D828" s="29">
        <f ca="1">DATEDIF(C828,TODAY(),"Y")</f>
        <v>81</v>
      </c>
      <c r="E828" s="5" t="s">
        <v>26</v>
      </c>
      <c r="F828" s="30">
        <v>158</v>
      </c>
      <c r="G828" s="30">
        <v>58</v>
      </c>
      <c r="H828" s="31">
        <f>G828/((F828/100)*(F828/100))</f>
        <v>23.233456176894723</v>
      </c>
      <c r="I828" s="5">
        <v>89</v>
      </c>
      <c r="J828" s="30">
        <v>120</v>
      </c>
      <c r="K828" s="30">
        <v>80</v>
      </c>
      <c r="L828" s="29">
        <f>IF(B828="Nữ",0,2)</f>
        <v>0</v>
      </c>
      <c r="M828" s="29">
        <f ca="1">IF(D828&lt;45,0,IF(D828&lt;=49,1,2))</f>
        <v>2</v>
      </c>
      <c r="N828" s="29">
        <f>IF(E828="Có",4,0)</f>
        <v>0</v>
      </c>
      <c r="O828" s="29">
        <f>IF(H828&lt;23,0,IF(H828&lt;27.5,3,5))</f>
        <v>3</v>
      </c>
      <c r="P828" s="29">
        <f>IF(OR(AND(B828="Nam",I828&gt;=90),AND(B828="Nữ",I828&gt;=80)),2,0)</f>
        <v>2</v>
      </c>
      <c r="Q828" s="29">
        <f>IF(OR(J828&gt;=140,K828&gt;=90),2,0)</f>
        <v>0</v>
      </c>
      <c r="R828" s="29">
        <f ca="1">SUM(L828:Q828)</f>
        <v>7</v>
      </c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5" t="s">
        <v>1393</v>
      </c>
      <c r="AE828" s="33"/>
      <c r="AF828" s="59" t="str">
        <f t="shared" si="37"/>
        <v>Không</v>
      </c>
      <c r="AG828" s="59" t="str">
        <f t="shared" si="38"/>
        <v>Không</v>
      </c>
      <c r="AH828" s="29" t="str">
        <f t="shared" ca="1" si="36"/>
        <v>Có</v>
      </c>
      <c r="AI828" s="29" t="str">
        <f ca="1">IF((R828)&gt;=6,"Có","Không")</f>
        <v>Có</v>
      </c>
      <c r="AJ828" s="29" t="str">
        <f>IF(OR(J828&gt;=140,K828&gt;=90),"Có","Không")</f>
        <v>Không</v>
      </c>
      <c r="AK828" s="5" t="s">
        <v>68</v>
      </c>
      <c r="AL828" s="32">
        <v>46142</v>
      </c>
      <c r="AM828" s="29" t="str">
        <f>"Tháng "&amp;MONTH(AL828)</f>
        <v>Tháng 4</v>
      </c>
      <c r="AN828" s="29" t="str">
        <f>LEFT(AK828,FIND(",",AK828)-1)</f>
        <v>Ấp Biển Tây B</v>
      </c>
    </row>
    <row r="829" spans="1:40" x14ac:dyDescent="0.25">
      <c r="A829" s="49" t="s">
        <v>630</v>
      </c>
      <c r="B829" s="5" t="s">
        <v>23</v>
      </c>
      <c r="C829" s="5" t="s">
        <v>256</v>
      </c>
      <c r="D829" s="29">
        <f ca="1">DATEDIF(C829,TODAY(),"Y")</f>
        <v>41</v>
      </c>
      <c r="E829" s="5" t="s">
        <v>26</v>
      </c>
      <c r="F829" s="30">
        <v>158</v>
      </c>
      <c r="G829" s="30">
        <v>58</v>
      </c>
      <c r="H829" s="31">
        <f>G829/((F829/100)*(F829/100))</f>
        <v>23.233456176894723</v>
      </c>
      <c r="I829" s="5">
        <v>90</v>
      </c>
      <c r="J829" s="30">
        <v>130</v>
      </c>
      <c r="K829" s="30">
        <v>80</v>
      </c>
      <c r="L829" s="29">
        <f>IF(B829="Nữ",0,2)</f>
        <v>0</v>
      </c>
      <c r="M829" s="29">
        <f ca="1">IF(D829&lt;45,0,IF(D829&lt;=49,1,2))</f>
        <v>0</v>
      </c>
      <c r="N829" s="29">
        <f>IF(E829="Có",4,0)</f>
        <v>0</v>
      </c>
      <c r="O829" s="29">
        <f>IF(H829&lt;23,0,IF(H829&lt;27.5,3,5))</f>
        <v>3</v>
      </c>
      <c r="P829" s="29">
        <f>IF(OR(AND(B829="Nam",I829&gt;=90),AND(B829="Nữ",I829&gt;=80)),2,0)</f>
        <v>2</v>
      </c>
      <c r="Q829" s="29">
        <f>IF(OR(J829&gt;=140,K829&gt;=90),2,0)</f>
        <v>0</v>
      </c>
      <c r="R829" s="29">
        <f ca="1">SUM(L829:Q829)</f>
        <v>5</v>
      </c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5" t="s">
        <v>1393</v>
      </c>
      <c r="AE829" s="33"/>
      <c r="AF829" s="59" t="str">
        <f t="shared" si="37"/>
        <v>Không</v>
      </c>
      <c r="AG829" s="59" t="str">
        <f t="shared" si="38"/>
        <v>Không</v>
      </c>
      <c r="AH829" s="29" t="str">
        <f t="shared" ca="1" si="36"/>
        <v>Không</v>
      </c>
      <c r="AI829" s="29" t="str">
        <f ca="1">IF((R829)&gt;=6,"Có","Không")</f>
        <v>Không</v>
      </c>
      <c r="AJ829" s="29" t="str">
        <f>IF(OR(J829&gt;=140,K829&gt;=90),"Có","Không")</f>
        <v>Không</v>
      </c>
      <c r="AK829" s="5" t="s">
        <v>298</v>
      </c>
      <c r="AL829" s="32">
        <v>46142</v>
      </c>
      <c r="AM829" s="29" t="str">
        <f>"Tháng "&amp;MONTH(AL829)</f>
        <v>Tháng 4</v>
      </c>
      <c r="AN829" s="29" t="str">
        <f>LEFT(AK829,FIND(",",AK829)-1)</f>
        <v>ấp Biển Tây A</v>
      </c>
    </row>
    <row r="830" spans="1:40" x14ac:dyDescent="0.25">
      <c r="A830" s="49" t="s">
        <v>631</v>
      </c>
      <c r="B830" s="5" t="s">
        <v>30</v>
      </c>
      <c r="C830" s="5" t="s">
        <v>90</v>
      </c>
      <c r="D830" s="29">
        <f ca="1">DATEDIF(C830,TODAY(),"Y")</f>
        <v>54</v>
      </c>
      <c r="E830" s="5" t="s">
        <v>25</v>
      </c>
      <c r="F830" s="30">
        <v>169</v>
      </c>
      <c r="G830" s="30">
        <v>68</v>
      </c>
      <c r="H830" s="31">
        <f>G830/((F830/100)*(F830/100))</f>
        <v>23.808690171912751</v>
      </c>
      <c r="I830" s="5">
        <v>76</v>
      </c>
      <c r="J830" s="30">
        <v>140</v>
      </c>
      <c r="K830" s="30">
        <v>80</v>
      </c>
      <c r="L830" s="29">
        <f>IF(B830="Nữ",0,2)</f>
        <v>2</v>
      </c>
      <c r="M830" s="29">
        <f ca="1">IF(D830&lt;45,0,IF(D830&lt;=49,1,2))</f>
        <v>2</v>
      </c>
      <c r="N830" s="29">
        <f>IF(E830="Có",4,0)</f>
        <v>4</v>
      </c>
      <c r="O830" s="29">
        <f>IF(H830&lt;23,0,IF(H830&lt;27.5,3,5))</f>
        <v>3</v>
      </c>
      <c r="P830" s="29">
        <f>IF(OR(AND(B830="Nam",I830&gt;=90),AND(B830="Nữ",I830&gt;=80)),2,0)</f>
        <v>0</v>
      </c>
      <c r="Q830" s="29">
        <f>IF(OR(J830&gt;=140,K830&gt;=90),2,0)</f>
        <v>2</v>
      </c>
      <c r="R830" s="29">
        <f ca="1">SUM(L830:Q830)</f>
        <v>13</v>
      </c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5" t="s">
        <v>1393</v>
      </c>
      <c r="AE830" s="33"/>
      <c r="AF830" s="59" t="str">
        <f t="shared" si="37"/>
        <v>Không</v>
      </c>
      <c r="AG830" s="59" t="str">
        <f t="shared" si="38"/>
        <v>Không</v>
      </c>
      <c r="AH830" s="29" t="str">
        <f t="shared" ca="1" si="36"/>
        <v>Có</v>
      </c>
      <c r="AI830" s="29" t="str">
        <f ca="1">IF((R830)&gt;=6,"Có","Không")</f>
        <v>Có</v>
      </c>
      <c r="AJ830" s="29" t="str">
        <f>IF(OR(J830&gt;=140,K830&gt;=90),"Có","Không")</f>
        <v>Có</v>
      </c>
      <c r="AK830" s="5" t="s">
        <v>298</v>
      </c>
      <c r="AL830" s="32">
        <v>46142</v>
      </c>
      <c r="AM830" s="29" t="str">
        <f>"Tháng "&amp;MONTH(AL830)</f>
        <v>Tháng 4</v>
      </c>
      <c r="AN830" s="29" t="str">
        <f>LEFT(AK830,FIND(",",AK830)-1)</f>
        <v>ấp Biển Tây A</v>
      </c>
    </row>
    <row r="831" spans="1:40" x14ac:dyDescent="0.25">
      <c r="A831" s="49" t="s">
        <v>632</v>
      </c>
      <c r="B831" s="5" t="s">
        <v>23</v>
      </c>
      <c r="C831" s="5" t="s">
        <v>87</v>
      </c>
      <c r="D831" s="29">
        <f ca="1">DATEDIF(C831,TODAY(),"Y")</f>
        <v>49</v>
      </c>
      <c r="E831" s="5" t="s">
        <v>25</v>
      </c>
      <c r="F831" s="30">
        <v>158</v>
      </c>
      <c r="G831" s="30">
        <v>58</v>
      </c>
      <c r="H831" s="31">
        <f>G831/((F831/100)*(F831/100))</f>
        <v>23.233456176894723</v>
      </c>
      <c r="I831" s="5">
        <v>89</v>
      </c>
      <c r="J831" s="30">
        <v>140</v>
      </c>
      <c r="K831" s="30">
        <v>80</v>
      </c>
      <c r="L831" s="29">
        <f>IF(B831="Nữ",0,2)</f>
        <v>0</v>
      </c>
      <c r="M831" s="29">
        <f ca="1">IF(D831&lt;45,0,IF(D831&lt;=49,1,2))</f>
        <v>1</v>
      </c>
      <c r="N831" s="29">
        <f>IF(E831="Có",4,0)</f>
        <v>4</v>
      </c>
      <c r="O831" s="29">
        <f>IF(H831&lt;23,0,IF(H831&lt;27.5,3,5))</f>
        <v>3</v>
      </c>
      <c r="P831" s="29">
        <f>IF(OR(AND(B831="Nam",I831&gt;=90),AND(B831="Nữ",I831&gt;=80)),2,0)</f>
        <v>2</v>
      </c>
      <c r="Q831" s="29">
        <f>IF(OR(J831&gt;=140,K831&gt;=90),2,0)</f>
        <v>2</v>
      </c>
      <c r="R831" s="29">
        <f ca="1">SUM(L831:Q831)</f>
        <v>12</v>
      </c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5" t="s">
        <v>1393</v>
      </c>
      <c r="AE831" s="33"/>
      <c r="AF831" s="59" t="str">
        <f t="shared" si="37"/>
        <v>Không</v>
      </c>
      <c r="AG831" s="59" t="str">
        <f t="shared" si="38"/>
        <v>Không</v>
      </c>
      <c r="AH831" s="29" t="str">
        <f t="shared" ca="1" si="36"/>
        <v>Có</v>
      </c>
      <c r="AI831" s="29" t="str">
        <f ca="1">IF((R831)&gt;=6,"Có","Không")</f>
        <v>Có</v>
      </c>
      <c r="AJ831" s="29" t="str">
        <f>IF(OR(J831&gt;=140,K831&gt;=90),"Có","Không")</f>
        <v>Có</v>
      </c>
      <c r="AK831" s="5" t="s">
        <v>298</v>
      </c>
      <c r="AL831" s="32">
        <v>46142</v>
      </c>
      <c r="AM831" s="29" t="str">
        <f>"Tháng "&amp;MONTH(AL831)</f>
        <v>Tháng 4</v>
      </c>
      <c r="AN831" s="29" t="str">
        <f>LEFT(AK831,FIND(",",AK831)-1)</f>
        <v>ấp Biển Tây A</v>
      </c>
    </row>
    <row r="832" spans="1:40" x14ac:dyDescent="0.25">
      <c r="A832" s="49" t="s">
        <v>633</v>
      </c>
      <c r="B832" s="5" t="s">
        <v>23</v>
      </c>
      <c r="C832" s="5" t="s">
        <v>80</v>
      </c>
      <c r="D832" s="29">
        <f ca="1">DATEDIF(C832,TODAY(),"Y")</f>
        <v>71</v>
      </c>
      <c r="E832" s="5" t="s">
        <v>25</v>
      </c>
      <c r="F832" s="30">
        <v>158</v>
      </c>
      <c r="G832" s="30">
        <v>58</v>
      </c>
      <c r="H832" s="31">
        <f>G832/((F832/100)*(F832/100))</f>
        <v>23.233456176894723</v>
      </c>
      <c r="I832" s="5">
        <v>81</v>
      </c>
      <c r="J832" s="30">
        <v>140</v>
      </c>
      <c r="K832" s="30">
        <v>80</v>
      </c>
      <c r="L832" s="29">
        <f>IF(B832="Nữ",0,2)</f>
        <v>0</v>
      </c>
      <c r="M832" s="29">
        <f ca="1">IF(D832&lt;45,0,IF(D832&lt;=49,1,2))</f>
        <v>2</v>
      </c>
      <c r="N832" s="29">
        <f>IF(E832="Có",4,0)</f>
        <v>4</v>
      </c>
      <c r="O832" s="29">
        <f>IF(H832&lt;23,0,IF(H832&lt;27.5,3,5))</f>
        <v>3</v>
      </c>
      <c r="P832" s="29">
        <f>IF(OR(AND(B832="Nam",I832&gt;=90),AND(B832="Nữ",I832&gt;=80)),2,0)</f>
        <v>2</v>
      </c>
      <c r="Q832" s="29">
        <f>IF(OR(J832&gt;=140,K832&gt;=90),2,0)</f>
        <v>2</v>
      </c>
      <c r="R832" s="29">
        <f ca="1">SUM(L832:Q832)</f>
        <v>13</v>
      </c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5" t="s">
        <v>1393</v>
      </c>
      <c r="AE832" s="33"/>
      <c r="AF832" s="59" t="str">
        <f t="shared" si="37"/>
        <v>Không</v>
      </c>
      <c r="AG832" s="59" t="str">
        <f t="shared" si="38"/>
        <v>Không</v>
      </c>
      <c r="AH832" s="29" t="str">
        <f t="shared" ca="1" si="36"/>
        <v>Có</v>
      </c>
      <c r="AI832" s="29" t="str">
        <f ca="1">IF((R832)&gt;=6,"Có","Không")</f>
        <v>Có</v>
      </c>
      <c r="AJ832" s="29" t="str">
        <f>IF(OR(J832&gt;=140,K832&gt;=90),"Có","Không")</f>
        <v>Có</v>
      </c>
      <c r="AK832" s="5" t="s">
        <v>28</v>
      </c>
      <c r="AL832" s="32">
        <v>46142</v>
      </c>
      <c r="AM832" s="29" t="str">
        <f>"Tháng "&amp;MONTH(AL832)</f>
        <v>Tháng 4</v>
      </c>
      <c r="AN832" s="29" t="str">
        <f>LEFT(AK832,FIND(",",AK832)-1)</f>
        <v>Ấp Biển Đông A</v>
      </c>
    </row>
    <row r="833" spans="1:40" x14ac:dyDescent="0.25">
      <c r="A833" s="49" t="s">
        <v>634</v>
      </c>
      <c r="B833" s="5" t="s">
        <v>23</v>
      </c>
      <c r="C833" s="5" t="s">
        <v>133</v>
      </c>
      <c r="D833" s="29">
        <f ca="1">DATEDIF(C833,TODAY(),"Y")</f>
        <v>56</v>
      </c>
      <c r="E833" s="5" t="s">
        <v>26</v>
      </c>
      <c r="F833" s="30">
        <v>160</v>
      </c>
      <c r="G833" s="30">
        <v>80</v>
      </c>
      <c r="H833" s="31">
        <f>G833/((F833/100)*(F833/100))</f>
        <v>31.249999999999993</v>
      </c>
      <c r="I833" s="5">
        <v>83</v>
      </c>
      <c r="J833" s="30">
        <v>130</v>
      </c>
      <c r="K833" s="30">
        <v>80</v>
      </c>
      <c r="L833" s="29">
        <f>IF(B833="Nữ",0,2)</f>
        <v>0</v>
      </c>
      <c r="M833" s="29">
        <f ca="1">IF(D833&lt;45,0,IF(D833&lt;=49,1,2))</f>
        <v>2</v>
      </c>
      <c r="N833" s="29">
        <f>IF(E833="Có",4,0)</f>
        <v>0</v>
      </c>
      <c r="O833" s="29">
        <f>IF(H833&lt;23,0,IF(H833&lt;27.5,3,5))</f>
        <v>5</v>
      </c>
      <c r="P833" s="29">
        <f>IF(OR(AND(B833="Nam",I833&gt;=90),AND(B833="Nữ",I833&gt;=80)),2,0)</f>
        <v>2</v>
      </c>
      <c r="Q833" s="29">
        <f>IF(OR(J833&gt;=140,K833&gt;=90),2,0)</f>
        <v>0</v>
      </c>
      <c r="R833" s="29">
        <f ca="1">SUM(L833:Q833)</f>
        <v>9</v>
      </c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5" t="s">
        <v>1393</v>
      </c>
      <c r="AE833" s="33"/>
      <c r="AF833" s="59" t="str">
        <f t="shared" si="37"/>
        <v>Không</v>
      </c>
      <c r="AG833" s="59" t="str">
        <f t="shared" si="38"/>
        <v>Không</v>
      </c>
      <c r="AH833" s="29" t="str">
        <f t="shared" ca="1" si="36"/>
        <v>Có</v>
      </c>
      <c r="AI833" s="29" t="str">
        <f ca="1">IF((R833)&gt;=6,"Có","Không")</f>
        <v>Có</v>
      </c>
      <c r="AJ833" s="29" t="str">
        <f>IF(OR(J833&gt;=140,K833&gt;=90),"Có","Không")</f>
        <v>Không</v>
      </c>
      <c r="AK833" s="5" t="s">
        <v>51</v>
      </c>
      <c r="AL833" s="32">
        <v>46142</v>
      </c>
      <c r="AM833" s="29" t="str">
        <f>"Tháng "&amp;MONTH(AL833)</f>
        <v>Tháng 4</v>
      </c>
      <c r="AN833" s="29" t="str">
        <f>LEFT(AK833,FIND(",",AK833)-1)</f>
        <v>Phường Hiệp Thành</v>
      </c>
    </row>
    <row r="834" spans="1:40" x14ac:dyDescent="0.25">
      <c r="A834" s="49" t="s">
        <v>635</v>
      </c>
      <c r="B834" s="5" t="s">
        <v>23</v>
      </c>
      <c r="C834" s="5" t="s">
        <v>188</v>
      </c>
      <c r="D834" s="29">
        <f ca="1">DATEDIF(C834,TODAY(),"Y")</f>
        <v>63</v>
      </c>
      <c r="E834" s="5" t="s">
        <v>26</v>
      </c>
      <c r="F834" s="30">
        <v>167</v>
      </c>
      <c r="G834" s="30">
        <v>67</v>
      </c>
      <c r="H834" s="31">
        <f>G834/((F834/100)*(F834/100))</f>
        <v>24.023808670084982</v>
      </c>
      <c r="I834" s="5">
        <v>81</v>
      </c>
      <c r="J834" s="30">
        <v>120</v>
      </c>
      <c r="K834" s="30">
        <v>80</v>
      </c>
      <c r="L834" s="29">
        <f>IF(B834="Nữ",0,2)</f>
        <v>0</v>
      </c>
      <c r="M834" s="29">
        <f ca="1">IF(D834&lt;45,0,IF(D834&lt;=49,1,2))</f>
        <v>2</v>
      </c>
      <c r="N834" s="29">
        <f>IF(E834="Có",4,0)</f>
        <v>0</v>
      </c>
      <c r="O834" s="29">
        <f>IF(H834&lt;23,0,IF(H834&lt;27.5,3,5))</f>
        <v>3</v>
      </c>
      <c r="P834" s="29">
        <f>IF(OR(AND(B834="Nam",I834&gt;=90),AND(B834="Nữ",I834&gt;=80)),2,0)</f>
        <v>2</v>
      </c>
      <c r="Q834" s="29">
        <f>IF(OR(J834&gt;=140,K834&gt;=90),2,0)</f>
        <v>0</v>
      </c>
      <c r="R834" s="29">
        <f ca="1">SUM(L834:Q834)</f>
        <v>7</v>
      </c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5" t="s">
        <v>1393</v>
      </c>
      <c r="AE834" s="33"/>
      <c r="AF834" s="59" t="str">
        <f t="shared" si="37"/>
        <v>Không</v>
      </c>
      <c r="AG834" s="59" t="str">
        <f t="shared" si="38"/>
        <v>Không</v>
      </c>
      <c r="AH834" s="29" t="str">
        <f t="shared" ca="1" si="36"/>
        <v>Có</v>
      </c>
      <c r="AI834" s="29" t="str">
        <f ca="1">IF((R834)&gt;=6,"Có","Không")</f>
        <v>Có</v>
      </c>
      <c r="AJ834" s="29" t="str">
        <f>IF(OR(J834&gt;=140,K834&gt;=90),"Có","Không")</f>
        <v>Không</v>
      </c>
      <c r="AK834" s="5" t="s">
        <v>174</v>
      </c>
      <c r="AL834" s="32">
        <v>46142</v>
      </c>
      <c r="AM834" s="29" t="str">
        <f>"Tháng "&amp;MONTH(AL834)</f>
        <v>Tháng 4</v>
      </c>
      <c r="AN834" s="29" t="str">
        <f>LEFT(AK834,FIND(",",AK834)-1)</f>
        <v>khóm Giồng giữa</v>
      </c>
    </row>
    <row r="835" spans="1:40" x14ac:dyDescent="0.25">
      <c r="A835" s="49" t="s">
        <v>636</v>
      </c>
      <c r="B835" s="5" t="s">
        <v>30</v>
      </c>
      <c r="C835" s="5" t="s">
        <v>127</v>
      </c>
      <c r="D835" s="29">
        <f ca="1">DATEDIF(C835,TODAY(),"Y")</f>
        <v>76</v>
      </c>
      <c r="E835" s="5" t="s">
        <v>25</v>
      </c>
      <c r="F835" s="30">
        <v>160</v>
      </c>
      <c r="G835" s="30">
        <v>49</v>
      </c>
      <c r="H835" s="31">
        <f>G835/((F835/100)*(F835/100))</f>
        <v>19.140624999999996</v>
      </c>
      <c r="I835" s="5">
        <v>80</v>
      </c>
      <c r="J835" s="30">
        <v>120</v>
      </c>
      <c r="K835" s="30">
        <v>70</v>
      </c>
      <c r="L835" s="29">
        <f>IF(B835="Nữ",0,2)</f>
        <v>2</v>
      </c>
      <c r="M835" s="29">
        <f ca="1">IF(D835&lt;45,0,IF(D835&lt;=49,1,2))</f>
        <v>2</v>
      </c>
      <c r="N835" s="29">
        <f>IF(E835="Có",4,0)</f>
        <v>4</v>
      </c>
      <c r="O835" s="29">
        <f>IF(H835&lt;23,0,IF(H835&lt;27.5,3,5))</f>
        <v>0</v>
      </c>
      <c r="P835" s="29">
        <f>IF(OR(AND(B835="Nam",I835&gt;=90),AND(B835="Nữ",I835&gt;=80)),2,0)</f>
        <v>0</v>
      </c>
      <c r="Q835" s="29">
        <f>IF(OR(J835&gt;=140,K835&gt;=90),2,0)</f>
        <v>0</v>
      </c>
      <c r="R835" s="29">
        <f ca="1">SUM(L835:Q835)</f>
        <v>8</v>
      </c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5" t="s">
        <v>1393</v>
      </c>
      <c r="AE835" s="33"/>
      <c r="AF835" s="59" t="str">
        <f t="shared" si="37"/>
        <v>Không</v>
      </c>
      <c r="AG835" s="59" t="str">
        <f t="shared" si="38"/>
        <v>Không</v>
      </c>
      <c r="AH835" s="29" t="str">
        <f t="shared" ca="1" si="36"/>
        <v>Có</v>
      </c>
      <c r="AI835" s="29" t="str">
        <f ca="1">IF((R835)&gt;=6,"Có","Không")</f>
        <v>Có</v>
      </c>
      <c r="AJ835" s="29" t="str">
        <f>IF(OR(J835&gt;=140,K835&gt;=90),"Có","Không")</f>
        <v>Không</v>
      </c>
      <c r="AK835" s="5" t="s">
        <v>51</v>
      </c>
      <c r="AL835" s="32">
        <v>46142</v>
      </c>
      <c r="AM835" s="29" t="str">
        <f>"Tháng "&amp;MONTH(AL835)</f>
        <v>Tháng 4</v>
      </c>
      <c r="AN835" s="29" t="str">
        <f>LEFT(AK835,FIND(",",AK835)-1)</f>
        <v>Phường Hiệp Thành</v>
      </c>
    </row>
    <row r="836" spans="1:40" x14ac:dyDescent="0.25">
      <c r="A836" s="49" t="s">
        <v>637</v>
      </c>
      <c r="B836" s="5" t="s">
        <v>23</v>
      </c>
      <c r="C836" s="5" t="s">
        <v>59</v>
      </c>
      <c r="D836" s="29">
        <f ca="1">DATEDIF(C836,TODAY(),"Y")</f>
        <v>74</v>
      </c>
      <c r="E836" s="5" t="s">
        <v>26</v>
      </c>
      <c r="F836" s="30">
        <v>150</v>
      </c>
      <c r="G836" s="30">
        <v>60</v>
      </c>
      <c r="H836" s="31">
        <f>G836/((F836/100)*(F836/100))</f>
        <v>26.666666666666668</v>
      </c>
      <c r="I836" s="5">
        <v>76</v>
      </c>
      <c r="J836" s="30">
        <v>120</v>
      </c>
      <c r="K836" s="30">
        <v>80</v>
      </c>
      <c r="L836" s="29">
        <f>IF(B836="Nữ",0,2)</f>
        <v>0</v>
      </c>
      <c r="M836" s="29">
        <f ca="1">IF(D836&lt;45,0,IF(D836&lt;=49,1,2))</f>
        <v>2</v>
      </c>
      <c r="N836" s="29">
        <f>IF(E836="Có",4,0)</f>
        <v>0</v>
      </c>
      <c r="O836" s="29">
        <f>IF(H836&lt;23,0,IF(H836&lt;27.5,3,5))</f>
        <v>3</v>
      </c>
      <c r="P836" s="29">
        <f>IF(OR(AND(B836="Nam",I836&gt;=90),AND(B836="Nữ",I836&gt;=80)),2,0)</f>
        <v>0</v>
      </c>
      <c r="Q836" s="29">
        <f>IF(OR(J836&gt;=140,K836&gt;=90),2,0)</f>
        <v>0</v>
      </c>
      <c r="R836" s="29">
        <f ca="1">SUM(L836:Q836)</f>
        <v>5</v>
      </c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5" t="s">
        <v>1393</v>
      </c>
      <c r="AE836" s="33"/>
      <c r="AF836" s="59" t="str">
        <f t="shared" si="37"/>
        <v>Không</v>
      </c>
      <c r="AG836" s="59" t="str">
        <f t="shared" si="38"/>
        <v>Không</v>
      </c>
      <c r="AH836" s="29" t="str">
        <f t="shared" ref="AH836:AH899" ca="1" si="39">IF((R836)&gt;=6,"Có","Không")</f>
        <v>Không</v>
      </c>
      <c r="AI836" s="29" t="str">
        <f ca="1">IF((R836)&gt;=6,"Có","Không")</f>
        <v>Không</v>
      </c>
      <c r="AJ836" s="29" t="str">
        <f>IF(OR(J836&gt;=140,K836&gt;=90),"Có","Không")</f>
        <v>Không</v>
      </c>
      <c r="AK836" s="5" t="s">
        <v>91</v>
      </c>
      <c r="AL836" s="32">
        <v>46142</v>
      </c>
      <c r="AM836" s="29" t="str">
        <f>"Tháng "&amp;MONTH(AL836)</f>
        <v>Tháng 4</v>
      </c>
      <c r="AN836" s="29" t="str">
        <f>LEFT(AK836,FIND(",",AK836)-1)</f>
        <v>Ấp Giồng Giữa</v>
      </c>
    </row>
    <row r="837" spans="1:40" x14ac:dyDescent="0.25">
      <c r="A837" s="49" t="s">
        <v>638</v>
      </c>
      <c r="B837" s="5" t="s">
        <v>23</v>
      </c>
      <c r="C837" s="5" t="s">
        <v>62</v>
      </c>
      <c r="D837" s="29">
        <f ca="1">DATEDIF(C837,TODAY(),"Y")</f>
        <v>64</v>
      </c>
      <c r="E837" s="5" t="s">
        <v>26</v>
      </c>
      <c r="F837" s="30">
        <v>158</v>
      </c>
      <c r="G837" s="30">
        <v>58</v>
      </c>
      <c r="H837" s="31">
        <f>G837/((F837/100)*(F837/100))</f>
        <v>23.233456176894723</v>
      </c>
      <c r="I837" s="5">
        <v>86</v>
      </c>
      <c r="J837" s="30">
        <v>140</v>
      </c>
      <c r="K837" s="30">
        <v>80</v>
      </c>
      <c r="L837" s="29">
        <f>IF(B837="Nữ",0,2)</f>
        <v>0</v>
      </c>
      <c r="M837" s="29">
        <f ca="1">IF(D837&lt;45,0,IF(D837&lt;=49,1,2))</f>
        <v>2</v>
      </c>
      <c r="N837" s="29">
        <f>IF(E837="Có",4,0)</f>
        <v>0</v>
      </c>
      <c r="O837" s="29">
        <f>IF(H837&lt;23,0,IF(H837&lt;27.5,3,5))</f>
        <v>3</v>
      </c>
      <c r="P837" s="29">
        <f>IF(OR(AND(B837="Nam",I837&gt;=90),AND(B837="Nữ",I837&gt;=80)),2,0)</f>
        <v>2</v>
      </c>
      <c r="Q837" s="29">
        <f>IF(OR(J837&gt;=140,K837&gt;=90),2,0)</f>
        <v>2</v>
      </c>
      <c r="R837" s="29">
        <f ca="1">SUM(L837:Q837)</f>
        <v>9</v>
      </c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5" t="s">
        <v>1393</v>
      </c>
      <c r="AE837" s="33"/>
      <c r="AF837" s="59" t="str">
        <f t="shared" ref="AF837:AF900" si="40">IF(COUNTIF(S837:Z837,"X")&gt;=2,"Có","Không")</f>
        <v>Không</v>
      </c>
      <c r="AG837" s="59" t="str">
        <f t="shared" ref="AG837:AG900" si="41">IF(COUNTIF(AA837:AE837,"X")&gt;=3,"Có","Không")</f>
        <v>Không</v>
      </c>
      <c r="AH837" s="29" t="str">
        <f t="shared" ca="1" si="39"/>
        <v>Có</v>
      </c>
      <c r="AI837" s="29" t="str">
        <f ca="1">IF((R837)&gt;=6,"Có","Không")</f>
        <v>Có</v>
      </c>
      <c r="AJ837" s="29" t="str">
        <f>IF(OR(J837&gt;=140,K837&gt;=90),"Có","Không")</f>
        <v>Có</v>
      </c>
      <c r="AK837" s="5" t="s">
        <v>28</v>
      </c>
      <c r="AL837" s="32">
        <v>46142</v>
      </c>
      <c r="AM837" s="29" t="str">
        <f>"Tháng "&amp;MONTH(AL837)</f>
        <v>Tháng 4</v>
      </c>
      <c r="AN837" s="29" t="str">
        <f>LEFT(AK837,FIND(",",AK837)-1)</f>
        <v>Ấp Biển Đông A</v>
      </c>
    </row>
    <row r="838" spans="1:40" x14ac:dyDescent="0.25">
      <c r="A838" s="49" t="s">
        <v>639</v>
      </c>
      <c r="B838" s="5" t="s">
        <v>30</v>
      </c>
      <c r="C838" s="5" t="s">
        <v>373</v>
      </c>
      <c r="D838" s="29">
        <f ca="1">DATEDIF(C838,TODAY(),"Y")</f>
        <v>61</v>
      </c>
      <c r="E838" s="5" t="s">
        <v>26</v>
      </c>
      <c r="F838" s="30">
        <v>159</v>
      </c>
      <c r="G838" s="30">
        <v>70</v>
      </c>
      <c r="H838" s="31">
        <f>G838/((F838/100)*(F838/100))</f>
        <v>27.688778133776353</v>
      </c>
      <c r="I838" s="5">
        <v>71</v>
      </c>
      <c r="J838" s="30">
        <v>130</v>
      </c>
      <c r="K838" s="30">
        <v>80</v>
      </c>
      <c r="L838" s="29">
        <f>IF(B838="Nữ",0,2)</f>
        <v>2</v>
      </c>
      <c r="M838" s="29">
        <f ca="1">IF(D838&lt;45,0,IF(D838&lt;=49,1,2))</f>
        <v>2</v>
      </c>
      <c r="N838" s="29">
        <f>IF(E838="Có",4,0)</f>
        <v>0</v>
      </c>
      <c r="O838" s="29">
        <f>IF(H838&lt;23,0,IF(H838&lt;27.5,3,5))</f>
        <v>5</v>
      </c>
      <c r="P838" s="29">
        <f>IF(OR(AND(B838="Nam",I838&gt;=90),AND(B838="Nữ",I838&gt;=80)),2,0)</f>
        <v>0</v>
      </c>
      <c r="Q838" s="29">
        <f>IF(OR(J838&gt;=140,K838&gt;=90),2,0)</f>
        <v>0</v>
      </c>
      <c r="R838" s="29">
        <f ca="1">SUM(L838:Q838)</f>
        <v>9</v>
      </c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5" t="s">
        <v>1393</v>
      </c>
      <c r="AE838" s="33"/>
      <c r="AF838" s="59" t="str">
        <f t="shared" si="40"/>
        <v>Không</v>
      </c>
      <c r="AG838" s="59" t="str">
        <f t="shared" si="41"/>
        <v>Không</v>
      </c>
      <c r="AH838" s="29" t="str">
        <f t="shared" ca="1" si="39"/>
        <v>Có</v>
      </c>
      <c r="AI838" s="29" t="str">
        <f ca="1">IF((R838)&gt;=6,"Có","Không")</f>
        <v>Có</v>
      </c>
      <c r="AJ838" s="29" t="str">
        <f>IF(OR(J838&gt;=140,K838&gt;=90),"Có","Không")</f>
        <v>Không</v>
      </c>
      <c r="AK838" s="5" t="s">
        <v>51</v>
      </c>
      <c r="AL838" s="32">
        <v>46142</v>
      </c>
      <c r="AM838" s="29" t="str">
        <f>"Tháng "&amp;MONTH(AL838)</f>
        <v>Tháng 4</v>
      </c>
      <c r="AN838" s="29" t="str">
        <f>LEFT(AK838,FIND(",",AK838)-1)</f>
        <v>Phường Hiệp Thành</v>
      </c>
    </row>
    <row r="839" spans="1:40" x14ac:dyDescent="0.25">
      <c r="A839" s="49" t="s">
        <v>640</v>
      </c>
      <c r="B839" s="5" t="s">
        <v>23</v>
      </c>
      <c r="C839" s="5" t="s">
        <v>50</v>
      </c>
      <c r="D839" s="29">
        <f ca="1">DATEDIF(C839,TODAY(),"Y")</f>
        <v>58</v>
      </c>
      <c r="E839" s="5" t="s">
        <v>26</v>
      </c>
      <c r="F839" s="30">
        <v>163</v>
      </c>
      <c r="G839" s="30">
        <v>54</v>
      </c>
      <c r="H839" s="31">
        <f>G839/((F839/100)*(F839/100))</f>
        <v>20.324438255109339</v>
      </c>
      <c r="I839" s="5">
        <v>87</v>
      </c>
      <c r="J839" s="30">
        <v>150</v>
      </c>
      <c r="K839" s="30">
        <v>80</v>
      </c>
      <c r="L839" s="29">
        <f>IF(B839="Nữ",0,2)</f>
        <v>0</v>
      </c>
      <c r="M839" s="29">
        <f ca="1">IF(D839&lt;45,0,IF(D839&lt;=49,1,2))</f>
        <v>2</v>
      </c>
      <c r="N839" s="29">
        <f>IF(E839="Có",4,0)</f>
        <v>0</v>
      </c>
      <c r="O839" s="29">
        <f>IF(H839&lt;23,0,IF(H839&lt;27.5,3,5))</f>
        <v>0</v>
      </c>
      <c r="P839" s="29">
        <f>IF(OR(AND(B839="Nam",I839&gt;=90),AND(B839="Nữ",I839&gt;=80)),2,0)</f>
        <v>2</v>
      </c>
      <c r="Q839" s="29">
        <f>IF(OR(J839&gt;=140,K839&gt;=90),2,0)</f>
        <v>2</v>
      </c>
      <c r="R839" s="29">
        <f ca="1">SUM(L839:Q839)</f>
        <v>6</v>
      </c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5" t="s">
        <v>1393</v>
      </c>
      <c r="AE839" s="33"/>
      <c r="AF839" s="59" t="str">
        <f t="shared" si="40"/>
        <v>Không</v>
      </c>
      <c r="AG839" s="59" t="str">
        <f t="shared" si="41"/>
        <v>Không</v>
      </c>
      <c r="AH839" s="29" t="str">
        <f t="shared" ca="1" si="39"/>
        <v>Có</v>
      </c>
      <c r="AI839" s="29" t="str">
        <f ca="1">IF((R839)&gt;=6,"Có","Không")</f>
        <v>Có</v>
      </c>
      <c r="AJ839" s="29" t="str">
        <f>IF(OR(J839&gt;=140,K839&gt;=90),"Có","Không")</f>
        <v>Có</v>
      </c>
      <c r="AK839" s="5" t="s">
        <v>395</v>
      </c>
      <c r="AL839" s="32">
        <v>46142</v>
      </c>
      <c r="AM839" s="29" t="str">
        <f>"Tháng "&amp;MONTH(AL839)</f>
        <v>Tháng 4</v>
      </c>
      <c r="AN839" s="29" t="str">
        <f>LEFT(AK839,FIND(",",AK839)-1)</f>
        <v>Khóm Chòm Xoài</v>
      </c>
    </row>
    <row r="840" spans="1:40" x14ac:dyDescent="0.25">
      <c r="A840" s="49" t="s">
        <v>643</v>
      </c>
      <c r="B840" s="5" t="s">
        <v>23</v>
      </c>
      <c r="C840" s="5" t="s">
        <v>50</v>
      </c>
      <c r="D840" s="29">
        <f ca="1">DATEDIF(C840,TODAY(),"Y")</f>
        <v>58</v>
      </c>
      <c r="E840" s="5" t="s">
        <v>26</v>
      </c>
      <c r="F840" s="30">
        <v>157</v>
      </c>
      <c r="G840" s="30">
        <v>85</v>
      </c>
      <c r="H840" s="31">
        <f>G840/((F840/100)*(F840/100))</f>
        <v>34.484157572315304</v>
      </c>
      <c r="I840" s="5">
        <v>72</v>
      </c>
      <c r="J840" s="30">
        <v>130</v>
      </c>
      <c r="K840" s="30">
        <v>80</v>
      </c>
      <c r="L840" s="29">
        <f>IF(B840="Nữ",0,2)</f>
        <v>0</v>
      </c>
      <c r="M840" s="29">
        <f ca="1">IF(D840&lt;45,0,IF(D840&lt;=49,1,2))</f>
        <v>2</v>
      </c>
      <c r="N840" s="29">
        <f>IF(E840="Có",4,0)</f>
        <v>0</v>
      </c>
      <c r="O840" s="29">
        <f>IF(H840&lt;23,0,IF(H840&lt;27.5,3,5))</f>
        <v>5</v>
      </c>
      <c r="P840" s="29">
        <f>IF(OR(AND(B840="Nam",I840&gt;=90),AND(B840="Nữ",I840&gt;=80)),2,0)</f>
        <v>0</v>
      </c>
      <c r="Q840" s="29">
        <f>IF(OR(J840&gt;=140,K840&gt;=90),2,0)</f>
        <v>0</v>
      </c>
      <c r="R840" s="29">
        <f ca="1">SUM(L840:Q840)</f>
        <v>7</v>
      </c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5" t="s">
        <v>1393</v>
      </c>
      <c r="AE840" s="33"/>
      <c r="AF840" s="59" t="str">
        <f t="shared" si="40"/>
        <v>Không</v>
      </c>
      <c r="AG840" s="59" t="str">
        <f t="shared" si="41"/>
        <v>Không</v>
      </c>
      <c r="AH840" s="29" t="str">
        <f t="shared" ca="1" si="39"/>
        <v>Có</v>
      </c>
      <c r="AI840" s="29" t="str">
        <f ca="1">IF((R840)&gt;=6,"Có","Không")</f>
        <v>Có</v>
      </c>
      <c r="AJ840" s="29" t="str">
        <f>IF(OR(J840&gt;=140,K840&gt;=90),"Có","Không")</f>
        <v>Không</v>
      </c>
      <c r="AK840" s="5" t="s">
        <v>319</v>
      </c>
      <c r="AL840" s="32">
        <v>46142</v>
      </c>
      <c r="AM840" s="29" t="str">
        <f>"Tháng "&amp;MONTH(AL840)</f>
        <v>Tháng 4</v>
      </c>
      <c r="AN840" s="29" t="str">
        <f>LEFT(AK840,FIND(",",AK840)-1)</f>
        <v>Khóm Đầu Lộ A</v>
      </c>
    </row>
    <row r="841" spans="1:40" x14ac:dyDescent="0.25">
      <c r="A841" s="49" t="s">
        <v>644</v>
      </c>
      <c r="B841" s="5" t="s">
        <v>23</v>
      </c>
      <c r="C841" s="5" t="s">
        <v>87</v>
      </c>
      <c r="D841" s="29">
        <f ca="1">DATEDIF(C841,TODAY(),"Y")</f>
        <v>49</v>
      </c>
      <c r="E841" s="5" t="s">
        <v>26</v>
      </c>
      <c r="F841" s="30">
        <v>158</v>
      </c>
      <c r="G841" s="30">
        <v>58</v>
      </c>
      <c r="H841" s="31">
        <f>G841/((F841/100)*(F841/100))</f>
        <v>23.233456176894723</v>
      </c>
      <c r="I841" s="5">
        <v>95</v>
      </c>
      <c r="J841" s="30">
        <v>130</v>
      </c>
      <c r="K841" s="30">
        <v>80</v>
      </c>
      <c r="L841" s="29">
        <f>IF(B841="Nữ",0,2)</f>
        <v>0</v>
      </c>
      <c r="M841" s="29">
        <f ca="1">IF(D841&lt;45,0,IF(D841&lt;=49,1,2))</f>
        <v>1</v>
      </c>
      <c r="N841" s="29">
        <f>IF(E841="Có",4,0)</f>
        <v>0</v>
      </c>
      <c r="O841" s="29">
        <f>IF(H841&lt;23,0,IF(H841&lt;27.5,3,5))</f>
        <v>3</v>
      </c>
      <c r="P841" s="29">
        <f>IF(OR(AND(B841="Nam",I841&gt;=90),AND(B841="Nữ",I841&gt;=80)),2,0)</f>
        <v>2</v>
      </c>
      <c r="Q841" s="29">
        <f>IF(OR(J841&gt;=140,K841&gt;=90),2,0)</f>
        <v>0</v>
      </c>
      <c r="R841" s="29">
        <f ca="1">SUM(L841:Q841)</f>
        <v>6</v>
      </c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5" t="s">
        <v>1393</v>
      </c>
      <c r="AE841" s="33"/>
      <c r="AF841" s="59" t="str">
        <f t="shared" si="40"/>
        <v>Không</v>
      </c>
      <c r="AG841" s="59" t="str">
        <f t="shared" si="41"/>
        <v>Không</v>
      </c>
      <c r="AH841" s="29" t="str">
        <f t="shared" ca="1" si="39"/>
        <v>Có</v>
      </c>
      <c r="AI841" s="29" t="str">
        <f ca="1">IF((R841)&gt;=6,"Có","Không")</f>
        <v>Có</v>
      </c>
      <c r="AJ841" s="29" t="str">
        <f>IF(OR(J841&gt;=140,K841&gt;=90),"Có","Không")</f>
        <v>Không</v>
      </c>
      <c r="AK841" s="5" t="s">
        <v>306</v>
      </c>
      <c r="AL841" s="32">
        <v>46142</v>
      </c>
      <c r="AM841" s="29" t="str">
        <f>"Tháng "&amp;MONTH(AL841)</f>
        <v>Tháng 4</v>
      </c>
      <c r="AN841" s="29" t="str">
        <f>LEFT(AK841,FIND(",",AK841)-1)</f>
        <v>Giồng Giữa A</v>
      </c>
    </row>
    <row r="842" spans="1:40" x14ac:dyDescent="0.25">
      <c r="A842" s="49" t="s">
        <v>646</v>
      </c>
      <c r="B842" s="5" t="s">
        <v>30</v>
      </c>
      <c r="C842" s="5" t="s">
        <v>56</v>
      </c>
      <c r="D842" s="29">
        <f ca="1">DATEDIF(C842,TODAY(),"Y")</f>
        <v>65</v>
      </c>
      <c r="E842" s="5" t="s">
        <v>25</v>
      </c>
      <c r="F842" s="30">
        <v>169</v>
      </c>
      <c r="G842" s="30">
        <v>68</v>
      </c>
      <c r="H842" s="31">
        <f>G842/((F842/100)*(F842/100))</f>
        <v>23.808690171912751</v>
      </c>
      <c r="I842" s="5">
        <v>90</v>
      </c>
      <c r="J842" s="30">
        <v>120</v>
      </c>
      <c r="K842" s="30">
        <v>80</v>
      </c>
      <c r="L842" s="29">
        <f>IF(B842="Nữ",0,2)</f>
        <v>2</v>
      </c>
      <c r="M842" s="29">
        <f ca="1">IF(D842&lt;45,0,IF(D842&lt;=49,1,2))</f>
        <v>2</v>
      </c>
      <c r="N842" s="29">
        <f>IF(E842="Có",4,0)</f>
        <v>4</v>
      </c>
      <c r="O842" s="29">
        <f>IF(H842&lt;23,0,IF(H842&lt;27.5,3,5))</f>
        <v>3</v>
      </c>
      <c r="P842" s="29">
        <f>IF(OR(AND(B842="Nam",I842&gt;=90),AND(B842="Nữ",I842&gt;=80)),2,0)</f>
        <v>2</v>
      </c>
      <c r="Q842" s="29">
        <f>IF(OR(J842&gt;=140,K842&gt;=90),2,0)</f>
        <v>0</v>
      </c>
      <c r="R842" s="29">
        <f ca="1">SUM(L842:Q842)</f>
        <v>13</v>
      </c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5" t="s">
        <v>1393</v>
      </c>
      <c r="AE842" s="33"/>
      <c r="AF842" s="59" t="str">
        <f t="shared" si="40"/>
        <v>Không</v>
      </c>
      <c r="AG842" s="59" t="str">
        <f t="shared" si="41"/>
        <v>Không</v>
      </c>
      <c r="AH842" s="29" t="str">
        <f t="shared" ca="1" si="39"/>
        <v>Có</v>
      </c>
      <c r="AI842" s="29" t="str">
        <f ca="1">IF((R842)&gt;=6,"Có","Không")</f>
        <v>Có</v>
      </c>
      <c r="AJ842" s="29" t="str">
        <f>IF(OR(J842&gt;=140,K842&gt;=90),"Có","Không")</f>
        <v>Không</v>
      </c>
      <c r="AK842" s="5" t="s">
        <v>70</v>
      </c>
      <c r="AL842" s="32">
        <v>46142</v>
      </c>
      <c r="AM842" s="29" t="str">
        <f>"Tháng "&amp;MONTH(AL842)</f>
        <v>Tháng 4</v>
      </c>
      <c r="AN842" s="29" t="str">
        <f>LEFT(AK842,FIND(",",AK842)-1)</f>
        <v>Ấp Biển Tây A</v>
      </c>
    </row>
    <row r="843" spans="1:40" x14ac:dyDescent="0.25">
      <c r="A843" s="49" t="s">
        <v>647</v>
      </c>
      <c r="B843" s="5" t="s">
        <v>30</v>
      </c>
      <c r="C843" s="5" t="s">
        <v>105</v>
      </c>
      <c r="D843" s="29">
        <f ca="1">DATEDIF(C843,TODAY(),"Y")</f>
        <v>60</v>
      </c>
      <c r="E843" s="5" t="s">
        <v>25</v>
      </c>
      <c r="F843" s="30">
        <v>162</v>
      </c>
      <c r="G843" s="30">
        <v>64</v>
      </c>
      <c r="H843" s="31">
        <f>G843/((F843/100)*(F843/100))</f>
        <v>24.386526444139609</v>
      </c>
      <c r="I843" s="5">
        <v>76</v>
      </c>
      <c r="J843" s="30">
        <v>120</v>
      </c>
      <c r="K843" s="30">
        <v>80</v>
      </c>
      <c r="L843" s="29">
        <f>IF(B843="Nữ",0,2)</f>
        <v>2</v>
      </c>
      <c r="M843" s="29">
        <f ca="1">IF(D843&lt;45,0,IF(D843&lt;=49,1,2))</f>
        <v>2</v>
      </c>
      <c r="N843" s="29">
        <f>IF(E843="Có",4,0)</f>
        <v>4</v>
      </c>
      <c r="O843" s="29">
        <f>IF(H843&lt;23,0,IF(H843&lt;27.5,3,5))</f>
        <v>3</v>
      </c>
      <c r="P843" s="29">
        <f>IF(OR(AND(B843="Nam",I843&gt;=90),AND(B843="Nữ",I843&gt;=80)),2,0)</f>
        <v>0</v>
      </c>
      <c r="Q843" s="29">
        <f>IF(OR(J843&gt;=140,K843&gt;=90),2,0)</f>
        <v>0</v>
      </c>
      <c r="R843" s="29">
        <f ca="1">SUM(L843:Q843)</f>
        <v>11</v>
      </c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5" t="s">
        <v>1393</v>
      </c>
      <c r="AE843" s="33"/>
      <c r="AF843" s="59" t="str">
        <f t="shared" si="40"/>
        <v>Không</v>
      </c>
      <c r="AG843" s="59" t="str">
        <f t="shared" si="41"/>
        <v>Không</v>
      </c>
      <c r="AH843" s="29" t="str">
        <f t="shared" ca="1" si="39"/>
        <v>Có</v>
      </c>
      <c r="AI843" s="29" t="str">
        <f ca="1">IF((R843)&gt;=6,"Có","Không")</f>
        <v>Có</v>
      </c>
      <c r="AJ843" s="29" t="str">
        <f>IF(OR(J843&gt;=140,K843&gt;=90),"Có","Không")</f>
        <v>Không</v>
      </c>
      <c r="AK843" s="5" t="s">
        <v>648</v>
      </c>
      <c r="AL843" s="32">
        <v>46142</v>
      </c>
      <c r="AM843" s="29" t="str">
        <f>"Tháng "&amp;MONTH(AL843)</f>
        <v>Tháng 4</v>
      </c>
      <c r="AN843" s="29" t="str">
        <f>LEFT(AK843,FIND(",",AK843)-1)</f>
        <v>ấp Mai Hoa</v>
      </c>
    </row>
    <row r="844" spans="1:40" x14ac:dyDescent="0.25">
      <c r="A844" s="49" t="s">
        <v>649</v>
      </c>
      <c r="B844" s="5" t="s">
        <v>23</v>
      </c>
      <c r="C844" s="5" t="s">
        <v>133</v>
      </c>
      <c r="D844" s="29">
        <f ca="1">DATEDIF(C844,TODAY(),"Y")</f>
        <v>56</v>
      </c>
      <c r="E844" s="5" t="s">
        <v>26</v>
      </c>
      <c r="F844" s="30">
        <v>158</v>
      </c>
      <c r="G844" s="30">
        <v>58</v>
      </c>
      <c r="H844" s="31">
        <f>G844/((F844/100)*(F844/100))</f>
        <v>23.233456176894723</v>
      </c>
      <c r="I844" s="5">
        <v>93</v>
      </c>
      <c r="J844" s="30">
        <v>140</v>
      </c>
      <c r="K844" s="30">
        <v>80</v>
      </c>
      <c r="L844" s="29">
        <f>IF(B844="Nữ",0,2)</f>
        <v>0</v>
      </c>
      <c r="M844" s="29">
        <f ca="1">IF(D844&lt;45,0,IF(D844&lt;=49,1,2))</f>
        <v>2</v>
      </c>
      <c r="N844" s="29">
        <f>IF(E844="Có",4,0)</f>
        <v>0</v>
      </c>
      <c r="O844" s="29">
        <f>IF(H844&lt;23,0,IF(H844&lt;27.5,3,5))</f>
        <v>3</v>
      </c>
      <c r="P844" s="29">
        <f>IF(OR(AND(B844="Nam",I844&gt;=90),AND(B844="Nữ",I844&gt;=80)),2,0)</f>
        <v>2</v>
      </c>
      <c r="Q844" s="29">
        <f>IF(OR(J844&gt;=140,K844&gt;=90),2,0)</f>
        <v>2</v>
      </c>
      <c r="R844" s="29">
        <f ca="1">SUM(L844:Q844)</f>
        <v>9</v>
      </c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5" t="s">
        <v>1393</v>
      </c>
      <c r="AE844" s="33"/>
      <c r="AF844" s="59" t="str">
        <f t="shared" si="40"/>
        <v>Không</v>
      </c>
      <c r="AG844" s="59" t="str">
        <f t="shared" si="41"/>
        <v>Không</v>
      </c>
      <c r="AH844" s="29" t="str">
        <f t="shared" ca="1" si="39"/>
        <v>Có</v>
      </c>
      <c r="AI844" s="29" t="str">
        <f ca="1">IF((R844)&gt;=6,"Có","Không")</f>
        <v>Có</v>
      </c>
      <c r="AJ844" s="29" t="str">
        <f>IF(OR(J844&gt;=140,K844&gt;=90),"Có","Không")</f>
        <v>Có</v>
      </c>
      <c r="AK844" s="5" t="s">
        <v>650</v>
      </c>
      <c r="AL844" s="32">
        <v>46142</v>
      </c>
      <c r="AM844" s="29" t="str">
        <f>"Tháng "&amp;MONTH(AL844)</f>
        <v>Tháng 4</v>
      </c>
      <c r="AN844" s="29" t="str">
        <f>LEFT(AK844,FIND(",",AK844)-1)</f>
        <v>TÂN QUI</v>
      </c>
    </row>
    <row r="845" spans="1:40" x14ac:dyDescent="0.25">
      <c r="A845" s="49" t="s">
        <v>651</v>
      </c>
      <c r="B845" s="5" t="s">
        <v>30</v>
      </c>
      <c r="C845" s="5" t="s">
        <v>40</v>
      </c>
      <c r="D845" s="29">
        <f ca="1">DATEDIF(C845,TODAY(),"Y")</f>
        <v>70</v>
      </c>
      <c r="E845" s="5" t="s">
        <v>26</v>
      </c>
      <c r="F845" s="30">
        <v>168</v>
      </c>
      <c r="G845" s="30">
        <v>68</v>
      </c>
      <c r="H845" s="31">
        <f>G845/((F845/100)*(F845/100))</f>
        <v>24.092970521541954</v>
      </c>
      <c r="I845" s="5">
        <v>73</v>
      </c>
      <c r="J845" s="30">
        <v>120</v>
      </c>
      <c r="K845" s="30">
        <v>80</v>
      </c>
      <c r="L845" s="29">
        <f>IF(B845="Nữ",0,2)</f>
        <v>2</v>
      </c>
      <c r="M845" s="29">
        <f ca="1">IF(D845&lt;45,0,IF(D845&lt;=49,1,2))</f>
        <v>2</v>
      </c>
      <c r="N845" s="29">
        <f>IF(E845="Có",4,0)</f>
        <v>0</v>
      </c>
      <c r="O845" s="29">
        <f>IF(H845&lt;23,0,IF(H845&lt;27.5,3,5))</f>
        <v>3</v>
      </c>
      <c r="P845" s="29">
        <f>IF(OR(AND(B845="Nam",I845&gt;=90),AND(B845="Nữ",I845&gt;=80)),2,0)</f>
        <v>0</v>
      </c>
      <c r="Q845" s="29">
        <f>IF(OR(J845&gt;=140,K845&gt;=90),2,0)</f>
        <v>0</v>
      </c>
      <c r="R845" s="29">
        <f ca="1">SUM(L845:Q845)</f>
        <v>7</v>
      </c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5" t="s">
        <v>1393</v>
      </c>
      <c r="AE845" s="33"/>
      <c r="AF845" s="59" t="str">
        <f t="shared" si="40"/>
        <v>Không</v>
      </c>
      <c r="AG845" s="59" t="str">
        <f t="shared" si="41"/>
        <v>Không</v>
      </c>
      <c r="AH845" s="29" t="str">
        <f t="shared" ca="1" si="39"/>
        <v>Có</v>
      </c>
      <c r="AI845" s="29" t="str">
        <f ca="1">IF((R845)&gt;=6,"Có","Không")</f>
        <v>Có</v>
      </c>
      <c r="AJ845" s="29" t="str">
        <f>IF(OR(J845&gt;=140,K845&gt;=90),"Có","Không")</f>
        <v>Không</v>
      </c>
      <c r="AK845" s="5" t="s">
        <v>652</v>
      </c>
      <c r="AL845" s="32">
        <v>46142</v>
      </c>
      <c r="AM845" s="29" t="str">
        <f>"Tháng "&amp;MONTH(AL845)</f>
        <v>Tháng 4</v>
      </c>
      <c r="AN845" s="29" t="str">
        <f>LEFT(AK845,FIND(",",AK845)-1)</f>
        <v>ấp Sóc Bưng</v>
      </c>
    </row>
    <row r="846" spans="1:40" x14ac:dyDescent="0.25">
      <c r="A846" s="49" t="s">
        <v>653</v>
      </c>
      <c r="B846" s="5" t="s">
        <v>23</v>
      </c>
      <c r="C846" s="5" t="s">
        <v>56</v>
      </c>
      <c r="D846" s="29">
        <f ca="1">DATEDIF(C846,TODAY(),"Y")</f>
        <v>65</v>
      </c>
      <c r="E846" s="5" t="s">
        <v>26</v>
      </c>
      <c r="F846" s="30">
        <v>158</v>
      </c>
      <c r="G846" s="30">
        <v>58</v>
      </c>
      <c r="H846" s="31">
        <f>G846/((F846/100)*(F846/100))</f>
        <v>23.233456176894723</v>
      </c>
      <c r="I846" s="5">
        <v>91</v>
      </c>
      <c r="J846" s="30">
        <v>150</v>
      </c>
      <c r="K846" s="30">
        <v>80</v>
      </c>
      <c r="L846" s="29">
        <f>IF(B846="Nữ",0,2)</f>
        <v>0</v>
      </c>
      <c r="M846" s="29">
        <f ca="1">IF(D846&lt;45,0,IF(D846&lt;=49,1,2))</f>
        <v>2</v>
      </c>
      <c r="N846" s="29">
        <f>IF(E846="Có",4,0)</f>
        <v>0</v>
      </c>
      <c r="O846" s="29">
        <f>IF(H846&lt;23,0,IF(H846&lt;27.5,3,5))</f>
        <v>3</v>
      </c>
      <c r="P846" s="29">
        <f>IF(OR(AND(B846="Nam",I846&gt;=90),AND(B846="Nữ",I846&gt;=80)),2,0)</f>
        <v>2</v>
      </c>
      <c r="Q846" s="29">
        <f>IF(OR(J846&gt;=140,K846&gt;=90),2,0)</f>
        <v>2</v>
      </c>
      <c r="R846" s="29">
        <f ca="1">SUM(L846:Q846)</f>
        <v>9</v>
      </c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5" t="s">
        <v>1393</v>
      </c>
      <c r="AE846" s="33"/>
      <c r="AF846" s="59" t="str">
        <f t="shared" si="40"/>
        <v>Không</v>
      </c>
      <c r="AG846" s="59" t="str">
        <f t="shared" si="41"/>
        <v>Không</v>
      </c>
      <c r="AH846" s="29" t="str">
        <f t="shared" ca="1" si="39"/>
        <v>Có</v>
      </c>
      <c r="AI846" s="29" t="str">
        <f ca="1">IF((R846)&gt;=6,"Có","Không")</f>
        <v>Có</v>
      </c>
      <c r="AJ846" s="29" t="str">
        <f>IF(OR(J846&gt;=140,K846&gt;=90),"Có","Không")</f>
        <v>Có</v>
      </c>
      <c r="AK846" s="5" t="s">
        <v>70</v>
      </c>
      <c r="AL846" s="32">
        <v>46142</v>
      </c>
      <c r="AM846" s="29" t="str">
        <f>"Tháng "&amp;MONTH(AL846)</f>
        <v>Tháng 4</v>
      </c>
      <c r="AN846" s="29" t="str">
        <f>LEFT(AK846,FIND(",",AK846)-1)</f>
        <v>Ấp Biển Tây A</v>
      </c>
    </row>
    <row r="847" spans="1:40" x14ac:dyDescent="0.25">
      <c r="A847" s="49" t="s">
        <v>666</v>
      </c>
      <c r="B847" s="5" t="s">
        <v>23</v>
      </c>
      <c r="C847" s="5" t="s">
        <v>138</v>
      </c>
      <c r="D847" s="29">
        <f ca="1">DATEDIF(C847,TODAY(),"Y")</f>
        <v>67</v>
      </c>
      <c r="E847" s="5" t="s">
        <v>26</v>
      </c>
      <c r="F847" s="30">
        <v>168</v>
      </c>
      <c r="G847" s="30">
        <v>68</v>
      </c>
      <c r="H847" s="31">
        <f>G847/((F847/100)*(F847/100))</f>
        <v>24.092970521541954</v>
      </c>
      <c r="I847" s="5">
        <v>89</v>
      </c>
      <c r="J847" s="30">
        <v>120</v>
      </c>
      <c r="K847" s="30">
        <v>80</v>
      </c>
      <c r="L847" s="29">
        <f>IF(B847="Nữ",0,2)</f>
        <v>0</v>
      </c>
      <c r="M847" s="29">
        <f ca="1">IF(D847&lt;45,0,IF(D847&lt;=49,1,2))</f>
        <v>2</v>
      </c>
      <c r="N847" s="29">
        <f>IF(E847="Có",4,0)</f>
        <v>0</v>
      </c>
      <c r="O847" s="29">
        <f>IF(H847&lt;23,0,IF(H847&lt;27.5,3,5))</f>
        <v>3</v>
      </c>
      <c r="P847" s="29">
        <f>IF(OR(AND(B847="Nam",I847&gt;=90),AND(B847="Nữ",I847&gt;=80)),2,0)</f>
        <v>2</v>
      </c>
      <c r="Q847" s="29">
        <f>IF(OR(J847&gt;=140,K847&gt;=90),2,0)</f>
        <v>0</v>
      </c>
      <c r="R847" s="29">
        <f ca="1">SUM(L847:Q847)</f>
        <v>7</v>
      </c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5" t="s">
        <v>1393</v>
      </c>
      <c r="AE847" s="33"/>
      <c r="AF847" s="59" t="str">
        <f t="shared" si="40"/>
        <v>Không</v>
      </c>
      <c r="AG847" s="59" t="str">
        <f t="shared" si="41"/>
        <v>Không</v>
      </c>
      <c r="AH847" s="29" t="str">
        <f t="shared" ca="1" si="39"/>
        <v>Có</v>
      </c>
      <c r="AI847" s="29" t="str">
        <f ca="1">IF((R847)&gt;=6,"Có","Không")</f>
        <v>Có</v>
      </c>
      <c r="AJ847" s="29" t="str">
        <f>IF(OR(J847&gt;=140,K847&gt;=90),"Có","Không")</f>
        <v>Không</v>
      </c>
      <c r="AK847" s="5" t="s">
        <v>68</v>
      </c>
      <c r="AL847" s="32">
        <v>46142</v>
      </c>
      <c r="AM847" s="29" t="str">
        <f>"Tháng "&amp;MONTH(AL847)</f>
        <v>Tháng 4</v>
      </c>
      <c r="AN847" s="29" t="str">
        <f>LEFT(AK847,FIND(",",AK847)-1)</f>
        <v>Ấp Biển Tây B</v>
      </c>
    </row>
    <row r="848" spans="1:40" x14ac:dyDescent="0.25">
      <c r="A848" s="49" t="s">
        <v>667</v>
      </c>
      <c r="B848" s="5" t="s">
        <v>23</v>
      </c>
      <c r="C848" s="5" t="s">
        <v>76</v>
      </c>
      <c r="D848" s="29">
        <f ca="1">DATEDIF(C848,TODAY(),"Y")</f>
        <v>68</v>
      </c>
      <c r="E848" s="5" t="s">
        <v>26</v>
      </c>
      <c r="F848" s="30">
        <v>168</v>
      </c>
      <c r="G848" s="30">
        <v>68</v>
      </c>
      <c r="H848" s="31">
        <f>G848/((F848/100)*(F848/100))</f>
        <v>24.092970521541954</v>
      </c>
      <c r="I848" s="5">
        <v>85</v>
      </c>
      <c r="J848" s="30">
        <v>120</v>
      </c>
      <c r="K848" s="30">
        <v>80</v>
      </c>
      <c r="L848" s="29">
        <f>IF(B848="Nữ",0,2)</f>
        <v>0</v>
      </c>
      <c r="M848" s="29">
        <f ca="1">IF(D848&lt;45,0,IF(D848&lt;=49,1,2))</f>
        <v>2</v>
      </c>
      <c r="N848" s="29">
        <f>IF(E848="Có",4,0)</f>
        <v>0</v>
      </c>
      <c r="O848" s="29">
        <f>IF(H848&lt;23,0,IF(H848&lt;27.5,3,5))</f>
        <v>3</v>
      </c>
      <c r="P848" s="29">
        <f>IF(OR(AND(B848="Nam",I848&gt;=90),AND(B848="Nữ",I848&gt;=80)),2,0)</f>
        <v>2</v>
      </c>
      <c r="Q848" s="29">
        <f>IF(OR(J848&gt;=140,K848&gt;=90),2,0)</f>
        <v>0</v>
      </c>
      <c r="R848" s="29">
        <f ca="1">SUM(L848:Q848)</f>
        <v>7</v>
      </c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5" t="s">
        <v>1393</v>
      </c>
      <c r="AE848" s="33"/>
      <c r="AF848" s="59" t="str">
        <f t="shared" si="40"/>
        <v>Không</v>
      </c>
      <c r="AG848" s="59" t="str">
        <f t="shared" si="41"/>
        <v>Không</v>
      </c>
      <c r="AH848" s="29" t="str">
        <f t="shared" ca="1" si="39"/>
        <v>Có</v>
      </c>
      <c r="AI848" s="29" t="str">
        <f ca="1">IF((R848)&gt;=6,"Có","Không")</f>
        <v>Có</v>
      </c>
      <c r="AJ848" s="29" t="str">
        <f>IF(OR(J848&gt;=140,K848&gt;=90),"Có","Không")</f>
        <v>Không</v>
      </c>
      <c r="AK848" s="5" t="s">
        <v>51</v>
      </c>
      <c r="AL848" s="32">
        <v>46142</v>
      </c>
      <c r="AM848" s="29" t="str">
        <f>"Tháng "&amp;MONTH(AL848)</f>
        <v>Tháng 4</v>
      </c>
      <c r="AN848" s="29" t="str">
        <f>LEFT(AK848,FIND(",",AK848)-1)</f>
        <v>Phường Hiệp Thành</v>
      </c>
    </row>
    <row r="849" spans="1:40" x14ac:dyDescent="0.25">
      <c r="A849" s="49" t="s">
        <v>668</v>
      </c>
      <c r="B849" s="5" t="s">
        <v>30</v>
      </c>
      <c r="C849" s="5" t="s">
        <v>93</v>
      </c>
      <c r="D849" s="29">
        <f ca="1">DATEDIF(C849,TODAY(),"Y")</f>
        <v>66</v>
      </c>
      <c r="E849" s="5" t="s">
        <v>25</v>
      </c>
      <c r="F849" s="30">
        <v>169</v>
      </c>
      <c r="G849" s="30">
        <v>68</v>
      </c>
      <c r="H849" s="31">
        <f>G849/((F849/100)*(F849/100))</f>
        <v>23.808690171912751</v>
      </c>
      <c r="I849" s="5">
        <v>72</v>
      </c>
      <c r="J849" s="30">
        <v>120</v>
      </c>
      <c r="K849" s="30">
        <v>80</v>
      </c>
      <c r="L849" s="29">
        <f>IF(B849="Nữ",0,2)</f>
        <v>2</v>
      </c>
      <c r="M849" s="29">
        <f ca="1">IF(D849&lt;45,0,IF(D849&lt;=49,1,2))</f>
        <v>2</v>
      </c>
      <c r="N849" s="29">
        <f>IF(E849="Có",4,0)</f>
        <v>4</v>
      </c>
      <c r="O849" s="29">
        <f>IF(H849&lt;23,0,IF(H849&lt;27.5,3,5))</f>
        <v>3</v>
      </c>
      <c r="P849" s="29">
        <f>IF(OR(AND(B849="Nam",I849&gt;=90),AND(B849="Nữ",I849&gt;=80)),2,0)</f>
        <v>0</v>
      </c>
      <c r="Q849" s="29">
        <f>IF(OR(J849&gt;=140,K849&gt;=90),2,0)</f>
        <v>0</v>
      </c>
      <c r="R849" s="29">
        <f ca="1">SUM(L849:Q849)</f>
        <v>11</v>
      </c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5" t="s">
        <v>1393</v>
      </c>
      <c r="AE849" s="33"/>
      <c r="AF849" s="59" t="str">
        <f t="shared" si="40"/>
        <v>Không</v>
      </c>
      <c r="AG849" s="59" t="str">
        <f t="shared" si="41"/>
        <v>Không</v>
      </c>
      <c r="AH849" s="29" t="str">
        <f t="shared" ca="1" si="39"/>
        <v>Có</v>
      </c>
      <c r="AI849" s="29" t="str">
        <f ca="1">IF((R849)&gt;=6,"Có","Không")</f>
        <v>Có</v>
      </c>
      <c r="AJ849" s="29" t="str">
        <f>IF(OR(J849&gt;=140,K849&gt;=90),"Có","Không")</f>
        <v>Không</v>
      </c>
      <c r="AK849" s="5" t="s">
        <v>38</v>
      </c>
      <c r="AL849" s="32">
        <v>46142</v>
      </c>
      <c r="AM849" s="29" t="str">
        <f>"Tháng "&amp;MONTH(AL849)</f>
        <v>Tháng 4</v>
      </c>
      <c r="AN849" s="29" t="str">
        <f>LEFT(AK849,FIND(",",AK849)-1)</f>
        <v>Ấp Biển Đông B</v>
      </c>
    </row>
    <row r="850" spans="1:40" x14ac:dyDescent="0.25">
      <c r="A850" s="49" t="s">
        <v>669</v>
      </c>
      <c r="B850" s="5" t="s">
        <v>30</v>
      </c>
      <c r="C850" s="5" t="s">
        <v>273</v>
      </c>
      <c r="D850" s="29">
        <f ca="1">DATEDIF(C850,TODAY(),"Y")</f>
        <v>47</v>
      </c>
      <c r="E850" s="5" t="s">
        <v>26</v>
      </c>
      <c r="F850" s="30">
        <v>170</v>
      </c>
      <c r="G850" s="30">
        <v>60</v>
      </c>
      <c r="H850" s="31">
        <f>G850/((F850/100)*(F850/100))</f>
        <v>20.761245674740486</v>
      </c>
      <c r="I850" s="5">
        <v>86</v>
      </c>
      <c r="J850" s="30">
        <v>120</v>
      </c>
      <c r="K850" s="30">
        <v>80</v>
      </c>
      <c r="L850" s="29">
        <f>IF(B850="Nữ",0,2)</f>
        <v>2</v>
      </c>
      <c r="M850" s="29">
        <f ca="1">IF(D850&lt;45,0,IF(D850&lt;=49,1,2))</f>
        <v>1</v>
      </c>
      <c r="N850" s="29">
        <f>IF(E850="Có",4,0)</f>
        <v>0</v>
      </c>
      <c r="O850" s="29">
        <f>IF(H850&lt;23,0,IF(H850&lt;27.5,3,5))</f>
        <v>0</v>
      </c>
      <c r="P850" s="29">
        <f>IF(OR(AND(B850="Nam",I850&gt;=90),AND(B850="Nữ",I850&gt;=80)),2,0)</f>
        <v>0</v>
      </c>
      <c r="Q850" s="29">
        <f>IF(OR(J850&gt;=140,K850&gt;=90),2,0)</f>
        <v>0</v>
      </c>
      <c r="R850" s="29">
        <f ca="1">SUM(L850:Q850)</f>
        <v>3</v>
      </c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5" t="s">
        <v>1393</v>
      </c>
      <c r="AE850" s="33"/>
      <c r="AF850" s="59" t="str">
        <f t="shared" si="40"/>
        <v>Không</v>
      </c>
      <c r="AG850" s="59" t="str">
        <f t="shared" si="41"/>
        <v>Không</v>
      </c>
      <c r="AH850" s="29" t="str">
        <f t="shared" ca="1" si="39"/>
        <v>Không</v>
      </c>
      <c r="AI850" s="29" t="str">
        <f ca="1">IF((R850)&gt;=6,"Có","Không")</f>
        <v>Không</v>
      </c>
      <c r="AJ850" s="29" t="str">
        <f>IF(OR(J850&gt;=140,K850&gt;=90),"Có","Không")</f>
        <v>Không</v>
      </c>
      <c r="AK850" s="5" t="s">
        <v>670</v>
      </c>
      <c r="AL850" s="32">
        <v>46142</v>
      </c>
      <c r="AM850" s="29" t="str">
        <f>"Tháng "&amp;MONTH(AL850)</f>
        <v>Tháng 4</v>
      </c>
      <c r="AN850" s="29" t="str">
        <f>LEFT(AK850,FIND(",",AK850)-1)</f>
        <v>C4/33E Ấp 24 Tân Nhựt</v>
      </c>
    </row>
    <row r="851" spans="1:40" x14ac:dyDescent="0.25">
      <c r="A851" s="49" t="s">
        <v>671</v>
      </c>
      <c r="B851" s="5" t="s">
        <v>23</v>
      </c>
      <c r="C851" s="5" t="s">
        <v>40</v>
      </c>
      <c r="D851" s="29">
        <f ca="1">DATEDIF(C851,TODAY(),"Y")</f>
        <v>70</v>
      </c>
      <c r="E851" s="5" t="s">
        <v>26</v>
      </c>
      <c r="F851" s="30">
        <v>158</v>
      </c>
      <c r="G851" s="30">
        <v>58</v>
      </c>
      <c r="H851" s="31">
        <f>G851/((F851/100)*(F851/100))</f>
        <v>23.233456176894723</v>
      </c>
      <c r="I851" s="5">
        <v>99</v>
      </c>
      <c r="J851" s="30">
        <v>130</v>
      </c>
      <c r="K851" s="30">
        <v>80</v>
      </c>
      <c r="L851" s="29">
        <f>IF(B851="Nữ",0,2)</f>
        <v>0</v>
      </c>
      <c r="M851" s="29">
        <f ca="1">IF(D851&lt;45,0,IF(D851&lt;=49,1,2))</f>
        <v>2</v>
      </c>
      <c r="N851" s="29">
        <f>IF(E851="Có",4,0)</f>
        <v>0</v>
      </c>
      <c r="O851" s="29">
        <f>IF(H851&lt;23,0,IF(H851&lt;27.5,3,5))</f>
        <v>3</v>
      </c>
      <c r="P851" s="29">
        <f>IF(OR(AND(B851="Nam",I851&gt;=90),AND(B851="Nữ",I851&gt;=80)),2,0)</f>
        <v>2</v>
      </c>
      <c r="Q851" s="29">
        <f>IF(OR(J851&gt;=140,K851&gt;=90),2,0)</f>
        <v>0</v>
      </c>
      <c r="R851" s="29">
        <f ca="1">SUM(L851:Q851)</f>
        <v>7</v>
      </c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5" t="s">
        <v>1393</v>
      </c>
      <c r="AE851" s="33"/>
      <c r="AF851" s="59" t="str">
        <f t="shared" si="40"/>
        <v>Không</v>
      </c>
      <c r="AG851" s="59" t="str">
        <f t="shared" si="41"/>
        <v>Không</v>
      </c>
      <c r="AH851" s="29" t="str">
        <f t="shared" ca="1" si="39"/>
        <v>Có</v>
      </c>
      <c r="AI851" s="29" t="str">
        <f ca="1">IF((R851)&gt;=6,"Có","Không")</f>
        <v>Có</v>
      </c>
      <c r="AJ851" s="29" t="str">
        <f>IF(OR(J851&gt;=140,K851&gt;=90),"Có","Không")</f>
        <v>Không</v>
      </c>
      <c r="AK851" s="5" t="s">
        <v>68</v>
      </c>
      <c r="AL851" s="32">
        <v>46142</v>
      </c>
      <c r="AM851" s="29" t="str">
        <f>"Tháng "&amp;MONTH(AL851)</f>
        <v>Tháng 4</v>
      </c>
      <c r="AN851" s="29" t="str">
        <f>LEFT(AK851,FIND(",",AK851)-1)</f>
        <v>Ấp Biển Tây B</v>
      </c>
    </row>
    <row r="852" spans="1:40" x14ac:dyDescent="0.25">
      <c r="A852" s="49" t="s">
        <v>672</v>
      </c>
      <c r="B852" s="5" t="s">
        <v>23</v>
      </c>
      <c r="C852" s="5" t="s">
        <v>67</v>
      </c>
      <c r="D852" s="29">
        <f ca="1">DATEDIF(C852,TODAY(),"Y")</f>
        <v>48</v>
      </c>
      <c r="E852" s="5" t="s">
        <v>26</v>
      </c>
      <c r="F852" s="30">
        <v>160</v>
      </c>
      <c r="G852" s="30">
        <v>52</v>
      </c>
      <c r="H852" s="31">
        <f>G852/((F852/100)*(F852/100))</f>
        <v>20.312499999999996</v>
      </c>
      <c r="I852" s="5">
        <v>99</v>
      </c>
      <c r="J852" s="30">
        <v>130</v>
      </c>
      <c r="K852" s="30">
        <v>80</v>
      </c>
      <c r="L852" s="29">
        <f>IF(B852="Nữ",0,2)</f>
        <v>0</v>
      </c>
      <c r="M852" s="29">
        <f ca="1">IF(D852&lt;45,0,IF(D852&lt;=49,1,2))</f>
        <v>1</v>
      </c>
      <c r="N852" s="29">
        <f>IF(E852="Có",4,0)</f>
        <v>0</v>
      </c>
      <c r="O852" s="29">
        <f>IF(H852&lt;23,0,IF(H852&lt;27.5,3,5))</f>
        <v>0</v>
      </c>
      <c r="P852" s="29">
        <f>IF(OR(AND(B852="Nam",I852&gt;=90),AND(B852="Nữ",I852&gt;=80)),2,0)</f>
        <v>2</v>
      </c>
      <c r="Q852" s="29">
        <f>IF(OR(J852&gt;=140,K852&gt;=90),2,0)</f>
        <v>0</v>
      </c>
      <c r="R852" s="29">
        <f ca="1">SUM(L852:Q852)</f>
        <v>3</v>
      </c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5" t="s">
        <v>1393</v>
      </c>
      <c r="AE852" s="33"/>
      <c r="AF852" s="59" t="str">
        <f t="shared" si="40"/>
        <v>Không</v>
      </c>
      <c r="AG852" s="59" t="str">
        <f t="shared" si="41"/>
        <v>Không</v>
      </c>
      <c r="AH852" s="29" t="str">
        <f t="shared" ca="1" si="39"/>
        <v>Không</v>
      </c>
      <c r="AI852" s="29" t="str">
        <f ca="1">IF((R852)&gt;=6,"Có","Không")</f>
        <v>Không</v>
      </c>
      <c r="AJ852" s="29" t="str">
        <f>IF(OR(J852&gt;=140,K852&gt;=90),"Có","Không")</f>
        <v>Không</v>
      </c>
      <c r="AK852" s="5" t="s">
        <v>215</v>
      </c>
      <c r="AL852" s="32">
        <v>46142</v>
      </c>
      <c r="AM852" s="29" t="str">
        <f>"Tháng "&amp;MONTH(AL852)</f>
        <v>Tháng 4</v>
      </c>
      <c r="AN852" s="29" t="str">
        <f>LEFT(AK852,FIND(",",AK852)-1)</f>
        <v>Giồng Nhãn A</v>
      </c>
    </row>
    <row r="853" spans="1:40" x14ac:dyDescent="0.25">
      <c r="A853" s="49" t="s">
        <v>673</v>
      </c>
      <c r="B853" s="5" t="s">
        <v>23</v>
      </c>
      <c r="C853" s="5" t="s">
        <v>62</v>
      </c>
      <c r="D853" s="29">
        <f ca="1">DATEDIF(C853,TODAY(),"Y")</f>
        <v>64</v>
      </c>
      <c r="E853" s="5" t="s">
        <v>26</v>
      </c>
      <c r="F853" s="30">
        <v>158</v>
      </c>
      <c r="G853" s="30">
        <v>58</v>
      </c>
      <c r="H853" s="31">
        <f>G853/((F853/100)*(F853/100))</f>
        <v>23.233456176894723</v>
      </c>
      <c r="I853" s="5">
        <v>81</v>
      </c>
      <c r="J853" s="30">
        <v>120</v>
      </c>
      <c r="K853" s="30">
        <v>80</v>
      </c>
      <c r="L853" s="29">
        <f>IF(B853="Nữ",0,2)</f>
        <v>0</v>
      </c>
      <c r="M853" s="29">
        <f ca="1">IF(D853&lt;45,0,IF(D853&lt;=49,1,2))</f>
        <v>2</v>
      </c>
      <c r="N853" s="29">
        <f>IF(E853="Có",4,0)</f>
        <v>0</v>
      </c>
      <c r="O853" s="29">
        <f>IF(H853&lt;23,0,IF(H853&lt;27.5,3,5))</f>
        <v>3</v>
      </c>
      <c r="P853" s="29">
        <f>IF(OR(AND(B853="Nam",I853&gt;=90),AND(B853="Nữ",I853&gt;=80)),2,0)</f>
        <v>2</v>
      </c>
      <c r="Q853" s="29">
        <f>IF(OR(J853&gt;=140,K853&gt;=90),2,0)</f>
        <v>0</v>
      </c>
      <c r="R853" s="29">
        <f ca="1">SUM(L853:Q853)</f>
        <v>7</v>
      </c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5" t="s">
        <v>1393</v>
      </c>
      <c r="AE853" s="33"/>
      <c r="AF853" s="59" t="str">
        <f t="shared" si="40"/>
        <v>Không</v>
      </c>
      <c r="AG853" s="59" t="str">
        <f t="shared" si="41"/>
        <v>Không</v>
      </c>
      <c r="AH853" s="29" t="str">
        <f t="shared" ca="1" si="39"/>
        <v>Có</v>
      </c>
      <c r="AI853" s="29" t="str">
        <f ca="1">IF((R853)&gt;=6,"Có","Không")</f>
        <v>Có</v>
      </c>
      <c r="AJ853" s="29" t="str">
        <f>IF(OR(J853&gt;=140,K853&gt;=90),"Có","Không")</f>
        <v>Không</v>
      </c>
      <c r="AK853" s="5" t="s">
        <v>674</v>
      </c>
      <c r="AL853" s="32">
        <v>46142</v>
      </c>
      <c r="AM853" s="29" t="str">
        <f>"Tháng "&amp;MONTH(AL853)</f>
        <v>Tháng 4</v>
      </c>
      <c r="AN853" s="29" t="str">
        <f>LEFT(AK853,FIND(",",AK853)-1)</f>
        <v>ấp biển tây b</v>
      </c>
    </row>
    <row r="854" spans="1:40" x14ac:dyDescent="0.25">
      <c r="A854" s="49" t="s">
        <v>675</v>
      </c>
      <c r="B854" s="5" t="s">
        <v>30</v>
      </c>
      <c r="C854" s="5" t="s">
        <v>138</v>
      </c>
      <c r="D854" s="29">
        <f ca="1">DATEDIF(C854,TODAY(),"Y")</f>
        <v>67</v>
      </c>
      <c r="E854" s="5" t="s">
        <v>25</v>
      </c>
      <c r="F854" s="30">
        <v>158</v>
      </c>
      <c r="G854" s="30">
        <v>60</v>
      </c>
      <c r="H854" s="31">
        <f>G854/((F854/100)*(F854/100))</f>
        <v>24.034609838166958</v>
      </c>
      <c r="I854" s="5">
        <v>66</v>
      </c>
      <c r="J854" s="30">
        <v>120</v>
      </c>
      <c r="K854" s="30">
        <v>70</v>
      </c>
      <c r="L854" s="29">
        <f>IF(B854="Nữ",0,2)</f>
        <v>2</v>
      </c>
      <c r="M854" s="29">
        <f ca="1">IF(D854&lt;45,0,IF(D854&lt;=49,1,2))</f>
        <v>2</v>
      </c>
      <c r="N854" s="29">
        <f>IF(E854="Có",4,0)</f>
        <v>4</v>
      </c>
      <c r="O854" s="29">
        <f>IF(H854&lt;23,0,IF(H854&lt;27.5,3,5))</f>
        <v>3</v>
      </c>
      <c r="P854" s="29">
        <f>IF(OR(AND(B854="Nam",I854&gt;=90),AND(B854="Nữ",I854&gt;=80)),2,0)</f>
        <v>0</v>
      </c>
      <c r="Q854" s="29">
        <f>IF(OR(J854&gt;=140,K854&gt;=90),2,0)</f>
        <v>0</v>
      </c>
      <c r="R854" s="29">
        <f ca="1">SUM(L854:Q854)</f>
        <v>11</v>
      </c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5" t="s">
        <v>1393</v>
      </c>
      <c r="AE854" s="33"/>
      <c r="AF854" s="59" t="str">
        <f t="shared" si="40"/>
        <v>Không</v>
      </c>
      <c r="AG854" s="59" t="str">
        <f t="shared" si="41"/>
        <v>Không</v>
      </c>
      <c r="AH854" s="29" t="str">
        <f t="shared" ca="1" si="39"/>
        <v>Có</v>
      </c>
      <c r="AI854" s="29" t="str">
        <f ca="1">IF((R854)&gt;=6,"Có","Không")</f>
        <v>Có</v>
      </c>
      <c r="AJ854" s="29" t="str">
        <f>IF(OR(J854&gt;=140,K854&gt;=90),"Có","Không")</f>
        <v>Không</v>
      </c>
      <c r="AK854" s="5" t="s">
        <v>88</v>
      </c>
      <c r="AL854" s="32">
        <v>46142</v>
      </c>
      <c r="AM854" s="29" t="str">
        <f>"Tháng "&amp;MONTH(AL854)</f>
        <v>Tháng 4</v>
      </c>
      <c r="AN854" s="29" t="str">
        <f>LEFT(AK854,FIND(",",AK854)-1)</f>
        <v>Giồng Giữa</v>
      </c>
    </row>
    <row r="855" spans="1:40" x14ac:dyDescent="0.25">
      <c r="A855" s="49" t="s">
        <v>676</v>
      </c>
      <c r="B855" s="5" t="s">
        <v>30</v>
      </c>
      <c r="C855" s="5" t="s">
        <v>341</v>
      </c>
      <c r="D855" s="29">
        <f ca="1">DATEDIF(C855,TODAY(),"Y")</f>
        <v>51</v>
      </c>
      <c r="E855" s="5" t="s">
        <v>26</v>
      </c>
      <c r="F855" s="30">
        <v>162</v>
      </c>
      <c r="G855" s="30">
        <v>76</v>
      </c>
      <c r="H855" s="31">
        <f>G855/((F855/100)*(F855/100))</f>
        <v>28.959000152415786</v>
      </c>
      <c r="I855" s="5">
        <v>89</v>
      </c>
      <c r="J855" s="30">
        <v>130</v>
      </c>
      <c r="K855" s="30">
        <v>80</v>
      </c>
      <c r="L855" s="29">
        <f>IF(B855="Nữ",0,2)</f>
        <v>2</v>
      </c>
      <c r="M855" s="29">
        <f ca="1">IF(D855&lt;45,0,IF(D855&lt;=49,1,2))</f>
        <v>2</v>
      </c>
      <c r="N855" s="29">
        <f>IF(E855="Có",4,0)</f>
        <v>0</v>
      </c>
      <c r="O855" s="29">
        <f>IF(H855&lt;23,0,IF(H855&lt;27.5,3,5))</f>
        <v>5</v>
      </c>
      <c r="P855" s="29">
        <f>IF(OR(AND(B855="Nam",I855&gt;=90),AND(B855="Nữ",I855&gt;=80)),2,0)</f>
        <v>0</v>
      </c>
      <c r="Q855" s="29">
        <f>IF(OR(J855&gt;=140,K855&gt;=90),2,0)</f>
        <v>0</v>
      </c>
      <c r="R855" s="29">
        <f ca="1">SUM(L855:Q855)</f>
        <v>9</v>
      </c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5" t="s">
        <v>1393</v>
      </c>
      <c r="AE855" s="33"/>
      <c r="AF855" s="59" t="str">
        <f t="shared" si="40"/>
        <v>Không</v>
      </c>
      <c r="AG855" s="59" t="str">
        <f t="shared" si="41"/>
        <v>Không</v>
      </c>
      <c r="AH855" s="29" t="str">
        <f t="shared" ca="1" si="39"/>
        <v>Có</v>
      </c>
      <c r="AI855" s="29" t="str">
        <f ca="1">IF((R855)&gt;=6,"Có","Không")</f>
        <v>Có</v>
      </c>
      <c r="AJ855" s="29" t="str">
        <f>IF(OR(J855&gt;=140,K855&gt;=90),"Có","Không")</f>
        <v>Không</v>
      </c>
      <c r="AK855" s="5" t="s">
        <v>88</v>
      </c>
      <c r="AL855" s="32">
        <v>46142</v>
      </c>
      <c r="AM855" s="29" t="str">
        <f>"Tháng "&amp;MONTH(AL855)</f>
        <v>Tháng 4</v>
      </c>
      <c r="AN855" s="29" t="str">
        <f>LEFT(AK855,FIND(",",AK855)-1)</f>
        <v>Giồng Giữa</v>
      </c>
    </row>
    <row r="856" spans="1:40" x14ac:dyDescent="0.25">
      <c r="A856" s="49" t="s">
        <v>677</v>
      </c>
      <c r="B856" s="5" t="s">
        <v>30</v>
      </c>
      <c r="C856" s="5" t="s">
        <v>40</v>
      </c>
      <c r="D856" s="29">
        <f ca="1">DATEDIF(C856,TODAY(),"Y")</f>
        <v>70</v>
      </c>
      <c r="E856" s="5" t="s">
        <v>25</v>
      </c>
      <c r="F856" s="30">
        <v>169</v>
      </c>
      <c r="G856" s="30">
        <v>68</v>
      </c>
      <c r="H856" s="31">
        <f>G856/((F856/100)*(F856/100))</f>
        <v>23.808690171912751</v>
      </c>
      <c r="I856" s="5">
        <v>93</v>
      </c>
      <c r="J856" s="30">
        <v>120</v>
      </c>
      <c r="K856" s="30">
        <v>80</v>
      </c>
      <c r="L856" s="29">
        <f>IF(B856="Nữ",0,2)</f>
        <v>2</v>
      </c>
      <c r="M856" s="29">
        <f ca="1">IF(D856&lt;45,0,IF(D856&lt;=49,1,2))</f>
        <v>2</v>
      </c>
      <c r="N856" s="29">
        <f>IF(E856="Có",4,0)</f>
        <v>4</v>
      </c>
      <c r="O856" s="29">
        <f>IF(H856&lt;23,0,IF(H856&lt;27.5,3,5))</f>
        <v>3</v>
      </c>
      <c r="P856" s="29">
        <f>IF(OR(AND(B856="Nam",I856&gt;=90),AND(B856="Nữ",I856&gt;=80)),2,0)</f>
        <v>2</v>
      </c>
      <c r="Q856" s="29">
        <f>IF(OR(J856&gt;=140,K856&gt;=90),2,0)</f>
        <v>0</v>
      </c>
      <c r="R856" s="29">
        <f ca="1">SUM(L856:Q856)</f>
        <v>13</v>
      </c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5" t="s">
        <v>1393</v>
      </c>
      <c r="AE856" s="33"/>
      <c r="AF856" s="59" t="str">
        <f t="shared" si="40"/>
        <v>Không</v>
      </c>
      <c r="AG856" s="59" t="str">
        <f t="shared" si="41"/>
        <v>Không</v>
      </c>
      <c r="AH856" s="29" t="str">
        <f t="shared" ca="1" si="39"/>
        <v>Có</v>
      </c>
      <c r="AI856" s="29" t="str">
        <f ca="1">IF((R856)&gt;=6,"Có","Không")</f>
        <v>Có</v>
      </c>
      <c r="AJ856" s="29" t="str">
        <f>IF(OR(J856&gt;=140,K856&gt;=90),"Có","Không")</f>
        <v>Không</v>
      </c>
      <c r="AK856" s="5" t="s">
        <v>308</v>
      </c>
      <c r="AL856" s="32">
        <v>46142</v>
      </c>
      <c r="AM856" s="29" t="str">
        <f>"Tháng "&amp;MONTH(AL856)</f>
        <v>Tháng 4</v>
      </c>
      <c r="AN856" s="29" t="str">
        <f>LEFT(AK856,FIND(",",AK856)-1)</f>
        <v>ấp Giồng Giữa A</v>
      </c>
    </row>
    <row r="857" spans="1:40" x14ac:dyDescent="0.25">
      <c r="A857" s="49" t="s">
        <v>678</v>
      </c>
      <c r="B857" s="5" t="s">
        <v>23</v>
      </c>
      <c r="C857" s="5" t="s">
        <v>314</v>
      </c>
      <c r="D857" s="29">
        <f ca="1">DATEDIF(C857,TODAY(),"Y")</f>
        <v>77</v>
      </c>
      <c r="E857" s="5" t="s">
        <v>25</v>
      </c>
      <c r="F857" s="30">
        <v>158</v>
      </c>
      <c r="G857" s="30">
        <v>58</v>
      </c>
      <c r="H857" s="31">
        <f>G857/((F857/100)*(F857/100))</f>
        <v>23.233456176894723</v>
      </c>
      <c r="I857" s="5">
        <v>89</v>
      </c>
      <c r="J857" s="30">
        <v>140</v>
      </c>
      <c r="K857" s="30">
        <v>80</v>
      </c>
      <c r="L857" s="29">
        <f>IF(B857="Nữ",0,2)</f>
        <v>0</v>
      </c>
      <c r="M857" s="29">
        <f ca="1">IF(D857&lt;45,0,IF(D857&lt;=49,1,2))</f>
        <v>2</v>
      </c>
      <c r="N857" s="29">
        <f>IF(E857="Có",4,0)</f>
        <v>4</v>
      </c>
      <c r="O857" s="29">
        <f>IF(H857&lt;23,0,IF(H857&lt;27.5,3,5))</f>
        <v>3</v>
      </c>
      <c r="P857" s="29">
        <f>IF(OR(AND(B857="Nam",I857&gt;=90),AND(B857="Nữ",I857&gt;=80)),2,0)</f>
        <v>2</v>
      </c>
      <c r="Q857" s="29">
        <f>IF(OR(J857&gt;=140,K857&gt;=90),2,0)</f>
        <v>2</v>
      </c>
      <c r="R857" s="29">
        <f ca="1">SUM(L857:Q857)</f>
        <v>13</v>
      </c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5" t="s">
        <v>1393</v>
      </c>
      <c r="AE857" s="33"/>
      <c r="AF857" s="59" t="str">
        <f t="shared" si="40"/>
        <v>Không</v>
      </c>
      <c r="AG857" s="59" t="str">
        <f t="shared" si="41"/>
        <v>Không</v>
      </c>
      <c r="AH857" s="29" t="str">
        <f t="shared" ca="1" si="39"/>
        <v>Có</v>
      </c>
      <c r="AI857" s="29" t="str">
        <f ca="1">IF((R857)&gt;=6,"Có","Không")</f>
        <v>Có</v>
      </c>
      <c r="AJ857" s="29" t="str">
        <f>IF(OR(J857&gt;=140,K857&gt;=90),"Có","Không")</f>
        <v>Có</v>
      </c>
      <c r="AK857" s="5" t="s">
        <v>32</v>
      </c>
      <c r="AL857" s="32">
        <v>46142</v>
      </c>
      <c r="AM857" s="29" t="str">
        <f>"Tháng "&amp;MONTH(AL857)</f>
        <v>Tháng 4</v>
      </c>
      <c r="AN857" s="29" t="str">
        <f>LEFT(AK857,FIND(",",AK857)-1)</f>
        <v>Ấp Giồng Giữa B</v>
      </c>
    </row>
    <row r="858" spans="1:40" x14ac:dyDescent="0.25">
      <c r="A858" s="49" t="s">
        <v>679</v>
      </c>
      <c r="B858" s="5" t="s">
        <v>30</v>
      </c>
      <c r="C858" s="5" t="s">
        <v>93</v>
      </c>
      <c r="D858" s="29">
        <f ca="1">DATEDIF(C858,TODAY(),"Y")</f>
        <v>66</v>
      </c>
      <c r="E858" s="5" t="s">
        <v>26</v>
      </c>
      <c r="F858" s="30">
        <v>158</v>
      </c>
      <c r="G858" s="30">
        <v>68</v>
      </c>
      <c r="H858" s="31">
        <f>G858/((F858/100)*(F858/100))</f>
        <v>27.239224483255885</v>
      </c>
      <c r="I858" s="5">
        <v>87</v>
      </c>
      <c r="J858" s="30">
        <v>120</v>
      </c>
      <c r="K858" s="30">
        <v>80</v>
      </c>
      <c r="L858" s="29">
        <f>IF(B858="Nữ",0,2)</f>
        <v>2</v>
      </c>
      <c r="M858" s="29">
        <f ca="1">IF(D858&lt;45,0,IF(D858&lt;=49,1,2))</f>
        <v>2</v>
      </c>
      <c r="N858" s="29">
        <f>IF(E858="Có",4,0)</f>
        <v>0</v>
      </c>
      <c r="O858" s="29">
        <f>IF(H858&lt;23,0,IF(H858&lt;27.5,3,5))</f>
        <v>3</v>
      </c>
      <c r="P858" s="29">
        <f>IF(OR(AND(B858="Nam",I858&gt;=90),AND(B858="Nữ",I858&gt;=80)),2,0)</f>
        <v>0</v>
      </c>
      <c r="Q858" s="29">
        <f>IF(OR(J858&gt;=140,K858&gt;=90),2,0)</f>
        <v>0</v>
      </c>
      <c r="R858" s="29">
        <f ca="1">SUM(L858:Q858)</f>
        <v>7</v>
      </c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5" t="s">
        <v>1393</v>
      </c>
      <c r="AE858" s="33"/>
      <c r="AF858" s="59" t="str">
        <f t="shared" si="40"/>
        <v>Không</v>
      </c>
      <c r="AG858" s="59" t="str">
        <f t="shared" si="41"/>
        <v>Không</v>
      </c>
      <c r="AH858" s="29" t="str">
        <f t="shared" ca="1" si="39"/>
        <v>Có</v>
      </c>
      <c r="AI858" s="29" t="str">
        <f ca="1">IF((R858)&gt;=6,"Có","Không")</f>
        <v>Có</v>
      </c>
      <c r="AJ858" s="29" t="str">
        <f>IF(OR(J858&gt;=140,K858&gt;=90),"Có","Không")</f>
        <v>Không</v>
      </c>
      <c r="AK858" s="5" t="s">
        <v>335</v>
      </c>
      <c r="AL858" s="32">
        <v>46142</v>
      </c>
      <c r="AM858" s="29" t="str">
        <f>"Tháng "&amp;MONTH(AL858)</f>
        <v>Tháng 4</v>
      </c>
      <c r="AN858" s="29" t="str">
        <f>LEFT(AK858,FIND(",",AK858)-1)</f>
        <v>ấp Giồng Giữa B</v>
      </c>
    </row>
    <row r="859" spans="1:40" x14ac:dyDescent="0.25">
      <c r="A859" s="49" t="s">
        <v>680</v>
      </c>
      <c r="B859" s="5" t="s">
        <v>23</v>
      </c>
      <c r="C859" s="5" t="s">
        <v>76</v>
      </c>
      <c r="D859" s="29">
        <f ca="1">DATEDIF(C859,TODAY(),"Y")</f>
        <v>68</v>
      </c>
      <c r="E859" s="5" t="s">
        <v>26</v>
      </c>
      <c r="F859" s="30">
        <v>158</v>
      </c>
      <c r="G859" s="30">
        <v>58</v>
      </c>
      <c r="H859" s="31">
        <f>G859/((F859/100)*(F859/100))</f>
        <v>23.233456176894723</v>
      </c>
      <c r="I859" s="5">
        <v>92</v>
      </c>
      <c r="J859" s="30">
        <v>120</v>
      </c>
      <c r="K859" s="30">
        <v>80</v>
      </c>
      <c r="L859" s="29">
        <f>IF(B859="Nữ",0,2)</f>
        <v>0</v>
      </c>
      <c r="M859" s="29">
        <f ca="1">IF(D859&lt;45,0,IF(D859&lt;=49,1,2))</f>
        <v>2</v>
      </c>
      <c r="N859" s="29">
        <f>IF(E859="Có",4,0)</f>
        <v>0</v>
      </c>
      <c r="O859" s="29">
        <f>IF(H859&lt;23,0,IF(H859&lt;27.5,3,5))</f>
        <v>3</v>
      </c>
      <c r="P859" s="29">
        <f>IF(OR(AND(B859="Nam",I859&gt;=90),AND(B859="Nữ",I859&gt;=80)),2,0)</f>
        <v>2</v>
      </c>
      <c r="Q859" s="29">
        <f>IF(OR(J859&gt;=140,K859&gt;=90),2,0)</f>
        <v>0</v>
      </c>
      <c r="R859" s="29">
        <f ca="1">SUM(L859:Q859)</f>
        <v>7</v>
      </c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5" t="s">
        <v>1393</v>
      </c>
      <c r="AE859" s="33"/>
      <c r="AF859" s="59" t="str">
        <f t="shared" si="40"/>
        <v>Không</v>
      </c>
      <c r="AG859" s="59" t="str">
        <f t="shared" si="41"/>
        <v>Không</v>
      </c>
      <c r="AH859" s="29" t="str">
        <f t="shared" ca="1" si="39"/>
        <v>Có</v>
      </c>
      <c r="AI859" s="29" t="str">
        <f ca="1">IF((R859)&gt;=6,"Có","Không")</f>
        <v>Có</v>
      </c>
      <c r="AJ859" s="29" t="str">
        <f>IF(OR(J859&gt;=140,K859&gt;=90),"Có","Không")</f>
        <v>Không</v>
      </c>
      <c r="AK859" s="5" t="s">
        <v>72</v>
      </c>
      <c r="AL859" s="32">
        <v>46142</v>
      </c>
      <c r="AM859" s="29" t="str">
        <f>"Tháng "&amp;MONTH(AL859)</f>
        <v>Tháng 4</v>
      </c>
      <c r="AN859" s="29" t="str">
        <f>LEFT(AK859,FIND(",",AK859)-1)</f>
        <v>Ấp Giồng Giữa A</v>
      </c>
    </row>
    <row r="860" spans="1:40" x14ac:dyDescent="0.25">
      <c r="A860" s="49" t="s">
        <v>682</v>
      </c>
      <c r="B860" s="5" t="s">
        <v>30</v>
      </c>
      <c r="C860" s="5" t="s">
        <v>683</v>
      </c>
      <c r="D860" s="29">
        <f ca="1">DATEDIF(C860,TODAY(),"Y")</f>
        <v>88</v>
      </c>
      <c r="E860" s="5" t="s">
        <v>26</v>
      </c>
      <c r="F860" s="30">
        <v>169</v>
      </c>
      <c r="G860" s="30">
        <v>68</v>
      </c>
      <c r="H860" s="31">
        <f>G860/((F860/100)*(F860/100))</f>
        <v>23.808690171912751</v>
      </c>
      <c r="I860" s="5">
        <v>81</v>
      </c>
      <c r="J860" s="30">
        <v>130</v>
      </c>
      <c r="K860" s="30">
        <v>80</v>
      </c>
      <c r="L860" s="29">
        <f>IF(B860="Nữ",0,2)</f>
        <v>2</v>
      </c>
      <c r="M860" s="29">
        <f ca="1">IF(D860&lt;45,0,IF(D860&lt;=49,1,2))</f>
        <v>2</v>
      </c>
      <c r="N860" s="29">
        <f>IF(E860="Có",4,0)</f>
        <v>0</v>
      </c>
      <c r="O860" s="29">
        <f>IF(H860&lt;23,0,IF(H860&lt;27.5,3,5))</f>
        <v>3</v>
      </c>
      <c r="P860" s="29">
        <f>IF(OR(AND(B860="Nam",I860&gt;=90),AND(B860="Nữ",I860&gt;=80)),2,0)</f>
        <v>0</v>
      </c>
      <c r="Q860" s="29">
        <f>IF(OR(J860&gt;=140,K860&gt;=90),2,0)</f>
        <v>0</v>
      </c>
      <c r="R860" s="29">
        <f ca="1">SUM(L860:Q860)</f>
        <v>7</v>
      </c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5" t="s">
        <v>1393</v>
      </c>
      <c r="AE860" s="33"/>
      <c r="AF860" s="59" t="str">
        <f t="shared" si="40"/>
        <v>Không</v>
      </c>
      <c r="AG860" s="59" t="str">
        <f t="shared" si="41"/>
        <v>Không</v>
      </c>
      <c r="AH860" s="29" t="str">
        <f t="shared" ca="1" si="39"/>
        <v>Có</v>
      </c>
      <c r="AI860" s="29" t="str">
        <f ca="1">IF((R860)&gt;=6,"Có","Không")</f>
        <v>Có</v>
      </c>
      <c r="AJ860" s="29" t="str">
        <f>IF(OR(J860&gt;=140,K860&gt;=90),"Có","Không")</f>
        <v>Không</v>
      </c>
      <c r="AK860" s="5" t="s">
        <v>28</v>
      </c>
      <c r="AL860" s="32">
        <v>46142</v>
      </c>
      <c r="AM860" s="29" t="str">
        <f>"Tháng "&amp;MONTH(AL860)</f>
        <v>Tháng 4</v>
      </c>
      <c r="AN860" s="29" t="str">
        <f>LEFT(AK860,FIND(",",AK860)-1)</f>
        <v>Ấp Biển Đông A</v>
      </c>
    </row>
    <row r="861" spans="1:40" x14ac:dyDescent="0.25">
      <c r="A861" s="49" t="s">
        <v>686</v>
      </c>
      <c r="B861" s="5" t="s">
        <v>30</v>
      </c>
      <c r="C861" s="5" t="s">
        <v>163</v>
      </c>
      <c r="D861" s="29">
        <f ca="1">DATEDIF(C861,TODAY(),"Y")</f>
        <v>46</v>
      </c>
      <c r="E861" s="5" t="s">
        <v>26</v>
      </c>
      <c r="F861" s="30">
        <v>165</v>
      </c>
      <c r="G861" s="30">
        <v>100</v>
      </c>
      <c r="H861" s="31">
        <f>G861/((F861/100)*(F861/100))</f>
        <v>36.730945821854917</v>
      </c>
      <c r="I861" s="5">
        <v>73</v>
      </c>
      <c r="J861" s="30">
        <v>120</v>
      </c>
      <c r="K861" s="30">
        <v>70</v>
      </c>
      <c r="L861" s="29">
        <f>IF(B861="Nữ",0,2)</f>
        <v>2</v>
      </c>
      <c r="M861" s="29">
        <f ca="1">IF(D861&lt;45,0,IF(D861&lt;=49,1,2))</f>
        <v>1</v>
      </c>
      <c r="N861" s="29">
        <f>IF(E861="Có",4,0)</f>
        <v>0</v>
      </c>
      <c r="O861" s="29">
        <f>IF(H861&lt;23,0,IF(H861&lt;27.5,3,5))</f>
        <v>5</v>
      </c>
      <c r="P861" s="29">
        <f>IF(OR(AND(B861="Nam",I861&gt;=90),AND(B861="Nữ",I861&gt;=80)),2,0)</f>
        <v>0</v>
      </c>
      <c r="Q861" s="29">
        <f>IF(OR(J861&gt;=140,K861&gt;=90),2,0)</f>
        <v>0</v>
      </c>
      <c r="R861" s="29">
        <f ca="1">SUM(L861:Q861)</f>
        <v>8</v>
      </c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5" t="s">
        <v>1393</v>
      </c>
      <c r="AE861" s="33"/>
      <c r="AF861" s="59" t="str">
        <f t="shared" si="40"/>
        <v>Không</v>
      </c>
      <c r="AG861" s="59" t="str">
        <f t="shared" si="41"/>
        <v>Không</v>
      </c>
      <c r="AH861" s="29" t="str">
        <f t="shared" ca="1" si="39"/>
        <v>Có</v>
      </c>
      <c r="AI861" s="29" t="str">
        <f ca="1">IF((R861)&gt;=6,"Có","Không")</f>
        <v>Có</v>
      </c>
      <c r="AJ861" s="29" t="str">
        <f>IF(OR(J861&gt;=140,K861&gt;=90),"Có","Không")</f>
        <v>Không</v>
      </c>
      <c r="AK861" s="5" t="s">
        <v>346</v>
      </c>
      <c r="AL861" s="32">
        <v>46142</v>
      </c>
      <c r="AM861" s="29" t="str">
        <f>"Tháng "&amp;MONTH(AL861)</f>
        <v>Tháng 4</v>
      </c>
      <c r="AN861" s="29" t="str">
        <f>LEFT(AK861,FIND(",",AK861)-1)</f>
        <v>ấp Giồng giữa</v>
      </c>
    </row>
    <row r="862" spans="1:40" x14ac:dyDescent="0.25">
      <c r="A862" s="49" t="s">
        <v>687</v>
      </c>
      <c r="B862" s="5" t="s">
        <v>30</v>
      </c>
      <c r="C862" s="5" t="s">
        <v>47</v>
      </c>
      <c r="D862" s="29">
        <f ca="1">DATEDIF(C862,TODAY(),"Y")</f>
        <v>55</v>
      </c>
      <c r="E862" s="5" t="s">
        <v>26</v>
      </c>
      <c r="F862" s="30">
        <v>169</v>
      </c>
      <c r="G862" s="30">
        <v>68</v>
      </c>
      <c r="H862" s="31">
        <f>G862/((F862/100)*(F862/100))</f>
        <v>23.808690171912751</v>
      </c>
      <c r="I862" s="5">
        <v>75</v>
      </c>
      <c r="J862" s="30">
        <v>150</v>
      </c>
      <c r="K862" s="30">
        <v>80</v>
      </c>
      <c r="L862" s="29">
        <f>IF(B862="Nữ",0,2)</f>
        <v>2</v>
      </c>
      <c r="M862" s="29">
        <f ca="1">IF(D862&lt;45,0,IF(D862&lt;=49,1,2))</f>
        <v>2</v>
      </c>
      <c r="N862" s="29">
        <f>IF(E862="Có",4,0)</f>
        <v>0</v>
      </c>
      <c r="O862" s="29">
        <f>IF(H862&lt;23,0,IF(H862&lt;27.5,3,5))</f>
        <v>3</v>
      </c>
      <c r="P862" s="29">
        <f>IF(OR(AND(B862="Nam",I862&gt;=90),AND(B862="Nữ",I862&gt;=80)),2,0)</f>
        <v>0</v>
      </c>
      <c r="Q862" s="29">
        <f>IF(OR(J862&gt;=140,K862&gt;=90),2,0)</f>
        <v>2</v>
      </c>
      <c r="R862" s="29">
        <f ca="1">SUM(L862:Q862)</f>
        <v>9</v>
      </c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5" t="s">
        <v>1393</v>
      </c>
      <c r="AE862" s="33"/>
      <c r="AF862" s="59" t="str">
        <f t="shared" si="40"/>
        <v>Không</v>
      </c>
      <c r="AG862" s="59" t="str">
        <f t="shared" si="41"/>
        <v>Không</v>
      </c>
      <c r="AH862" s="29" t="str">
        <f t="shared" ca="1" si="39"/>
        <v>Có</v>
      </c>
      <c r="AI862" s="29" t="str">
        <f ca="1">IF((R862)&gt;=6,"Có","Không")</f>
        <v>Có</v>
      </c>
      <c r="AJ862" s="29" t="str">
        <f>IF(OR(J862&gt;=140,K862&gt;=90),"Có","Không")</f>
        <v>Có</v>
      </c>
      <c r="AK862" s="5" t="s">
        <v>688</v>
      </c>
      <c r="AL862" s="32">
        <v>46142</v>
      </c>
      <c r="AM862" s="29" t="str">
        <f>"Tháng "&amp;MONTH(AL862)</f>
        <v>Tháng 4</v>
      </c>
      <c r="AN862" s="29" t="str">
        <f>LEFT(AK862,FIND(",",AK862)-1)</f>
        <v>ấp Xẻo Trâm</v>
      </c>
    </row>
    <row r="863" spans="1:40" x14ac:dyDescent="0.25">
      <c r="A863" s="49" t="s">
        <v>689</v>
      </c>
      <c r="B863" s="5" t="s">
        <v>23</v>
      </c>
      <c r="C863" s="5" t="s">
        <v>84</v>
      </c>
      <c r="D863" s="29">
        <f ca="1">DATEDIF(C863,TODAY(),"Y")</f>
        <v>69</v>
      </c>
      <c r="E863" s="5" t="s">
        <v>25</v>
      </c>
      <c r="F863" s="30">
        <v>158</v>
      </c>
      <c r="G863" s="30">
        <v>50</v>
      </c>
      <c r="H863" s="31">
        <f>G863/((F863/100)*(F863/100))</f>
        <v>20.028841531805796</v>
      </c>
      <c r="I863" s="5">
        <v>88</v>
      </c>
      <c r="J863" s="30">
        <v>120</v>
      </c>
      <c r="K863" s="30">
        <v>70</v>
      </c>
      <c r="L863" s="29">
        <f>IF(B863="Nữ",0,2)</f>
        <v>0</v>
      </c>
      <c r="M863" s="29">
        <f ca="1">IF(D863&lt;45,0,IF(D863&lt;=49,1,2))</f>
        <v>2</v>
      </c>
      <c r="N863" s="29">
        <f>IF(E863="Có",4,0)</f>
        <v>4</v>
      </c>
      <c r="O863" s="29">
        <f>IF(H863&lt;23,0,IF(H863&lt;27.5,3,5))</f>
        <v>0</v>
      </c>
      <c r="P863" s="29">
        <f>IF(OR(AND(B863="Nam",I863&gt;=90),AND(B863="Nữ",I863&gt;=80)),2,0)</f>
        <v>2</v>
      </c>
      <c r="Q863" s="29">
        <f>IF(OR(J863&gt;=140,K863&gt;=90),2,0)</f>
        <v>0</v>
      </c>
      <c r="R863" s="29">
        <f ca="1">SUM(L863:Q863)</f>
        <v>8</v>
      </c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5" t="s">
        <v>1393</v>
      </c>
      <c r="AE863" s="33"/>
      <c r="AF863" s="59" t="str">
        <f t="shared" si="40"/>
        <v>Không</v>
      </c>
      <c r="AG863" s="59" t="str">
        <f t="shared" si="41"/>
        <v>Không</v>
      </c>
      <c r="AH863" s="29" t="str">
        <f t="shared" ca="1" si="39"/>
        <v>Có</v>
      </c>
      <c r="AI863" s="29" t="str">
        <f ca="1">IF((R863)&gt;=6,"Có","Không")</f>
        <v>Có</v>
      </c>
      <c r="AJ863" s="29" t="str">
        <f>IF(OR(J863&gt;=140,K863&gt;=90),"Có","Không")</f>
        <v>Không</v>
      </c>
      <c r="AK863" s="5" t="s">
        <v>91</v>
      </c>
      <c r="AL863" s="32">
        <v>46142</v>
      </c>
      <c r="AM863" s="29" t="str">
        <f>"Tháng "&amp;MONTH(AL863)</f>
        <v>Tháng 4</v>
      </c>
      <c r="AN863" s="29" t="str">
        <f>LEFT(AK863,FIND(",",AK863)-1)</f>
        <v>Ấp Giồng Giữa</v>
      </c>
    </row>
    <row r="864" spans="1:40" x14ac:dyDescent="0.25">
      <c r="A864" s="49" t="s">
        <v>690</v>
      </c>
      <c r="B864" s="5" t="s">
        <v>30</v>
      </c>
      <c r="C864" s="5" t="s">
        <v>53</v>
      </c>
      <c r="D864" s="29">
        <f ca="1">DATEDIF(C864,TODAY(),"Y")</f>
        <v>72</v>
      </c>
      <c r="E864" s="5" t="s">
        <v>26</v>
      </c>
      <c r="F864" s="30">
        <v>160</v>
      </c>
      <c r="G864" s="30">
        <v>55</v>
      </c>
      <c r="H864" s="31">
        <f>G864/((F864/100)*(F864/100))</f>
        <v>21.484374999999996</v>
      </c>
      <c r="I864" s="5">
        <v>83</v>
      </c>
      <c r="J864" s="30">
        <v>120</v>
      </c>
      <c r="K864" s="30">
        <v>70</v>
      </c>
      <c r="L864" s="29">
        <f>IF(B864="Nữ",0,2)</f>
        <v>2</v>
      </c>
      <c r="M864" s="29">
        <f ca="1">IF(D864&lt;45,0,IF(D864&lt;=49,1,2))</f>
        <v>2</v>
      </c>
      <c r="N864" s="29">
        <f>IF(E864="Có",4,0)</f>
        <v>0</v>
      </c>
      <c r="O864" s="29">
        <f>IF(H864&lt;23,0,IF(H864&lt;27.5,3,5))</f>
        <v>0</v>
      </c>
      <c r="P864" s="29">
        <f>IF(OR(AND(B864="Nam",I864&gt;=90),AND(B864="Nữ",I864&gt;=80)),2,0)</f>
        <v>0</v>
      </c>
      <c r="Q864" s="29">
        <f>IF(OR(J864&gt;=140,K864&gt;=90),2,0)</f>
        <v>0</v>
      </c>
      <c r="R864" s="29">
        <f ca="1">SUM(L864:Q864)</f>
        <v>4</v>
      </c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5" t="s">
        <v>1393</v>
      </c>
      <c r="AE864" s="33"/>
      <c r="AF864" s="59" t="str">
        <f t="shared" si="40"/>
        <v>Không</v>
      </c>
      <c r="AG864" s="59" t="str">
        <f t="shared" si="41"/>
        <v>Không</v>
      </c>
      <c r="AH864" s="29" t="str">
        <f t="shared" ca="1" si="39"/>
        <v>Không</v>
      </c>
      <c r="AI864" s="29" t="str">
        <f ca="1">IF((R864)&gt;=6,"Có","Không")</f>
        <v>Không</v>
      </c>
      <c r="AJ864" s="29" t="str">
        <f>IF(OR(J864&gt;=140,K864&gt;=90),"Có","Không")</f>
        <v>Không</v>
      </c>
      <c r="AK864" s="5" t="s">
        <v>91</v>
      </c>
      <c r="AL864" s="32">
        <v>46142</v>
      </c>
      <c r="AM864" s="29" t="str">
        <f>"Tháng "&amp;MONTH(AL864)</f>
        <v>Tháng 4</v>
      </c>
      <c r="AN864" s="29" t="str">
        <f>LEFT(AK864,FIND(",",AK864)-1)</f>
        <v>Ấp Giồng Giữa</v>
      </c>
    </row>
    <row r="865" spans="1:40" x14ac:dyDescent="0.25">
      <c r="A865" s="49" t="s">
        <v>691</v>
      </c>
      <c r="B865" s="5" t="s">
        <v>23</v>
      </c>
      <c r="C865" s="5" t="s">
        <v>105</v>
      </c>
      <c r="D865" s="29">
        <f ca="1">DATEDIF(C865,TODAY(),"Y")</f>
        <v>60</v>
      </c>
      <c r="E865" s="5" t="s">
        <v>26</v>
      </c>
      <c r="F865" s="30">
        <v>158</v>
      </c>
      <c r="G865" s="30">
        <v>58</v>
      </c>
      <c r="H865" s="31">
        <f>G865/((F865/100)*(F865/100))</f>
        <v>23.233456176894723</v>
      </c>
      <c r="I865" s="5">
        <v>83</v>
      </c>
      <c r="J865" s="30">
        <v>140</v>
      </c>
      <c r="K865" s="30">
        <v>80</v>
      </c>
      <c r="L865" s="29">
        <f>IF(B865="Nữ",0,2)</f>
        <v>0</v>
      </c>
      <c r="M865" s="29">
        <f ca="1">IF(D865&lt;45,0,IF(D865&lt;=49,1,2))</f>
        <v>2</v>
      </c>
      <c r="N865" s="29">
        <f>IF(E865="Có",4,0)</f>
        <v>0</v>
      </c>
      <c r="O865" s="29">
        <f>IF(H865&lt;23,0,IF(H865&lt;27.5,3,5))</f>
        <v>3</v>
      </c>
      <c r="P865" s="29">
        <f>IF(OR(AND(B865="Nam",I865&gt;=90),AND(B865="Nữ",I865&gt;=80)),2,0)</f>
        <v>2</v>
      </c>
      <c r="Q865" s="29">
        <f>IF(OR(J865&gt;=140,K865&gt;=90),2,0)</f>
        <v>2</v>
      </c>
      <c r="R865" s="29">
        <f ca="1">SUM(L865:Q865)</f>
        <v>9</v>
      </c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5" t="s">
        <v>1393</v>
      </c>
      <c r="AE865" s="33"/>
      <c r="AF865" s="59" t="str">
        <f t="shared" si="40"/>
        <v>Không</v>
      </c>
      <c r="AG865" s="59" t="str">
        <f t="shared" si="41"/>
        <v>Không</v>
      </c>
      <c r="AH865" s="29" t="str">
        <f t="shared" ca="1" si="39"/>
        <v>Có</v>
      </c>
      <c r="AI865" s="29" t="str">
        <f ca="1">IF((R865)&gt;=6,"Có","Không")</f>
        <v>Có</v>
      </c>
      <c r="AJ865" s="29" t="str">
        <f>IF(OR(J865&gt;=140,K865&gt;=90),"Có","Không")</f>
        <v>Có</v>
      </c>
      <c r="AK865" s="5" t="s">
        <v>692</v>
      </c>
      <c r="AL865" s="32">
        <v>46142</v>
      </c>
      <c r="AM865" s="29" t="str">
        <f>"Tháng "&amp;MONTH(AL865)</f>
        <v>Tháng 4</v>
      </c>
      <c r="AN865" s="29" t="str">
        <f>LEFT(AK865,FIND(",",AK865)-1)</f>
        <v>khóm 3</v>
      </c>
    </row>
    <row r="866" spans="1:40" x14ac:dyDescent="0.25">
      <c r="A866" s="49" t="s">
        <v>694</v>
      </c>
      <c r="B866" s="5" t="s">
        <v>30</v>
      </c>
      <c r="C866" s="5" t="s">
        <v>90</v>
      </c>
      <c r="D866" s="29">
        <f ca="1">DATEDIF(C866,TODAY(),"Y")</f>
        <v>54</v>
      </c>
      <c r="E866" s="5" t="s">
        <v>26</v>
      </c>
      <c r="F866" s="30">
        <v>169</v>
      </c>
      <c r="G866" s="30">
        <v>68</v>
      </c>
      <c r="H866" s="31">
        <f>G866/((F866/100)*(F866/100))</f>
        <v>23.808690171912751</v>
      </c>
      <c r="I866" s="5">
        <v>81</v>
      </c>
      <c r="J866" s="30">
        <v>140</v>
      </c>
      <c r="K866" s="30">
        <v>80</v>
      </c>
      <c r="L866" s="29">
        <f>IF(B866="Nữ",0,2)</f>
        <v>2</v>
      </c>
      <c r="M866" s="29">
        <f ca="1">IF(D866&lt;45,0,IF(D866&lt;=49,1,2))</f>
        <v>2</v>
      </c>
      <c r="N866" s="29">
        <f>IF(E866="Có",4,0)</f>
        <v>0</v>
      </c>
      <c r="O866" s="29">
        <f>IF(H866&lt;23,0,IF(H866&lt;27.5,3,5))</f>
        <v>3</v>
      </c>
      <c r="P866" s="29">
        <f>IF(OR(AND(B866="Nam",I866&gt;=90),AND(B866="Nữ",I866&gt;=80)),2,0)</f>
        <v>0</v>
      </c>
      <c r="Q866" s="29">
        <f>IF(OR(J866&gt;=140,K866&gt;=90),2,0)</f>
        <v>2</v>
      </c>
      <c r="R866" s="29">
        <f ca="1">SUM(L866:Q866)</f>
        <v>9</v>
      </c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5" t="s">
        <v>1393</v>
      </c>
      <c r="AE866" s="33"/>
      <c r="AF866" s="59" t="str">
        <f t="shared" si="40"/>
        <v>Không</v>
      </c>
      <c r="AG866" s="59" t="str">
        <f t="shared" si="41"/>
        <v>Không</v>
      </c>
      <c r="AH866" s="29" t="str">
        <f t="shared" ca="1" si="39"/>
        <v>Có</v>
      </c>
      <c r="AI866" s="29" t="str">
        <f ca="1">IF((R866)&gt;=6,"Có","Không")</f>
        <v>Có</v>
      </c>
      <c r="AJ866" s="29" t="str">
        <f>IF(OR(J866&gt;=140,K866&gt;=90),"Có","Không")</f>
        <v>Có</v>
      </c>
      <c r="AK866" s="5" t="s">
        <v>695</v>
      </c>
      <c r="AL866" s="32">
        <v>46142</v>
      </c>
      <c r="AM866" s="29" t="str">
        <f>"Tháng "&amp;MONTH(AL866)</f>
        <v>Tháng 4</v>
      </c>
      <c r="AN866" s="29" t="str">
        <f>LEFT(AK866,FIND(",",AK866)-1)</f>
        <v>Ấp Kim Cấu</v>
      </c>
    </row>
    <row r="867" spans="1:40" x14ac:dyDescent="0.25">
      <c r="A867" s="49" t="s">
        <v>698</v>
      </c>
      <c r="B867" s="5" t="s">
        <v>30</v>
      </c>
      <c r="C867" s="5" t="s">
        <v>699</v>
      </c>
      <c r="D867" s="29">
        <f ca="1">DATEDIF(C867,TODAY(),"Y")</f>
        <v>84</v>
      </c>
      <c r="E867" s="5" t="s">
        <v>26</v>
      </c>
      <c r="F867" s="30">
        <v>170</v>
      </c>
      <c r="G867" s="30">
        <v>59</v>
      </c>
      <c r="H867" s="31">
        <f>G867/((F867/100)*(F867/100))</f>
        <v>20.415224913494811</v>
      </c>
      <c r="I867" s="5">
        <v>100</v>
      </c>
      <c r="J867" s="30">
        <v>120</v>
      </c>
      <c r="K867" s="30">
        <v>80</v>
      </c>
      <c r="L867" s="29">
        <f>IF(B867="Nữ",0,2)</f>
        <v>2</v>
      </c>
      <c r="M867" s="29">
        <f ca="1">IF(D867&lt;45,0,IF(D867&lt;=49,1,2))</f>
        <v>2</v>
      </c>
      <c r="N867" s="29">
        <f>IF(E867="Có",4,0)</f>
        <v>0</v>
      </c>
      <c r="O867" s="29">
        <f>IF(H867&lt;23,0,IF(H867&lt;27.5,3,5))</f>
        <v>0</v>
      </c>
      <c r="P867" s="29">
        <f>IF(OR(AND(B867="Nam",I867&gt;=90),AND(B867="Nữ",I867&gt;=80)),2,0)</f>
        <v>2</v>
      </c>
      <c r="Q867" s="29">
        <f>IF(OR(J867&gt;=140,K867&gt;=90),2,0)</f>
        <v>0</v>
      </c>
      <c r="R867" s="29">
        <f ca="1">SUM(L867:Q867)</f>
        <v>6</v>
      </c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5" t="s">
        <v>1393</v>
      </c>
      <c r="AE867" s="33"/>
      <c r="AF867" s="59" t="str">
        <f t="shared" si="40"/>
        <v>Không</v>
      </c>
      <c r="AG867" s="59" t="str">
        <f t="shared" si="41"/>
        <v>Không</v>
      </c>
      <c r="AH867" s="29" t="str">
        <f t="shared" ca="1" si="39"/>
        <v>Có</v>
      </c>
      <c r="AI867" s="29" t="str">
        <f ca="1">IF((R867)&gt;=6,"Có","Không")</f>
        <v>Có</v>
      </c>
      <c r="AJ867" s="29" t="str">
        <f>IF(OR(J867&gt;=140,K867&gt;=90),"Có","Không")</f>
        <v>Không</v>
      </c>
      <c r="AK867" s="5" t="s">
        <v>51</v>
      </c>
      <c r="AL867" s="32">
        <v>46142</v>
      </c>
      <c r="AM867" s="29" t="str">
        <f>"Tháng "&amp;MONTH(AL867)</f>
        <v>Tháng 4</v>
      </c>
      <c r="AN867" s="29" t="str">
        <f>LEFT(AK867,FIND(",",AK867)-1)</f>
        <v>Phường Hiệp Thành</v>
      </c>
    </row>
    <row r="868" spans="1:40" x14ac:dyDescent="0.25">
      <c r="A868" s="49" t="s">
        <v>709</v>
      </c>
      <c r="B868" s="5" t="s">
        <v>23</v>
      </c>
      <c r="C868" s="5" t="s">
        <v>133</v>
      </c>
      <c r="D868" s="29">
        <f ca="1">DATEDIF(C868,TODAY(),"Y")</f>
        <v>56</v>
      </c>
      <c r="E868" s="5" t="s">
        <v>26</v>
      </c>
      <c r="F868" s="30">
        <v>158</v>
      </c>
      <c r="G868" s="30">
        <v>58</v>
      </c>
      <c r="H868" s="31">
        <f>G868/((F868/100)*(F868/100))</f>
        <v>23.233456176894723</v>
      </c>
      <c r="I868" s="5">
        <v>65</v>
      </c>
      <c r="J868" s="30">
        <v>130</v>
      </c>
      <c r="K868" s="30">
        <v>80</v>
      </c>
      <c r="L868" s="29">
        <f>IF(B868="Nữ",0,2)</f>
        <v>0</v>
      </c>
      <c r="M868" s="29">
        <f ca="1">IF(D868&lt;45,0,IF(D868&lt;=49,1,2))</f>
        <v>2</v>
      </c>
      <c r="N868" s="29">
        <f>IF(E868="Có",4,0)</f>
        <v>0</v>
      </c>
      <c r="O868" s="29">
        <f>IF(H868&lt;23,0,IF(H868&lt;27.5,3,5))</f>
        <v>3</v>
      </c>
      <c r="P868" s="29">
        <f>IF(OR(AND(B868="Nam",I868&gt;=90),AND(B868="Nữ",I868&gt;=80)),2,0)</f>
        <v>0</v>
      </c>
      <c r="Q868" s="29">
        <f>IF(OR(J868&gt;=140,K868&gt;=90),2,0)</f>
        <v>0</v>
      </c>
      <c r="R868" s="29">
        <f ca="1">SUM(L868:Q868)</f>
        <v>5</v>
      </c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5" t="s">
        <v>1393</v>
      </c>
      <c r="AE868" s="33"/>
      <c r="AF868" s="59" t="str">
        <f t="shared" si="40"/>
        <v>Không</v>
      </c>
      <c r="AG868" s="59" t="str">
        <f t="shared" si="41"/>
        <v>Không</v>
      </c>
      <c r="AH868" s="29" t="str">
        <f t="shared" ca="1" si="39"/>
        <v>Không</v>
      </c>
      <c r="AI868" s="29" t="str">
        <f ca="1">IF((R868)&gt;=6,"Có","Không")</f>
        <v>Không</v>
      </c>
      <c r="AJ868" s="29" t="str">
        <f>IF(OR(J868&gt;=140,K868&gt;=90),"Có","Không")</f>
        <v>Không</v>
      </c>
      <c r="AK868" s="5" t="s">
        <v>70</v>
      </c>
      <c r="AL868" s="32">
        <v>46142</v>
      </c>
      <c r="AM868" s="29" t="str">
        <f>"Tháng "&amp;MONTH(AL868)</f>
        <v>Tháng 4</v>
      </c>
      <c r="AN868" s="29" t="str">
        <f>LEFT(AK868,FIND(",",AK868)-1)</f>
        <v>Ấp Biển Tây A</v>
      </c>
    </row>
    <row r="869" spans="1:40" x14ac:dyDescent="0.25">
      <c r="A869" s="49" t="s">
        <v>710</v>
      </c>
      <c r="B869" s="5" t="s">
        <v>23</v>
      </c>
      <c r="C869" s="5" t="s">
        <v>67</v>
      </c>
      <c r="D869" s="29">
        <f ca="1">DATEDIF(C869,TODAY(),"Y")</f>
        <v>48</v>
      </c>
      <c r="E869" s="5" t="s">
        <v>26</v>
      </c>
      <c r="F869" s="30">
        <v>160</v>
      </c>
      <c r="G869" s="30">
        <v>65</v>
      </c>
      <c r="H869" s="31">
        <f>G869/((F869/100)*(F869/100))</f>
        <v>25.390624999999996</v>
      </c>
      <c r="I869" s="5">
        <v>83</v>
      </c>
      <c r="J869" s="30">
        <v>120</v>
      </c>
      <c r="K869" s="30">
        <v>80</v>
      </c>
      <c r="L869" s="29">
        <f>IF(B869="Nữ",0,2)</f>
        <v>0</v>
      </c>
      <c r="M869" s="29">
        <f ca="1">IF(D869&lt;45,0,IF(D869&lt;=49,1,2))</f>
        <v>1</v>
      </c>
      <c r="N869" s="29">
        <f>IF(E869="Có",4,0)</f>
        <v>0</v>
      </c>
      <c r="O869" s="29">
        <f>IF(H869&lt;23,0,IF(H869&lt;27.5,3,5))</f>
        <v>3</v>
      </c>
      <c r="P869" s="29">
        <f>IF(OR(AND(B869="Nam",I869&gt;=90),AND(B869="Nữ",I869&gt;=80)),2,0)</f>
        <v>2</v>
      </c>
      <c r="Q869" s="29">
        <f>IF(OR(J869&gt;=140,K869&gt;=90),2,0)</f>
        <v>0</v>
      </c>
      <c r="R869" s="29">
        <f ca="1">SUM(L869:Q869)</f>
        <v>6</v>
      </c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5" t="s">
        <v>1393</v>
      </c>
      <c r="AE869" s="33"/>
      <c r="AF869" s="59" t="str">
        <f t="shared" si="40"/>
        <v>Không</v>
      </c>
      <c r="AG869" s="59" t="str">
        <f t="shared" si="41"/>
        <v>Không</v>
      </c>
      <c r="AH869" s="29" t="str">
        <f t="shared" ca="1" si="39"/>
        <v>Có</v>
      </c>
      <c r="AI869" s="29" t="str">
        <f ca="1">IF((R869)&gt;=6,"Có","Không")</f>
        <v>Có</v>
      </c>
      <c r="AJ869" s="29" t="str">
        <f>IF(OR(J869&gt;=140,K869&gt;=90),"Có","Không")</f>
        <v>Không</v>
      </c>
      <c r="AK869" s="5" t="s">
        <v>711</v>
      </c>
      <c r="AL869" s="32">
        <v>46142</v>
      </c>
      <c r="AM869" s="29" t="str">
        <f>"Tháng "&amp;MONTH(AL869)</f>
        <v>Tháng 4</v>
      </c>
      <c r="AN869" s="29" t="str">
        <f>LEFT(AK869,FIND(",",AK869)-1)</f>
        <v>khóm giồng nhãn A</v>
      </c>
    </row>
    <row r="870" spans="1:40" x14ac:dyDescent="0.25">
      <c r="A870" s="49" t="s">
        <v>712</v>
      </c>
      <c r="B870" s="5" t="s">
        <v>30</v>
      </c>
      <c r="C870" s="5" t="s">
        <v>146</v>
      </c>
      <c r="D870" s="29">
        <f ca="1">DATEDIF(C870,TODAY(),"Y")</f>
        <v>52</v>
      </c>
      <c r="E870" s="5" t="s">
        <v>26</v>
      </c>
      <c r="F870" s="30">
        <v>169</v>
      </c>
      <c r="G870" s="30">
        <v>68</v>
      </c>
      <c r="H870" s="31">
        <f>G870/((F870/100)*(F870/100))</f>
        <v>23.808690171912751</v>
      </c>
      <c r="I870" s="5">
        <v>72</v>
      </c>
      <c r="J870" s="30">
        <v>150</v>
      </c>
      <c r="K870" s="30">
        <v>80</v>
      </c>
      <c r="L870" s="29">
        <f>IF(B870="Nữ",0,2)</f>
        <v>2</v>
      </c>
      <c r="M870" s="29">
        <f ca="1">IF(D870&lt;45,0,IF(D870&lt;=49,1,2))</f>
        <v>2</v>
      </c>
      <c r="N870" s="29">
        <f>IF(E870="Có",4,0)</f>
        <v>0</v>
      </c>
      <c r="O870" s="29">
        <f>IF(H870&lt;23,0,IF(H870&lt;27.5,3,5))</f>
        <v>3</v>
      </c>
      <c r="P870" s="29">
        <f>IF(OR(AND(B870="Nam",I870&gt;=90),AND(B870="Nữ",I870&gt;=80)),2,0)</f>
        <v>0</v>
      </c>
      <c r="Q870" s="29">
        <f>IF(OR(J870&gt;=140,K870&gt;=90),2,0)</f>
        <v>2</v>
      </c>
      <c r="R870" s="29">
        <f ca="1">SUM(L870:Q870)</f>
        <v>9</v>
      </c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5" t="s">
        <v>1393</v>
      </c>
      <c r="AE870" s="33"/>
      <c r="AF870" s="59" t="str">
        <f t="shared" si="40"/>
        <v>Không</v>
      </c>
      <c r="AG870" s="59" t="str">
        <f t="shared" si="41"/>
        <v>Không</v>
      </c>
      <c r="AH870" s="29" t="str">
        <f t="shared" ca="1" si="39"/>
        <v>Có</v>
      </c>
      <c r="AI870" s="29" t="str">
        <f ca="1">IF((R870)&gt;=6,"Có","Không")</f>
        <v>Có</v>
      </c>
      <c r="AJ870" s="29" t="str">
        <f>IF(OR(J870&gt;=140,K870&gt;=90),"Có","Không")</f>
        <v>Có</v>
      </c>
      <c r="AK870" s="5" t="s">
        <v>70</v>
      </c>
      <c r="AL870" s="32">
        <v>46142</v>
      </c>
      <c r="AM870" s="29" t="str">
        <f>"Tháng "&amp;MONTH(AL870)</f>
        <v>Tháng 4</v>
      </c>
      <c r="AN870" s="29" t="str">
        <f>LEFT(AK870,FIND(",",AK870)-1)</f>
        <v>Ấp Biển Tây A</v>
      </c>
    </row>
    <row r="871" spans="1:40" x14ac:dyDescent="0.25">
      <c r="A871" s="49" t="s">
        <v>717</v>
      </c>
      <c r="B871" s="5" t="s">
        <v>30</v>
      </c>
      <c r="C871" s="5" t="s">
        <v>42</v>
      </c>
      <c r="D871" s="29">
        <f ca="1">DATEDIF(C871,TODAY(),"Y")</f>
        <v>59</v>
      </c>
      <c r="E871" s="5" t="s">
        <v>26</v>
      </c>
      <c r="F871" s="30">
        <v>169</v>
      </c>
      <c r="G871" s="30">
        <v>78</v>
      </c>
      <c r="H871" s="31">
        <f>G871/((F871/100)*(F871/100))</f>
        <v>27.309968138370508</v>
      </c>
      <c r="I871" s="5">
        <v>96</v>
      </c>
      <c r="J871" s="30">
        <v>160</v>
      </c>
      <c r="K871" s="30">
        <v>90</v>
      </c>
      <c r="L871" s="29">
        <f>IF(B871="Nữ",0,2)</f>
        <v>2</v>
      </c>
      <c r="M871" s="29">
        <f ca="1">IF(D871&lt;45,0,IF(D871&lt;=49,1,2))</f>
        <v>2</v>
      </c>
      <c r="N871" s="29">
        <f>IF(E871="Có",4,0)</f>
        <v>0</v>
      </c>
      <c r="O871" s="29">
        <f>IF(H871&lt;23,0,IF(H871&lt;27.5,3,5))</f>
        <v>3</v>
      </c>
      <c r="P871" s="29">
        <f>IF(OR(AND(B871="Nam",I871&gt;=90),AND(B871="Nữ",I871&gt;=80)),2,0)</f>
        <v>2</v>
      </c>
      <c r="Q871" s="29">
        <f>IF(OR(J871&gt;=140,K871&gt;=90),2,0)</f>
        <v>2</v>
      </c>
      <c r="R871" s="29">
        <f ca="1">SUM(L871:Q871)</f>
        <v>11</v>
      </c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5" t="s">
        <v>1393</v>
      </c>
      <c r="AE871" s="33"/>
      <c r="AF871" s="59" t="str">
        <f t="shared" si="40"/>
        <v>Không</v>
      </c>
      <c r="AG871" s="59" t="str">
        <f t="shared" si="41"/>
        <v>Không</v>
      </c>
      <c r="AH871" s="29" t="str">
        <f t="shared" ca="1" si="39"/>
        <v>Có</v>
      </c>
      <c r="AI871" s="29" t="str">
        <f ca="1">IF((R871)&gt;=6,"Có","Không")</f>
        <v>Có</v>
      </c>
      <c r="AJ871" s="29" t="str">
        <f>IF(OR(J871&gt;=140,K871&gt;=90),"Có","Không")</f>
        <v>Có</v>
      </c>
      <c r="AK871" s="5" t="s">
        <v>509</v>
      </c>
      <c r="AL871" s="32">
        <v>46142</v>
      </c>
      <c r="AM871" s="29" t="str">
        <f>"Tháng "&amp;MONTH(AL871)</f>
        <v>Tháng 4</v>
      </c>
      <c r="AN871" s="29" t="str">
        <f>LEFT(AK871,FIND(",",AK871)-1)</f>
        <v>Khóm Nhà Mát</v>
      </c>
    </row>
    <row r="872" spans="1:40" x14ac:dyDescent="0.25">
      <c r="A872" s="49" t="s">
        <v>722</v>
      </c>
      <c r="B872" s="5" t="s">
        <v>30</v>
      </c>
      <c r="C872" s="5" t="s">
        <v>105</v>
      </c>
      <c r="D872" s="29">
        <f ca="1">DATEDIF(C872,TODAY(),"Y")</f>
        <v>60</v>
      </c>
      <c r="E872" s="5" t="s">
        <v>26</v>
      </c>
      <c r="F872" s="30">
        <v>169</v>
      </c>
      <c r="G872" s="30">
        <v>68</v>
      </c>
      <c r="H872" s="31">
        <f>G872/((F872/100)*(F872/100))</f>
        <v>23.808690171912751</v>
      </c>
      <c r="I872" s="5">
        <v>82</v>
      </c>
      <c r="J872" s="30">
        <v>120</v>
      </c>
      <c r="K872" s="30">
        <v>80</v>
      </c>
      <c r="L872" s="29">
        <f>IF(B872="Nữ",0,2)</f>
        <v>2</v>
      </c>
      <c r="M872" s="29">
        <f ca="1">IF(D872&lt;45,0,IF(D872&lt;=49,1,2))</f>
        <v>2</v>
      </c>
      <c r="N872" s="29">
        <f>IF(E872="Có",4,0)</f>
        <v>0</v>
      </c>
      <c r="O872" s="29">
        <f>IF(H872&lt;23,0,IF(H872&lt;27.5,3,5))</f>
        <v>3</v>
      </c>
      <c r="P872" s="29">
        <f>IF(OR(AND(B872="Nam",I872&gt;=90),AND(B872="Nữ",I872&gt;=80)),2,0)</f>
        <v>0</v>
      </c>
      <c r="Q872" s="29">
        <f>IF(OR(J872&gt;=140,K872&gt;=90),2,0)</f>
        <v>0</v>
      </c>
      <c r="R872" s="29">
        <f ca="1">SUM(L872:Q872)</f>
        <v>7</v>
      </c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5" t="s">
        <v>1393</v>
      </c>
      <c r="AE872" s="33"/>
      <c r="AF872" s="59" t="str">
        <f t="shared" si="40"/>
        <v>Không</v>
      </c>
      <c r="AG872" s="59" t="str">
        <f t="shared" si="41"/>
        <v>Không</v>
      </c>
      <c r="AH872" s="29" t="str">
        <f t="shared" ca="1" si="39"/>
        <v>Có</v>
      </c>
      <c r="AI872" s="29" t="str">
        <f ca="1">IF((R872)&gt;=6,"Có","Không")</f>
        <v>Có</v>
      </c>
      <c r="AJ872" s="29" t="str">
        <f>IF(OR(J872&gt;=140,K872&gt;=90),"Có","Không")</f>
        <v>Không</v>
      </c>
      <c r="AK872" s="5" t="s">
        <v>234</v>
      </c>
      <c r="AL872" s="32">
        <v>46142</v>
      </c>
      <c r="AM872" s="29" t="str">
        <f>"Tháng "&amp;MONTH(AL872)</f>
        <v>Tháng 4</v>
      </c>
      <c r="AN872" s="29" t="str">
        <f>LEFT(AK872,FIND(",",AK872)-1)</f>
        <v>ấp Biển Đông B</v>
      </c>
    </row>
    <row r="873" spans="1:40" x14ac:dyDescent="0.25">
      <c r="A873" s="49" t="s">
        <v>723</v>
      </c>
      <c r="B873" s="5" t="s">
        <v>23</v>
      </c>
      <c r="C873" s="5" t="s">
        <v>87</v>
      </c>
      <c r="D873" s="29">
        <f ca="1">DATEDIF(C873,TODAY(),"Y")</f>
        <v>49</v>
      </c>
      <c r="E873" s="5" t="s">
        <v>26</v>
      </c>
      <c r="F873" s="30">
        <v>158</v>
      </c>
      <c r="G873" s="30">
        <v>58</v>
      </c>
      <c r="H873" s="31">
        <f>G873/((F873/100)*(F873/100))</f>
        <v>23.233456176894723</v>
      </c>
      <c r="I873" s="5">
        <v>88</v>
      </c>
      <c r="J873" s="30">
        <v>130</v>
      </c>
      <c r="K873" s="30">
        <v>80</v>
      </c>
      <c r="L873" s="29">
        <f>IF(B873="Nữ",0,2)</f>
        <v>0</v>
      </c>
      <c r="M873" s="29">
        <f ca="1">IF(D873&lt;45,0,IF(D873&lt;=49,1,2))</f>
        <v>1</v>
      </c>
      <c r="N873" s="29">
        <f>IF(E873="Có",4,0)</f>
        <v>0</v>
      </c>
      <c r="O873" s="29">
        <f>IF(H873&lt;23,0,IF(H873&lt;27.5,3,5))</f>
        <v>3</v>
      </c>
      <c r="P873" s="29">
        <f>IF(OR(AND(B873="Nam",I873&gt;=90),AND(B873="Nữ",I873&gt;=80)),2,0)</f>
        <v>2</v>
      </c>
      <c r="Q873" s="29">
        <f>IF(OR(J873&gt;=140,K873&gt;=90),2,0)</f>
        <v>0</v>
      </c>
      <c r="R873" s="29">
        <f ca="1">SUM(L873:Q873)</f>
        <v>6</v>
      </c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5" t="s">
        <v>1393</v>
      </c>
      <c r="AE873" s="33"/>
      <c r="AF873" s="59" t="str">
        <f t="shared" si="40"/>
        <v>Không</v>
      </c>
      <c r="AG873" s="59" t="str">
        <f t="shared" si="41"/>
        <v>Không</v>
      </c>
      <c r="AH873" s="29" t="str">
        <f t="shared" ca="1" si="39"/>
        <v>Có</v>
      </c>
      <c r="AI873" s="29" t="str">
        <f ca="1">IF((R873)&gt;=6,"Có","Không")</f>
        <v>Có</v>
      </c>
      <c r="AJ873" s="29" t="str">
        <f>IF(OR(J873&gt;=140,K873&gt;=90),"Có","Không")</f>
        <v>Không</v>
      </c>
      <c r="AK873" s="5" t="s">
        <v>68</v>
      </c>
      <c r="AL873" s="32">
        <v>46142</v>
      </c>
      <c r="AM873" s="29" t="str">
        <f>"Tháng "&amp;MONTH(AL873)</f>
        <v>Tháng 4</v>
      </c>
      <c r="AN873" s="29" t="str">
        <f>LEFT(AK873,FIND(",",AK873)-1)</f>
        <v>Ấp Biển Tây B</v>
      </c>
    </row>
    <row r="874" spans="1:40" x14ac:dyDescent="0.25">
      <c r="A874" s="49" t="s">
        <v>725</v>
      </c>
      <c r="B874" s="5" t="s">
        <v>30</v>
      </c>
      <c r="C874" s="5" t="s">
        <v>188</v>
      </c>
      <c r="D874" s="29">
        <f ca="1">DATEDIF(C874,TODAY(),"Y")</f>
        <v>63</v>
      </c>
      <c r="E874" s="5" t="s">
        <v>26</v>
      </c>
      <c r="F874" s="30">
        <v>169</v>
      </c>
      <c r="G874" s="30">
        <v>68</v>
      </c>
      <c r="H874" s="31">
        <f>G874/((F874/100)*(F874/100))</f>
        <v>23.808690171912751</v>
      </c>
      <c r="I874" s="5">
        <v>89</v>
      </c>
      <c r="J874" s="30">
        <v>140</v>
      </c>
      <c r="K874" s="30">
        <v>80</v>
      </c>
      <c r="L874" s="29">
        <f>IF(B874="Nữ",0,2)</f>
        <v>2</v>
      </c>
      <c r="M874" s="29">
        <f ca="1">IF(D874&lt;45,0,IF(D874&lt;=49,1,2))</f>
        <v>2</v>
      </c>
      <c r="N874" s="29">
        <f>IF(E874="Có",4,0)</f>
        <v>0</v>
      </c>
      <c r="O874" s="29">
        <f>IF(H874&lt;23,0,IF(H874&lt;27.5,3,5))</f>
        <v>3</v>
      </c>
      <c r="P874" s="29">
        <f>IF(OR(AND(B874="Nam",I874&gt;=90),AND(B874="Nữ",I874&gt;=80)),2,0)</f>
        <v>0</v>
      </c>
      <c r="Q874" s="29">
        <f>IF(OR(J874&gt;=140,K874&gt;=90),2,0)</f>
        <v>2</v>
      </c>
      <c r="R874" s="29">
        <f ca="1">SUM(L874:Q874)</f>
        <v>9</v>
      </c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5" t="s">
        <v>1393</v>
      </c>
      <c r="AE874" s="33"/>
      <c r="AF874" s="59" t="str">
        <f t="shared" si="40"/>
        <v>Không</v>
      </c>
      <c r="AG874" s="59" t="str">
        <f t="shared" si="41"/>
        <v>Không</v>
      </c>
      <c r="AH874" s="29" t="str">
        <f t="shared" ca="1" si="39"/>
        <v>Có</v>
      </c>
      <c r="AI874" s="29" t="str">
        <f ca="1">IF((R874)&gt;=6,"Có","Không")</f>
        <v>Có</v>
      </c>
      <c r="AJ874" s="29" t="str">
        <f>IF(OR(J874&gt;=140,K874&gt;=90),"Có","Không")</f>
        <v>Có</v>
      </c>
      <c r="AK874" s="5" t="s">
        <v>51</v>
      </c>
      <c r="AL874" s="32">
        <v>46142</v>
      </c>
      <c r="AM874" s="29" t="str">
        <f>"Tháng "&amp;MONTH(AL874)</f>
        <v>Tháng 4</v>
      </c>
      <c r="AN874" s="29" t="str">
        <f>LEFT(AK874,FIND(",",AK874)-1)</f>
        <v>Phường Hiệp Thành</v>
      </c>
    </row>
    <row r="875" spans="1:40" x14ac:dyDescent="0.25">
      <c r="A875" s="49" t="s">
        <v>728</v>
      </c>
      <c r="B875" s="5" t="s">
        <v>23</v>
      </c>
      <c r="C875" s="5" t="s">
        <v>373</v>
      </c>
      <c r="D875" s="29">
        <f ca="1">DATEDIF(C875,TODAY(),"Y")</f>
        <v>61</v>
      </c>
      <c r="E875" s="5" t="s">
        <v>26</v>
      </c>
      <c r="F875" s="30">
        <v>158</v>
      </c>
      <c r="G875" s="30">
        <v>58</v>
      </c>
      <c r="H875" s="31">
        <f>G875/((F875/100)*(F875/100))</f>
        <v>23.233456176894723</v>
      </c>
      <c r="I875" s="5">
        <v>76</v>
      </c>
      <c r="J875" s="30">
        <v>140</v>
      </c>
      <c r="K875" s="30">
        <v>80</v>
      </c>
      <c r="L875" s="29">
        <f>IF(B875="Nữ",0,2)</f>
        <v>0</v>
      </c>
      <c r="M875" s="29">
        <f ca="1">IF(D875&lt;45,0,IF(D875&lt;=49,1,2))</f>
        <v>2</v>
      </c>
      <c r="N875" s="29">
        <f>IF(E875="Có",4,0)</f>
        <v>0</v>
      </c>
      <c r="O875" s="29">
        <f>IF(H875&lt;23,0,IF(H875&lt;27.5,3,5))</f>
        <v>3</v>
      </c>
      <c r="P875" s="29">
        <f>IF(OR(AND(B875="Nam",I875&gt;=90),AND(B875="Nữ",I875&gt;=80)),2,0)</f>
        <v>0</v>
      </c>
      <c r="Q875" s="29">
        <f>IF(OR(J875&gt;=140,K875&gt;=90),2,0)</f>
        <v>2</v>
      </c>
      <c r="R875" s="29">
        <f ca="1">SUM(L875:Q875)</f>
        <v>7</v>
      </c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5" t="s">
        <v>1393</v>
      </c>
      <c r="AE875" s="33"/>
      <c r="AF875" s="59" t="str">
        <f t="shared" si="40"/>
        <v>Không</v>
      </c>
      <c r="AG875" s="59" t="str">
        <f t="shared" si="41"/>
        <v>Không</v>
      </c>
      <c r="AH875" s="29" t="str">
        <f t="shared" ca="1" si="39"/>
        <v>Có</v>
      </c>
      <c r="AI875" s="29" t="str">
        <f ca="1">IF((R875)&gt;=6,"Có","Không")</f>
        <v>Có</v>
      </c>
      <c r="AJ875" s="29" t="str">
        <f>IF(OR(J875&gt;=140,K875&gt;=90),"Có","Không")</f>
        <v>Có</v>
      </c>
      <c r="AK875" s="5" t="s">
        <v>298</v>
      </c>
      <c r="AL875" s="32">
        <v>46142</v>
      </c>
      <c r="AM875" s="29" t="str">
        <f>"Tháng "&amp;MONTH(AL875)</f>
        <v>Tháng 4</v>
      </c>
      <c r="AN875" s="29" t="str">
        <f>LEFT(AK875,FIND(",",AK875)-1)</f>
        <v>ấp Biển Tây A</v>
      </c>
    </row>
    <row r="876" spans="1:40" x14ac:dyDescent="0.25">
      <c r="A876" s="49" t="s">
        <v>736</v>
      </c>
      <c r="B876" s="5" t="s">
        <v>30</v>
      </c>
      <c r="C876" s="5" t="s">
        <v>138</v>
      </c>
      <c r="D876" s="29">
        <f ca="1">DATEDIF(C876,TODAY(),"Y")</f>
        <v>67</v>
      </c>
      <c r="E876" s="5" t="s">
        <v>26</v>
      </c>
      <c r="F876" s="30">
        <v>165</v>
      </c>
      <c r="G876" s="30">
        <v>55</v>
      </c>
      <c r="H876" s="31">
        <f>G876/((F876/100)*(F876/100))</f>
        <v>20.202020202020204</v>
      </c>
      <c r="I876" s="5">
        <v>87</v>
      </c>
      <c r="J876" s="30">
        <v>120</v>
      </c>
      <c r="K876" s="30">
        <v>80</v>
      </c>
      <c r="L876" s="29">
        <f>IF(B876="Nữ",0,2)</f>
        <v>2</v>
      </c>
      <c r="M876" s="29">
        <f ca="1">IF(D876&lt;45,0,IF(D876&lt;=49,1,2))</f>
        <v>2</v>
      </c>
      <c r="N876" s="29">
        <f>IF(E876="Có",4,0)</f>
        <v>0</v>
      </c>
      <c r="O876" s="29">
        <f>IF(H876&lt;23,0,IF(H876&lt;27.5,3,5))</f>
        <v>0</v>
      </c>
      <c r="P876" s="29">
        <f>IF(OR(AND(B876="Nam",I876&gt;=90),AND(B876="Nữ",I876&gt;=80)),2,0)</f>
        <v>0</v>
      </c>
      <c r="Q876" s="29">
        <f>IF(OR(J876&gt;=140,K876&gt;=90),2,0)</f>
        <v>0</v>
      </c>
      <c r="R876" s="29">
        <f ca="1">SUM(L876:Q876)</f>
        <v>4</v>
      </c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5" t="s">
        <v>1393</v>
      </c>
      <c r="AE876" s="33"/>
      <c r="AF876" s="59" t="str">
        <f t="shared" si="40"/>
        <v>Không</v>
      </c>
      <c r="AG876" s="59" t="str">
        <f t="shared" si="41"/>
        <v>Không</v>
      </c>
      <c r="AH876" s="29" t="str">
        <f t="shared" ca="1" si="39"/>
        <v>Không</v>
      </c>
      <c r="AI876" s="29" t="str">
        <f ca="1">IF((R876)&gt;=6,"Có","Không")</f>
        <v>Không</v>
      </c>
      <c r="AJ876" s="29" t="str">
        <f>IF(OR(J876&gt;=140,K876&gt;=90),"Có","Không")</f>
        <v>Không</v>
      </c>
      <c r="AK876" s="5" t="s">
        <v>737</v>
      </c>
      <c r="AL876" s="32">
        <v>46142</v>
      </c>
      <c r="AM876" s="29" t="str">
        <f>"Tháng "&amp;MONTH(AL876)</f>
        <v>Tháng 4</v>
      </c>
      <c r="AN876" s="29" t="str">
        <f>LEFT(AK876,FIND(",",AK876)-1)</f>
        <v>Khóm Kinh Tế</v>
      </c>
    </row>
    <row r="877" spans="1:40" x14ac:dyDescent="0.25">
      <c r="A877" s="49" t="s">
        <v>739</v>
      </c>
      <c r="B877" s="5" t="s">
        <v>30</v>
      </c>
      <c r="C877" s="5" t="s">
        <v>110</v>
      </c>
      <c r="D877" s="29">
        <f ca="1">DATEDIF(C877,TODAY(),"Y")</f>
        <v>62</v>
      </c>
      <c r="E877" s="5" t="s">
        <v>26</v>
      </c>
      <c r="F877" s="30">
        <v>169</v>
      </c>
      <c r="G877" s="30">
        <v>68</v>
      </c>
      <c r="H877" s="31">
        <f>G877/((F877/100)*(F877/100))</f>
        <v>23.808690171912751</v>
      </c>
      <c r="I877" s="5">
        <v>79</v>
      </c>
      <c r="J877" s="30">
        <v>120</v>
      </c>
      <c r="K877" s="30">
        <v>80</v>
      </c>
      <c r="L877" s="29">
        <f>IF(B877="Nữ",0,2)</f>
        <v>2</v>
      </c>
      <c r="M877" s="29">
        <f ca="1">IF(D877&lt;45,0,IF(D877&lt;=49,1,2))</f>
        <v>2</v>
      </c>
      <c r="N877" s="29">
        <f>IF(E877="Có",4,0)</f>
        <v>0</v>
      </c>
      <c r="O877" s="29">
        <f>IF(H877&lt;23,0,IF(H877&lt;27.5,3,5))</f>
        <v>3</v>
      </c>
      <c r="P877" s="29">
        <f>IF(OR(AND(B877="Nam",I877&gt;=90),AND(B877="Nữ",I877&gt;=80)),2,0)</f>
        <v>0</v>
      </c>
      <c r="Q877" s="29">
        <f>IF(OR(J877&gt;=140,K877&gt;=90),2,0)</f>
        <v>0</v>
      </c>
      <c r="R877" s="29">
        <f ca="1">SUM(L877:Q877)</f>
        <v>7</v>
      </c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5" t="s">
        <v>1393</v>
      </c>
      <c r="AE877" s="33"/>
      <c r="AF877" s="59" t="str">
        <f t="shared" si="40"/>
        <v>Không</v>
      </c>
      <c r="AG877" s="59" t="str">
        <f t="shared" si="41"/>
        <v>Không</v>
      </c>
      <c r="AH877" s="29" t="str">
        <f t="shared" ca="1" si="39"/>
        <v>Có</v>
      </c>
      <c r="AI877" s="29" t="str">
        <f ca="1">IF((R877)&gt;=6,"Có","Không")</f>
        <v>Có</v>
      </c>
      <c r="AJ877" s="29" t="str">
        <f>IF(OR(J877&gt;=140,K877&gt;=90),"Có","Không")</f>
        <v>Không</v>
      </c>
      <c r="AK877" s="5" t="s">
        <v>72</v>
      </c>
      <c r="AL877" s="32">
        <v>46142</v>
      </c>
      <c r="AM877" s="29" t="str">
        <f>"Tháng "&amp;MONTH(AL877)</f>
        <v>Tháng 4</v>
      </c>
      <c r="AN877" s="29" t="str">
        <f>LEFT(AK877,FIND(",",AK877)-1)</f>
        <v>Ấp Giồng Giữa A</v>
      </c>
    </row>
    <row r="878" spans="1:40" x14ac:dyDescent="0.25">
      <c r="A878" s="49" t="s">
        <v>746</v>
      </c>
      <c r="B878" s="5" t="s">
        <v>30</v>
      </c>
      <c r="C878" s="5" t="s">
        <v>273</v>
      </c>
      <c r="D878" s="29">
        <f ca="1">DATEDIF(C878,TODAY(),"Y")</f>
        <v>47</v>
      </c>
      <c r="E878" s="5" t="s">
        <v>25</v>
      </c>
      <c r="F878" s="30">
        <v>160</v>
      </c>
      <c r="G878" s="30">
        <v>45</v>
      </c>
      <c r="H878" s="31">
        <f>G878/((F878/100)*(F878/100))</f>
        <v>17.578124999999996</v>
      </c>
      <c r="I878" s="5">
        <v>74</v>
      </c>
      <c r="J878" s="30">
        <v>100</v>
      </c>
      <c r="K878" s="30">
        <v>70</v>
      </c>
      <c r="L878" s="29">
        <f>IF(B878="Nữ",0,2)</f>
        <v>2</v>
      </c>
      <c r="M878" s="29">
        <f ca="1">IF(D878&lt;45,0,IF(D878&lt;=49,1,2))</f>
        <v>1</v>
      </c>
      <c r="N878" s="29">
        <f>IF(E878="Có",4,0)</f>
        <v>4</v>
      </c>
      <c r="O878" s="29">
        <f>IF(H878&lt;23,0,IF(H878&lt;27.5,3,5))</f>
        <v>0</v>
      </c>
      <c r="P878" s="29">
        <f>IF(OR(AND(B878="Nam",I878&gt;=90),AND(B878="Nữ",I878&gt;=80)),2,0)</f>
        <v>0</v>
      </c>
      <c r="Q878" s="29">
        <f>IF(OR(J878&gt;=140,K878&gt;=90),2,0)</f>
        <v>0</v>
      </c>
      <c r="R878" s="29">
        <f ca="1">SUM(L878:Q878)</f>
        <v>7</v>
      </c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5" t="s">
        <v>1393</v>
      </c>
      <c r="AE878" s="33"/>
      <c r="AF878" s="59" t="str">
        <f t="shared" si="40"/>
        <v>Không</v>
      </c>
      <c r="AG878" s="59" t="str">
        <f t="shared" si="41"/>
        <v>Không</v>
      </c>
      <c r="AH878" s="29" t="str">
        <f t="shared" ca="1" si="39"/>
        <v>Có</v>
      </c>
      <c r="AI878" s="29" t="str">
        <f ca="1">IF((R878)&gt;=6,"Có","Không")</f>
        <v>Có</v>
      </c>
      <c r="AJ878" s="29" t="str">
        <f>IF(OR(J878&gt;=140,K878&gt;=90),"Có","Không")</f>
        <v>Không</v>
      </c>
      <c r="AK878" s="5" t="s">
        <v>747</v>
      </c>
      <c r="AL878" s="32">
        <v>46142</v>
      </c>
      <c r="AM878" s="29" t="str">
        <f>"Tháng "&amp;MONTH(AL878)</f>
        <v>Tháng 4</v>
      </c>
      <c r="AN878" s="29" t="str">
        <f>LEFT(AK878,FIND(",",AK878)-1)</f>
        <v>Ấp Tân Long</v>
      </c>
    </row>
    <row r="879" spans="1:40" x14ac:dyDescent="0.25">
      <c r="A879" s="49" t="s">
        <v>748</v>
      </c>
      <c r="B879" s="5" t="s">
        <v>30</v>
      </c>
      <c r="C879" s="5" t="s">
        <v>115</v>
      </c>
      <c r="D879" s="29">
        <f ca="1">DATEDIF(C879,TODAY(),"Y")</f>
        <v>40</v>
      </c>
      <c r="E879" s="5" t="s">
        <v>26</v>
      </c>
      <c r="F879" s="30">
        <v>169</v>
      </c>
      <c r="G879" s="30">
        <v>68</v>
      </c>
      <c r="H879" s="31">
        <f>G879/((F879/100)*(F879/100))</f>
        <v>23.808690171912751</v>
      </c>
      <c r="I879" s="5">
        <v>88</v>
      </c>
      <c r="J879" s="30">
        <v>120</v>
      </c>
      <c r="K879" s="30">
        <v>80</v>
      </c>
      <c r="L879" s="29">
        <f>IF(B879="Nữ",0,2)</f>
        <v>2</v>
      </c>
      <c r="M879" s="29">
        <f ca="1">IF(D879&lt;45,0,IF(D879&lt;=49,1,2))</f>
        <v>0</v>
      </c>
      <c r="N879" s="29">
        <f>IF(E879="Có",4,0)</f>
        <v>0</v>
      </c>
      <c r="O879" s="29">
        <f>IF(H879&lt;23,0,IF(H879&lt;27.5,3,5))</f>
        <v>3</v>
      </c>
      <c r="P879" s="29">
        <f>IF(OR(AND(B879="Nam",I879&gt;=90),AND(B879="Nữ",I879&gt;=80)),2,0)</f>
        <v>0</v>
      </c>
      <c r="Q879" s="29">
        <f>IF(OR(J879&gt;=140,K879&gt;=90),2,0)</f>
        <v>0</v>
      </c>
      <c r="R879" s="29">
        <f ca="1">SUM(L879:Q879)</f>
        <v>5</v>
      </c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5" t="s">
        <v>1393</v>
      </c>
      <c r="AE879" s="33"/>
      <c r="AF879" s="59" t="str">
        <f t="shared" si="40"/>
        <v>Không</v>
      </c>
      <c r="AG879" s="59" t="str">
        <f t="shared" si="41"/>
        <v>Không</v>
      </c>
      <c r="AH879" s="29" t="str">
        <f t="shared" ca="1" si="39"/>
        <v>Không</v>
      </c>
      <c r="AI879" s="29" t="str">
        <f ca="1">IF((R879)&gt;=6,"Có","Không")</f>
        <v>Không</v>
      </c>
      <c r="AJ879" s="29" t="str">
        <f>IF(OR(J879&gt;=140,K879&gt;=90),"Có","Không")</f>
        <v>Không</v>
      </c>
      <c r="AK879" s="5" t="s">
        <v>335</v>
      </c>
      <c r="AL879" s="32">
        <v>46142</v>
      </c>
      <c r="AM879" s="29" t="str">
        <f>"Tháng "&amp;MONTH(AL879)</f>
        <v>Tháng 4</v>
      </c>
      <c r="AN879" s="29" t="str">
        <f>LEFT(AK879,FIND(",",AK879)-1)</f>
        <v>ấp Giồng Giữa B</v>
      </c>
    </row>
    <row r="880" spans="1:40" x14ac:dyDescent="0.25">
      <c r="A880" s="49" t="s">
        <v>759</v>
      </c>
      <c r="B880" s="5" t="s">
        <v>30</v>
      </c>
      <c r="C880" s="5" t="s">
        <v>47</v>
      </c>
      <c r="D880" s="29">
        <f ca="1">DATEDIF(C880,TODAY(),"Y")</f>
        <v>55</v>
      </c>
      <c r="E880" s="5" t="s">
        <v>26</v>
      </c>
      <c r="F880" s="30">
        <v>168</v>
      </c>
      <c r="G880" s="30">
        <v>62</v>
      </c>
      <c r="H880" s="31">
        <f>G880/((F880/100)*(F880/100))</f>
        <v>21.9671201814059</v>
      </c>
      <c r="I880" s="5">
        <v>80</v>
      </c>
      <c r="J880" s="30">
        <v>120</v>
      </c>
      <c r="K880" s="30">
        <v>70</v>
      </c>
      <c r="L880" s="29">
        <f>IF(B880="Nữ",0,2)</f>
        <v>2</v>
      </c>
      <c r="M880" s="29">
        <f ca="1">IF(D880&lt;45,0,IF(D880&lt;=49,1,2))</f>
        <v>2</v>
      </c>
      <c r="N880" s="29">
        <f>IF(E880="Có",4,0)</f>
        <v>0</v>
      </c>
      <c r="O880" s="29">
        <f>IF(H880&lt;23,0,IF(H880&lt;27.5,3,5))</f>
        <v>0</v>
      </c>
      <c r="P880" s="29">
        <f>IF(OR(AND(B880="Nam",I880&gt;=90),AND(B880="Nữ",I880&gt;=80)),2,0)</f>
        <v>0</v>
      </c>
      <c r="Q880" s="29">
        <f>IF(OR(J880&gt;=140,K880&gt;=90),2,0)</f>
        <v>0</v>
      </c>
      <c r="R880" s="29">
        <f ca="1">SUM(L880:Q880)</f>
        <v>4</v>
      </c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5" t="s">
        <v>1393</v>
      </c>
      <c r="AE880" s="33"/>
      <c r="AF880" s="59" t="str">
        <f t="shared" si="40"/>
        <v>Không</v>
      </c>
      <c r="AG880" s="59" t="str">
        <f t="shared" si="41"/>
        <v>Không</v>
      </c>
      <c r="AH880" s="29" t="str">
        <f t="shared" ca="1" si="39"/>
        <v>Không</v>
      </c>
      <c r="AI880" s="29" t="str">
        <f ca="1">IF((R880)&gt;=6,"Có","Không")</f>
        <v>Không</v>
      </c>
      <c r="AJ880" s="29" t="str">
        <f>IF(OR(J880&gt;=140,K880&gt;=90),"Có","Không")</f>
        <v>Không</v>
      </c>
      <c r="AK880" s="5" t="s">
        <v>172</v>
      </c>
      <c r="AL880" s="32">
        <v>46142</v>
      </c>
      <c r="AM880" s="29" t="str">
        <f>"Tháng "&amp;MONTH(AL880)</f>
        <v>Tháng 4</v>
      </c>
      <c r="AN880" s="29" t="str">
        <f>LEFT(AK880,FIND(",",AK880)-1)</f>
        <v>Khóm Bờ Tây</v>
      </c>
    </row>
    <row r="881" spans="1:40" x14ac:dyDescent="0.25">
      <c r="A881" s="49" t="s">
        <v>760</v>
      </c>
      <c r="B881" s="5" t="s">
        <v>23</v>
      </c>
      <c r="C881" s="5" t="s">
        <v>56</v>
      </c>
      <c r="D881" s="29">
        <f ca="1">DATEDIF(C881,TODAY(),"Y")</f>
        <v>65</v>
      </c>
      <c r="E881" s="5" t="s">
        <v>25</v>
      </c>
      <c r="F881" s="30">
        <v>158</v>
      </c>
      <c r="G881" s="30">
        <v>58</v>
      </c>
      <c r="H881" s="31">
        <f>G881/((F881/100)*(F881/100))</f>
        <v>23.233456176894723</v>
      </c>
      <c r="I881" s="5">
        <v>99</v>
      </c>
      <c r="J881" s="30">
        <v>140</v>
      </c>
      <c r="K881" s="30">
        <v>80</v>
      </c>
      <c r="L881" s="29">
        <f>IF(B881="Nữ",0,2)</f>
        <v>0</v>
      </c>
      <c r="M881" s="29">
        <f ca="1">IF(D881&lt;45,0,IF(D881&lt;=49,1,2))</f>
        <v>2</v>
      </c>
      <c r="N881" s="29">
        <f>IF(E881="Có",4,0)</f>
        <v>4</v>
      </c>
      <c r="O881" s="29">
        <f>IF(H881&lt;23,0,IF(H881&lt;27.5,3,5))</f>
        <v>3</v>
      </c>
      <c r="P881" s="29">
        <f>IF(OR(AND(B881="Nam",I881&gt;=90),AND(B881="Nữ",I881&gt;=80)),2,0)</f>
        <v>2</v>
      </c>
      <c r="Q881" s="29">
        <f>IF(OR(J881&gt;=140,K881&gt;=90),2,0)</f>
        <v>2</v>
      </c>
      <c r="R881" s="29">
        <f ca="1">SUM(L881:Q881)</f>
        <v>13</v>
      </c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5" t="s">
        <v>1393</v>
      </c>
      <c r="AE881" s="33"/>
      <c r="AF881" s="59" t="str">
        <f t="shared" si="40"/>
        <v>Không</v>
      </c>
      <c r="AG881" s="59" t="str">
        <f t="shared" si="41"/>
        <v>Không</v>
      </c>
      <c r="AH881" s="29" t="str">
        <f t="shared" ca="1" si="39"/>
        <v>Có</v>
      </c>
      <c r="AI881" s="29" t="str">
        <f ca="1">IF((R881)&gt;=6,"Có","Không")</f>
        <v>Có</v>
      </c>
      <c r="AJ881" s="29" t="str">
        <f>IF(OR(J881&gt;=140,K881&gt;=90),"Có","Không")</f>
        <v>Có</v>
      </c>
      <c r="AK881" s="5" t="s">
        <v>459</v>
      </c>
      <c r="AL881" s="32">
        <v>46142</v>
      </c>
      <c r="AM881" s="29" t="str">
        <f>"Tháng "&amp;MONTH(AL881)</f>
        <v>Tháng 4</v>
      </c>
      <c r="AN881" s="29" t="str">
        <f>LEFT(AK881,FIND(",",AK881)-1)</f>
        <v>Ấp Phước Hậu</v>
      </c>
    </row>
    <row r="882" spans="1:40" x14ac:dyDescent="0.25">
      <c r="A882" s="49" t="s">
        <v>766</v>
      </c>
      <c r="B882" s="5" t="s">
        <v>23</v>
      </c>
      <c r="C882" s="5" t="s">
        <v>373</v>
      </c>
      <c r="D882" s="29">
        <f ca="1">DATEDIF(C882,TODAY(),"Y")</f>
        <v>61</v>
      </c>
      <c r="E882" s="5" t="s">
        <v>26</v>
      </c>
      <c r="F882" s="30">
        <v>158</v>
      </c>
      <c r="G882" s="30">
        <v>58</v>
      </c>
      <c r="H882" s="31">
        <f>G882/((F882/100)*(F882/100))</f>
        <v>23.233456176894723</v>
      </c>
      <c r="I882" s="5">
        <v>90</v>
      </c>
      <c r="J882" s="30">
        <v>130</v>
      </c>
      <c r="K882" s="30">
        <v>80</v>
      </c>
      <c r="L882" s="29">
        <f>IF(B882="Nữ",0,2)</f>
        <v>0</v>
      </c>
      <c r="M882" s="29">
        <f ca="1">IF(D882&lt;45,0,IF(D882&lt;=49,1,2))</f>
        <v>2</v>
      </c>
      <c r="N882" s="29">
        <f>IF(E882="Có",4,0)</f>
        <v>0</v>
      </c>
      <c r="O882" s="29">
        <f>IF(H882&lt;23,0,IF(H882&lt;27.5,3,5))</f>
        <v>3</v>
      </c>
      <c r="P882" s="29">
        <f>IF(OR(AND(B882="Nam",I882&gt;=90),AND(B882="Nữ",I882&gt;=80)),2,0)</f>
        <v>2</v>
      </c>
      <c r="Q882" s="29">
        <f>IF(OR(J882&gt;=140,K882&gt;=90),2,0)</f>
        <v>0</v>
      </c>
      <c r="R882" s="29">
        <f ca="1">SUM(L882:Q882)</f>
        <v>7</v>
      </c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5" t="s">
        <v>1393</v>
      </c>
      <c r="AE882" s="33"/>
      <c r="AF882" s="59" t="str">
        <f t="shared" si="40"/>
        <v>Không</v>
      </c>
      <c r="AG882" s="59" t="str">
        <f t="shared" si="41"/>
        <v>Không</v>
      </c>
      <c r="AH882" s="29" t="str">
        <f t="shared" ca="1" si="39"/>
        <v>Có</v>
      </c>
      <c r="AI882" s="29" t="str">
        <f ca="1">IF((R882)&gt;=6,"Có","Không")</f>
        <v>Có</v>
      </c>
      <c r="AJ882" s="29" t="str">
        <f>IF(OR(J882&gt;=140,K882&gt;=90),"Có","Không")</f>
        <v>Không</v>
      </c>
      <c r="AK882" s="5" t="s">
        <v>291</v>
      </c>
      <c r="AL882" s="32">
        <v>46142</v>
      </c>
      <c r="AM882" s="29" t="str">
        <f>"Tháng "&amp;MONTH(AL882)</f>
        <v>Tháng 4</v>
      </c>
      <c r="AN882" s="29" t="str">
        <f>LEFT(AK882,FIND(",",AK882)-1)</f>
        <v>Ấp 15</v>
      </c>
    </row>
    <row r="883" spans="1:40" x14ac:dyDescent="0.25">
      <c r="A883" s="49" t="s">
        <v>767</v>
      </c>
      <c r="B883" s="5" t="s">
        <v>23</v>
      </c>
      <c r="C883" s="5" t="s">
        <v>188</v>
      </c>
      <c r="D883" s="29">
        <f ca="1">DATEDIF(C883,TODAY(),"Y")</f>
        <v>63</v>
      </c>
      <c r="E883" s="5" t="s">
        <v>25</v>
      </c>
      <c r="F883" s="30">
        <v>158</v>
      </c>
      <c r="G883" s="30">
        <v>58</v>
      </c>
      <c r="H883" s="31">
        <f>G883/((F883/100)*(F883/100))</f>
        <v>23.233456176894723</v>
      </c>
      <c r="I883" s="5">
        <v>69</v>
      </c>
      <c r="J883" s="30">
        <v>140</v>
      </c>
      <c r="K883" s="30">
        <v>80</v>
      </c>
      <c r="L883" s="29">
        <f>IF(B883="Nữ",0,2)</f>
        <v>0</v>
      </c>
      <c r="M883" s="29">
        <f ca="1">IF(D883&lt;45,0,IF(D883&lt;=49,1,2))</f>
        <v>2</v>
      </c>
      <c r="N883" s="29">
        <f>IF(E883="Có",4,0)</f>
        <v>4</v>
      </c>
      <c r="O883" s="29">
        <f>IF(H883&lt;23,0,IF(H883&lt;27.5,3,5))</f>
        <v>3</v>
      </c>
      <c r="P883" s="29">
        <f>IF(OR(AND(B883="Nam",I883&gt;=90),AND(B883="Nữ",I883&gt;=80)),2,0)</f>
        <v>0</v>
      </c>
      <c r="Q883" s="29">
        <f>IF(OR(J883&gt;=140,K883&gt;=90),2,0)</f>
        <v>2</v>
      </c>
      <c r="R883" s="29">
        <f ca="1">SUM(L883:Q883)</f>
        <v>11</v>
      </c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5" t="s">
        <v>1393</v>
      </c>
      <c r="AE883" s="33"/>
      <c r="AF883" s="59" t="str">
        <f t="shared" si="40"/>
        <v>Không</v>
      </c>
      <c r="AG883" s="59" t="str">
        <f t="shared" si="41"/>
        <v>Không</v>
      </c>
      <c r="AH883" s="29" t="str">
        <f t="shared" ca="1" si="39"/>
        <v>Có</v>
      </c>
      <c r="AI883" s="29" t="str">
        <f ca="1">IF((R883)&gt;=6,"Có","Không")</f>
        <v>Có</v>
      </c>
      <c r="AJ883" s="29" t="str">
        <f>IF(OR(J883&gt;=140,K883&gt;=90),"Có","Không")</f>
        <v>Có</v>
      </c>
      <c r="AK883" s="5" t="s">
        <v>60</v>
      </c>
      <c r="AL883" s="32">
        <v>46142</v>
      </c>
      <c r="AM883" s="29" t="str">
        <f>"Tháng "&amp;MONTH(AL883)</f>
        <v>Tháng 4</v>
      </c>
      <c r="AN883" s="29" t="str">
        <f>LEFT(AK883,FIND(",",AK883)-1)</f>
        <v>ấp Biển Đông A</v>
      </c>
    </row>
    <row r="884" spans="1:40" x14ac:dyDescent="0.25">
      <c r="A884" s="49" t="s">
        <v>781</v>
      </c>
      <c r="B884" s="5" t="s">
        <v>23</v>
      </c>
      <c r="C884" s="5" t="s">
        <v>40</v>
      </c>
      <c r="D884" s="29">
        <f ca="1">DATEDIF(C884,TODAY(),"Y")</f>
        <v>70</v>
      </c>
      <c r="E884" s="5" t="s">
        <v>26</v>
      </c>
      <c r="F884" s="30">
        <v>147</v>
      </c>
      <c r="G884" s="30">
        <v>47</v>
      </c>
      <c r="H884" s="31">
        <f>G884/((F884/100)*(F884/100))</f>
        <v>21.750196677310381</v>
      </c>
      <c r="I884" s="5">
        <v>88</v>
      </c>
      <c r="J884" s="30">
        <v>120</v>
      </c>
      <c r="K884" s="30">
        <v>80</v>
      </c>
      <c r="L884" s="29">
        <f>IF(B884="Nữ",0,2)</f>
        <v>0</v>
      </c>
      <c r="M884" s="29">
        <f ca="1">IF(D884&lt;45,0,IF(D884&lt;=49,1,2))</f>
        <v>2</v>
      </c>
      <c r="N884" s="29">
        <f>IF(E884="Có",4,0)</f>
        <v>0</v>
      </c>
      <c r="O884" s="29">
        <f>IF(H884&lt;23,0,IF(H884&lt;27.5,3,5))</f>
        <v>0</v>
      </c>
      <c r="P884" s="29">
        <f>IF(OR(AND(B884="Nam",I884&gt;=90),AND(B884="Nữ",I884&gt;=80)),2,0)</f>
        <v>2</v>
      </c>
      <c r="Q884" s="29">
        <f>IF(OR(J884&gt;=140,K884&gt;=90),2,0)</f>
        <v>0</v>
      </c>
      <c r="R884" s="29">
        <f ca="1">SUM(L884:Q884)</f>
        <v>4</v>
      </c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5" t="s">
        <v>1393</v>
      </c>
      <c r="AE884" s="33"/>
      <c r="AF884" s="59" t="str">
        <f t="shared" si="40"/>
        <v>Không</v>
      </c>
      <c r="AG884" s="59" t="str">
        <f t="shared" si="41"/>
        <v>Không</v>
      </c>
      <c r="AH884" s="29" t="str">
        <f t="shared" ca="1" si="39"/>
        <v>Không</v>
      </c>
      <c r="AI884" s="29" t="str">
        <f ca="1">IF((R884)&gt;=6,"Có","Không")</f>
        <v>Không</v>
      </c>
      <c r="AJ884" s="29" t="str">
        <f>IF(OR(J884&gt;=140,K884&gt;=90),"Có","Không")</f>
        <v>Không</v>
      </c>
      <c r="AK884" s="5" t="s">
        <v>395</v>
      </c>
      <c r="AL884" s="32">
        <v>46142</v>
      </c>
      <c r="AM884" s="29" t="str">
        <f>"Tháng "&amp;MONTH(AL884)</f>
        <v>Tháng 4</v>
      </c>
      <c r="AN884" s="29" t="str">
        <f>LEFT(AK884,FIND(",",AK884)-1)</f>
        <v>Khóm Chòm Xoài</v>
      </c>
    </row>
    <row r="885" spans="1:40" x14ac:dyDescent="0.25">
      <c r="A885" s="49" t="s">
        <v>787</v>
      </c>
      <c r="B885" s="5" t="s">
        <v>23</v>
      </c>
      <c r="C885" s="5" t="s">
        <v>76</v>
      </c>
      <c r="D885" s="29">
        <f ca="1">DATEDIF(C885,TODAY(),"Y")</f>
        <v>68</v>
      </c>
      <c r="E885" s="5" t="s">
        <v>25</v>
      </c>
      <c r="F885" s="30">
        <v>157</v>
      </c>
      <c r="G885" s="30">
        <v>52</v>
      </c>
      <c r="H885" s="31">
        <f>G885/((F885/100)*(F885/100))</f>
        <v>21.096190514828187</v>
      </c>
      <c r="I885" s="5">
        <v>66</v>
      </c>
      <c r="J885" s="30">
        <v>150</v>
      </c>
      <c r="K885" s="30">
        <v>80</v>
      </c>
      <c r="L885" s="29">
        <f>IF(B885="Nữ",0,2)</f>
        <v>0</v>
      </c>
      <c r="M885" s="29">
        <f ca="1">IF(D885&lt;45,0,IF(D885&lt;=49,1,2))</f>
        <v>2</v>
      </c>
      <c r="N885" s="29">
        <f>IF(E885="Có",4,0)</f>
        <v>4</v>
      </c>
      <c r="O885" s="29">
        <f>IF(H885&lt;23,0,IF(H885&lt;27.5,3,5))</f>
        <v>0</v>
      </c>
      <c r="P885" s="29">
        <f>IF(OR(AND(B885="Nam",I885&gt;=90),AND(B885="Nữ",I885&gt;=80)),2,0)</f>
        <v>0</v>
      </c>
      <c r="Q885" s="29">
        <f>IF(OR(J885&gt;=140,K885&gt;=90),2,0)</f>
        <v>2</v>
      </c>
      <c r="R885" s="29">
        <f ca="1">SUM(L885:Q885)</f>
        <v>8</v>
      </c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5" t="s">
        <v>1393</v>
      </c>
      <c r="AE885" s="33"/>
      <c r="AF885" s="59" t="str">
        <f t="shared" si="40"/>
        <v>Không</v>
      </c>
      <c r="AG885" s="59" t="str">
        <f t="shared" si="41"/>
        <v>Không</v>
      </c>
      <c r="AH885" s="29" t="str">
        <f t="shared" ca="1" si="39"/>
        <v>Có</v>
      </c>
      <c r="AI885" s="29" t="str">
        <f ca="1">IF((R885)&gt;=6,"Có","Không")</f>
        <v>Có</v>
      </c>
      <c r="AJ885" s="29" t="str">
        <f>IF(OR(J885&gt;=140,K885&gt;=90),"Có","Không")</f>
        <v>Có</v>
      </c>
      <c r="AK885" s="5" t="s">
        <v>88</v>
      </c>
      <c r="AL885" s="32">
        <v>46142</v>
      </c>
      <c r="AM885" s="29" t="str">
        <f>"Tháng "&amp;MONTH(AL885)</f>
        <v>Tháng 4</v>
      </c>
      <c r="AN885" s="29" t="str">
        <f>LEFT(AK885,FIND(",",AK885)-1)</f>
        <v>Giồng Giữa</v>
      </c>
    </row>
    <row r="886" spans="1:40" x14ac:dyDescent="0.25">
      <c r="A886" s="49" t="s">
        <v>789</v>
      </c>
      <c r="B886" s="5" t="s">
        <v>23</v>
      </c>
      <c r="C886" s="5" t="s">
        <v>67</v>
      </c>
      <c r="D886" s="29">
        <f ca="1">DATEDIF(C886,TODAY(),"Y")</f>
        <v>48</v>
      </c>
      <c r="E886" s="5" t="s">
        <v>26</v>
      </c>
      <c r="F886" s="30">
        <v>160</v>
      </c>
      <c r="G886" s="30">
        <v>67</v>
      </c>
      <c r="H886" s="31">
        <f>G886/((F886/100)*(F886/100))</f>
        <v>26.171874999999996</v>
      </c>
      <c r="I886" s="5">
        <v>72</v>
      </c>
      <c r="J886" s="30">
        <v>120</v>
      </c>
      <c r="K886" s="30">
        <v>80</v>
      </c>
      <c r="L886" s="29">
        <f>IF(B886="Nữ",0,2)</f>
        <v>0</v>
      </c>
      <c r="M886" s="29">
        <f ca="1">IF(D886&lt;45,0,IF(D886&lt;=49,1,2))</f>
        <v>1</v>
      </c>
      <c r="N886" s="29">
        <f>IF(E886="Có",4,0)</f>
        <v>0</v>
      </c>
      <c r="O886" s="29">
        <f>IF(H886&lt;23,0,IF(H886&lt;27.5,3,5))</f>
        <v>3</v>
      </c>
      <c r="P886" s="29">
        <f>IF(OR(AND(B886="Nam",I886&gt;=90),AND(B886="Nữ",I886&gt;=80)),2,0)</f>
        <v>0</v>
      </c>
      <c r="Q886" s="29">
        <f>IF(OR(J886&gt;=140,K886&gt;=90),2,0)</f>
        <v>0</v>
      </c>
      <c r="R886" s="29">
        <f ca="1">SUM(L886:Q886)</f>
        <v>4</v>
      </c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5" t="s">
        <v>1393</v>
      </c>
      <c r="AE886" s="33"/>
      <c r="AF886" s="59" t="str">
        <f t="shared" si="40"/>
        <v>Không</v>
      </c>
      <c r="AG886" s="59" t="str">
        <f t="shared" si="41"/>
        <v>Không</v>
      </c>
      <c r="AH886" s="29" t="str">
        <f t="shared" ca="1" si="39"/>
        <v>Không</v>
      </c>
      <c r="AI886" s="29" t="str">
        <f ca="1">IF((R886)&gt;=6,"Có","Không")</f>
        <v>Không</v>
      </c>
      <c r="AJ886" s="29" t="str">
        <f>IF(OR(J886&gt;=140,K886&gt;=90),"Có","Không")</f>
        <v>Không</v>
      </c>
      <c r="AK886" s="5" t="s">
        <v>790</v>
      </c>
      <c r="AL886" s="32">
        <v>46142</v>
      </c>
      <c r="AM886" s="29" t="str">
        <f>"Tháng "&amp;MONTH(AL886)</f>
        <v>Tháng 4</v>
      </c>
      <c r="AN886" s="29" t="str">
        <f>LEFT(AK886,FIND(",",AK886)-1)</f>
        <v>giồng Nhãn A</v>
      </c>
    </row>
    <row r="887" spans="1:40" x14ac:dyDescent="0.25">
      <c r="A887" s="49" t="s">
        <v>791</v>
      </c>
      <c r="B887" s="5" t="s">
        <v>23</v>
      </c>
      <c r="C887" s="5" t="s">
        <v>59</v>
      </c>
      <c r="D887" s="29">
        <f ca="1">DATEDIF(C887,TODAY(),"Y")</f>
        <v>74</v>
      </c>
      <c r="E887" s="5" t="s">
        <v>26</v>
      </c>
      <c r="F887" s="30">
        <v>150</v>
      </c>
      <c r="G887" s="30">
        <v>48</v>
      </c>
      <c r="H887" s="31">
        <f>G887/((F887/100)*(F887/100))</f>
        <v>21.333333333333332</v>
      </c>
      <c r="I887" s="5">
        <v>99</v>
      </c>
      <c r="J887" s="30">
        <v>120</v>
      </c>
      <c r="K887" s="30">
        <v>80</v>
      </c>
      <c r="L887" s="29">
        <f>IF(B887="Nữ",0,2)</f>
        <v>0</v>
      </c>
      <c r="M887" s="29">
        <f ca="1">IF(D887&lt;45,0,IF(D887&lt;=49,1,2))</f>
        <v>2</v>
      </c>
      <c r="N887" s="29">
        <f>IF(E887="Có",4,0)</f>
        <v>0</v>
      </c>
      <c r="O887" s="29">
        <f>IF(H887&lt;23,0,IF(H887&lt;27.5,3,5))</f>
        <v>0</v>
      </c>
      <c r="P887" s="29">
        <f>IF(OR(AND(B887="Nam",I887&gt;=90),AND(B887="Nữ",I887&gt;=80)),2,0)</f>
        <v>2</v>
      </c>
      <c r="Q887" s="29">
        <f>IF(OR(J887&gt;=140,K887&gt;=90),2,0)</f>
        <v>0</v>
      </c>
      <c r="R887" s="29">
        <f ca="1">SUM(L887:Q887)</f>
        <v>4</v>
      </c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5" t="s">
        <v>1393</v>
      </c>
      <c r="AE887" s="33"/>
      <c r="AF887" s="59" t="str">
        <f t="shared" si="40"/>
        <v>Không</v>
      </c>
      <c r="AG887" s="59" t="str">
        <f t="shared" si="41"/>
        <v>Không</v>
      </c>
      <c r="AH887" s="29" t="str">
        <f t="shared" ca="1" si="39"/>
        <v>Không</v>
      </c>
      <c r="AI887" s="29" t="str">
        <f ca="1">IF((R887)&gt;=6,"Có","Không")</f>
        <v>Không</v>
      </c>
      <c r="AJ887" s="29" t="str">
        <f>IF(OR(J887&gt;=140,K887&gt;=90),"Có","Không")</f>
        <v>Không</v>
      </c>
      <c r="AK887" s="5" t="s">
        <v>792</v>
      </c>
      <c r="AL887" s="32">
        <v>46142</v>
      </c>
      <c r="AM887" s="29" t="str">
        <f>"Tháng "&amp;MONTH(AL887)</f>
        <v>Tháng 4</v>
      </c>
      <c r="AN887" s="29" t="str">
        <f>LEFT(AK887,FIND(",",AK887)-1)</f>
        <v>Giống Nhãn A</v>
      </c>
    </row>
    <row r="888" spans="1:40" x14ac:dyDescent="0.25">
      <c r="A888" s="49" t="s">
        <v>793</v>
      </c>
      <c r="B888" s="5" t="s">
        <v>23</v>
      </c>
      <c r="C888" s="5" t="s">
        <v>138</v>
      </c>
      <c r="D888" s="29">
        <f ca="1">DATEDIF(C888,TODAY(),"Y")</f>
        <v>67</v>
      </c>
      <c r="E888" s="5" t="s">
        <v>26</v>
      </c>
      <c r="F888" s="30">
        <v>158</v>
      </c>
      <c r="G888" s="30">
        <v>58</v>
      </c>
      <c r="H888" s="31">
        <f>G888/((F888/100)*(F888/100))</f>
        <v>23.233456176894723</v>
      </c>
      <c r="I888" s="5">
        <v>88</v>
      </c>
      <c r="J888" s="30">
        <v>160</v>
      </c>
      <c r="K888" s="30">
        <v>80</v>
      </c>
      <c r="L888" s="29">
        <f>IF(B888="Nữ",0,2)</f>
        <v>0</v>
      </c>
      <c r="M888" s="29">
        <f ca="1">IF(D888&lt;45,0,IF(D888&lt;=49,1,2))</f>
        <v>2</v>
      </c>
      <c r="N888" s="29">
        <f>IF(E888="Có",4,0)</f>
        <v>0</v>
      </c>
      <c r="O888" s="29">
        <f>IF(H888&lt;23,0,IF(H888&lt;27.5,3,5))</f>
        <v>3</v>
      </c>
      <c r="P888" s="29">
        <f>IF(OR(AND(B888="Nam",I888&gt;=90),AND(B888="Nữ",I888&gt;=80)),2,0)</f>
        <v>2</v>
      </c>
      <c r="Q888" s="29">
        <f>IF(OR(J888&gt;=140,K888&gt;=90),2,0)</f>
        <v>2</v>
      </c>
      <c r="R888" s="29">
        <f ca="1">SUM(L888:Q888)</f>
        <v>9</v>
      </c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5" t="s">
        <v>1393</v>
      </c>
      <c r="AE888" s="33"/>
      <c r="AF888" s="59" t="str">
        <f t="shared" si="40"/>
        <v>Không</v>
      </c>
      <c r="AG888" s="59" t="str">
        <f t="shared" si="41"/>
        <v>Không</v>
      </c>
      <c r="AH888" s="29" t="str">
        <f t="shared" ca="1" si="39"/>
        <v>Có</v>
      </c>
      <c r="AI888" s="29" t="str">
        <f ca="1">IF((R888)&gt;=6,"Có","Không")</f>
        <v>Có</v>
      </c>
      <c r="AJ888" s="29" t="str">
        <f>IF(OR(J888&gt;=140,K888&gt;=90),"Có","Không")</f>
        <v>Có</v>
      </c>
      <c r="AK888" s="5" t="s">
        <v>335</v>
      </c>
      <c r="AL888" s="32">
        <v>46142</v>
      </c>
      <c r="AM888" s="29" t="str">
        <f>"Tháng "&amp;MONTH(AL888)</f>
        <v>Tháng 4</v>
      </c>
      <c r="AN888" s="29" t="str">
        <f>LEFT(AK888,FIND(",",AK888)-1)</f>
        <v>ấp Giồng Giữa B</v>
      </c>
    </row>
    <row r="889" spans="1:40" x14ac:dyDescent="0.25">
      <c r="A889" s="49" t="s">
        <v>794</v>
      </c>
      <c r="B889" s="5" t="s">
        <v>30</v>
      </c>
      <c r="C889" s="5" t="s">
        <v>314</v>
      </c>
      <c r="D889" s="29">
        <f ca="1">DATEDIF(C889,TODAY(),"Y")</f>
        <v>77</v>
      </c>
      <c r="E889" s="5" t="s">
        <v>25</v>
      </c>
      <c r="F889" s="30">
        <v>170</v>
      </c>
      <c r="G889" s="30">
        <v>70</v>
      </c>
      <c r="H889" s="31">
        <f>G889/((F889/100)*(F889/100))</f>
        <v>24.221453287197235</v>
      </c>
      <c r="I889" s="5">
        <v>84</v>
      </c>
      <c r="J889" s="30">
        <v>120</v>
      </c>
      <c r="K889" s="30">
        <v>80</v>
      </c>
      <c r="L889" s="29">
        <f>IF(B889="Nữ",0,2)</f>
        <v>2</v>
      </c>
      <c r="M889" s="29">
        <f ca="1">IF(D889&lt;45,0,IF(D889&lt;=49,1,2))</f>
        <v>2</v>
      </c>
      <c r="N889" s="29">
        <f>IF(E889="Có",4,0)</f>
        <v>4</v>
      </c>
      <c r="O889" s="29">
        <f>IF(H889&lt;23,0,IF(H889&lt;27.5,3,5))</f>
        <v>3</v>
      </c>
      <c r="P889" s="29">
        <f>IF(OR(AND(B889="Nam",I889&gt;=90),AND(B889="Nữ",I889&gt;=80)),2,0)</f>
        <v>0</v>
      </c>
      <c r="Q889" s="29">
        <f>IF(OR(J889&gt;=140,K889&gt;=90),2,0)</f>
        <v>0</v>
      </c>
      <c r="R889" s="29">
        <f ca="1">SUM(L889:Q889)</f>
        <v>11</v>
      </c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5" t="s">
        <v>1393</v>
      </c>
      <c r="AE889" s="33"/>
      <c r="AF889" s="59" t="str">
        <f t="shared" si="40"/>
        <v>Không</v>
      </c>
      <c r="AG889" s="59" t="str">
        <f t="shared" si="41"/>
        <v>Không</v>
      </c>
      <c r="AH889" s="29" t="str">
        <f t="shared" ca="1" si="39"/>
        <v>Có</v>
      </c>
      <c r="AI889" s="29" t="str">
        <f ca="1">IF((R889)&gt;=6,"Có","Không")</f>
        <v>Có</v>
      </c>
      <c r="AJ889" s="29" t="str">
        <f>IF(OR(J889&gt;=140,K889&gt;=90),"Có","Không")</f>
        <v>Không</v>
      </c>
      <c r="AK889" s="5" t="s">
        <v>795</v>
      </c>
      <c r="AL889" s="32">
        <v>46142</v>
      </c>
      <c r="AM889" s="29" t="str">
        <f>"Tháng "&amp;MONTH(AL889)</f>
        <v>Tháng 4</v>
      </c>
      <c r="AN889" s="29" t="str">
        <f>LEFT(AK889,FIND(",",AK889)-1)</f>
        <v>Giồng nhãn</v>
      </c>
    </row>
    <row r="890" spans="1:40" x14ac:dyDescent="0.25">
      <c r="A890" s="49" t="s">
        <v>796</v>
      </c>
      <c r="B890" s="5" t="s">
        <v>23</v>
      </c>
      <c r="C890" s="5" t="s">
        <v>797</v>
      </c>
      <c r="D890" s="29">
        <f ca="1">DATEDIF(C890,TODAY(),"Y")</f>
        <v>85</v>
      </c>
      <c r="E890" s="5" t="s">
        <v>26</v>
      </c>
      <c r="F890" s="30">
        <v>155</v>
      </c>
      <c r="G890" s="30">
        <v>70</v>
      </c>
      <c r="H890" s="31">
        <f>G890/((F890/100)*(F890/100))</f>
        <v>29.136316337148799</v>
      </c>
      <c r="I890" s="5">
        <v>66</v>
      </c>
      <c r="J890" s="30">
        <v>120</v>
      </c>
      <c r="K890" s="30">
        <v>80</v>
      </c>
      <c r="L890" s="29">
        <f>IF(B890="Nữ",0,2)</f>
        <v>0</v>
      </c>
      <c r="M890" s="29">
        <f ca="1">IF(D890&lt;45,0,IF(D890&lt;=49,1,2))</f>
        <v>2</v>
      </c>
      <c r="N890" s="29">
        <f>IF(E890="Có",4,0)</f>
        <v>0</v>
      </c>
      <c r="O890" s="29">
        <f>IF(H890&lt;23,0,IF(H890&lt;27.5,3,5))</f>
        <v>5</v>
      </c>
      <c r="P890" s="29">
        <f>IF(OR(AND(B890="Nam",I890&gt;=90),AND(B890="Nữ",I890&gt;=80)),2,0)</f>
        <v>0</v>
      </c>
      <c r="Q890" s="29">
        <f>IF(OR(J890&gt;=140,K890&gt;=90),2,0)</f>
        <v>0</v>
      </c>
      <c r="R890" s="29">
        <f ca="1">SUM(L890:Q890)</f>
        <v>7</v>
      </c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5" t="s">
        <v>1393</v>
      </c>
      <c r="AE890" s="33"/>
      <c r="AF890" s="59" t="str">
        <f t="shared" si="40"/>
        <v>Không</v>
      </c>
      <c r="AG890" s="59" t="str">
        <f t="shared" si="41"/>
        <v>Không</v>
      </c>
      <c r="AH890" s="29" t="str">
        <f t="shared" ca="1" si="39"/>
        <v>Có</v>
      </c>
      <c r="AI890" s="29" t="str">
        <f ca="1">IF((R890)&gt;=6,"Có","Không")</f>
        <v>Có</v>
      </c>
      <c r="AJ890" s="29" t="str">
        <f>IF(OR(J890&gt;=140,K890&gt;=90),"Có","Không")</f>
        <v>Không</v>
      </c>
      <c r="AK890" s="5" t="s">
        <v>509</v>
      </c>
      <c r="AL890" s="32">
        <v>46142</v>
      </c>
      <c r="AM890" s="29" t="str">
        <f>"Tháng "&amp;MONTH(AL890)</f>
        <v>Tháng 4</v>
      </c>
      <c r="AN890" s="29" t="str">
        <f>LEFT(AK890,FIND(",",AK890)-1)</f>
        <v>Khóm Nhà Mát</v>
      </c>
    </row>
    <row r="891" spans="1:40" x14ac:dyDescent="0.25">
      <c r="A891" s="49" t="s">
        <v>798</v>
      </c>
      <c r="B891" s="5" t="s">
        <v>30</v>
      </c>
      <c r="C891" s="5" t="s">
        <v>203</v>
      </c>
      <c r="D891" s="29">
        <f ca="1">DATEDIF(C891,TODAY(),"Y")</f>
        <v>43</v>
      </c>
      <c r="E891" s="5" t="s">
        <v>25</v>
      </c>
      <c r="F891" s="30">
        <v>160</v>
      </c>
      <c r="G891" s="30">
        <v>55</v>
      </c>
      <c r="H891" s="31">
        <f>G891/((F891/100)*(F891/100))</f>
        <v>21.484374999999996</v>
      </c>
      <c r="I891" s="5">
        <v>70</v>
      </c>
      <c r="J891" s="30">
        <v>120</v>
      </c>
      <c r="K891" s="30">
        <v>70</v>
      </c>
      <c r="L891" s="29">
        <f>IF(B891="Nữ",0,2)</f>
        <v>2</v>
      </c>
      <c r="M891" s="29">
        <f ca="1">IF(D891&lt;45,0,IF(D891&lt;=49,1,2))</f>
        <v>0</v>
      </c>
      <c r="N891" s="29">
        <f>IF(E891="Có",4,0)</f>
        <v>4</v>
      </c>
      <c r="O891" s="29">
        <f>IF(H891&lt;23,0,IF(H891&lt;27.5,3,5))</f>
        <v>0</v>
      </c>
      <c r="P891" s="29">
        <f>IF(OR(AND(B891="Nam",I891&gt;=90),AND(B891="Nữ",I891&gt;=80)),2,0)</f>
        <v>0</v>
      </c>
      <c r="Q891" s="29">
        <f>IF(OR(J891&gt;=140,K891&gt;=90),2,0)</f>
        <v>0</v>
      </c>
      <c r="R891" s="29">
        <f ca="1">SUM(L891:Q891)</f>
        <v>6</v>
      </c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5" t="s">
        <v>1393</v>
      </c>
      <c r="AE891" s="33"/>
      <c r="AF891" s="59" t="str">
        <f t="shared" si="40"/>
        <v>Không</v>
      </c>
      <c r="AG891" s="59" t="str">
        <f t="shared" si="41"/>
        <v>Không</v>
      </c>
      <c r="AH891" s="29" t="str">
        <f t="shared" ca="1" si="39"/>
        <v>Có</v>
      </c>
      <c r="AI891" s="29" t="str">
        <f ca="1">IF((R891)&gt;=6,"Có","Không")</f>
        <v>Có</v>
      </c>
      <c r="AJ891" s="29" t="str">
        <f>IF(OR(J891&gt;=140,K891&gt;=90),"Có","Không")</f>
        <v>Không</v>
      </c>
      <c r="AK891" s="5" t="s">
        <v>94</v>
      </c>
      <c r="AL891" s="32">
        <v>46142</v>
      </c>
      <c r="AM891" s="29" t="str">
        <f>"Tháng "&amp;MONTH(AL891)</f>
        <v>Tháng 4</v>
      </c>
      <c r="AN891" s="29" t="str">
        <f>LEFT(AK891,FIND(",",AK891)-1)</f>
        <v>.</v>
      </c>
    </row>
    <row r="892" spans="1:40" x14ac:dyDescent="0.25">
      <c r="A892" s="49" t="s">
        <v>799</v>
      </c>
      <c r="B892" s="5" t="s">
        <v>23</v>
      </c>
      <c r="C892" s="5" t="s">
        <v>138</v>
      </c>
      <c r="D892" s="29">
        <f ca="1">DATEDIF(C892,TODAY(),"Y")</f>
        <v>67</v>
      </c>
      <c r="E892" s="5" t="s">
        <v>26</v>
      </c>
      <c r="F892" s="30">
        <v>158</v>
      </c>
      <c r="G892" s="30">
        <v>58</v>
      </c>
      <c r="H892" s="31">
        <f>G892/((F892/100)*(F892/100))</f>
        <v>23.233456176894723</v>
      </c>
      <c r="I892" s="5">
        <v>93</v>
      </c>
      <c r="J892" s="30">
        <v>120</v>
      </c>
      <c r="K892" s="30">
        <v>80</v>
      </c>
      <c r="L892" s="29">
        <f>IF(B892="Nữ",0,2)</f>
        <v>0</v>
      </c>
      <c r="M892" s="29">
        <f ca="1">IF(D892&lt;45,0,IF(D892&lt;=49,1,2))</f>
        <v>2</v>
      </c>
      <c r="N892" s="29">
        <f>IF(E892="Có",4,0)</f>
        <v>0</v>
      </c>
      <c r="O892" s="29">
        <f>IF(H892&lt;23,0,IF(H892&lt;27.5,3,5))</f>
        <v>3</v>
      </c>
      <c r="P892" s="29">
        <f>IF(OR(AND(B892="Nam",I892&gt;=90),AND(B892="Nữ",I892&gt;=80)),2,0)</f>
        <v>2</v>
      </c>
      <c r="Q892" s="29">
        <f>IF(OR(J892&gt;=140,K892&gt;=90),2,0)</f>
        <v>0</v>
      </c>
      <c r="R892" s="29">
        <f ca="1">SUM(L892:Q892)</f>
        <v>7</v>
      </c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5" t="s">
        <v>1393</v>
      </c>
      <c r="AE892" s="33"/>
      <c r="AF892" s="59" t="str">
        <f t="shared" si="40"/>
        <v>Không</v>
      </c>
      <c r="AG892" s="59" t="str">
        <f t="shared" si="41"/>
        <v>Không</v>
      </c>
      <c r="AH892" s="29" t="str">
        <f t="shared" ca="1" si="39"/>
        <v>Có</v>
      </c>
      <c r="AI892" s="29" t="str">
        <f ca="1">IF((R892)&gt;=6,"Có","Không")</f>
        <v>Có</v>
      </c>
      <c r="AJ892" s="29" t="str">
        <f>IF(OR(J892&gt;=140,K892&gt;=90),"Có","Không")</f>
        <v>Không</v>
      </c>
      <c r="AK892" s="5" t="s">
        <v>800</v>
      </c>
      <c r="AL892" s="32">
        <v>46142</v>
      </c>
      <c r="AM892" s="29" t="str">
        <f>"Tháng "&amp;MONTH(AL892)</f>
        <v>Tháng 4</v>
      </c>
      <c r="AN892" s="29" t="str">
        <f>LEFT(AK892,FIND(",",AK892)-1)</f>
        <v>ẤP GIỒNG GIỮA B</v>
      </c>
    </row>
    <row r="893" spans="1:40" x14ac:dyDescent="0.25">
      <c r="A893" s="49" t="s">
        <v>801</v>
      </c>
      <c r="B893" s="5" t="s">
        <v>30</v>
      </c>
      <c r="C893" s="5" t="s">
        <v>146</v>
      </c>
      <c r="D893" s="29">
        <f ca="1">DATEDIF(C893,TODAY(),"Y")</f>
        <v>52</v>
      </c>
      <c r="E893" s="5" t="s">
        <v>25</v>
      </c>
      <c r="F893" s="30">
        <v>158</v>
      </c>
      <c r="G893" s="30">
        <v>57</v>
      </c>
      <c r="H893" s="31">
        <f>G893/((F893/100)*(F893/100))</f>
        <v>22.832879346258608</v>
      </c>
      <c r="I893" s="5">
        <v>86</v>
      </c>
      <c r="J893" s="30">
        <v>120</v>
      </c>
      <c r="K893" s="30">
        <v>70</v>
      </c>
      <c r="L893" s="29">
        <f>IF(B893="Nữ",0,2)</f>
        <v>2</v>
      </c>
      <c r="M893" s="29">
        <f ca="1">IF(D893&lt;45,0,IF(D893&lt;=49,1,2))</f>
        <v>2</v>
      </c>
      <c r="N893" s="29">
        <f>IF(E893="Có",4,0)</f>
        <v>4</v>
      </c>
      <c r="O893" s="29">
        <f>IF(H893&lt;23,0,IF(H893&lt;27.5,3,5))</f>
        <v>0</v>
      </c>
      <c r="P893" s="29">
        <f>IF(OR(AND(B893="Nam",I893&gt;=90),AND(B893="Nữ",I893&gt;=80)),2,0)</f>
        <v>0</v>
      </c>
      <c r="Q893" s="29">
        <f>IF(OR(J893&gt;=140,K893&gt;=90),2,0)</f>
        <v>0</v>
      </c>
      <c r="R893" s="29">
        <f ca="1">SUM(L893:Q893)</f>
        <v>8</v>
      </c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5" t="s">
        <v>1393</v>
      </c>
      <c r="AE893" s="33"/>
      <c r="AF893" s="59" t="str">
        <f t="shared" si="40"/>
        <v>Không</v>
      </c>
      <c r="AG893" s="59" t="str">
        <f t="shared" si="41"/>
        <v>Không</v>
      </c>
      <c r="AH893" s="29" t="str">
        <f t="shared" ca="1" si="39"/>
        <v>Có</v>
      </c>
      <c r="AI893" s="29" t="str">
        <f ca="1">IF((R893)&gt;=6,"Có","Không")</f>
        <v>Có</v>
      </c>
      <c r="AJ893" s="29" t="str">
        <f>IF(OR(J893&gt;=140,K893&gt;=90),"Có","Không")</f>
        <v>Không</v>
      </c>
      <c r="AK893" s="5" t="s">
        <v>342</v>
      </c>
      <c r="AL893" s="32">
        <v>46142</v>
      </c>
      <c r="AM893" s="29" t="str">
        <f>"Tháng "&amp;MONTH(AL893)</f>
        <v>Tháng 4</v>
      </c>
      <c r="AN893" s="29" t="str">
        <f>LEFT(AK893,FIND(",",AK893)-1)</f>
        <v>ấp Giồng nhãn A</v>
      </c>
    </row>
    <row r="894" spans="1:40" x14ac:dyDescent="0.25">
      <c r="A894" s="49" t="s">
        <v>802</v>
      </c>
      <c r="B894" s="5" t="s">
        <v>23</v>
      </c>
      <c r="C894" s="5" t="s">
        <v>341</v>
      </c>
      <c r="D894" s="29">
        <f ca="1">DATEDIF(C894,TODAY(),"Y")</f>
        <v>51</v>
      </c>
      <c r="E894" s="5" t="s">
        <v>26</v>
      </c>
      <c r="F894" s="30">
        <v>158</v>
      </c>
      <c r="G894" s="30">
        <v>58</v>
      </c>
      <c r="H894" s="31">
        <f>G894/((F894/100)*(F894/100))</f>
        <v>23.233456176894723</v>
      </c>
      <c r="I894" s="5">
        <v>74</v>
      </c>
      <c r="J894" s="30">
        <v>120</v>
      </c>
      <c r="K894" s="30">
        <v>80</v>
      </c>
      <c r="L894" s="29">
        <f>IF(B894="Nữ",0,2)</f>
        <v>0</v>
      </c>
      <c r="M894" s="29">
        <f ca="1">IF(D894&lt;45,0,IF(D894&lt;=49,1,2))</f>
        <v>2</v>
      </c>
      <c r="N894" s="29">
        <f>IF(E894="Có",4,0)</f>
        <v>0</v>
      </c>
      <c r="O894" s="29">
        <f>IF(H894&lt;23,0,IF(H894&lt;27.5,3,5))</f>
        <v>3</v>
      </c>
      <c r="P894" s="29">
        <f>IF(OR(AND(B894="Nam",I894&gt;=90),AND(B894="Nữ",I894&gt;=80)),2,0)</f>
        <v>0</v>
      </c>
      <c r="Q894" s="29">
        <f>IF(OR(J894&gt;=140,K894&gt;=90),2,0)</f>
        <v>0</v>
      </c>
      <c r="R894" s="29">
        <f ca="1">SUM(L894:Q894)</f>
        <v>5</v>
      </c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5" t="s">
        <v>1393</v>
      </c>
      <c r="AE894" s="33"/>
      <c r="AF894" s="59" t="str">
        <f t="shared" si="40"/>
        <v>Không</v>
      </c>
      <c r="AG894" s="59" t="str">
        <f t="shared" si="41"/>
        <v>Không</v>
      </c>
      <c r="AH894" s="29" t="str">
        <f t="shared" ca="1" si="39"/>
        <v>Không</v>
      </c>
      <c r="AI894" s="29" t="str">
        <f ca="1">IF((R894)&gt;=6,"Có","Không")</f>
        <v>Không</v>
      </c>
      <c r="AJ894" s="29" t="str">
        <f>IF(OR(J894&gt;=140,K894&gt;=90),"Có","Không")</f>
        <v>Không</v>
      </c>
      <c r="AK894" s="5" t="s">
        <v>402</v>
      </c>
      <c r="AL894" s="32">
        <v>46142</v>
      </c>
      <c r="AM894" s="29" t="str">
        <f>"Tháng "&amp;MONTH(AL894)</f>
        <v>Tháng 4</v>
      </c>
      <c r="AN894" s="29" t="str">
        <f>LEFT(AK894,FIND(",",AK894)-1)</f>
        <v>Ấp An Trạch Đông</v>
      </c>
    </row>
    <row r="895" spans="1:40" x14ac:dyDescent="0.25">
      <c r="A895" s="49" t="s">
        <v>803</v>
      </c>
      <c r="B895" s="5" t="s">
        <v>23</v>
      </c>
      <c r="C895" s="5" t="s">
        <v>87</v>
      </c>
      <c r="D895" s="29">
        <f ca="1">DATEDIF(C895,TODAY(),"Y")</f>
        <v>49</v>
      </c>
      <c r="E895" s="5" t="s">
        <v>26</v>
      </c>
      <c r="F895" s="30">
        <v>158</v>
      </c>
      <c r="G895" s="30">
        <v>58</v>
      </c>
      <c r="H895" s="31">
        <f>G895/((F895/100)*(F895/100))</f>
        <v>23.233456176894723</v>
      </c>
      <c r="I895" s="5">
        <v>84</v>
      </c>
      <c r="J895" s="30">
        <v>120</v>
      </c>
      <c r="K895" s="30">
        <v>80</v>
      </c>
      <c r="L895" s="29">
        <f>IF(B895="Nữ",0,2)</f>
        <v>0</v>
      </c>
      <c r="M895" s="29">
        <f ca="1">IF(D895&lt;45,0,IF(D895&lt;=49,1,2))</f>
        <v>1</v>
      </c>
      <c r="N895" s="29">
        <f>IF(E895="Có",4,0)</f>
        <v>0</v>
      </c>
      <c r="O895" s="29">
        <f>IF(H895&lt;23,0,IF(H895&lt;27.5,3,5))</f>
        <v>3</v>
      </c>
      <c r="P895" s="29">
        <f>IF(OR(AND(B895="Nam",I895&gt;=90),AND(B895="Nữ",I895&gt;=80)),2,0)</f>
        <v>2</v>
      </c>
      <c r="Q895" s="29">
        <f>IF(OR(J895&gt;=140,K895&gt;=90),2,0)</f>
        <v>0</v>
      </c>
      <c r="R895" s="29">
        <f ca="1">SUM(L895:Q895)</f>
        <v>6</v>
      </c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5" t="s">
        <v>1393</v>
      </c>
      <c r="AE895" s="33"/>
      <c r="AF895" s="59" t="str">
        <f t="shared" si="40"/>
        <v>Không</v>
      </c>
      <c r="AG895" s="59" t="str">
        <f t="shared" si="41"/>
        <v>Không</v>
      </c>
      <c r="AH895" s="29" t="str">
        <f t="shared" ca="1" si="39"/>
        <v>Có</v>
      </c>
      <c r="AI895" s="29" t="str">
        <f ca="1">IF((R895)&gt;=6,"Có","Không")</f>
        <v>Có</v>
      </c>
      <c r="AJ895" s="29" t="str">
        <f>IF(OR(J895&gt;=140,K895&gt;=90),"Có","Không")</f>
        <v>Không</v>
      </c>
      <c r="AK895" s="5" t="s">
        <v>164</v>
      </c>
      <c r="AL895" s="32">
        <v>46142</v>
      </c>
      <c r="AM895" s="29" t="str">
        <f>"Tháng "&amp;MONTH(AL895)</f>
        <v>Tháng 4</v>
      </c>
      <c r="AN895" s="29" t="str">
        <f>LEFT(AK895,FIND(",",AK895)-1)</f>
        <v>ấp Biển Đông B</v>
      </c>
    </row>
    <row r="896" spans="1:40" x14ac:dyDescent="0.25">
      <c r="A896" s="49" t="s">
        <v>804</v>
      </c>
      <c r="B896" s="5" t="s">
        <v>23</v>
      </c>
      <c r="C896" s="5" t="s">
        <v>163</v>
      </c>
      <c r="D896" s="29">
        <f ca="1">DATEDIF(C896,TODAY(),"Y")</f>
        <v>46</v>
      </c>
      <c r="E896" s="5" t="s">
        <v>26</v>
      </c>
      <c r="F896" s="30">
        <v>158</v>
      </c>
      <c r="G896" s="30">
        <v>58</v>
      </c>
      <c r="H896" s="31">
        <f>G896/((F896/100)*(F896/100))</f>
        <v>23.233456176894723</v>
      </c>
      <c r="I896" s="5">
        <v>80</v>
      </c>
      <c r="J896" s="30">
        <v>120</v>
      </c>
      <c r="K896" s="30">
        <v>80</v>
      </c>
      <c r="L896" s="29">
        <f>IF(B896="Nữ",0,2)</f>
        <v>0</v>
      </c>
      <c r="M896" s="29">
        <f ca="1">IF(D896&lt;45,0,IF(D896&lt;=49,1,2))</f>
        <v>1</v>
      </c>
      <c r="N896" s="29">
        <f>IF(E896="Có",4,0)</f>
        <v>0</v>
      </c>
      <c r="O896" s="29">
        <f>IF(H896&lt;23,0,IF(H896&lt;27.5,3,5))</f>
        <v>3</v>
      </c>
      <c r="P896" s="29">
        <f>IF(OR(AND(B896="Nam",I896&gt;=90),AND(B896="Nữ",I896&gt;=80)),2,0)</f>
        <v>2</v>
      </c>
      <c r="Q896" s="29">
        <f>IF(OR(J896&gt;=140,K896&gt;=90),2,0)</f>
        <v>0</v>
      </c>
      <c r="R896" s="29">
        <f ca="1">SUM(L896:Q896)</f>
        <v>6</v>
      </c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5" t="s">
        <v>1393</v>
      </c>
      <c r="AE896" s="33"/>
      <c r="AF896" s="59" t="str">
        <f t="shared" si="40"/>
        <v>Không</v>
      </c>
      <c r="AG896" s="59" t="str">
        <f t="shared" si="41"/>
        <v>Không</v>
      </c>
      <c r="AH896" s="29" t="str">
        <f t="shared" ca="1" si="39"/>
        <v>Có</v>
      </c>
      <c r="AI896" s="29" t="str">
        <f ca="1">IF((R896)&gt;=6,"Có","Không")</f>
        <v>Có</v>
      </c>
      <c r="AJ896" s="29" t="str">
        <f>IF(OR(J896&gt;=140,K896&gt;=90),"Có","Không")</f>
        <v>Không</v>
      </c>
      <c r="AK896" s="5" t="s">
        <v>164</v>
      </c>
      <c r="AL896" s="32">
        <v>46142</v>
      </c>
      <c r="AM896" s="29" t="str">
        <f>"Tháng "&amp;MONTH(AL896)</f>
        <v>Tháng 4</v>
      </c>
      <c r="AN896" s="29" t="str">
        <f>LEFT(AK896,FIND(",",AK896)-1)</f>
        <v>ấp Biển Đông B</v>
      </c>
    </row>
    <row r="897" spans="1:40" x14ac:dyDescent="0.25">
      <c r="A897" s="49" t="s">
        <v>806</v>
      </c>
      <c r="B897" s="5" t="s">
        <v>23</v>
      </c>
      <c r="C897" s="5" t="s">
        <v>110</v>
      </c>
      <c r="D897" s="29">
        <f ca="1">DATEDIF(C897,TODAY(),"Y")</f>
        <v>62</v>
      </c>
      <c r="E897" s="5" t="s">
        <v>26</v>
      </c>
      <c r="F897" s="30">
        <v>158</v>
      </c>
      <c r="G897" s="30">
        <v>58</v>
      </c>
      <c r="H897" s="31">
        <f>G897/((F897/100)*(F897/100))</f>
        <v>23.233456176894723</v>
      </c>
      <c r="I897" s="5">
        <v>77</v>
      </c>
      <c r="J897" s="30">
        <v>130</v>
      </c>
      <c r="K897" s="30">
        <v>80</v>
      </c>
      <c r="L897" s="29">
        <f>IF(B897="Nữ",0,2)</f>
        <v>0</v>
      </c>
      <c r="M897" s="29">
        <f ca="1">IF(D897&lt;45,0,IF(D897&lt;=49,1,2))</f>
        <v>2</v>
      </c>
      <c r="N897" s="29">
        <f>IF(E897="Có",4,0)</f>
        <v>0</v>
      </c>
      <c r="O897" s="29">
        <f>IF(H897&lt;23,0,IF(H897&lt;27.5,3,5))</f>
        <v>3</v>
      </c>
      <c r="P897" s="29">
        <f>IF(OR(AND(B897="Nam",I897&gt;=90),AND(B897="Nữ",I897&gt;=80)),2,0)</f>
        <v>0</v>
      </c>
      <c r="Q897" s="29">
        <f>IF(OR(J897&gt;=140,K897&gt;=90),2,0)</f>
        <v>0</v>
      </c>
      <c r="R897" s="29">
        <f ca="1">SUM(L897:Q897)</f>
        <v>5</v>
      </c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5" t="s">
        <v>1393</v>
      </c>
      <c r="AE897" s="33"/>
      <c r="AF897" s="59" t="str">
        <f t="shared" si="40"/>
        <v>Không</v>
      </c>
      <c r="AG897" s="59" t="str">
        <f t="shared" si="41"/>
        <v>Không</v>
      </c>
      <c r="AH897" s="29" t="str">
        <f t="shared" ca="1" si="39"/>
        <v>Không</v>
      </c>
      <c r="AI897" s="29" t="str">
        <f ca="1">IF((R897)&gt;=6,"Có","Không")</f>
        <v>Không</v>
      </c>
      <c r="AJ897" s="29" t="str">
        <f>IF(OR(J897&gt;=140,K897&gt;=90),"Có","Không")</f>
        <v>Không</v>
      </c>
      <c r="AK897" s="5" t="s">
        <v>140</v>
      </c>
      <c r="AL897" s="32">
        <v>46142</v>
      </c>
      <c r="AM897" s="29" t="str">
        <f>"Tháng "&amp;MONTH(AL897)</f>
        <v>Tháng 4</v>
      </c>
      <c r="AN897" s="29" t="str">
        <f>LEFT(AK897,FIND(",",AK897)-1)</f>
        <v>Biển Tây A</v>
      </c>
    </row>
    <row r="898" spans="1:40" x14ac:dyDescent="0.25">
      <c r="A898" s="49" t="s">
        <v>808</v>
      </c>
      <c r="B898" s="5" t="s">
        <v>30</v>
      </c>
      <c r="C898" s="5" t="s">
        <v>40</v>
      </c>
      <c r="D898" s="29">
        <f ca="1">DATEDIF(C898,TODAY(),"Y")</f>
        <v>70</v>
      </c>
      <c r="E898" s="5" t="s">
        <v>26</v>
      </c>
      <c r="F898" s="30">
        <v>169</v>
      </c>
      <c r="G898" s="30">
        <v>68</v>
      </c>
      <c r="H898" s="31">
        <f>G898/((F898/100)*(F898/100))</f>
        <v>23.808690171912751</v>
      </c>
      <c r="I898" s="5">
        <v>78</v>
      </c>
      <c r="J898" s="30">
        <v>120</v>
      </c>
      <c r="K898" s="30">
        <v>80</v>
      </c>
      <c r="L898" s="29">
        <f>IF(B898="Nữ",0,2)</f>
        <v>2</v>
      </c>
      <c r="M898" s="29">
        <f ca="1">IF(D898&lt;45,0,IF(D898&lt;=49,1,2))</f>
        <v>2</v>
      </c>
      <c r="N898" s="29">
        <f>IF(E898="Có",4,0)</f>
        <v>0</v>
      </c>
      <c r="O898" s="29">
        <f>IF(H898&lt;23,0,IF(H898&lt;27.5,3,5))</f>
        <v>3</v>
      </c>
      <c r="P898" s="29">
        <f>IF(OR(AND(B898="Nam",I898&gt;=90),AND(B898="Nữ",I898&gt;=80)),2,0)</f>
        <v>0</v>
      </c>
      <c r="Q898" s="29">
        <f>IF(OR(J898&gt;=140,K898&gt;=90),2,0)</f>
        <v>0</v>
      </c>
      <c r="R898" s="29">
        <f ca="1">SUM(L898:Q898)</f>
        <v>7</v>
      </c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5" t="s">
        <v>1393</v>
      </c>
      <c r="AE898" s="33"/>
      <c r="AF898" s="59" t="str">
        <f t="shared" si="40"/>
        <v>Không</v>
      </c>
      <c r="AG898" s="59" t="str">
        <f t="shared" si="41"/>
        <v>Không</v>
      </c>
      <c r="AH898" s="29" t="str">
        <f t="shared" ca="1" si="39"/>
        <v>Có</v>
      </c>
      <c r="AI898" s="29" t="str">
        <f ca="1">IF((R898)&gt;=6,"Có","Không")</f>
        <v>Có</v>
      </c>
      <c r="AJ898" s="29" t="str">
        <f>IF(OR(J898&gt;=140,K898&gt;=90),"Có","Không")</f>
        <v>Không</v>
      </c>
      <c r="AK898" s="5" t="s">
        <v>72</v>
      </c>
      <c r="AL898" s="32">
        <v>46142</v>
      </c>
      <c r="AM898" s="29" t="str">
        <f>"Tháng "&amp;MONTH(AL898)</f>
        <v>Tháng 4</v>
      </c>
      <c r="AN898" s="29" t="str">
        <f>LEFT(AK898,FIND(",",AK898)-1)</f>
        <v>Ấp Giồng Giữa A</v>
      </c>
    </row>
    <row r="899" spans="1:40" x14ac:dyDescent="0.25">
      <c r="A899" s="49" t="s">
        <v>810</v>
      </c>
      <c r="B899" s="5" t="s">
        <v>23</v>
      </c>
      <c r="C899" s="5" t="s">
        <v>62</v>
      </c>
      <c r="D899" s="29">
        <f ca="1">DATEDIF(C899,TODAY(),"Y")</f>
        <v>64</v>
      </c>
      <c r="E899" s="5" t="s">
        <v>26</v>
      </c>
      <c r="F899" s="30">
        <v>158</v>
      </c>
      <c r="G899" s="30">
        <v>58</v>
      </c>
      <c r="H899" s="31">
        <f>G899/((F899/100)*(F899/100))</f>
        <v>23.233456176894723</v>
      </c>
      <c r="I899" s="5">
        <v>65</v>
      </c>
      <c r="J899" s="30">
        <v>130</v>
      </c>
      <c r="K899" s="30">
        <v>80</v>
      </c>
      <c r="L899" s="29">
        <f>IF(B899="Nữ",0,2)</f>
        <v>0</v>
      </c>
      <c r="M899" s="29">
        <f ca="1">IF(D899&lt;45,0,IF(D899&lt;=49,1,2))</f>
        <v>2</v>
      </c>
      <c r="N899" s="29">
        <f>IF(E899="Có",4,0)</f>
        <v>0</v>
      </c>
      <c r="O899" s="29">
        <f>IF(H899&lt;23,0,IF(H899&lt;27.5,3,5))</f>
        <v>3</v>
      </c>
      <c r="P899" s="29">
        <f>IF(OR(AND(B899="Nam",I899&gt;=90),AND(B899="Nữ",I899&gt;=80)),2,0)</f>
        <v>0</v>
      </c>
      <c r="Q899" s="29">
        <f>IF(OR(J899&gt;=140,K899&gt;=90),2,0)</f>
        <v>0</v>
      </c>
      <c r="R899" s="29">
        <f ca="1">SUM(L899:Q899)</f>
        <v>5</v>
      </c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5" t="s">
        <v>1393</v>
      </c>
      <c r="AE899" s="33"/>
      <c r="AF899" s="59" t="str">
        <f t="shared" si="40"/>
        <v>Không</v>
      </c>
      <c r="AG899" s="59" t="str">
        <f t="shared" si="41"/>
        <v>Không</v>
      </c>
      <c r="AH899" s="29" t="str">
        <f t="shared" ca="1" si="39"/>
        <v>Không</v>
      </c>
      <c r="AI899" s="29" t="str">
        <f ca="1">IF((R899)&gt;=6,"Có","Không")</f>
        <v>Không</v>
      </c>
      <c r="AJ899" s="29" t="str">
        <f>IF(OR(J899&gt;=140,K899&gt;=90),"Có","Không")</f>
        <v>Không</v>
      </c>
      <c r="AK899" s="5" t="s">
        <v>51</v>
      </c>
      <c r="AL899" s="32">
        <v>46142</v>
      </c>
      <c r="AM899" s="29" t="str">
        <f>"Tháng "&amp;MONTH(AL899)</f>
        <v>Tháng 4</v>
      </c>
      <c r="AN899" s="29" t="str">
        <f>LEFT(AK899,FIND(",",AK899)-1)</f>
        <v>Phường Hiệp Thành</v>
      </c>
    </row>
    <row r="900" spans="1:40" x14ac:dyDescent="0.25">
      <c r="A900" s="49" t="s">
        <v>811</v>
      </c>
      <c r="B900" s="5" t="s">
        <v>23</v>
      </c>
      <c r="C900" s="5" t="s">
        <v>163</v>
      </c>
      <c r="D900" s="29">
        <f ca="1">DATEDIF(C900,TODAY(),"Y")</f>
        <v>46</v>
      </c>
      <c r="E900" s="5" t="s">
        <v>25</v>
      </c>
      <c r="F900" s="30">
        <v>158</v>
      </c>
      <c r="G900" s="30">
        <v>58</v>
      </c>
      <c r="H900" s="31">
        <f>G900/((F900/100)*(F900/100))</f>
        <v>23.233456176894723</v>
      </c>
      <c r="I900" s="5">
        <v>82</v>
      </c>
      <c r="J900" s="30">
        <v>120</v>
      </c>
      <c r="K900" s="30">
        <v>80</v>
      </c>
      <c r="L900" s="29">
        <f>IF(B900="Nữ",0,2)</f>
        <v>0</v>
      </c>
      <c r="M900" s="29">
        <f ca="1">IF(D900&lt;45,0,IF(D900&lt;=49,1,2))</f>
        <v>1</v>
      </c>
      <c r="N900" s="29">
        <f>IF(E900="Có",4,0)</f>
        <v>4</v>
      </c>
      <c r="O900" s="29">
        <f>IF(H900&lt;23,0,IF(H900&lt;27.5,3,5))</f>
        <v>3</v>
      </c>
      <c r="P900" s="29">
        <f>IF(OR(AND(B900="Nam",I900&gt;=90),AND(B900="Nữ",I900&gt;=80)),2,0)</f>
        <v>2</v>
      </c>
      <c r="Q900" s="29">
        <f>IF(OR(J900&gt;=140,K900&gt;=90),2,0)</f>
        <v>0</v>
      </c>
      <c r="R900" s="29">
        <f ca="1">SUM(L900:Q900)</f>
        <v>10</v>
      </c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5" t="s">
        <v>1393</v>
      </c>
      <c r="AE900" s="33"/>
      <c r="AF900" s="59" t="str">
        <f t="shared" si="40"/>
        <v>Không</v>
      </c>
      <c r="AG900" s="59" t="str">
        <f t="shared" si="41"/>
        <v>Không</v>
      </c>
      <c r="AH900" s="29" t="str">
        <f t="shared" ref="AH900:AH963" ca="1" si="42">IF((R900)&gt;=6,"Có","Không")</f>
        <v>Có</v>
      </c>
      <c r="AI900" s="29" t="str">
        <f ca="1">IF((R900)&gt;=6,"Có","Không")</f>
        <v>Có</v>
      </c>
      <c r="AJ900" s="29" t="str">
        <f>IF(OR(J900&gt;=140,K900&gt;=90),"Có","Không")</f>
        <v>Không</v>
      </c>
      <c r="AK900" s="5" t="s">
        <v>365</v>
      </c>
      <c r="AL900" s="32">
        <v>46142</v>
      </c>
      <c r="AM900" s="29" t="str">
        <f>"Tháng "&amp;MONTH(AL900)</f>
        <v>Tháng 4</v>
      </c>
      <c r="AN900" s="29" t="str">
        <f>LEFT(AK900,FIND(",",AK900)-1)</f>
        <v>Phường Bạc Liêu</v>
      </c>
    </row>
    <row r="901" spans="1:40" x14ac:dyDescent="0.25">
      <c r="A901" s="49" t="s">
        <v>812</v>
      </c>
      <c r="B901" s="5" t="s">
        <v>23</v>
      </c>
      <c r="C901" s="5" t="s">
        <v>256</v>
      </c>
      <c r="D901" s="29">
        <f ca="1">DATEDIF(C901,TODAY(),"Y")</f>
        <v>41</v>
      </c>
      <c r="E901" s="5" t="s">
        <v>26</v>
      </c>
      <c r="F901" s="30">
        <v>158</v>
      </c>
      <c r="G901" s="30">
        <v>58</v>
      </c>
      <c r="H901" s="31">
        <f>G901/((F901/100)*(F901/100))</f>
        <v>23.233456176894723</v>
      </c>
      <c r="I901" s="5">
        <v>85</v>
      </c>
      <c r="J901" s="30">
        <v>120</v>
      </c>
      <c r="K901" s="30">
        <v>80</v>
      </c>
      <c r="L901" s="29">
        <f>IF(B901="Nữ",0,2)</f>
        <v>0</v>
      </c>
      <c r="M901" s="29">
        <f ca="1">IF(D901&lt;45,0,IF(D901&lt;=49,1,2))</f>
        <v>0</v>
      </c>
      <c r="N901" s="29">
        <f>IF(E901="Có",4,0)</f>
        <v>0</v>
      </c>
      <c r="O901" s="29">
        <f>IF(H901&lt;23,0,IF(H901&lt;27.5,3,5))</f>
        <v>3</v>
      </c>
      <c r="P901" s="29">
        <f>IF(OR(AND(B901="Nam",I901&gt;=90),AND(B901="Nữ",I901&gt;=80)),2,0)</f>
        <v>2</v>
      </c>
      <c r="Q901" s="29">
        <f>IF(OR(J901&gt;=140,K901&gt;=90),2,0)</f>
        <v>0</v>
      </c>
      <c r="R901" s="29">
        <f ca="1">SUM(L901:Q901)</f>
        <v>5</v>
      </c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5" t="s">
        <v>1393</v>
      </c>
      <c r="AE901" s="33"/>
      <c r="AF901" s="59" t="str">
        <f t="shared" ref="AF901:AF964" si="43">IF(COUNTIF(S901:Z901,"X")&gt;=2,"Có","Không")</f>
        <v>Không</v>
      </c>
      <c r="AG901" s="59" t="str">
        <f t="shared" ref="AG901:AG964" si="44">IF(COUNTIF(AA901:AE901,"X")&gt;=3,"Có","Không")</f>
        <v>Không</v>
      </c>
      <c r="AH901" s="29" t="str">
        <f t="shared" ca="1" si="42"/>
        <v>Không</v>
      </c>
      <c r="AI901" s="29" t="str">
        <f ca="1">IF((R901)&gt;=6,"Có","Không")</f>
        <v>Không</v>
      </c>
      <c r="AJ901" s="29" t="str">
        <f>IF(OR(J901&gt;=140,K901&gt;=90),"Có","Không")</f>
        <v>Không</v>
      </c>
      <c r="AK901" s="5" t="s">
        <v>51</v>
      </c>
      <c r="AL901" s="32">
        <v>46142</v>
      </c>
      <c r="AM901" s="29" t="str">
        <f>"Tháng "&amp;MONTH(AL901)</f>
        <v>Tháng 4</v>
      </c>
      <c r="AN901" s="29" t="str">
        <f>LEFT(AK901,FIND(",",AK901)-1)</f>
        <v>Phường Hiệp Thành</v>
      </c>
    </row>
    <row r="902" spans="1:40" x14ac:dyDescent="0.25">
      <c r="A902" s="49" t="s">
        <v>813</v>
      </c>
      <c r="B902" s="5" t="s">
        <v>30</v>
      </c>
      <c r="C902" s="5" t="s">
        <v>163</v>
      </c>
      <c r="D902" s="29">
        <f ca="1">DATEDIF(C902,TODAY(),"Y")</f>
        <v>46</v>
      </c>
      <c r="E902" s="5" t="s">
        <v>25</v>
      </c>
      <c r="F902" s="30">
        <v>170</v>
      </c>
      <c r="G902" s="30">
        <v>52</v>
      </c>
      <c r="H902" s="31">
        <f>G902/((F902/100)*(F902/100))</f>
        <v>17.993079584775089</v>
      </c>
      <c r="I902" s="5">
        <v>72</v>
      </c>
      <c r="J902" s="30">
        <v>120</v>
      </c>
      <c r="K902" s="30">
        <v>80</v>
      </c>
      <c r="L902" s="29">
        <f>IF(B902="Nữ",0,2)</f>
        <v>2</v>
      </c>
      <c r="M902" s="29">
        <f ca="1">IF(D902&lt;45,0,IF(D902&lt;=49,1,2))</f>
        <v>1</v>
      </c>
      <c r="N902" s="29">
        <f>IF(E902="Có",4,0)</f>
        <v>4</v>
      </c>
      <c r="O902" s="29">
        <f>IF(H902&lt;23,0,IF(H902&lt;27.5,3,5))</f>
        <v>0</v>
      </c>
      <c r="P902" s="29">
        <f>IF(OR(AND(B902="Nam",I902&gt;=90),AND(B902="Nữ",I902&gt;=80)),2,0)</f>
        <v>0</v>
      </c>
      <c r="Q902" s="29">
        <f>IF(OR(J902&gt;=140,K902&gt;=90),2,0)</f>
        <v>0</v>
      </c>
      <c r="R902" s="29">
        <f ca="1">SUM(L902:Q902)</f>
        <v>7</v>
      </c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5" t="s">
        <v>1393</v>
      </c>
      <c r="AE902" s="33"/>
      <c r="AF902" s="59" t="str">
        <f t="shared" si="43"/>
        <v>Không</v>
      </c>
      <c r="AG902" s="59" t="str">
        <f t="shared" si="44"/>
        <v>Không</v>
      </c>
      <c r="AH902" s="29" t="str">
        <f t="shared" ca="1" si="42"/>
        <v>Có</v>
      </c>
      <c r="AI902" s="29" t="str">
        <f ca="1">IF((R902)&gt;=6,"Có","Không")</f>
        <v>Có</v>
      </c>
      <c r="AJ902" s="29" t="str">
        <f>IF(OR(J902&gt;=140,K902&gt;=90),"Có","Không")</f>
        <v>Không</v>
      </c>
      <c r="AK902" s="5" t="s">
        <v>122</v>
      </c>
      <c r="AL902" s="32">
        <v>46142</v>
      </c>
      <c r="AM902" s="29" t="str">
        <f>"Tháng "&amp;MONTH(AL902)</f>
        <v>Tháng 4</v>
      </c>
      <c r="AN902" s="29" t="str">
        <f>LEFT(AK902,FIND(",",AK902)-1)</f>
        <v>Giồng Nhãn</v>
      </c>
    </row>
    <row r="903" spans="1:40" x14ac:dyDescent="0.25">
      <c r="A903" s="49" t="s">
        <v>821</v>
      </c>
      <c r="B903" s="5" t="s">
        <v>30</v>
      </c>
      <c r="C903" s="5" t="s">
        <v>146</v>
      </c>
      <c r="D903" s="29">
        <f ca="1">DATEDIF(C903,TODAY(),"Y")</f>
        <v>52</v>
      </c>
      <c r="E903" s="5" t="s">
        <v>26</v>
      </c>
      <c r="F903" s="30">
        <v>167</v>
      </c>
      <c r="G903" s="30">
        <v>70</v>
      </c>
      <c r="H903" s="31">
        <f>G903/((F903/100)*(F903/100))</f>
        <v>25.099501595611173</v>
      </c>
      <c r="I903" s="5">
        <v>90</v>
      </c>
      <c r="J903" s="30">
        <v>120</v>
      </c>
      <c r="K903" s="30">
        <v>80</v>
      </c>
      <c r="L903" s="29">
        <f>IF(B903="Nữ",0,2)</f>
        <v>2</v>
      </c>
      <c r="M903" s="29">
        <f ca="1">IF(D903&lt;45,0,IF(D903&lt;=49,1,2))</f>
        <v>2</v>
      </c>
      <c r="N903" s="29">
        <f>IF(E903="Có",4,0)</f>
        <v>0</v>
      </c>
      <c r="O903" s="29">
        <f>IF(H903&lt;23,0,IF(H903&lt;27.5,3,5))</f>
        <v>3</v>
      </c>
      <c r="P903" s="29">
        <f>IF(OR(AND(B903="Nam",I903&gt;=90),AND(B903="Nữ",I903&gt;=80)),2,0)</f>
        <v>2</v>
      </c>
      <c r="Q903" s="29">
        <f>IF(OR(J903&gt;=140,K903&gt;=90),2,0)</f>
        <v>0</v>
      </c>
      <c r="R903" s="29">
        <f ca="1">SUM(L903:Q903)</f>
        <v>9</v>
      </c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5" t="s">
        <v>1393</v>
      </c>
      <c r="AE903" s="33"/>
      <c r="AF903" s="59" t="str">
        <f t="shared" si="43"/>
        <v>Không</v>
      </c>
      <c r="AG903" s="59" t="str">
        <f t="shared" si="44"/>
        <v>Không</v>
      </c>
      <c r="AH903" s="29" t="str">
        <f t="shared" ca="1" si="42"/>
        <v>Có</v>
      </c>
      <c r="AI903" s="29" t="str">
        <f ca="1">IF((R903)&gt;=6,"Có","Không")</f>
        <v>Có</v>
      </c>
      <c r="AJ903" s="29" t="str">
        <f>IF(OR(J903&gt;=140,K903&gt;=90),"Có","Không")</f>
        <v>Không</v>
      </c>
      <c r="AK903" s="5" t="s">
        <v>88</v>
      </c>
      <c r="AL903" s="32">
        <v>46142</v>
      </c>
      <c r="AM903" s="29" t="str">
        <f>"Tháng "&amp;MONTH(AL903)</f>
        <v>Tháng 4</v>
      </c>
      <c r="AN903" s="29" t="str">
        <f>LEFT(AK903,FIND(",",AK903)-1)</f>
        <v>Giồng Giữa</v>
      </c>
    </row>
    <row r="904" spans="1:40" x14ac:dyDescent="0.25">
      <c r="A904" s="49" t="s">
        <v>822</v>
      </c>
      <c r="B904" s="5" t="s">
        <v>30</v>
      </c>
      <c r="C904" s="5" t="s">
        <v>273</v>
      </c>
      <c r="D904" s="29">
        <f ca="1">DATEDIF(C904,TODAY(),"Y")</f>
        <v>47</v>
      </c>
      <c r="E904" s="5" t="s">
        <v>26</v>
      </c>
      <c r="F904" s="30">
        <v>169</v>
      </c>
      <c r="G904" s="30">
        <v>68</v>
      </c>
      <c r="H904" s="31">
        <f>G904/((F904/100)*(F904/100))</f>
        <v>23.808690171912751</v>
      </c>
      <c r="I904" s="5">
        <v>76</v>
      </c>
      <c r="J904" s="30">
        <v>140</v>
      </c>
      <c r="K904" s="30">
        <v>80</v>
      </c>
      <c r="L904" s="29">
        <f>IF(B904="Nữ",0,2)</f>
        <v>2</v>
      </c>
      <c r="M904" s="29">
        <f ca="1">IF(D904&lt;45,0,IF(D904&lt;=49,1,2))</f>
        <v>1</v>
      </c>
      <c r="N904" s="29">
        <f>IF(E904="Có",4,0)</f>
        <v>0</v>
      </c>
      <c r="O904" s="29">
        <f>IF(H904&lt;23,0,IF(H904&lt;27.5,3,5))</f>
        <v>3</v>
      </c>
      <c r="P904" s="29">
        <f>IF(OR(AND(B904="Nam",I904&gt;=90),AND(B904="Nữ",I904&gt;=80)),2,0)</f>
        <v>0</v>
      </c>
      <c r="Q904" s="29">
        <f>IF(OR(J904&gt;=140,K904&gt;=90),2,0)</f>
        <v>2</v>
      </c>
      <c r="R904" s="29">
        <f ca="1">SUM(L904:Q904)</f>
        <v>8</v>
      </c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5" t="s">
        <v>1393</v>
      </c>
      <c r="AE904" s="33"/>
      <c r="AF904" s="59" t="str">
        <f t="shared" si="43"/>
        <v>Không</v>
      </c>
      <c r="AG904" s="59" t="str">
        <f t="shared" si="44"/>
        <v>Không</v>
      </c>
      <c r="AH904" s="29" t="str">
        <f t="shared" ca="1" si="42"/>
        <v>Có</v>
      </c>
      <c r="AI904" s="29" t="str">
        <f ca="1">IF((R904)&gt;=6,"Có","Không")</f>
        <v>Có</v>
      </c>
      <c r="AJ904" s="29" t="str">
        <f>IF(OR(J904&gt;=140,K904&gt;=90),"Có","Không")</f>
        <v>Có</v>
      </c>
      <c r="AK904" s="5" t="s">
        <v>51</v>
      </c>
      <c r="AL904" s="32">
        <v>46142</v>
      </c>
      <c r="AM904" s="29" t="str">
        <f>"Tháng "&amp;MONTH(AL904)</f>
        <v>Tháng 4</v>
      </c>
      <c r="AN904" s="29" t="str">
        <f>LEFT(AK904,FIND(",",AK904)-1)</f>
        <v>Phường Hiệp Thành</v>
      </c>
    </row>
    <row r="905" spans="1:40" x14ac:dyDescent="0.25">
      <c r="A905" s="49" t="s">
        <v>823</v>
      </c>
      <c r="B905" s="5" t="s">
        <v>30</v>
      </c>
      <c r="C905" s="5" t="s">
        <v>256</v>
      </c>
      <c r="D905" s="29">
        <f ca="1">DATEDIF(C905,TODAY(),"Y")</f>
        <v>41</v>
      </c>
      <c r="E905" s="5" t="s">
        <v>26</v>
      </c>
      <c r="F905" s="30">
        <v>169</v>
      </c>
      <c r="G905" s="30">
        <v>68</v>
      </c>
      <c r="H905" s="31">
        <f>G905/((F905/100)*(F905/100))</f>
        <v>23.808690171912751</v>
      </c>
      <c r="I905" s="5">
        <v>79</v>
      </c>
      <c r="J905" s="30">
        <v>140</v>
      </c>
      <c r="K905" s="30">
        <v>80</v>
      </c>
      <c r="L905" s="29">
        <f>IF(B905="Nữ",0,2)</f>
        <v>2</v>
      </c>
      <c r="M905" s="29">
        <f ca="1">IF(D905&lt;45,0,IF(D905&lt;=49,1,2))</f>
        <v>0</v>
      </c>
      <c r="N905" s="29">
        <f>IF(E905="Có",4,0)</f>
        <v>0</v>
      </c>
      <c r="O905" s="29">
        <f>IF(H905&lt;23,0,IF(H905&lt;27.5,3,5))</f>
        <v>3</v>
      </c>
      <c r="P905" s="29">
        <f>IF(OR(AND(B905="Nam",I905&gt;=90),AND(B905="Nữ",I905&gt;=80)),2,0)</f>
        <v>0</v>
      </c>
      <c r="Q905" s="29">
        <f>IF(OR(J905&gt;=140,K905&gt;=90),2,0)</f>
        <v>2</v>
      </c>
      <c r="R905" s="29">
        <f ca="1">SUM(L905:Q905)</f>
        <v>7</v>
      </c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5" t="s">
        <v>1393</v>
      </c>
      <c r="AE905" s="33"/>
      <c r="AF905" s="59" t="str">
        <f t="shared" si="43"/>
        <v>Không</v>
      </c>
      <c r="AG905" s="59" t="str">
        <f t="shared" si="44"/>
        <v>Không</v>
      </c>
      <c r="AH905" s="29" t="str">
        <f t="shared" ca="1" si="42"/>
        <v>Có</v>
      </c>
      <c r="AI905" s="29" t="str">
        <f ca="1">IF((R905)&gt;=6,"Có","Không")</f>
        <v>Có</v>
      </c>
      <c r="AJ905" s="29" t="str">
        <f>IF(OR(J905&gt;=140,K905&gt;=90),"Có","Không")</f>
        <v>Có</v>
      </c>
      <c r="AK905" s="5" t="s">
        <v>54</v>
      </c>
      <c r="AL905" s="32">
        <v>46142</v>
      </c>
      <c r="AM905" s="29" t="str">
        <f>"Tháng "&amp;MONTH(AL905)</f>
        <v>Tháng 4</v>
      </c>
      <c r="AN905" s="29" t="str">
        <f>LEFT(AK905,FIND(",",AK905)-1)</f>
        <v>Khóm 3</v>
      </c>
    </row>
    <row r="906" spans="1:40" x14ac:dyDescent="0.25">
      <c r="A906" s="49" t="s">
        <v>824</v>
      </c>
      <c r="B906" s="5" t="s">
        <v>23</v>
      </c>
      <c r="C906" s="5" t="s">
        <v>318</v>
      </c>
      <c r="D906" s="29">
        <f ca="1">DATEDIF(C906,TODAY(),"Y")</f>
        <v>82</v>
      </c>
      <c r="E906" s="5" t="s">
        <v>26</v>
      </c>
      <c r="F906" s="30">
        <v>158</v>
      </c>
      <c r="G906" s="30">
        <v>58</v>
      </c>
      <c r="H906" s="31">
        <f>G906/((F906/100)*(F906/100))</f>
        <v>23.233456176894723</v>
      </c>
      <c r="I906" s="5">
        <v>77</v>
      </c>
      <c r="J906" s="30">
        <v>140</v>
      </c>
      <c r="K906" s="30">
        <v>80</v>
      </c>
      <c r="L906" s="29">
        <f>IF(B906="Nữ",0,2)</f>
        <v>0</v>
      </c>
      <c r="M906" s="29">
        <f ca="1">IF(D906&lt;45,0,IF(D906&lt;=49,1,2))</f>
        <v>2</v>
      </c>
      <c r="N906" s="29">
        <f>IF(E906="Có",4,0)</f>
        <v>0</v>
      </c>
      <c r="O906" s="29">
        <f>IF(H906&lt;23,0,IF(H906&lt;27.5,3,5))</f>
        <v>3</v>
      </c>
      <c r="P906" s="29">
        <f>IF(OR(AND(B906="Nam",I906&gt;=90),AND(B906="Nữ",I906&gt;=80)),2,0)</f>
        <v>0</v>
      </c>
      <c r="Q906" s="29">
        <f>IF(OR(J906&gt;=140,K906&gt;=90),2,0)</f>
        <v>2</v>
      </c>
      <c r="R906" s="29">
        <f ca="1">SUM(L906:Q906)</f>
        <v>7</v>
      </c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5" t="s">
        <v>1393</v>
      </c>
      <c r="AE906" s="33"/>
      <c r="AF906" s="59" t="str">
        <f t="shared" si="43"/>
        <v>Không</v>
      </c>
      <c r="AG906" s="59" t="str">
        <f t="shared" si="44"/>
        <v>Không</v>
      </c>
      <c r="AH906" s="29" t="str">
        <f t="shared" ca="1" si="42"/>
        <v>Có</v>
      </c>
      <c r="AI906" s="29" t="str">
        <f ca="1">IF((R906)&gt;=6,"Có","Không")</f>
        <v>Có</v>
      </c>
      <c r="AJ906" s="29" t="str">
        <f>IF(OR(J906&gt;=140,K906&gt;=90),"Có","Không")</f>
        <v>Có</v>
      </c>
      <c r="AK906" s="5" t="s">
        <v>51</v>
      </c>
      <c r="AL906" s="32">
        <v>46142</v>
      </c>
      <c r="AM906" s="29" t="str">
        <f>"Tháng "&amp;MONTH(AL906)</f>
        <v>Tháng 4</v>
      </c>
      <c r="AN906" s="29" t="str">
        <f>LEFT(AK906,FIND(",",AK906)-1)</f>
        <v>Phường Hiệp Thành</v>
      </c>
    </row>
    <row r="907" spans="1:40" x14ac:dyDescent="0.25">
      <c r="A907" s="49" t="s">
        <v>825</v>
      </c>
      <c r="B907" s="5" t="s">
        <v>30</v>
      </c>
      <c r="C907" s="5" t="s">
        <v>42</v>
      </c>
      <c r="D907" s="29">
        <f ca="1">DATEDIF(C907,TODAY(),"Y")</f>
        <v>59</v>
      </c>
      <c r="E907" s="5" t="s">
        <v>26</v>
      </c>
      <c r="F907" s="30">
        <v>165</v>
      </c>
      <c r="G907" s="30">
        <v>64</v>
      </c>
      <c r="H907" s="31">
        <f>G907/((F907/100)*(F907/100))</f>
        <v>23.507805325987146</v>
      </c>
      <c r="I907" s="5">
        <v>75</v>
      </c>
      <c r="J907" s="30">
        <v>150</v>
      </c>
      <c r="K907" s="30">
        <v>90</v>
      </c>
      <c r="L907" s="29">
        <f>IF(B907="Nữ",0,2)</f>
        <v>2</v>
      </c>
      <c r="M907" s="29">
        <f ca="1">IF(D907&lt;45,0,IF(D907&lt;=49,1,2))</f>
        <v>2</v>
      </c>
      <c r="N907" s="29">
        <f>IF(E907="Có",4,0)</f>
        <v>0</v>
      </c>
      <c r="O907" s="29">
        <f>IF(H907&lt;23,0,IF(H907&lt;27.5,3,5))</f>
        <v>3</v>
      </c>
      <c r="P907" s="29">
        <f>IF(OR(AND(B907="Nam",I907&gt;=90),AND(B907="Nữ",I907&gt;=80)),2,0)</f>
        <v>0</v>
      </c>
      <c r="Q907" s="29">
        <f>IF(OR(J907&gt;=140,K907&gt;=90),2,0)</f>
        <v>2</v>
      </c>
      <c r="R907" s="29">
        <f ca="1">SUM(L907:Q907)</f>
        <v>9</v>
      </c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5" t="s">
        <v>1393</v>
      </c>
      <c r="AE907" s="33"/>
      <c r="AF907" s="59" t="str">
        <f t="shared" si="43"/>
        <v>Không</v>
      </c>
      <c r="AG907" s="59" t="str">
        <f t="shared" si="44"/>
        <v>Không</v>
      </c>
      <c r="AH907" s="29" t="str">
        <f t="shared" ca="1" si="42"/>
        <v>Có</v>
      </c>
      <c r="AI907" s="29" t="str">
        <f ca="1">IF((R907)&gt;=6,"Có","Không")</f>
        <v>Có</v>
      </c>
      <c r="AJ907" s="29" t="str">
        <f>IF(OR(J907&gt;=140,K907&gt;=90),"Có","Không")</f>
        <v>Có</v>
      </c>
      <c r="AK907" s="5" t="s">
        <v>51</v>
      </c>
      <c r="AL907" s="32">
        <v>46142</v>
      </c>
      <c r="AM907" s="29" t="str">
        <f>"Tháng "&amp;MONTH(AL907)</f>
        <v>Tháng 4</v>
      </c>
      <c r="AN907" s="29" t="str">
        <f>LEFT(AK907,FIND(",",AK907)-1)</f>
        <v>Phường Hiệp Thành</v>
      </c>
    </row>
    <row r="908" spans="1:40" x14ac:dyDescent="0.25">
      <c r="A908" s="49" t="s">
        <v>826</v>
      </c>
      <c r="B908" s="5" t="s">
        <v>30</v>
      </c>
      <c r="C908" s="5" t="s">
        <v>105</v>
      </c>
      <c r="D908" s="29">
        <f ca="1">DATEDIF(C908,TODAY(),"Y")</f>
        <v>60</v>
      </c>
      <c r="E908" s="5" t="s">
        <v>26</v>
      </c>
      <c r="F908" s="30">
        <v>158</v>
      </c>
      <c r="G908" s="30">
        <v>54</v>
      </c>
      <c r="H908" s="31">
        <f>G908/((F908/100)*(F908/100))</f>
        <v>21.631148854350261</v>
      </c>
      <c r="I908" s="5">
        <v>67</v>
      </c>
      <c r="J908" s="30">
        <v>130</v>
      </c>
      <c r="K908" s="30">
        <v>80</v>
      </c>
      <c r="L908" s="29">
        <f>IF(B908="Nữ",0,2)</f>
        <v>2</v>
      </c>
      <c r="M908" s="29">
        <f ca="1">IF(D908&lt;45,0,IF(D908&lt;=49,1,2))</f>
        <v>2</v>
      </c>
      <c r="N908" s="29">
        <f>IF(E908="Có",4,0)</f>
        <v>0</v>
      </c>
      <c r="O908" s="29">
        <f>IF(H908&lt;23,0,IF(H908&lt;27.5,3,5))</f>
        <v>0</v>
      </c>
      <c r="P908" s="29">
        <f>IF(OR(AND(B908="Nam",I908&gt;=90),AND(B908="Nữ",I908&gt;=80)),2,0)</f>
        <v>0</v>
      </c>
      <c r="Q908" s="29">
        <f>IF(OR(J908&gt;=140,K908&gt;=90),2,0)</f>
        <v>0</v>
      </c>
      <c r="R908" s="29">
        <f ca="1">SUM(L908:Q908)</f>
        <v>4</v>
      </c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5" t="s">
        <v>1393</v>
      </c>
      <c r="AE908" s="33"/>
      <c r="AF908" s="59" t="str">
        <f t="shared" si="43"/>
        <v>Không</v>
      </c>
      <c r="AG908" s="59" t="str">
        <f t="shared" si="44"/>
        <v>Không</v>
      </c>
      <c r="AH908" s="29" t="str">
        <f t="shared" ca="1" si="42"/>
        <v>Không</v>
      </c>
      <c r="AI908" s="29" t="str">
        <f ca="1">IF((R908)&gt;=6,"Có","Không")</f>
        <v>Không</v>
      </c>
      <c r="AJ908" s="29" t="str">
        <f>IF(OR(J908&gt;=140,K908&gt;=90),"Có","Không")</f>
        <v>Không</v>
      </c>
      <c r="AK908" s="5" t="s">
        <v>827</v>
      </c>
      <c r="AL908" s="32">
        <v>46142</v>
      </c>
      <c r="AM908" s="29" t="str">
        <f>"Tháng "&amp;MONTH(AL908)</f>
        <v>Tháng 4</v>
      </c>
      <c r="AN908" s="29" t="str">
        <f>LEFT(AK908,FIND(",",AK908)-1)</f>
        <v>Giồng Nhãn</v>
      </c>
    </row>
    <row r="909" spans="1:40" x14ac:dyDescent="0.25">
      <c r="A909" s="49" t="s">
        <v>828</v>
      </c>
      <c r="B909" s="5" t="s">
        <v>23</v>
      </c>
      <c r="C909" s="5" t="s">
        <v>82</v>
      </c>
      <c r="D909" s="29">
        <f ca="1">DATEDIF(C909,TODAY(),"Y")</f>
        <v>73</v>
      </c>
      <c r="E909" s="5" t="s">
        <v>26</v>
      </c>
      <c r="F909" s="30">
        <v>158</v>
      </c>
      <c r="G909" s="30">
        <v>58</v>
      </c>
      <c r="H909" s="31">
        <f>G909/((F909/100)*(F909/100))</f>
        <v>23.233456176894723</v>
      </c>
      <c r="I909" s="5">
        <v>91</v>
      </c>
      <c r="J909" s="30">
        <v>120</v>
      </c>
      <c r="K909" s="30">
        <v>80</v>
      </c>
      <c r="L909" s="29">
        <f>IF(B909="Nữ",0,2)</f>
        <v>0</v>
      </c>
      <c r="M909" s="29">
        <f ca="1">IF(D909&lt;45,0,IF(D909&lt;=49,1,2))</f>
        <v>2</v>
      </c>
      <c r="N909" s="29">
        <f>IF(E909="Có",4,0)</f>
        <v>0</v>
      </c>
      <c r="O909" s="29">
        <f>IF(H909&lt;23,0,IF(H909&lt;27.5,3,5))</f>
        <v>3</v>
      </c>
      <c r="P909" s="29">
        <f>IF(OR(AND(B909="Nam",I909&gt;=90),AND(B909="Nữ",I909&gt;=80)),2,0)</f>
        <v>2</v>
      </c>
      <c r="Q909" s="29">
        <f>IF(OR(J909&gt;=140,K909&gt;=90),2,0)</f>
        <v>0</v>
      </c>
      <c r="R909" s="29">
        <f ca="1">SUM(L909:Q909)</f>
        <v>7</v>
      </c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5" t="s">
        <v>1393</v>
      </c>
      <c r="AE909" s="33"/>
      <c r="AF909" s="59" t="str">
        <f t="shared" si="43"/>
        <v>Không</v>
      </c>
      <c r="AG909" s="59" t="str">
        <f t="shared" si="44"/>
        <v>Không</v>
      </c>
      <c r="AH909" s="29" t="str">
        <f t="shared" ca="1" si="42"/>
        <v>Có</v>
      </c>
      <c r="AI909" s="29" t="str">
        <f ca="1">IF((R909)&gt;=6,"Có","Không")</f>
        <v>Có</v>
      </c>
      <c r="AJ909" s="29" t="str">
        <f>IF(OR(J909&gt;=140,K909&gt;=90),"Có","Không")</f>
        <v>Không</v>
      </c>
      <c r="AK909" s="5" t="s">
        <v>103</v>
      </c>
      <c r="AL909" s="32">
        <v>46142</v>
      </c>
      <c r="AM909" s="29" t="str">
        <f>"Tháng "&amp;MONTH(AL909)</f>
        <v>Tháng 4</v>
      </c>
      <c r="AN909" s="29" t="str">
        <f>LEFT(AK909,FIND(",",AK909)-1)</f>
        <v>Giồng Giữa B</v>
      </c>
    </row>
    <row r="910" spans="1:40" x14ac:dyDescent="0.25">
      <c r="A910" s="49" t="s">
        <v>843</v>
      </c>
      <c r="B910" s="5" t="s">
        <v>23</v>
      </c>
      <c r="C910" s="5" t="s">
        <v>24</v>
      </c>
      <c r="D910" s="29">
        <f ca="1">DATEDIF(C910,TODAY(),"Y")</f>
        <v>83</v>
      </c>
      <c r="E910" s="5" t="s">
        <v>26</v>
      </c>
      <c r="F910" s="30">
        <v>160</v>
      </c>
      <c r="G910" s="30">
        <v>63</v>
      </c>
      <c r="H910" s="31">
        <f>G910/((F910/100)*(F910/100))</f>
        <v>24.609374999999996</v>
      </c>
      <c r="I910" s="5">
        <v>67</v>
      </c>
      <c r="J910" s="30">
        <v>120</v>
      </c>
      <c r="K910" s="30">
        <v>80</v>
      </c>
      <c r="L910" s="29">
        <f>IF(B910="Nữ",0,2)</f>
        <v>0</v>
      </c>
      <c r="M910" s="29">
        <f ca="1">IF(D910&lt;45,0,IF(D910&lt;=49,1,2))</f>
        <v>2</v>
      </c>
      <c r="N910" s="29">
        <f>IF(E910="Có",4,0)</f>
        <v>0</v>
      </c>
      <c r="O910" s="29">
        <f>IF(H910&lt;23,0,IF(H910&lt;27.5,3,5))</f>
        <v>3</v>
      </c>
      <c r="P910" s="29">
        <f>IF(OR(AND(B910="Nam",I910&gt;=90),AND(B910="Nữ",I910&gt;=80)),2,0)</f>
        <v>0</v>
      </c>
      <c r="Q910" s="29">
        <f>IF(OR(J910&gt;=140,K910&gt;=90),2,0)</f>
        <v>0</v>
      </c>
      <c r="R910" s="29">
        <f ca="1">SUM(L910:Q910)</f>
        <v>5</v>
      </c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5" t="s">
        <v>1393</v>
      </c>
      <c r="AE910" s="33"/>
      <c r="AF910" s="59" t="str">
        <f t="shared" si="43"/>
        <v>Không</v>
      </c>
      <c r="AG910" s="59" t="str">
        <f t="shared" si="44"/>
        <v>Không</v>
      </c>
      <c r="AH910" s="29" t="str">
        <f t="shared" ca="1" si="42"/>
        <v>Không</v>
      </c>
      <c r="AI910" s="29" t="str">
        <f ca="1">IF((R910)&gt;=6,"Có","Không")</f>
        <v>Không</v>
      </c>
      <c r="AJ910" s="29" t="str">
        <f>IF(OR(J910&gt;=140,K910&gt;=90),"Có","Không")</f>
        <v>Không</v>
      </c>
      <c r="AK910" s="5" t="s">
        <v>844</v>
      </c>
      <c r="AL910" s="32">
        <v>46142</v>
      </c>
      <c r="AM910" s="29" t="str">
        <f>"Tháng "&amp;MONTH(AL910)</f>
        <v>Tháng 4</v>
      </c>
      <c r="AN910" s="29" t="str">
        <f>LEFT(AK910,FIND(",",AK910)-1)</f>
        <v>852/3 Ấp Giồng Giữa</v>
      </c>
    </row>
    <row r="911" spans="1:40" x14ac:dyDescent="0.25">
      <c r="A911" s="49" t="s">
        <v>847</v>
      </c>
      <c r="B911" s="5" t="s">
        <v>30</v>
      </c>
      <c r="C911" s="5" t="s">
        <v>130</v>
      </c>
      <c r="D911" s="29">
        <f ca="1">DATEDIF(C911,TODAY(),"Y")</f>
        <v>57</v>
      </c>
      <c r="E911" s="5" t="s">
        <v>26</v>
      </c>
      <c r="F911" s="30">
        <v>169</v>
      </c>
      <c r="G911" s="30">
        <v>68</v>
      </c>
      <c r="H911" s="31">
        <f>G911/((F911/100)*(F911/100))</f>
        <v>23.808690171912751</v>
      </c>
      <c r="I911" s="5">
        <v>97</v>
      </c>
      <c r="J911" s="30">
        <v>160</v>
      </c>
      <c r="K911" s="30">
        <v>80</v>
      </c>
      <c r="L911" s="29">
        <f>IF(B911="Nữ",0,2)</f>
        <v>2</v>
      </c>
      <c r="M911" s="29">
        <f ca="1">IF(D911&lt;45,0,IF(D911&lt;=49,1,2))</f>
        <v>2</v>
      </c>
      <c r="N911" s="29">
        <f>IF(E911="Có",4,0)</f>
        <v>0</v>
      </c>
      <c r="O911" s="29">
        <f>IF(H911&lt;23,0,IF(H911&lt;27.5,3,5))</f>
        <v>3</v>
      </c>
      <c r="P911" s="29">
        <f>IF(OR(AND(B911="Nam",I911&gt;=90),AND(B911="Nữ",I911&gt;=80)),2,0)</f>
        <v>2</v>
      </c>
      <c r="Q911" s="29">
        <f>IF(OR(J911&gt;=140,K911&gt;=90),2,0)</f>
        <v>2</v>
      </c>
      <c r="R911" s="29">
        <f ca="1">SUM(L911:Q911)</f>
        <v>11</v>
      </c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5" t="s">
        <v>1393</v>
      </c>
      <c r="AE911" s="33"/>
      <c r="AF911" s="59" t="str">
        <f t="shared" si="43"/>
        <v>Không</v>
      </c>
      <c r="AG911" s="59" t="str">
        <f t="shared" si="44"/>
        <v>Không</v>
      </c>
      <c r="AH911" s="29" t="str">
        <f t="shared" ca="1" si="42"/>
        <v>Có</v>
      </c>
      <c r="AI911" s="29" t="str">
        <f ca="1">IF((R911)&gt;=6,"Có","Không")</f>
        <v>Có</v>
      </c>
      <c r="AJ911" s="29" t="str">
        <f>IF(OR(J911&gt;=140,K911&gt;=90),"Có","Không")</f>
        <v>Có</v>
      </c>
      <c r="AK911" s="5" t="s">
        <v>160</v>
      </c>
      <c r="AL911" s="32">
        <v>46142</v>
      </c>
      <c r="AM911" s="29" t="str">
        <f>"Tháng "&amp;MONTH(AL911)</f>
        <v>Tháng 4</v>
      </c>
      <c r="AN911" s="29" t="str">
        <f>LEFT(AK911,FIND(",",AK911)-1)</f>
        <v>Ấp Giồng Nhãn</v>
      </c>
    </row>
    <row r="912" spans="1:40" x14ac:dyDescent="0.25">
      <c r="A912" s="49" t="s">
        <v>848</v>
      </c>
      <c r="B912" s="5" t="s">
        <v>30</v>
      </c>
      <c r="C912" s="5" t="s">
        <v>62</v>
      </c>
      <c r="D912" s="29">
        <f ca="1">DATEDIF(C912,TODAY(),"Y")</f>
        <v>64</v>
      </c>
      <c r="E912" s="5" t="s">
        <v>26</v>
      </c>
      <c r="F912" s="30">
        <v>169</v>
      </c>
      <c r="G912" s="30">
        <v>68</v>
      </c>
      <c r="H912" s="31">
        <f>G912/((F912/100)*(F912/100))</f>
        <v>23.808690171912751</v>
      </c>
      <c r="I912" s="5">
        <v>66</v>
      </c>
      <c r="J912" s="30">
        <v>120</v>
      </c>
      <c r="K912" s="30">
        <v>80</v>
      </c>
      <c r="L912" s="29">
        <f>IF(B912="Nữ",0,2)</f>
        <v>2</v>
      </c>
      <c r="M912" s="29">
        <f ca="1">IF(D912&lt;45,0,IF(D912&lt;=49,1,2))</f>
        <v>2</v>
      </c>
      <c r="N912" s="29">
        <f>IF(E912="Có",4,0)</f>
        <v>0</v>
      </c>
      <c r="O912" s="29">
        <f>IF(H912&lt;23,0,IF(H912&lt;27.5,3,5))</f>
        <v>3</v>
      </c>
      <c r="P912" s="29">
        <f>IF(OR(AND(B912="Nam",I912&gt;=90),AND(B912="Nữ",I912&gt;=80)),2,0)</f>
        <v>0</v>
      </c>
      <c r="Q912" s="29">
        <f>IF(OR(J912&gt;=140,K912&gt;=90),2,0)</f>
        <v>0</v>
      </c>
      <c r="R912" s="29">
        <f ca="1">SUM(L912:Q912)</f>
        <v>7</v>
      </c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5" t="s">
        <v>1393</v>
      </c>
      <c r="AE912" s="33"/>
      <c r="AF912" s="59" t="str">
        <f t="shared" si="43"/>
        <v>Không</v>
      </c>
      <c r="AG912" s="59" t="str">
        <f t="shared" si="44"/>
        <v>Không</v>
      </c>
      <c r="AH912" s="29" t="str">
        <f t="shared" ca="1" si="42"/>
        <v>Có</v>
      </c>
      <c r="AI912" s="29" t="str">
        <f ca="1">IF((R912)&gt;=6,"Có","Không")</f>
        <v>Có</v>
      </c>
      <c r="AJ912" s="29" t="str">
        <f>IF(OR(J912&gt;=140,K912&gt;=90),"Có","Không")</f>
        <v>Không</v>
      </c>
      <c r="AK912" s="5" t="s">
        <v>51</v>
      </c>
      <c r="AL912" s="32">
        <v>46142</v>
      </c>
      <c r="AM912" s="29" t="str">
        <f>"Tháng "&amp;MONTH(AL912)</f>
        <v>Tháng 4</v>
      </c>
      <c r="AN912" s="29" t="str">
        <f>LEFT(AK912,FIND(",",AK912)-1)</f>
        <v>Phường Hiệp Thành</v>
      </c>
    </row>
    <row r="913" spans="1:40" x14ac:dyDescent="0.25">
      <c r="A913" s="49" t="s">
        <v>849</v>
      </c>
      <c r="B913" s="5" t="s">
        <v>23</v>
      </c>
      <c r="C913" s="5" t="s">
        <v>105</v>
      </c>
      <c r="D913" s="29">
        <f ca="1">DATEDIF(C913,TODAY(),"Y")</f>
        <v>60</v>
      </c>
      <c r="E913" s="5" t="s">
        <v>26</v>
      </c>
      <c r="F913" s="30">
        <v>158</v>
      </c>
      <c r="G913" s="30">
        <v>58</v>
      </c>
      <c r="H913" s="31">
        <f>G913/((F913/100)*(F913/100))</f>
        <v>23.233456176894723</v>
      </c>
      <c r="I913" s="5">
        <v>82</v>
      </c>
      <c r="J913" s="30">
        <v>120</v>
      </c>
      <c r="K913" s="30">
        <v>80</v>
      </c>
      <c r="L913" s="29">
        <f>IF(B913="Nữ",0,2)</f>
        <v>0</v>
      </c>
      <c r="M913" s="29">
        <f ca="1">IF(D913&lt;45,0,IF(D913&lt;=49,1,2))</f>
        <v>2</v>
      </c>
      <c r="N913" s="29">
        <f>IF(E913="Có",4,0)</f>
        <v>0</v>
      </c>
      <c r="O913" s="29">
        <f>IF(H913&lt;23,0,IF(H913&lt;27.5,3,5))</f>
        <v>3</v>
      </c>
      <c r="P913" s="29">
        <f>IF(OR(AND(B913="Nam",I913&gt;=90),AND(B913="Nữ",I913&gt;=80)),2,0)</f>
        <v>2</v>
      </c>
      <c r="Q913" s="29">
        <f>IF(OR(J913&gt;=140,K913&gt;=90),2,0)</f>
        <v>0</v>
      </c>
      <c r="R913" s="29">
        <f ca="1">SUM(L913:Q913)</f>
        <v>7</v>
      </c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5" t="s">
        <v>1393</v>
      </c>
      <c r="AE913" s="33"/>
      <c r="AF913" s="59" t="str">
        <f t="shared" si="43"/>
        <v>Không</v>
      </c>
      <c r="AG913" s="59" t="str">
        <f t="shared" si="44"/>
        <v>Không</v>
      </c>
      <c r="AH913" s="29" t="str">
        <f t="shared" ca="1" si="42"/>
        <v>Có</v>
      </c>
      <c r="AI913" s="29" t="str">
        <f ca="1">IF((R913)&gt;=6,"Có","Không")</f>
        <v>Có</v>
      </c>
      <c r="AJ913" s="29" t="str">
        <f>IF(OR(J913&gt;=140,K913&gt;=90),"Có","Không")</f>
        <v>Không</v>
      </c>
      <c r="AK913" s="5" t="s">
        <v>850</v>
      </c>
      <c r="AL913" s="32">
        <v>46142</v>
      </c>
      <c r="AM913" s="29" t="str">
        <f>"Tháng "&amp;MONTH(AL913)</f>
        <v>Tháng 4</v>
      </c>
      <c r="AN913" s="29" t="str">
        <f>LEFT(AK913,FIND(",",AK913)-1)</f>
        <v>Hiệp Thành</v>
      </c>
    </row>
    <row r="914" spans="1:40" x14ac:dyDescent="0.25">
      <c r="A914" s="49" t="s">
        <v>851</v>
      </c>
      <c r="B914" s="5" t="s">
        <v>30</v>
      </c>
      <c r="C914" s="5" t="s">
        <v>268</v>
      </c>
      <c r="D914" s="29">
        <f ca="1">DATEDIF(C914,TODAY(),"Y")</f>
        <v>44</v>
      </c>
      <c r="E914" s="5" t="s">
        <v>26</v>
      </c>
      <c r="F914" s="30">
        <v>163</v>
      </c>
      <c r="G914" s="30">
        <v>60</v>
      </c>
      <c r="H914" s="31">
        <f>G914/((F914/100)*(F914/100))</f>
        <v>22.582709172343712</v>
      </c>
      <c r="I914" s="5">
        <v>78</v>
      </c>
      <c r="J914" s="30">
        <v>120</v>
      </c>
      <c r="K914" s="30">
        <v>70</v>
      </c>
      <c r="L914" s="29">
        <f>IF(B914="Nữ",0,2)</f>
        <v>2</v>
      </c>
      <c r="M914" s="29">
        <f ca="1">IF(D914&lt;45,0,IF(D914&lt;=49,1,2))</f>
        <v>0</v>
      </c>
      <c r="N914" s="29">
        <f>IF(E914="Có",4,0)</f>
        <v>0</v>
      </c>
      <c r="O914" s="29">
        <f>IF(H914&lt;23,0,IF(H914&lt;27.5,3,5))</f>
        <v>0</v>
      </c>
      <c r="P914" s="29">
        <f>IF(OR(AND(B914="Nam",I914&gt;=90),AND(B914="Nữ",I914&gt;=80)),2,0)</f>
        <v>0</v>
      </c>
      <c r="Q914" s="29">
        <f>IF(OR(J914&gt;=140,K914&gt;=90),2,0)</f>
        <v>0</v>
      </c>
      <c r="R914" s="29">
        <f ca="1">SUM(L914:Q914)</f>
        <v>2</v>
      </c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5" t="s">
        <v>1393</v>
      </c>
      <c r="AE914" s="33"/>
      <c r="AF914" s="59" t="str">
        <f t="shared" si="43"/>
        <v>Không</v>
      </c>
      <c r="AG914" s="59" t="str">
        <f t="shared" si="44"/>
        <v>Không</v>
      </c>
      <c r="AH914" s="29" t="str">
        <f t="shared" ca="1" si="42"/>
        <v>Không</v>
      </c>
      <c r="AI914" s="29" t="str">
        <f ca="1">IF((R914)&gt;=6,"Có","Không")</f>
        <v>Không</v>
      </c>
      <c r="AJ914" s="29" t="str">
        <f>IF(OR(J914&gt;=140,K914&gt;=90),"Có","Không")</f>
        <v>Không</v>
      </c>
      <c r="AK914" s="5" t="s">
        <v>852</v>
      </c>
      <c r="AL914" s="32">
        <v>46142</v>
      </c>
      <c r="AM914" s="29" t="str">
        <f>"Tháng "&amp;MONTH(AL914)</f>
        <v>Tháng 4</v>
      </c>
      <c r="AN914" s="29" t="str">
        <f>LEFT(AK914,FIND(",",AK914)-1)</f>
        <v>Khóm 10</v>
      </c>
    </row>
    <row r="915" spans="1:40" x14ac:dyDescent="0.25">
      <c r="A915" s="49" t="s">
        <v>853</v>
      </c>
      <c r="B915" s="5" t="s">
        <v>23</v>
      </c>
      <c r="C915" s="5" t="s">
        <v>59</v>
      </c>
      <c r="D915" s="29">
        <f ca="1">DATEDIF(C915,TODAY(),"Y")</f>
        <v>74</v>
      </c>
      <c r="E915" s="5" t="s">
        <v>25</v>
      </c>
      <c r="F915" s="30">
        <v>158</v>
      </c>
      <c r="G915" s="30">
        <v>58</v>
      </c>
      <c r="H915" s="31">
        <f>G915/((F915/100)*(F915/100))</f>
        <v>23.233456176894723</v>
      </c>
      <c r="I915" s="5">
        <v>73</v>
      </c>
      <c r="J915" s="30">
        <v>140</v>
      </c>
      <c r="K915" s="30">
        <v>80</v>
      </c>
      <c r="L915" s="29">
        <f>IF(B915="Nữ",0,2)</f>
        <v>0</v>
      </c>
      <c r="M915" s="29">
        <f ca="1">IF(D915&lt;45,0,IF(D915&lt;=49,1,2))</f>
        <v>2</v>
      </c>
      <c r="N915" s="29">
        <f>IF(E915="Có",4,0)</f>
        <v>4</v>
      </c>
      <c r="O915" s="29">
        <f>IF(H915&lt;23,0,IF(H915&lt;27.5,3,5))</f>
        <v>3</v>
      </c>
      <c r="P915" s="29">
        <f>IF(OR(AND(B915="Nam",I915&gt;=90),AND(B915="Nữ",I915&gt;=80)),2,0)</f>
        <v>0</v>
      </c>
      <c r="Q915" s="29">
        <f>IF(OR(J915&gt;=140,K915&gt;=90),2,0)</f>
        <v>2</v>
      </c>
      <c r="R915" s="29">
        <f ca="1">SUM(L915:Q915)</f>
        <v>11</v>
      </c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5" t="s">
        <v>1393</v>
      </c>
      <c r="AE915" s="33"/>
      <c r="AF915" s="59" t="str">
        <f t="shared" si="43"/>
        <v>Không</v>
      </c>
      <c r="AG915" s="59" t="str">
        <f t="shared" si="44"/>
        <v>Không</v>
      </c>
      <c r="AH915" s="29" t="str">
        <f t="shared" ca="1" si="42"/>
        <v>Có</v>
      </c>
      <c r="AI915" s="29" t="str">
        <f ca="1">IF((R915)&gt;=6,"Có","Không")</f>
        <v>Có</v>
      </c>
      <c r="AJ915" s="29" t="str">
        <f>IF(OR(J915&gt;=140,K915&gt;=90),"Có","Không")</f>
        <v>Có</v>
      </c>
      <c r="AK915" s="5" t="s">
        <v>51</v>
      </c>
      <c r="AL915" s="32">
        <v>46142</v>
      </c>
      <c r="AM915" s="29" t="str">
        <f>"Tháng "&amp;MONTH(AL915)</f>
        <v>Tháng 4</v>
      </c>
      <c r="AN915" s="29" t="str">
        <f>LEFT(AK915,FIND(",",AK915)-1)</f>
        <v>Phường Hiệp Thành</v>
      </c>
    </row>
    <row r="916" spans="1:40" x14ac:dyDescent="0.25">
      <c r="A916" s="49" t="s">
        <v>854</v>
      </c>
      <c r="B916" s="5" t="s">
        <v>30</v>
      </c>
      <c r="C916" s="5" t="s">
        <v>105</v>
      </c>
      <c r="D916" s="29">
        <f ca="1">DATEDIF(C916,TODAY(),"Y")</f>
        <v>60</v>
      </c>
      <c r="E916" s="5" t="s">
        <v>25</v>
      </c>
      <c r="F916" s="30">
        <v>160</v>
      </c>
      <c r="G916" s="30">
        <v>60</v>
      </c>
      <c r="H916" s="31">
        <f>G916/((F916/100)*(F916/100))</f>
        <v>23.437499999999996</v>
      </c>
      <c r="I916" s="5">
        <v>96</v>
      </c>
      <c r="J916" s="30">
        <v>120</v>
      </c>
      <c r="K916" s="30">
        <v>80</v>
      </c>
      <c r="L916" s="29">
        <f>IF(B916="Nữ",0,2)</f>
        <v>2</v>
      </c>
      <c r="M916" s="29">
        <f ca="1">IF(D916&lt;45,0,IF(D916&lt;=49,1,2))</f>
        <v>2</v>
      </c>
      <c r="N916" s="29">
        <f>IF(E916="Có",4,0)</f>
        <v>4</v>
      </c>
      <c r="O916" s="29">
        <f>IF(H916&lt;23,0,IF(H916&lt;27.5,3,5))</f>
        <v>3</v>
      </c>
      <c r="P916" s="29">
        <f>IF(OR(AND(B916="Nam",I916&gt;=90),AND(B916="Nữ",I916&gt;=80)),2,0)</f>
        <v>2</v>
      </c>
      <c r="Q916" s="29">
        <f>IF(OR(J916&gt;=140,K916&gt;=90),2,0)</f>
        <v>0</v>
      </c>
      <c r="R916" s="29">
        <f ca="1">SUM(L916:Q916)</f>
        <v>13</v>
      </c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5" t="s">
        <v>1393</v>
      </c>
      <c r="AE916" s="33"/>
      <c r="AF916" s="59" t="str">
        <f t="shared" si="43"/>
        <v>Không</v>
      </c>
      <c r="AG916" s="59" t="str">
        <f t="shared" si="44"/>
        <v>Không</v>
      </c>
      <c r="AH916" s="29" t="str">
        <f t="shared" ca="1" si="42"/>
        <v>Có</v>
      </c>
      <c r="AI916" s="29" t="str">
        <f ca="1">IF((R916)&gt;=6,"Có","Không")</f>
        <v>Có</v>
      </c>
      <c r="AJ916" s="29" t="str">
        <f>IF(OR(J916&gt;=140,K916&gt;=90),"Có","Không")</f>
        <v>Không</v>
      </c>
      <c r="AK916" s="5" t="s">
        <v>855</v>
      </c>
      <c r="AL916" s="32">
        <v>46142</v>
      </c>
      <c r="AM916" s="29" t="str">
        <f>"Tháng "&amp;MONTH(AL916)</f>
        <v>Tháng 4</v>
      </c>
      <c r="AN916" s="29" t="str">
        <f>LEFT(AK916,FIND(",",AK916)-1)</f>
        <v>Đầu Lộ</v>
      </c>
    </row>
    <row r="917" spans="1:40" x14ac:dyDescent="0.25">
      <c r="A917" s="49" t="s">
        <v>859</v>
      </c>
      <c r="B917" s="5" t="s">
        <v>23</v>
      </c>
      <c r="C917" s="5" t="s">
        <v>40</v>
      </c>
      <c r="D917" s="29">
        <f ca="1">DATEDIF(C917,TODAY(),"Y")</f>
        <v>70</v>
      </c>
      <c r="E917" s="5" t="s">
        <v>26</v>
      </c>
      <c r="F917" s="30">
        <v>158</v>
      </c>
      <c r="G917" s="30">
        <v>58</v>
      </c>
      <c r="H917" s="31">
        <f>G917/((F917/100)*(F917/100))</f>
        <v>23.233456176894723</v>
      </c>
      <c r="I917" s="5">
        <v>85</v>
      </c>
      <c r="J917" s="30">
        <v>140</v>
      </c>
      <c r="K917" s="30">
        <v>80</v>
      </c>
      <c r="L917" s="29">
        <f>IF(B917="Nữ",0,2)</f>
        <v>0</v>
      </c>
      <c r="M917" s="29">
        <f ca="1">IF(D917&lt;45,0,IF(D917&lt;=49,1,2))</f>
        <v>2</v>
      </c>
      <c r="N917" s="29">
        <f>IF(E917="Có",4,0)</f>
        <v>0</v>
      </c>
      <c r="O917" s="29">
        <f>IF(H917&lt;23,0,IF(H917&lt;27.5,3,5))</f>
        <v>3</v>
      </c>
      <c r="P917" s="29">
        <f>IF(OR(AND(B917="Nam",I917&gt;=90),AND(B917="Nữ",I917&gt;=80)),2,0)</f>
        <v>2</v>
      </c>
      <c r="Q917" s="29">
        <f>IF(OR(J917&gt;=140,K917&gt;=90),2,0)</f>
        <v>2</v>
      </c>
      <c r="R917" s="29">
        <f ca="1">SUM(L917:Q917)</f>
        <v>9</v>
      </c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5" t="s">
        <v>1393</v>
      </c>
      <c r="AE917" s="33"/>
      <c r="AF917" s="59" t="str">
        <f t="shared" si="43"/>
        <v>Không</v>
      </c>
      <c r="AG917" s="59" t="str">
        <f t="shared" si="44"/>
        <v>Không</v>
      </c>
      <c r="AH917" s="29" t="str">
        <f t="shared" ca="1" si="42"/>
        <v>Có</v>
      </c>
      <c r="AI917" s="29" t="str">
        <f ca="1">IF((R917)&gt;=6,"Có","Không")</f>
        <v>Có</v>
      </c>
      <c r="AJ917" s="29" t="str">
        <f>IF(OR(J917&gt;=140,K917&gt;=90),"Có","Không")</f>
        <v>Có</v>
      </c>
      <c r="AK917" s="5" t="s">
        <v>234</v>
      </c>
      <c r="AL917" s="32">
        <v>46142</v>
      </c>
      <c r="AM917" s="29" t="str">
        <f>"Tháng "&amp;MONTH(AL917)</f>
        <v>Tháng 4</v>
      </c>
      <c r="AN917" s="29" t="str">
        <f>LEFT(AK917,FIND(",",AK917)-1)</f>
        <v>ấp Biển Đông B</v>
      </c>
    </row>
    <row r="918" spans="1:40" x14ac:dyDescent="0.25">
      <c r="A918" s="49" t="s">
        <v>416</v>
      </c>
      <c r="B918" s="5" t="s">
        <v>23</v>
      </c>
      <c r="C918" s="5" t="s">
        <v>133</v>
      </c>
      <c r="D918" s="29">
        <f ca="1">DATEDIF(C918,TODAY(),"Y")</f>
        <v>56</v>
      </c>
      <c r="E918" s="5" t="s">
        <v>26</v>
      </c>
      <c r="F918" s="30">
        <v>158</v>
      </c>
      <c r="G918" s="30">
        <v>58</v>
      </c>
      <c r="H918" s="31">
        <f>G918/((F918/100)*(F918/100))</f>
        <v>23.233456176894723</v>
      </c>
      <c r="I918" s="5">
        <v>84</v>
      </c>
      <c r="J918" s="30">
        <v>140</v>
      </c>
      <c r="K918" s="30">
        <v>80</v>
      </c>
      <c r="L918" s="29">
        <f>IF(B918="Nữ",0,2)</f>
        <v>0</v>
      </c>
      <c r="M918" s="29">
        <f ca="1">IF(D918&lt;45,0,IF(D918&lt;=49,1,2))</f>
        <v>2</v>
      </c>
      <c r="N918" s="29">
        <f>IF(E918="Có",4,0)</f>
        <v>0</v>
      </c>
      <c r="O918" s="29">
        <f>IF(H918&lt;23,0,IF(H918&lt;27.5,3,5))</f>
        <v>3</v>
      </c>
      <c r="P918" s="29">
        <f>IF(OR(AND(B918="Nam",I918&gt;=90),AND(B918="Nữ",I918&gt;=80)),2,0)</f>
        <v>2</v>
      </c>
      <c r="Q918" s="29">
        <f>IF(OR(J918&gt;=140,K918&gt;=90),2,0)</f>
        <v>2</v>
      </c>
      <c r="R918" s="29">
        <f ca="1">SUM(L918:Q918)</f>
        <v>9</v>
      </c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5" t="s">
        <v>1393</v>
      </c>
      <c r="AE918" s="33"/>
      <c r="AF918" s="59" t="str">
        <f t="shared" si="43"/>
        <v>Không</v>
      </c>
      <c r="AG918" s="59" t="str">
        <f t="shared" si="44"/>
        <v>Không</v>
      </c>
      <c r="AH918" s="29" t="str">
        <f t="shared" ca="1" si="42"/>
        <v>Có</v>
      </c>
      <c r="AI918" s="29" t="str">
        <f ca="1">IF((R918)&gt;=6,"Có","Không")</f>
        <v>Có</v>
      </c>
      <c r="AJ918" s="29" t="str">
        <f>IF(OR(J918&gt;=140,K918&gt;=90),"Có","Không")</f>
        <v>Có</v>
      </c>
      <c r="AK918" s="5" t="s">
        <v>68</v>
      </c>
      <c r="AL918" s="32">
        <v>46142</v>
      </c>
      <c r="AM918" s="29" t="str">
        <f>"Tháng "&amp;MONTH(AL918)</f>
        <v>Tháng 4</v>
      </c>
      <c r="AN918" s="29" t="str">
        <f>LEFT(AK918,FIND(",",AK918)-1)</f>
        <v>Ấp Biển Tây B</v>
      </c>
    </row>
    <row r="919" spans="1:40" x14ac:dyDescent="0.25">
      <c r="A919" s="49" t="s">
        <v>864</v>
      </c>
      <c r="B919" s="5" t="s">
        <v>23</v>
      </c>
      <c r="C919" s="5" t="s">
        <v>110</v>
      </c>
      <c r="D919" s="29">
        <f ca="1">DATEDIF(C919,TODAY(),"Y")</f>
        <v>62</v>
      </c>
      <c r="E919" s="5" t="s">
        <v>25</v>
      </c>
      <c r="F919" s="30">
        <v>158</v>
      </c>
      <c r="G919" s="30">
        <v>58</v>
      </c>
      <c r="H919" s="31">
        <f>G919/((F919/100)*(F919/100))</f>
        <v>23.233456176894723</v>
      </c>
      <c r="I919" s="5">
        <v>81</v>
      </c>
      <c r="J919" s="30">
        <v>120</v>
      </c>
      <c r="K919" s="30">
        <v>80</v>
      </c>
      <c r="L919" s="29">
        <f>IF(B919="Nữ",0,2)</f>
        <v>0</v>
      </c>
      <c r="M919" s="29">
        <f ca="1">IF(D919&lt;45,0,IF(D919&lt;=49,1,2))</f>
        <v>2</v>
      </c>
      <c r="N919" s="29">
        <f>IF(E919="Có",4,0)</f>
        <v>4</v>
      </c>
      <c r="O919" s="29">
        <f>IF(H919&lt;23,0,IF(H919&lt;27.5,3,5))</f>
        <v>3</v>
      </c>
      <c r="P919" s="29">
        <f>IF(OR(AND(B919="Nam",I919&gt;=90),AND(B919="Nữ",I919&gt;=80)),2,0)</f>
        <v>2</v>
      </c>
      <c r="Q919" s="29">
        <f>IF(OR(J919&gt;=140,K919&gt;=90),2,0)</f>
        <v>0</v>
      </c>
      <c r="R919" s="29">
        <f ca="1">SUM(L919:Q919)</f>
        <v>11</v>
      </c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5" t="s">
        <v>1393</v>
      </c>
      <c r="AE919" s="33"/>
      <c r="AF919" s="59" t="str">
        <f t="shared" si="43"/>
        <v>Không</v>
      </c>
      <c r="AG919" s="59" t="str">
        <f t="shared" si="44"/>
        <v>Không</v>
      </c>
      <c r="AH919" s="29" t="str">
        <f t="shared" ca="1" si="42"/>
        <v>Có</v>
      </c>
      <c r="AI919" s="29" t="str">
        <f ca="1">IF((R919)&gt;=6,"Có","Không")</f>
        <v>Có</v>
      </c>
      <c r="AJ919" s="29" t="str">
        <f>IF(OR(J919&gt;=140,K919&gt;=90),"Có","Không")</f>
        <v>Không</v>
      </c>
      <c r="AK919" s="5" t="s">
        <v>51</v>
      </c>
      <c r="AL919" s="32">
        <v>46142</v>
      </c>
      <c r="AM919" s="29" t="str">
        <f>"Tháng "&amp;MONTH(AL919)</f>
        <v>Tháng 4</v>
      </c>
      <c r="AN919" s="29" t="str">
        <f>LEFT(AK919,FIND(",",AK919)-1)</f>
        <v>Phường Hiệp Thành</v>
      </c>
    </row>
    <row r="920" spans="1:40" x14ac:dyDescent="0.25">
      <c r="A920" s="49" t="s">
        <v>865</v>
      </c>
      <c r="B920" s="5" t="s">
        <v>30</v>
      </c>
      <c r="C920" s="5" t="s">
        <v>337</v>
      </c>
      <c r="D920" s="29">
        <f ca="1">DATEDIF(C920,TODAY(),"Y")</f>
        <v>86</v>
      </c>
      <c r="E920" s="5" t="s">
        <v>26</v>
      </c>
      <c r="F920" s="30">
        <v>169</v>
      </c>
      <c r="G920" s="30">
        <v>68</v>
      </c>
      <c r="H920" s="31">
        <f>G920/((F920/100)*(F920/100))</f>
        <v>23.808690171912751</v>
      </c>
      <c r="I920" s="5">
        <v>92</v>
      </c>
      <c r="J920" s="30">
        <v>120</v>
      </c>
      <c r="K920" s="30">
        <v>80</v>
      </c>
      <c r="L920" s="29">
        <f>IF(B920="Nữ",0,2)</f>
        <v>2</v>
      </c>
      <c r="M920" s="29">
        <f ca="1">IF(D920&lt;45,0,IF(D920&lt;=49,1,2))</f>
        <v>2</v>
      </c>
      <c r="N920" s="29">
        <f>IF(E920="Có",4,0)</f>
        <v>0</v>
      </c>
      <c r="O920" s="29">
        <f>IF(H920&lt;23,0,IF(H920&lt;27.5,3,5))</f>
        <v>3</v>
      </c>
      <c r="P920" s="29">
        <f>IF(OR(AND(B920="Nam",I920&gt;=90),AND(B920="Nữ",I920&gt;=80)),2,0)</f>
        <v>2</v>
      </c>
      <c r="Q920" s="29">
        <f>IF(OR(J920&gt;=140,K920&gt;=90),2,0)</f>
        <v>0</v>
      </c>
      <c r="R920" s="29">
        <f ca="1">SUM(L920:Q920)</f>
        <v>9</v>
      </c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5" t="s">
        <v>1393</v>
      </c>
      <c r="AE920" s="33"/>
      <c r="AF920" s="59" t="str">
        <f t="shared" si="43"/>
        <v>Không</v>
      </c>
      <c r="AG920" s="59" t="str">
        <f t="shared" si="44"/>
        <v>Không</v>
      </c>
      <c r="AH920" s="29" t="str">
        <f t="shared" ca="1" si="42"/>
        <v>Có</v>
      </c>
      <c r="AI920" s="29" t="str">
        <f ca="1">IF((R920)&gt;=6,"Có","Không")</f>
        <v>Có</v>
      </c>
      <c r="AJ920" s="29" t="str">
        <f>IF(OR(J920&gt;=140,K920&gt;=90),"Có","Không")</f>
        <v>Không</v>
      </c>
      <c r="AK920" s="5" t="s">
        <v>51</v>
      </c>
      <c r="AL920" s="32">
        <v>46142</v>
      </c>
      <c r="AM920" s="29" t="str">
        <f>"Tháng "&amp;MONTH(AL920)</f>
        <v>Tháng 4</v>
      </c>
      <c r="AN920" s="29" t="str">
        <f>LEFT(AK920,FIND(",",AK920)-1)</f>
        <v>Phường Hiệp Thành</v>
      </c>
    </row>
    <row r="921" spans="1:40" x14ac:dyDescent="0.25">
      <c r="A921" s="49" t="s">
        <v>866</v>
      </c>
      <c r="B921" s="5" t="s">
        <v>30</v>
      </c>
      <c r="C921" s="5" t="s">
        <v>273</v>
      </c>
      <c r="D921" s="29">
        <f ca="1">DATEDIF(C921,TODAY(),"Y")</f>
        <v>47</v>
      </c>
      <c r="E921" s="5" t="s">
        <v>26</v>
      </c>
      <c r="F921" s="30">
        <v>169</v>
      </c>
      <c r="G921" s="30">
        <v>68</v>
      </c>
      <c r="H921" s="31">
        <f>G921/((F921/100)*(F921/100))</f>
        <v>23.808690171912751</v>
      </c>
      <c r="I921" s="5">
        <v>82</v>
      </c>
      <c r="J921" s="30">
        <v>120</v>
      </c>
      <c r="K921" s="30">
        <v>80</v>
      </c>
      <c r="L921" s="29">
        <f>IF(B921="Nữ",0,2)</f>
        <v>2</v>
      </c>
      <c r="M921" s="29">
        <f ca="1">IF(D921&lt;45,0,IF(D921&lt;=49,1,2))</f>
        <v>1</v>
      </c>
      <c r="N921" s="29">
        <f>IF(E921="Có",4,0)</f>
        <v>0</v>
      </c>
      <c r="O921" s="29">
        <f>IF(H921&lt;23,0,IF(H921&lt;27.5,3,5))</f>
        <v>3</v>
      </c>
      <c r="P921" s="29">
        <f>IF(OR(AND(B921="Nam",I921&gt;=90),AND(B921="Nữ",I921&gt;=80)),2,0)</f>
        <v>0</v>
      </c>
      <c r="Q921" s="29">
        <f>IF(OR(J921&gt;=140,K921&gt;=90),2,0)</f>
        <v>0</v>
      </c>
      <c r="R921" s="29">
        <f ca="1">SUM(L921:Q921)</f>
        <v>6</v>
      </c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5" t="s">
        <v>1393</v>
      </c>
      <c r="AE921" s="33"/>
      <c r="AF921" s="59" t="str">
        <f t="shared" si="43"/>
        <v>Không</v>
      </c>
      <c r="AG921" s="59" t="str">
        <f t="shared" si="44"/>
        <v>Không</v>
      </c>
      <c r="AH921" s="29" t="str">
        <f t="shared" ca="1" si="42"/>
        <v>Có</v>
      </c>
      <c r="AI921" s="29" t="str">
        <f ca="1">IF((R921)&gt;=6,"Có","Không")</f>
        <v>Có</v>
      </c>
      <c r="AJ921" s="29" t="str">
        <f>IF(OR(J921&gt;=140,K921&gt;=90),"Có","Không")</f>
        <v>Không</v>
      </c>
      <c r="AK921" s="5" t="s">
        <v>60</v>
      </c>
      <c r="AL921" s="32">
        <v>46142</v>
      </c>
      <c r="AM921" s="29" t="str">
        <f>"Tháng "&amp;MONTH(AL921)</f>
        <v>Tháng 4</v>
      </c>
      <c r="AN921" s="29" t="str">
        <f>LEFT(AK921,FIND(",",AK921)-1)</f>
        <v>ấp Biển Đông A</v>
      </c>
    </row>
    <row r="922" spans="1:40" x14ac:dyDescent="0.25">
      <c r="A922" s="49" t="s">
        <v>867</v>
      </c>
      <c r="B922" s="5" t="s">
        <v>23</v>
      </c>
      <c r="C922" s="5" t="s">
        <v>80</v>
      </c>
      <c r="D922" s="29">
        <f ca="1">DATEDIF(C922,TODAY(),"Y")</f>
        <v>71</v>
      </c>
      <c r="E922" s="5" t="s">
        <v>26</v>
      </c>
      <c r="F922" s="30">
        <v>158</v>
      </c>
      <c r="G922" s="30">
        <v>58</v>
      </c>
      <c r="H922" s="31">
        <f>G922/((F922/100)*(F922/100))</f>
        <v>23.233456176894723</v>
      </c>
      <c r="I922" s="5">
        <v>85</v>
      </c>
      <c r="J922" s="30">
        <v>140</v>
      </c>
      <c r="K922" s="30">
        <v>80</v>
      </c>
      <c r="L922" s="29">
        <f>IF(B922="Nữ",0,2)</f>
        <v>0</v>
      </c>
      <c r="M922" s="29">
        <f ca="1">IF(D922&lt;45,0,IF(D922&lt;=49,1,2))</f>
        <v>2</v>
      </c>
      <c r="N922" s="29">
        <f>IF(E922="Có",4,0)</f>
        <v>0</v>
      </c>
      <c r="O922" s="29">
        <f>IF(H922&lt;23,0,IF(H922&lt;27.5,3,5))</f>
        <v>3</v>
      </c>
      <c r="P922" s="29">
        <f>IF(OR(AND(B922="Nam",I922&gt;=90),AND(B922="Nữ",I922&gt;=80)),2,0)</f>
        <v>2</v>
      </c>
      <c r="Q922" s="29">
        <f>IF(OR(J922&gt;=140,K922&gt;=90),2,0)</f>
        <v>2</v>
      </c>
      <c r="R922" s="29">
        <f ca="1">SUM(L922:Q922)</f>
        <v>9</v>
      </c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5" t="s">
        <v>1393</v>
      </c>
      <c r="AE922" s="33"/>
      <c r="AF922" s="59" t="str">
        <f t="shared" si="43"/>
        <v>Không</v>
      </c>
      <c r="AG922" s="59" t="str">
        <f t="shared" si="44"/>
        <v>Không</v>
      </c>
      <c r="AH922" s="29" t="str">
        <f t="shared" ca="1" si="42"/>
        <v>Có</v>
      </c>
      <c r="AI922" s="29" t="str">
        <f ca="1">IF((R922)&gt;=6,"Có","Không")</f>
        <v>Có</v>
      </c>
      <c r="AJ922" s="29" t="str">
        <f>IF(OR(J922&gt;=140,K922&gt;=90),"Có","Không")</f>
        <v>Có</v>
      </c>
      <c r="AK922" s="5" t="s">
        <v>51</v>
      </c>
      <c r="AL922" s="32">
        <v>46142</v>
      </c>
      <c r="AM922" s="29" t="str">
        <f>"Tháng "&amp;MONTH(AL922)</f>
        <v>Tháng 4</v>
      </c>
      <c r="AN922" s="29" t="str">
        <f>LEFT(AK922,FIND(",",AK922)-1)</f>
        <v>Phường Hiệp Thành</v>
      </c>
    </row>
    <row r="923" spans="1:40" x14ac:dyDescent="0.25">
      <c r="A923" s="49" t="s">
        <v>868</v>
      </c>
      <c r="B923" s="5" t="s">
        <v>23</v>
      </c>
      <c r="C923" s="5" t="s">
        <v>133</v>
      </c>
      <c r="D923" s="29">
        <f ca="1">DATEDIF(C923,TODAY(),"Y")</f>
        <v>56</v>
      </c>
      <c r="E923" s="5" t="s">
        <v>26</v>
      </c>
      <c r="F923" s="30">
        <v>154</v>
      </c>
      <c r="G923" s="30">
        <v>54</v>
      </c>
      <c r="H923" s="31">
        <f>G923/((F923/100)*(F923/100))</f>
        <v>22.769438353853939</v>
      </c>
      <c r="I923" s="5">
        <v>76</v>
      </c>
      <c r="J923" s="30">
        <v>120</v>
      </c>
      <c r="K923" s="30">
        <v>80</v>
      </c>
      <c r="L923" s="29">
        <f>IF(B923="Nữ",0,2)</f>
        <v>0</v>
      </c>
      <c r="M923" s="29">
        <f ca="1">IF(D923&lt;45,0,IF(D923&lt;=49,1,2))</f>
        <v>2</v>
      </c>
      <c r="N923" s="29">
        <f>IF(E923="Có",4,0)</f>
        <v>0</v>
      </c>
      <c r="O923" s="29">
        <f>IF(H923&lt;23,0,IF(H923&lt;27.5,3,5))</f>
        <v>0</v>
      </c>
      <c r="P923" s="29">
        <f>IF(OR(AND(B923="Nam",I923&gt;=90),AND(B923="Nữ",I923&gt;=80)),2,0)</f>
        <v>0</v>
      </c>
      <c r="Q923" s="29">
        <f>IF(OR(J923&gt;=140,K923&gt;=90),2,0)</f>
        <v>0</v>
      </c>
      <c r="R923" s="29">
        <f ca="1">SUM(L923:Q923)</f>
        <v>2</v>
      </c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5" t="s">
        <v>1393</v>
      </c>
      <c r="AE923" s="33"/>
      <c r="AF923" s="59" t="str">
        <f t="shared" si="43"/>
        <v>Không</v>
      </c>
      <c r="AG923" s="59" t="str">
        <f t="shared" si="44"/>
        <v>Không</v>
      </c>
      <c r="AH923" s="29" t="str">
        <f t="shared" ca="1" si="42"/>
        <v>Không</v>
      </c>
      <c r="AI923" s="29" t="str">
        <f ca="1">IF((R923)&gt;=6,"Có","Không")</f>
        <v>Không</v>
      </c>
      <c r="AJ923" s="29" t="str">
        <f>IF(OR(J923&gt;=140,K923&gt;=90),"Có","Không")</f>
        <v>Không</v>
      </c>
      <c r="AK923" s="5" t="s">
        <v>869</v>
      </c>
      <c r="AL923" s="32">
        <v>46142</v>
      </c>
      <c r="AM923" s="29" t="str">
        <f>"Tháng "&amp;MONTH(AL923)</f>
        <v>Tháng 4</v>
      </c>
      <c r="AN923" s="29" t="str">
        <f>LEFT(AK923,FIND(",",AK923)-1)</f>
        <v>Văn Đức A</v>
      </c>
    </row>
    <row r="924" spans="1:40" x14ac:dyDescent="0.25">
      <c r="A924" s="49" t="s">
        <v>870</v>
      </c>
      <c r="B924" s="5" t="s">
        <v>30</v>
      </c>
      <c r="C924" s="5" t="s">
        <v>59</v>
      </c>
      <c r="D924" s="29">
        <f ca="1">DATEDIF(C924,TODAY(),"Y")</f>
        <v>74</v>
      </c>
      <c r="E924" s="5" t="s">
        <v>25</v>
      </c>
      <c r="F924" s="30">
        <v>169</v>
      </c>
      <c r="G924" s="30">
        <v>68</v>
      </c>
      <c r="H924" s="31">
        <f>G924/((F924/100)*(F924/100))</f>
        <v>23.808690171912751</v>
      </c>
      <c r="I924" s="5">
        <v>69</v>
      </c>
      <c r="J924" s="30">
        <v>170</v>
      </c>
      <c r="K924" s="30">
        <v>80</v>
      </c>
      <c r="L924" s="29">
        <f>IF(B924="Nữ",0,2)</f>
        <v>2</v>
      </c>
      <c r="M924" s="29">
        <f ca="1">IF(D924&lt;45,0,IF(D924&lt;=49,1,2))</f>
        <v>2</v>
      </c>
      <c r="N924" s="29">
        <f>IF(E924="Có",4,0)</f>
        <v>4</v>
      </c>
      <c r="O924" s="29">
        <f>IF(H924&lt;23,0,IF(H924&lt;27.5,3,5))</f>
        <v>3</v>
      </c>
      <c r="P924" s="29">
        <f>IF(OR(AND(B924="Nam",I924&gt;=90),AND(B924="Nữ",I924&gt;=80)),2,0)</f>
        <v>0</v>
      </c>
      <c r="Q924" s="29">
        <f>IF(OR(J924&gt;=140,K924&gt;=90),2,0)</f>
        <v>2</v>
      </c>
      <c r="R924" s="29">
        <f ca="1">SUM(L924:Q924)</f>
        <v>13</v>
      </c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5" t="s">
        <v>1393</v>
      </c>
      <c r="AE924" s="33"/>
      <c r="AF924" s="59" t="str">
        <f t="shared" si="43"/>
        <v>Không</v>
      </c>
      <c r="AG924" s="59" t="str">
        <f t="shared" si="44"/>
        <v>Không</v>
      </c>
      <c r="AH924" s="29" t="str">
        <f t="shared" ca="1" si="42"/>
        <v>Có</v>
      </c>
      <c r="AI924" s="29" t="str">
        <f ca="1">IF((R924)&gt;=6,"Có","Không")</f>
        <v>Có</v>
      </c>
      <c r="AJ924" s="29" t="str">
        <f>IF(OR(J924&gt;=140,K924&gt;=90),"Có","Không")</f>
        <v>Có</v>
      </c>
      <c r="AK924" s="5" t="s">
        <v>28</v>
      </c>
      <c r="AL924" s="32">
        <v>46142</v>
      </c>
      <c r="AM924" s="29" t="str">
        <f>"Tháng "&amp;MONTH(AL924)</f>
        <v>Tháng 4</v>
      </c>
      <c r="AN924" s="29" t="str">
        <f>LEFT(AK924,FIND(",",AK924)-1)</f>
        <v>Ấp Biển Đông A</v>
      </c>
    </row>
    <row r="925" spans="1:40" x14ac:dyDescent="0.25">
      <c r="A925" s="49" t="s">
        <v>871</v>
      </c>
      <c r="B925" s="5" t="s">
        <v>23</v>
      </c>
      <c r="C925" s="5" t="s">
        <v>64</v>
      </c>
      <c r="D925" s="29">
        <f ca="1">DATEDIF(C925,TODAY(),"Y")</f>
        <v>42</v>
      </c>
      <c r="E925" s="5" t="s">
        <v>26</v>
      </c>
      <c r="F925" s="30">
        <v>173</v>
      </c>
      <c r="G925" s="30">
        <v>71</v>
      </c>
      <c r="H925" s="31">
        <f>G925/((F925/100)*(F925/100))</f>
        <v>23.722810651876106</v>
      </c>
      <c r="I925" s="5">
        <v>87</v>
      </c>
      <c r="J925" s="30">
        <v>120</v>
      </c>
      <c r="K925" s="30">
        <v>80</v>
      </c>
      <c r="L925" s="29">
        <f>IF(B925="Nữ",0,2)</f>
        <v>0</v>
      </c>
      <c r="M925" s="29">
        <f ca="1">IF(D925&lt;45,0,IF(D925&lt;=49,1,2))</f>
        <v>0</v>
      </c>
      <c r="N925" s="29">
        <f>IF(E925="Có",4,0)</f>
        <v>0</v>
      </c>
      <c r="O925" s="29">
        <f>IF(H925&lt;23,0,IF(H925&lt;27.5,3,5))</f>
        <v>3</v>
      </c>
      <c r="P925" s="29">
        <f>IF(OR(AND(B925="Nam",I925&gt;=90),AND(B925="Nữ",I925&gt;=80)),2,0)</f>
        <v>2</v>
      </c>
      <c r="Q925" s="29">
        <f>IF(OR(J925&gt;=140,K925&gt;=90),2,0)</f>
        <v>0</v>
      </c>
      <c r="R925" s="29">
        <f ca="1">SUM(L925:Q925)</f>
        <v>5</v>
      </c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5" t="s">
        <v>1393</v>
      </c>
      <c r="AE925" s="33"/>
      <c r="AF925" s="59" t="str">
        <f t="shared" si="43"/>
        <v>Không</v>
      </c>
      <c r="AG925" s="59" t="str">
        <f t="shared" si="44"/>
        <v>Không</v>
      </c>
      <c r="AH925" s="29" t="str">
        <f t="shared" ca="1" si="42"/>
        <v>Không</v>
      </c>
      <c r="AI925" s="29" t="str">
        <f ca="1">IF((R925)&gt;=6,"Có","Không")</f>
        <v>Không</v>
      </c>
      <c r="AJ925" s="29" t="str">
        <f>IF(OR(J925&gt;=140,K925&gt;=90),"Có","Không")</f>
        <v>Không</v>
      </c>
      <c r="AK925" s="5" t="s">
        <v>872</v>
      </c>
      <c r="AL925" s="32">
        <v>46142</v>
      </c>
      <c r="AM925" s="29" t="str">
        <f>"Tháng "&amp;MONTH(AL925)</f>
        <v>Tháng 4</v>
      </c>
      <c r="AN925" s="29" t="str">
        <f>LEFT(AK925,FIND(",",AK925)-1)</f>
        <v>KHÓM ĐẦU LỘ</v>
      </c>
    </row>
    <row r="926" spans="1:40" x14ac:dyDescent="0.25">
      <c r="A926" s="49" t="s">
        <v>885</v>
      </c>
      <c r="B926" s="5" t="s">
        <v>23</v>
      </c>
      <c r="C926" s="5" t="s">
        <v>90</v>
      </c>
      <c r="D926" s="29">
        <f ca="1">DATEDIF(C926,TODAY(),"Y")</f>
        <v>54</v>
      </c>
      <c r="E926" s="5" t="s">
        <v>26</v>
      </c>
      <c r="F926" s="30">
        <v>167</v>
      </c>
      <c r="G926" s="30">
        <v>75</v>
      </c>
      <c r="H926" s="31">
        <f>G926/((F926/100)*(F926/100))</f>
        <v>26.892323138154829</v>
      </c>
      <c r="I926" s="5">
        <v>68</v>
      </c>
      <c r="J926" s="30">
        <v>110</v>
      </c>
      <c r="K926" s="30">
        <v>80</v>
      </c>
      <c r="L926" s="29">
        <f>IF(B926="Nữ",0,2)</f>
        <v>0</v>
      </c>
      <c r="M926" s="29">
        <f ca="1">IF(D926&lt;45,0,IF(D926&lt;=49,1,2))</f>
        <v>2</v>
      </c>
      <c r="N926" s="29">
        <f>IF(E926="Có",4,0)</f>
        <v>0</v>
      </c>
      <c r="O926" s="29">
        <f>IF(H926&lt;23,0,IF(H926&lt;27.5,3,5))</f>
        <v>3</v>
      </c>
      <c r="P926" s="29">
        <f>IF(OR(AND(B926="Nam",I926&gt;=90),AND(B926="Nữ",I926&gt;=80)),2,0)</f>
        <v>0</v>
      </c>
      <c r="Q926" s="29">
        <f>IF(OR(J926&gt;=140,K926&gt;=90),2,0)</f>
        <v>0</v>
      </c>
      <c r="R926" s="29">
        <f ca="1">SUM(L926:Q926)</f>
        <v>5</v>
      </c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5" t="s">
        <v>1393</v>
      </c>
      <c r="AE926" s="33"/>
      <c r="AF926" s="59" t="str">
        <f t="shared" si="43"/>
        <v>Không</v>
      </c>
      <c r="AG926" s="59" t="str">
        <f t="shared" si="44"/>
        <v>Không</v>
      </c>
      <c r="AH926" s="29" t="str">
        <f t="shared" ca="1" si="42"/>
        <v>Không</v>
      </c>
      <c r="AI926" s="29" t="str">
        <f ca="1">IF((R926)&gt;=6,"Có","Không")</f>
        <v>Không</v>
      </c>
      <c r="AJ926" s="29" t="str">
        <f>IF(OR(J926&gt;=140,K926&gt;=90),"Có","Không")</f>
        <v>Không</v>
      </c>
      <c r="AK926" s="5" t="s">
        <v>886</v>
      </c>
      <c r="AL926" s="32">
        <v>46142</v>
      </c>
      <c r="AM926" s="29" t="str">
        <f>"Tháng "&amp;MONTH(AL926)</f>
        <v>Tháng 4</v>
      </c>
      <c r="AN926" s="29" t="str">
        <f>LEFT(AK926,FIND(",",AK926)-1)</f>
        <v>421/3 Lê Quang Sung</v>
      </c>
    </row>
    <row r="927" spans="1:40" x14ac:dyDescent="0.25">
      <c r="A927" s="49" t="s">
        <v>887</v>
      </c>
      <c r="B927" s="5" t="s">
        <v>23</v>
      </c>
      <c r="C927" s="5" t="s">
        <v>37</v>
      </c>
      <c r="D927" s="29">
        <f ca="1">DATEDIF(C927,TODAY(),"Y")</f>
        <v>75</v>
      </c>
      <c r="E927" s="5" t="s">
        <v>25</v>
      </c>
      <c r="F927" s="30">
        <v>158</v>
      </c>
      <c r="G927" s="30">
        <v>58</v>
      </c>
      <c r="H927" s="31">
        <f>G927/((F927/100)*(F927/100))</f>
        <v>23.233456176894723</v>
      </c>
      <c r="I927" s="5">
        <v>75</v>
      </c>
      <c r="J927" s="30">
        <v>140</v>
      </c>
      <c r="K927" s="30">
        <v>80</v>
      </c>
      <c r="L927" s="29">
        <f>IF(B927="Nữ",0,2)</f>
        <v>0</v>
      </c>
      <c r="M927" s="29">
        <f ca="1">IF(D927&lt;45,0,IF(D927&lt;=49,1,2))</f>
        <v>2</v>
      </c>
      <c r="N927" s="29">
        <f>IF(E927="Có",4,0)</f>
        <v>4</v>
      </c>
      <c r="O927" s="29">
        <f>IF(H927&lt;23,0,IF(H927&lt;27.5,3,5))</f>
        <v>3</v>
      </c>
      <c r="P927" s="29">
        <f>IF(OR(AND(B927="Nam",I927&gt;=90),AND(B927="Nữ",I927&gt;=80)),2,0)</f>
        <v>0</v>
      </c>
      <c r="Q927" s="29">
        <f>IF(OR(J927&gt;=140,K927&gt;=90),2,0)</f>
        <v>2</v>
      </c>
      <c r="R927" s="29">
        <f ca="1">SUM(L927:Q927)</f>
        <v>11</v>
      </c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5" t="s">
        <v>1393</v>
      </c>
      <c r="AE927" s="33"/>
      <c r="AF927" s="59" t="str">
        <f t="shared" si="43"/>
        <v>Không</v>
      </c>
      <c r="AG927" s="59" t="str">
        <f t="shared" si="44"/>
        <v>Không</v>
      </c>
      <c r="AH927" s="29" t="str">
        <f t="shared" ca="1" si="42"/>
        <v>Có</v>
      </c>
      <c r="AI927" s="29" t="str">
        <f ca="1">IF((R927)&gt;=6,"Có","Không")</f>
        <v>Có</v>
      </c>
      <c r="AJ927" s="29" t="str">
        <f>IF(OR(J927&gt;=140,K927&gt;=90),"Có","Không")</f>
        <v>Có</v>
      </c>
      <c r="AK927" s="5" t="s">
        <v>60</v>
      </c>
      <c r="AL927" s="32">
        <v>46142</v>
      </c>
      <c r="AM927" s="29" t="str">
        <f>"Tháng "&amp;MONTH(AL927)</f>
        <v>Tháng 4</v>
      </c>
      <c r="AN927" s="29" t="str">
        <f>LEFT(AK927,FIND(",",AK927)-1)</f>
        <v>ấp Biển Đông A</v>
      </c>
    </row>
    <row r="928" spans="1:40" x14ac:dyDescent="0.25">
      <c r="A928" s="49" t="s">
        <v>888</v>
      </c>
      <c r="B928" s="5" t="s">
        <v>30</v>
      </c>
      <c r="C928" s="5" t="s">
        <v>37</v>
      </c>
      <c r="D928" s="29">
        <f ca="1">DATEDIF(C928,TODAY(),"Y")</f>
        <v>75</v>
      </c>
      <c r="E928" s="5" t="s">
        <v>26</v>
      </c>
      <c r="F928" s="30">
        <v>169</v>
      </c>
      <c r="G928" s="30">
        <v>68</v>
      </c>
      <c r="H928" s="31">
        <f>G928/((F928/100)*(F928/100))</f>
        <v>23.808690171912751</v>
      </c>
      <c r="I928" s="5">
        <v>82</v>
      </c>
      <c r="J928" s="30">
        <v>140</v>
      </c>
      <c r="K928" s="30">
        <v>80</v>
      </c>
      <c r="L928" s="29">
        <f>IF(B928="Nữ",0,2)</f>
        <v>2</v>
      </c>
      <c r="M928" s="29">
        <f ca="1">IF(D928&lt;45,0,IF(D928&lt;=49,1,2))</f>
        <v>2</v>
      </c>
      <c r="N928" s="29">
        <f>IF(E928="Có",4,0)</f>
        <v>0</v>
      </c>
      <c r="O928" s="29">
        <f>IF(H928&lt;23,0,IF(H928&lt;27.5,3,5))</f>
        <v>3</v>
      </c>
      <c r="P928" s="29">
        <f>IF(OR(AND(B928="Nam",I928&gt;=90),AND(B928="Nữ",I928&gt;=80)),2,0)</f>
        <v>0</v>
      </c>
      <c r="Q928" s="29">
        <f>IF(OR(J928&gt;=140,K928&gt;=90),2,0)</f>
        <v>2</v>
      </c>
      <c r="R928" s="29">
        <f ca="1">SUM(L928:Q928)</f>
        <v>9</v>
      </c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5" t="s">
        <v>1393</v>
      </c>
      <c r="AE928" s="33"/>
      <c r="AF928" s="59" t="str">
        <f t="shared" si="43"/>
        <v>Không</v>
      </c>
      <c r="AG928" s="59" t="str">
        <f t="shared" si="44"/>
        <v>Không</v>
      </c>
      <c r="AH928" s="29" t="str">
        <f t="shared" ca="1" si="42"/>
        <v>Có</v>
      </c>
      <c r="AI928" s="29" t="str">
        <f ca="1">IF((R928)&gt;=6,"Có","Không")</f>
        <v>Có</v>
      </c>
      <c r="AJ928" s="29" t="str">
        <f>IF(OR(J928&gt;=140,K928&gt;=90),"Có","Không")</f>
        <v>Có</v>
      </c>
      <c r="AK928" s="5" t="s">
        <v>65</v>
      </c>
      <c r="AL928" s="32">
        <v>46142</v>
      </c>
      <c r="AM928" s="29" t="str">
        <f>"Tháng "&amp;MONTH(AL928)</f>
        <v>Tháng 4</v>
      </c>
      <c r="AN928" s="29" t="str">
        <f>LEFT(AK928,FIND(",",AK928)-1)</f>
        <v>Biển Tây B</v>
      </c>
    </row>
    <row r="929" spans="1:40" x14ac:dyDescent="0.25">
      <c r="A929" s="49" t="s">
        <v>890</v>
      </c>
      <c r="B929" s="5" t="s">
        <v>23</v>
      </c>
      <c r="C929" s="5" t="s">
        <v>31</v>
      </c>
      <c r="D929" s="29">
        <f ca="1">DATEDIF(C929,TODAY(),"Y")</f>
        <v>79</v>
      </c>
      <c r="E929" s="5" t="s">
        <v>26</v>
      </c>
      <c r="F929" s="30">
        <v>158</v>
      </c>
      <c r="G929" s="30">
        <v>58</v>
      </c>
      <c r="H929" s="31">
        <f>G929/((F929/100)*(F929/100))</f>
        <v>23.233456176894723</v>
      </c>
      <c r="I929" s="5">
        <v>86</v>
      </c>
      <c r="J929" s="30">
        <v>120</v>
      </c>
      <c r="K929" s="30">
        <v>80</v>
      </c>
      <c r="L929" s="29">
        <f>IF(B929="Nữ",0,2)</f>
        <v>0</v>
      </c>
      <c r="M929" s="29">
        <f ca="1">IF(D929&lt;45,0,IF(D929&lt;=49,1,2))</f>
        <v>2</v>
      </c>
      <c r="N929" s="29">
        <f>IF(E929="Có",4,0)</f>
        <v>0</v>
      </c>
      <c r="O929" s="29">
        <f>IF(H929&lt;23,0,IF(H929&lt;27.5,3,5))</f>
        <v>3</v>
      </c>
      <c r="P929" s="29">
        <f>IF(OR(AND(B929="Nam",I929&gt;=90),AND(B929="Nữ",I929&gt;=80)),2,0)</f>
        <v>2</v>
      </c>
      <c r="Q929" s="29">
        <f>IF(OR(J929&gt;=140,K929&gt;=90),2,0)</f>
        <v>0</v>
      </c>
      <c r="R929" s="29">
        <f ca="1">SUM(L929:Q929)</f>
        <v>7</v>
      </c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5" t="s">
        <v>1393</v>
      </c>
      <c r="AE929" s="33"/>
      <c r="AF929" s="59" t="str">
        <f t="shared" si="43"/>
        <v>Không</v>
      </c>
      <c r="AG929" s="59" t="str">
        <f t="shared" si="44"/>
        <v>Không</v>
      </c>
      <c r="AH929" s="29" t="str">
        <f t="shared" ca="1" si="42"/>
        <v>Có</v>
      </c>
      <c r="AI929" s="29" t="str">
        <f ca="1">IF((R929)&gt;=6,"Có","Không")</f>
        <v>Có</v>
      </c>
      <c r="AJ929" s="29" t="str">
        <f>IF(OR(J929&gt;=140,K929&gt;=90),"Có","Không")</f>
        <v>Không</v>
      </c>
      <c r="AK929" s="5" t="s">
        <v>32</v>
      </c>
      <c r="AL929" s="32">
        <v>46142</v>
      </c>
      <c r="AM929" s="29" t="str">
        <f>"Tháng "&amp;MONTH(AL929)</f>
        <v>Tháng 4</v>
      </c>
      <c r="AN929" s="29" t="str">
        <f>LEFT(AK929,FIND(",",AK929)-1)</f>
        <v>Ấp Giồng Giữa B</v>
      </c>
    </row>
    <row r="930" spans="1:40" x14ac:dyDescent="0.25">
      <c r="A930" s="49" t="s">
        <v>891</v>
      </c>
      <c r="B930" s="5" t="s">
        <v>23</v>
      </c>
      <c r="C930" s="5" t="s">
        <v>256</v>
      </c>
      <c r="D930" s="29">
        <f ca="1">DATEDIF(C930,TODAY(),"Y")</f>
        <v>41</v>
      </c>
      <c r="E930" s="5" t="s">
        <v>26</v>
      </c>
      <c r="F930" s="30">
        <v>158</v>
      </c>
      <c r="G930" s="30">
        <v>58</v>
      </c>
      <c r="H930" s="31">
        <f>G930/((F930/100)*(F930/100))</f>
        <v>23.233456176894723</v>
      </c>
      <c r="I930" s="5">
        <v>70</v>
      </c>
      <c r="J930" s="30">
        <v>120</v>
      </c>
      <c r="K930" s="30">
        <v>80</v>
      </c>
      <c r="L930" s="29">
        <f>IF(B930="Nữ",0,2)</f>
        <v>0</v>
      </c>
      <c r="M930" s="29">
        <f ca="1">IF(D930&lt;45,0,IF(D930&lt;=49,1,2))</f>
        <v>0</v>
      </c>
      <c r="N930" s="29">
        <f>IF(E930="Có",4,0)</f>
        <v>0</v>
      </c>
      <c r="O930" s="29">
        <f>IF(H930&lt;23,0,IF(H930&lt;27.5,3,5))</f>
        <v>3</v>
      </c>
      <c r="P930" s="29">
        <f>IF(OR(AND(B930="Nam",I930&gt;=90),AND(B930="Nữ",I930&gt;=80)),2,0)</f>
        <v>0</v>
      </c>
      <c r="Q930" s="29">
        <f>IF(OR(J930&gt;=140,K930&gt;=90),2,0)</f>
        <v>0</v>
      </c>
      <c r="R930" s="29">
        <f ca="1">SUM(L930:Q930)</f>
        <v>3</v>
      </c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5" t="s">
        <v>1393</v>
      </c>
      <c r="AE930" s="33"/>
      <c r="AF930" s="59" t="str">
        <f t="shared" si="43"/>
        <v>Không</v>
      </c>
      <c r="AG930" s="59" t="str">
        <f t="shared" si="44"/>
        <v>Không</v>
      </c>
      <c r="AH930" s="29" t="str">
        <f t="shared" ca="1" si="42"/>
        <v>Không</v>
      </c>
      <c r="AI930" s="29" t="str">
        <f ca="1">IF((R930)&gt;=6,"Có","Không")</f>
        <v>Không</v>
      </c>
      <c r="AJ930" s="29" t="str">
        <f>IF(OR(J930&gt;=140,K930&gt;=90),"Có","Không")</f>
        <v>Không</v>
      </c>
      <c r="AK930" s="5" t="s">
        <v>68</v>
      </c>
      <c r="AL930" s="32">
        <v>46142</v>
      </c>
      <c r="AM930" s="29" t="str">
        <f>"Tháng "&amp;MONTH(AL930)</f>
        <v>Tháng 4</v>
      </c>
      <c r="AN930" s="29" t="str">
        <f>LEFT(AK930,FIND(",",AK930)-1)</f>
        <v>Ấp Biển Tây B</v>
      </c>
    </row>
    <row r="931" spans="1:40" x14ac:dyDescent="0.25">
      <c r="A931" s="49" t="s">
        <v>894</v>
      </c>
      <c r="B931" s="5" t="s">
        <v>23</v>
      </c>
      <c r="C931" s="5" t="s">
        <v>31</v>
      </c>
      <c r="D931" s="29">
        <f ca="1">DATEDIF(C931,TODAY(),"Y")</f>
        <v>79</v>
      </c>
      <c r="E931" s="5" t="s">
        <v>26</v>
      </c>
      <c r="F931" s="30">
        <v>158</v>
      </c>
      <c r="G931" s="30">
        <v>58</v>
      </c>
      <c r="H931" s="31">
        <f>G931/((F931/100)*(F931/100))</f>
        <v>23.233456176894723</v>
      </c>
      <c r="I931" s="5">
        <v>100</v>
      </c>
      <c r="J931" s="30">
        <v>120</v>
      </c>
      <c r="K931" s="30">
        <v>80</v>
      </c>
      <c r="L931" s="29">
        <f>IF(B931="Nữ",0,2)</f>
        <v>0</v>
      </c>
      <c r="M931" s="29">
        <f ca="1">IF(D931&lt;45,0,IF(D931&lt;=49,1,2))</f>
        <v>2</v>
      </c>
      <c r="N931" s="29">
        <f>IF(E931="Có",4,0)</f>
        <v>0</v>
      </c>
      <c r="O931" s="29">
        <f>IF(H931&lt;23,0,IF(H931&lt;27.5,3,5))</f>
        <v>3</v>
      </c>
      <c r="P931" s="29">
        <f>IF(OR(AND(B931="Nam",I931&gt;=90),AND(B931="Nữ",I931&gt;=80)),2,0)</f>
        <v>2</v>
      </c>
      <c r="Q931" s="29">
        <f>IF(OR(J931&gt;=140,K931&gt;=90),2,0)</f>
        <v>0</v>
      </c>
      <c r="R931" s="29">
        <f ca="1">SUM(L931:Q931)</f>
        <v>7</v>
      </c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5" t="s">
        <v>1393</v>
      </c>
      <c r="AE931" s="33"/>
      <c r="AF931" s="59" t="str">
        <f t="shared" si="43"/>
        <v>Không</v>
      </c>
      <c r="AG931" s="59" t="str">
        <f t="shared" si="44"/>
        <v>Không</v>
      </c>
      <c r="AH931" s="29" t="str">
        <f t="shared" ca="1" si="42"/>
        <v>Có</v>
      </c>
      <c r="AI931" s="29" t="str">
        <f ca="1">IF((R931)&gt;=6,"Có","Không")</f>
        <v>Có</v>
      </c>
      <c r="AJ931" s="29" t="str">
        <f>IF(OR(J931&gt;=140,K931&gt;=90),"Có","Không")</f>
        <v>Không</v>
      </c>
      <c r="AK931" s="5" t="s">
        <v>68</v>
      </c>
      <c r="AL931" s="32">
        <v>46142</v>
      </c>
      <c r="AM931" s="29" t="str">
        <f>"Tháng "&amp;MONTH(AL931)</f>
        <v>Tháng 4</v>
      </c>
      <c r="AN931" s="29" t="str">
        <f>LEFT(AK931,FIND(",",AK931)-1)</f>
        <v>Ấp Biển Tây B</v>
      </c>
    </row>
    <row r="932" spans="1:40" x14ac:dyDescent="0.25">
      <c r="A932" s="49" t="s">
        <v>895</v>
      </c>
      <c r="B932" s="5" t="s">
        <v>23</v>
      </c>
      <c r="C932" s="5" t="s">
        <v>42</v>
      </c>
      <c r="D932" s="29">
        <f ca="1">DATEDIF(C932,TODAY(),"Y")</f>
        <v>59</v>
      </c>
      <c r="E932" s="5" t="s">
        <v>26</v>
      </c>
      <c r="F932" s="30">
        <v>158</v>
      </c>
      <c r="G932" s="30">
        <v>58</v>
      </c>
      <c r="H932" s="31">
        <f>G932/((F932/100)*(F932/100))</f>
        <v>23.233456176894723</v>
      </c>
      <c r="I932" s="5">
        <v>65</v>
      </c>
      <c r="J932" s="30">
        <v>140</v>
      </c>
      <c r="K932" s="30">
        <v>80</v>
      </c>
      <c r="L932" s="29">
        <f>IF(B932="Nữ",0,2)</f>
        <v>0</v>
      </c>
      <c r="M932" s="29">
        <f ca="1">IF(D932&lt;45,0,IF(D932&lt;=49,1,2))</f>
        <v>2</v>
      </c>
      <c r="N932" s="29">
        <f>IF(E932="Có",4,0)</f>
        <v>0</v>
      </c>
      <c r="O932" s="29">
        <f>IF(H932&lt;23,0,IF(H932&lt;27.5,3,5))</f>
        <v>3</v>
      </c>
      <c r="P932" s="29">
        <f>IF(OR(AND(B932="Nam",I932&gt;=90),AND(B932="Nữ",I932&gt;=80)),2,0)</f>
        <v>0</v>
      </c>
      <c r="Q932" s="29">
        <f>IF(OR(J932&gt;=140,K932&gt;=90),2,0)</f>
        <v>2</v>
      </c>
      <c r="R932" s="29">
        <f ca="1">SUM(L932:Q932)</f>
        <v>7</v>
      </c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5" t="s">
        <v>1393</v>
      </c>
      <c r="AE932" s="33"/>
      <c r="AF932" s="59" t="str">
        <f t="shared" si="43"/>
        <v>Không</v>
      </c>
      <c r="AG932" s="59" t="str">
        <f t="shared" si="44"/>
        <v>Không</v>
      </c>
      <c r="AH932" s="29" t="str">
        <f t="shared" ca="1" si="42"/>
        <v>Có</v>
      </c>
      <c r="AI932" s="29" t="str">
        <f ca="1">IF((R932)&gt;=6,"Có","Không")</f>
        <v>Có</v>
      </c>
      <c r="AJ932" s="29" t="str">
        <f>IF(OR(J932&gt;=140,K932&gt;=90),"Có","Không")</f>
        <v>Có</v>
      </c>
      <c r="AK932" s="5" t="s">
        <v>319</v>
      </c>
      <c r="AL932" s="32">
        <v>46142</v>
      </c>
      <c r="AM932" s="29" t="str">
        <f>"Tháng "&amp;MONTH(AL932)</f>
        <v>Tháng 4</v>
      </c>
      <c r="AN932" s="29" t="str">
        <f>LEFT(AK932,FIND(",",AK932)-1)</f>
        <v>Khóm Đầu Lộ A</v>
      </c>
    </row>
    <row r="933" spans="1:40" x14ac:dyDescent="0.25">
      <c r="A933" s="49" t="s">
        <v>904</v>
      </c>
      <c r="B933" s="5" t="s">
        <v>23</v>
      </c>
      <c r="C933" s="5" t="s">
        <v>40</v>
      </c>
      <c r="D933" s="29">
        <f ca="1">DATEDIF(C933,TODAY(),"Y")</f>
        <v>70</v>
      </c>
      <c r="E933" s="5" t="s">
        <v>26</v>
      </c>
      <c r="F933" s="30">
        <v>158</v>
      </c>
      <c r="G933" s="30">
        <v>58</v>
      </c>
      <c r="H933" s="31">
        <f>G933/((F933/100)*(F933/100))</f>
        <v>23.233456176894723</v>
      </c>
      <c r="I933" s="5">
        <v>97</v>
      </c>
      <c r="J933" s="30">
        <v>120</v>
      </c>
      <c r="K933" s="30">
        <v>80</v>
      </c>
      <c r="L933" s="29">
        <f>IF(B933="Nữ",0,2)</f>
        <v>0</v>
      </c>
      <c r="M933" s="29">
        <f ca="1">IF(D933&lt;45,0,IF(D933&lt;=49,1,2))</f>
        <v>2</v>
      </c>
      <c r="N933" s="29">
        <f>IF(E933="Có",4,0)</f>
        <v>0</v>
      </c>
      <c r="O933" s="29">
        <f>IF(H933&lt;23,0,IF(H933&lt;27.5,3,5))</f>
        <v>3</v>
      </c>
      <c r="P933" s="29">
        <f>IF(OR(AND(B933="Nam",I933&gt;=90),AND(B933="Nữ",I933&gt;=80)),2,0)</f>
        <v>2</v>
      </c>
      <c r="Q933" s="29">
        <f>IF(OR(J933&gt;=140,K933&gt;=90),2,0)</f>
        <v>0</v>
      </c>
      <c r="R933" s="29">
        <f ca="1">SUM(L933:Q933)</f>
        <v>7</v>
      </c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5" t="s">
        <v>1393</v>
      </c>
      <c r="AE933" s="33"/>
      <c r="AF933" s="59" t="str">
        <f t="shared" si="43"/>
        <v>Không</v>
      </c>
      <c r="AG933" s="59" t="str">
        <f t="shared" si="44"/>
        <v>Không</v>
      </c>
      <c r="AH933" s="29" t="str">
        <f t="shared" ca="1" si="42"/>
        <v>Có</v>
      </c>
      <c r="AI933" s="29" t="str">
        <f ca="1">IF((R933)&gt;=6,"Có","Không")</f>
        <v>Có</v>
      </c>
      <c r="AJ933" s="29" t="str">
        <f>IF(OR(J933&gt;=140,K933&gt;=90),"Có","Không")</f>
        <v>Không</v>
      </c>
      <c r="AK933" s="5" t="s">
        <v>383</v>
      </c>
      <c r="AL933" s="32">
        <v>46142</v>
      </c>
      <c r="AM933" s="29" t="str">
        <f>"Tháng "&amp;MONTH(AL933)</f>
        <v>Tháng 4</v>
      </c>
      <c r="AN933" s="29" t="str">
        <f>LEFT(AK933,FIND(",",AK933)-1)</f>
        <v>ấp Biển Đông A</v>
      </c>
    </row>
    <row r="934" spans="1:40" x14ac:dyDescent="0.25">
      <c r="A934" s="49" t="s">
        <v>905</v>
      </c>
      <c r="B934" s="5" t="s">
        <v>30</v>
      </c>
      <c r="C934" s="5" t="s">
        <v>87</v>
      </c>
      <c r="D934" s="29">
        <f ca="1">DATEDIF(C934,TODAY(),"Y")</f>
        <v>49</v>
      </c>
      <c r="E934" s="5" t="s">
        <v>26</v>
      </c>
      <c r="F934" s="30">
        <v>160</v>
      </c>
      <c r="G934" s="30">
        <v>60</v>
      </c>
      <c r="H934" s="31">
        <f>G934/((F934/100)*(F934/100))</f>
        <v>23.437499999999996</v>
      </c>
      <c r="I934" s="5">
        <v>70</v>
      </c>
      <c r="J934" s="30">
        <v>120</v>
      </c>
      <c r="K934" s="30">
        <v>70</v>
      </c>
      <c r="L934" s="29">
        <f>IF(B934="Nữ",0,2)</f>
        <v>2</v>
      </c>
      <c r="M934" s="29">
        <f ca="1">IF(D934&lt;45,0,IF(D934&lt;=49,1,2))</f>
        <v>1</v>
      </c>
      <c r="N934" s="29">
        <f>IF(E934="Có",4,0)</f>
        <v>0</v>
      </c>
      <c r="O934" s="29">
        <f>IF(H934&lt;23,0,IF(H934&lt;27.5,3,5))</f>
        <v>3</v>
      </c>
      <c r="P934" s="29">
        <f>IF(OR(AND(B934="Nam",I934&gt;=90),AND(B934="Nữ",I934&gt;=80)),2,0)</f>
        <v>0</v>
      </c>
      <c r="Q934" s="29">
        <f>IF(OR(J934&gt;=140,K934&gt;=90),2,0)</f>
        <v>0</v>
      </c>
      <c r="R934" s="29">
        <f ca="1">SUM(L934:Q934)</f>
        <v>6</v>
      </c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5" t="s">
        <v>1393</v>
      </c>
      <c r="AE934" s="33"/>
      <c r="AF934" s="59" t="str">
        <f t="shared" si="43"/>
        <v>Không</v>
      </c>
      <c r="AG934" s="59" t="str">
        <f t="shared" si="44"/>
        <v>Không</v>
      </c>
      <c r="AH934" s="29" t="str">
        <f t="shared" ca="1" si="42"/>
        <v>Có</v>
      </c>
      <c r="AI934" s="29" t="str">
        <f ca="1">IF((R934)&gt;=6,"Có","Không")</f>
        <v>Có</v>
      </c>
      <c r="AJ934" s="29" t="str">
        <f>IF(OR(J934&gt;=140,K934&gt;=90),"Có","Không")</f>
        <v>Không</v>
      </c>
      <c r="AK934" s="5" t="s">
        <v>88</v>
      </c>
      <c r="AL934" s="32">
        <v>46142</v>
      </c>
      <c r="AM934" s="29" t="str">
        <f>"Tháng "&amp;MONTH(AL934)</f>
        <v>Tháng 4</v>
      </c>
      <c r="AN934" s="29" t="str">
        <f>LEFT(AK934,FIND(",",AK934)-1)</f>
        <v>Giồng Giữa</v>
      </c>
    </row>
    <row r="935" spans="1:40" x14ac:dyDescent="0.25">
      <c r="A935" s="49" t="s">
        <v>906</v>
      </c>
      <c r="B935" s="5" t="s">
        <v>23</v>
      </c>
      <c r="C935" s="5" t="s">
        <v>273</v>
      </c>
      <c r="D935" s="29">
        <f ca="1">DATEDIF(C935,TODAY(),"Y")</f>
        <v>47</v>
      </c>
      <c r="E935" s="5" t="s">
        <v>25</v>
      </c>
      <c r="F935" s="30">
        <v>158</v>
      </c>
      <c r="G935" s="30">
        <v>58</v>
      </c>
      <c r="H935" s="31">
        <f>G935/((F935/100)*(F935/100))</f>
        <v>23.233456176894723</v>
      </c>
      <c r="I935" s="5">
        <v>85</v>
      </c>
      <c r="J935" s="30">
        <v>120</v>
      </c>
      <c r="K935" s="30">
        <v>80</v>
      </c>
      <c r="L935" s="29">
        <f>IF(B935="Nữ",0,2)</f>
        <v>0</v>
      </c>
      <c r="M935" s="29">
        <f ca="1">IF(D935&lt;45,0,IF(D935&lt;=49,1,2))</f>
        <v>1</v>
      </c>
      <c r="N935" s="29">
        <f>IF(E935="Có",4,0)</f>
        <v>4</v>
      </c>
      <c r="O935" s="29">
        <f>IF(H935&lt;23,0,IF(H935&lt;27.5,3,5))</f>
        <v>3</v>
      </c>
      <c r="P935" s="29">
        <f>IF(OR(AND(B935="Nam",I935&gt;=90),AND(B935="Nữ",I935&gt;=80)),2,0)</f>
        <v>2</v>
      </c>
      <c r="Q935" s="29">
        <f>IF(OR(J935&gt;=140,K935&gt;=90),2,0)</f>
        <v>0</v>
      </c>
      <c r="R935" s="29">
        <f ca="1">SUM(L935:Q935)</f>
        <v>10</v>
      </c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5" t="s">
        <v>1393</v>
      </c>
      <c r="AE935" s="33"/>
      <c r="AF935" s="59" t="str">
        <f t="shared" si="43"/>
        <v>Không</v>
      </c>
      <c r="AG935" s="59" t="str">
        <f t="shared" si="44"/>
        <v>Không</v>
      </c>
      <c r="AH935" s="29" t="str">
        <f t="shared" ca="1" si="42"/>
        <v>Có</v>
      </c>
      <c r="AI935" s="29" t="str">
        <f ca="1">IF((R935)&gt;=6,"Có","Không")</f>
        <v>Có</v>
      </c>
      <c r="AJ935" s="29" t="str">
        <f>IF(OR(J935&gt;=140,K935&gt;=90),"Có","Không")</f>
        <v>Không</v>
      </c>
      <c r="AK935" s="5" t="s">
        <v>60</v>
      </c>
      <c r="AL935" s="32">
        <v>46142</v>
      </c>
      <c r="AM935" s="29" t="str">
        <f>"Tháng "&amp;MONTH(AL935)</f>
        <v>Tháng 4</v>
      </c>
      <c r="AN935" s="29" t="str">
        <f>LEFT(AK935,FIND(",",AK935)-1)</f>
        <v>ấp Biển Đông A</v>
      </c>
    </row>
    <row r="936" spans="1:40" x14ac:dyDescent="0.25">
      <c r="A936" s="49" t="s">
        <v>907</v>
      </c>
      <c r="B936" s="5" t="s">
        <v>30</v>
      </c>
      <c r="C936" s="5" t="s">
        <v>133</v>
      </c>
      <c r="D936" s="29">
        <f ca="1">DATEDIF(C936,TODAY(),"Y")</f>
        <v>56</v>
      </c>
      <c r="E936" s="5" t="s">
        <v>26</v>
      </c>
      <c r="F936" s="30">
        <v>169</v>
      </c>
      <c r="G936" s="30">
        <v>68</v>
      </c>
      <c r="H936" s="31">
        <f>G936/((F936/100)*(F936/100))</f>
        <v>23.808690171912751</v>
      </c>
      <c r="I936" s="5">
        <v>77</v>
      </c>
      <c r="J936" s="30">
        <v>120</v>
      </c>
      <c r="K936" s="30">
        <v>80</v>
      </c>
      <c r="L936" s="29">
        <f>IF(B936="Nữ",0,2)</f>
        <v>2</v>
      </c>
      <c r="M936" s="29">
        <f ca="1">IF(D936&lt;45,0,IF(D936&lt;=49,1,2))</f>
        <v>2</v>
      </c>
      <c r="N936" s="29">
        <f>IF(E936="Có",4,0)</f>
        <v>0</v>
      </c>
      <c r="O936" s="29">
        <f>IF(H936&lt;23,0,IF(H936&lt;27.5,3,5))</f>
        <v>3</v>
      </c>
      <c r="P936" s="29">
        <f>IF(OR(AND(B936="Nam",I936&gt;=90),AND(B936="Nữ",I936&gt;=80)),2,0)</f>
        <v>0</v>
      </c>
      <c r="Q936" s="29">
        <f>IF(OR(J936&gt;=140,K936&gt;=90),2,0)</f>
        <v>0</v>
      </c>
      <c r="R936" s="29">
        <f ca="1">SUM(L936:Q936)</f>
        <v>7</v>
      </c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5" t="s">
        <v>1393</v>
      </c>
      <c r="AE936" s="33"/>
      <c r="AF936" s="59" t="str">
        <f t="shared" si="43"/>
        <v>Không</v>
      </c>
      <c r="AG936" s="59" t="str">
        <f t="shared" si="44"/>
        <v>Không</v>
      </c>
      <c r="AH936" s="29" t="str">
        <f t="shared" ca="1" si="42"/>
        <v>Có</v>
      </c>
      <c r="AI936" s="29" t="str">
        <f ca="1">IF((R936)&gt;=6,"Có","Không")</f>
        <v>Có</v>
      </c>
      <c r="AJ936" s="29" t="str">
        <f>IF(OR(J936&gt;=140,K936&gt;=90),"Có","Không")</f>
        <v>Không</v>
      </c>
      <c r="AK936" s="5" t="s">
        <v>51</v>
      </c>
      <c r="AL936" s="32">
        <v>46142</v>
      </c>
      <c r="AM936" s="29" t="str">
        <f>"Tháng "&amp;MONTH(AL936)</f>
        <v>Tháng 4</v>
      </c>
      <c r="AN936" s="29" t="str">
        <f>LEFT(AK936,FIND(",",AK936)-1)</f>
        <v>Phường Hiệp Thành</v>
      </c>
    </row>
    <row r="937" spans="1:40" x14ac:dyDescent="0.25">
      <c r="A937" s="49" t="s">
        <v>908</v>
      </c>
      <c r="B937" s="5" t="s">
        <v>23</v>
      </c>
      <c r="C937" s="5" t="s">
        <v>130</v>
      </c>
      <c r="D937" s="29">
        <f ca="1">DATEDIF(C937,TODAY(),"Y")</f>
        <v>57</v>
      </c>
      <c r="E937" s="5" t="s">
        <v>26</v>
      </c>
      <c r="F937" s="30">
        <v>160</v>
      </c>
      <c r="G937" s="30">
        <v>68</v>
      </c>
      <c r="H937" s="31">
        <f>G937/((F937/100)*(F937/100))</f>
        <v>26.562499999999996</v>
      </c>
      <c r="I937" s="5">
        <v>70</v>
      </c>
      <c r="J937" s="30">
        <v>150</v>
      </c>
      <c r="K937" s="30">
        <v>80</v>
      </c>
      <c r="L937" s="29">
        <f>IF(B937="Nữ",0,2)</f>
        <v>0</v>
      </c>
      <c r="M937" s="29">
        <f ca="1">IF(D937&lt;45,0,IF(D937&lt;=49,1,2))</f>
        <v>2</v>
      </c>
      <c r="N937" s="29">
        <f>IF(E937="Có",4,0)</f>
        <v>0</v>
      </c>
      <c r="O937" s="29">
        <f>IF(H937&lt;23,0,IF(H937&lt;27.5,3,5))</f>
        <v>3</v>
      </c>
      <c r="P937" s="29">
        <f>IF(OR(AND(B937="Nam",I937&gt;=90),AND(B937="Nữ",I937&gt;=80)),2,0)</f>
        <v>0</v>
      </c>
      <c r="Q937" s="29">
        <f>IF(OR(J937&gt;=140,K937&gt;=90),2,0)</f>
        <v>2</v>
      </c>
      <c r="R937" s="29">
        <f ca="1">SUM(L937:Q937)</f>
        <v>7</v>
      </c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5" t="s">
        <v>1393</v>
      </c>
      <c r="AE937" s="33"/>
      <c r="AF937" s="59" t="str">
        <f t="shared" si="43"/>
        <v>Không</v>
      </c>
      <c r="AG937" s="59" t="str">
        <f t="shared" si="44"/>
        <v>Không</v>
      </c>
      <c r="AH937" s="29" t="str">
        <f t="shared" ca="1" si="42"/>
        <v>Có</v>
      </c>
      <c r="AI937" s="29" t="str">
        <f ca="1">IF((R937)&gt;=6,"Có","Không")</f>
        <v>Có</v>
      </c>
      <c r="AJ937" s="29" t="str">
        <f>IF(OR(J937&gt;=140,K937&gt;=90),"Có","Không")</f>
        <v>Có</v>
      </c>
      <c r="AK937" s="5" t="s">
        <v>160</v>
      </c>
      <c r="AL937" s="32">
        <v>46142</v>
      </c>
      <c r="AM937" s="29" t="str">
        <f>"Tháng "&amp;MONTH(AL937)</f>
        <v>Tháng 4</v>
      </c>
      <c r="AN937" s="29" t="str">
        <f>LEFT(AK937,FIND(",",AK937)-1)</f>
        <v>Ấp Giồng Nhãn</v>
      </c>
    </row>
    <row r="938" spans="1:40" x14ac:dyDescent="0.25">
      <c r="A938" s="49" t="s">
        <v>910</v>
      </c>
      <c r="B938" s="5" t="s">
        <v>30</v>
      </c>
      <c r="C938" s="5" t="s">
        <v>59</v>
      </c>
      <c r="D938" s="29">
        <f ca="1">DATEDIF(C938,TODAY(),"Y")</f>
        <v>74</v>
      </c>
      <c r="E938" s="5" t="s">
        <v>26</v>
      </c>
      <c r="F938" s="30">
        <v>169</v>
      </c>
      <c r="G938" s="30">
        <v>68</v>
      </c>
      <c r="H938" s="31">
        <f>G938/((F938/100)*(F938/100))</f>
        <v>23.808690171912751</v>
      </c>
      <c r="I938" s="5">
        <v>99</v>
      </c>
      <c r="J938" s="30">
        <v>120</v>
      </c>
      <c r="K938" s="30">
        <v>80</v>
      </c>
      <c r="L938" s="29">
        <f>IF(B938="Nữ",0,2)</f>
        <v>2</v>
      </c>
      <c r="M938" s="29">
        <f ca="1">IF(D938&lt;45,0,IF(D938&lt;=49,1,2))</f>
        <v>2</v>
      </c>
      <c r="N938" s="29">
        <f>IF(E938="Có",4,0)</f>
        <v>0</v>
      </c>
      <c r="O938" s="29">
        <f>IF(H938&lt;23,0,IF(H938&lt;27.5,3,5))</f>
        <v>3</v>
      </c>
      <c r="P938" s="29">
        <f>IF(OR(AND(B938="Nam",I938&gt;=90),AND(B938="Nữ",I938&gt;=80)),2,0)</f>
        <v>2</v>
      </c>
      <c r="Q938" s="29">
        <f>IF(OR(J938&gt;=140,K938&gt;=90),2,0)</f>
        <v>0</v>
      </c>
      <c r="R938" s="29">
        <f ca="1">SUM(L938:Q938)</f>
        <v>9</v>
      </c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5" t="s">
        <v>1393</v>
      </c>
      <c r="AE938" s="33"/>
      <c r="AF938" s="59" t="str">
        <f t="shared" si="43"/>
        <v>Không</v>
      </c>
      <c r="AG938" s="59" t="str">
        <f t="shared" si="44"/>
        <v>Không</v>
      </c>
      <c r="AH938" s="29" t="str">
        <f t="shared" ca="1" si="42"/>
        <v>Có</v>
      </c>
      <c r="AI938" s="29" t="str">
        <f ca="1">IF((R938)&gt;=6,"Có","Không")</f>
        <v>Có</v>
      </c>
      <c r="AJ938" s="29" t="str">
        <f>IF(OR(J938&gt;=140,K938&gt;=90),"Có","Không")</f>
        <v>Không</v>
      </c>
      <c r="AK938" s="5" t="s">
        <v>48</v>
      </c>
      <c r="AL938" s="32">
        <v>46142</v>
      </c>
      <c r="AM938" s="29" t="str">
        <f>"Tháng "&amp;MONTH(AL938)</f>
        <v>Tháng 4</v>
      </c>
      <c r="AN938" s="29" t="str">
        <f>LEFT(AK938,FIND(",",AK938)-1)</f>
        <v>ấp Giồng Giữa A</v>
      </c>
    </row>
    <row r="939" spans="1:40" x14ac:dyDescent="0.25">
      <c r="A939" s="49" t="s">
        <v>914</v>
      </c>
      <c r="B939" s="5" t="s">
        <v>23</v>
      </c>
      <c r="C939" s="5" t="s">
        <v>797</v>
      </c>
      <c r="D939" s="29">
        <f ca="1">DATEDIF(C939,TODAY(),"Y")</f>
        <v>85</v>
      </c>
      <c r="E939" s="5" t="s">
        <v>26</v>
      </c>
      <c r="F939" s="30">
        <v>160</v>
      </c>
      <c r="G939" s="30">
        <v>65</v>
      </c>
      <c r="H939" s="31">
        <f>G939/((F939/100)*(F939/100))</f>
        <v>25.390624999999996</v>
      </c>
      <c r="I939" s="5">
        <v>90</v>
      </c>
      <c r="J939" s="30">
        <v>150</v>
      </c>
      <c r="K939" s="30">
        <v>90</v>
      </c>
      <c r="L939" s="29">
        <f>IF(B939="Nữ",0,2)</f>
        <v>0</v>
      </c>
      <c r="M939" s="29">
        <f ca="1">IF(D939&lt;45,0,IF(D939&lt;=49,1,2))</f>
        <v>2</v>
      </c>
      <c r="N939" s="29">
        <f>IF(E939="Có",4,0)</f>
        <v>0</v>
      </c>
      <c r="O939" s="29">
        <f>IF(H939&lt;23,0,IF(H939&lt;27.5,3,5))</f>
        <v>3</v>
      </c>
      <c r="P939" s="29">
        <f>IF(OR(AND(B939="Nam",I939&gt;=90),AND(B939="Nữ",I939&gt;=80)),2,0)</f>
        <v>2</v>
      </c>
      <c r="Q939" s="29">
        <f>IF(OR(J939&gt;=140,K939&gt;=90),2,0)</f>
        <v>2</v>
      </c>
      <c r="R939" s="29">
        <f ca="1">SUM(L939:Q939)</f>
        <v>9</v>
      </c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5" t="s">
        <v>1393</v>
      </c>
      <c r="AE939" s="33"/>
      <c r="AF939" s="59" t="str">
        <f t="shared" si="43"/>
        <v>Không</v>
      </c>
      <c r="AG939" s="59" t="str">
        <f t="shared" si="44"/>
        <v>Không</v>
      </c>
      <c r="AH939" s="29" t="str">
        <f t="shared" ca="1" si="42"/>
        <v>Có</v>
      </c>
      <c r="AI939" s="29" t="str">
        <f ca="1">IF((R939)&gt;=6,"Có","Không")</f>
        <v>Có</v>
      </c>
      <c r="AJ939" s="29" t="str">
        <f>IF(OR(J939&gt;=140,K939&gt;=90),"Có","Không")</f>
        <v>Có</v>
      </c>
      <c r="AK939" s="5" t="s">
        <v>51</v>
      </c>
      <c r="AL939" s="32">
        <v>46142</v>
      </c>
      <c r="AM939" s="29" t="str">
        <f>"Tháng "&amp;MONTH(AL939)</f>
        <v>Tháng 4</v>
      </c>
      <c r="AN939" s="29" t="str">
        <f>LEFT(AK939,FIND(",",AK939)-1)</f>
        <v>Phường Hiệp Thành</v>
      </c>
    </row>
    <row r="940" spans="1:40" x14ac:dyDescent="0.25">
      <c r="A940" s="49" t="s">
        <v>916</v>
      </c>
      <c r="B940" s="5" t="s">
        <v>23</v>
      </c>
      <c r="C940" s="5" t="s">
        <v>256</v>
      </c>
      <c r="D940" s="29">
        <f ca="1">DATEDIF(C940,TODAY(),"Y")</f>
        <v>41</v>
      </c>
      <c r="E940" s="5" t="s">
        <v>26</v>
      </c>
      <c r="F940" s="30">
        <v>158</v>
      </c>
      <c r="G940" s="30">
        <v>58</v>
      </c>
      <c r="H940" s="31">
        <f>G940/((F940/100)*(F940/100))</f>
        <v>23.233456176894723</v>
      </c>
      <c r="I940" s="5">
        <v>74</v>
      </c>
      <c r="J940" s="30">
        <v>120</v>
      </c>
      <c r="K940" s="30">
        <v>80</v>
      </c>
      <c r="L940" s="29">
        <f>IF(B940="Nữ",0,2)</f>
        <v>0</v>
      </c>
      <c r="M940" s="29">
        <f ca="1">IF(D940&lt;45,0,IF(D940&lt;=49,1,2))</f>
        <v>0</v>
      </c>
      <c r="N940" s="29">
        <f>IF(E940="Có",4,0)</f>
        <v>0</v>
      </c>
      <c r="O940" s="29">
        <f>IF(H940&lt;23,0,IF(H940&lt;27.5,3,5))</f>
        <v>3</v>
      </c>
      <c r="P940" s="29">
        <f>IF(OR(AND(B940="Nam",I940&gt;=90),AND(B940="Nữ",I940&gt;=80)),2,0)</f>
        <v>0</v>
      </c>
      <c r="Q940" s="29">
        <f>IF(OR(J940&gt;=140,K940&gt;=90),2,0)</f>
        <v>0</v>
      </c>
      <c r="R940" s="29">
        <f ca="1">SUM(L940:Q940)</f>
        <v>3</v>
      </c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5" t="s">
        <v>1393</v>
      </c>
      <c r="AE940" s="33"/>
      <c r="AF940" s="59" t="str">
        <f t="shared" si="43"/>
        <v>Không</v>
      </c>
      <c r="AG940" s="59" t="str">
        <f t="shared" si="44"/>
        <v>Không</v>
      </c>
      <c r="AH940" s="29" t="str">
        <f t="shared" ca="1" si="42"/>
        <v>Không</v>
      </c>
      <c r="AI940" s="29" t="str">
        <f ca="1">IF((R940)&gt;=6,"Có","Không")</f>
        <v>Không</v>
      </c>
      <c r="AJ940" s="29" t="str">
        <f>IF(OR(J940&gt;=140,K940&gt;=90),"Có","Không")</f>
        <v>Không</v>
      </c>
      <c r="AK940" s="5" t="s">
        <v>51</v>
      </c>
      <c r="AL940" s="32">
        <v>46142</v>
      </c>
      <c r="AM940" s="29" t="str">
        <f>"Tháng "&amp;MONTH(AL940)</f>
        <v>Tháng 4</v>
      </c>
      <c r="AN940" s="29" t="str">
        <f>LEFT(AK940,FIND(",",AK940)-1)</f>
        <v>Phường Hiệp Thành</v>
      </c>
    </row>
    <row r="941" spans="1:40" x14ac:dyDescent="0.25">
      <c r="A941" s="49" t="s">
        <v>926</v>
      </c>
      <c r="B941" s="5" t="s">
        <v>23</v>
      </c>
      <c r="C941" s="5" t="s">
        <v>163</v>
      </c>
      <c r="D941" s="29">
        <f ca="1">DATEDIF(C941,TODAY(),"Y")</f>
        <v>46</v>
      </c>
      <c r="E941" s="5" t="s">
        <v>26</v>
      </c>
      <c r="F941" s="30">
        <v>160</v>
      </c>
      <c r="G941" s="30">
        <v>63</v>
      </c>
      <c r="H941" s="31">
        <f>G941/((F941/100)*(F941/100))</f>
        <v>24.609374999999996</v>
      </c>
      <c r="I941" s="5">
        <v>69</v>
      </c>
      <c r="J941" s="30">
        <v>120</v>
      </c>
      <c r="K941" s="30">
        <v>80</v>
      </c>
      <c r="L941" s="29">
        <f>IF(B941="Nữ",0,2)</f>
        <v>0</v>
      </c>
      <c r="M941" s="29">
        <f ca="1">IF(D941&lt;45,0,IF(D941&lt;=49,1,2))</f>
        <v>1</v>
      </c>
      <c r="N941" s="29">
        <f>IF(E941="Có",4,0)</f>
        <v>0</v>
      </c>
      <c r="O941" s="29">
        <f>IF(H941&lt;23,0,IF(H941&lt;27.5,3,5))</f>
        <v>3</v>
      </c>
      <c r="P941" s="29">
        <f>IF(OR(AND(B941="Nam",I941&gt;=90),AND(B941="Nữ",I941&gt;=80)),2,0)</f>
        <v>0</v>
      </c>
      <c r="Q941" s="29">
        <f>IF(OR(J941&gt;=140,K941&gt;=90),2,0)</f>
        <v>0</v>
      </c>
      <c r="R941" s="29">
        <f ca="1">SUM(L941:Q941)</f>
        <v>4</v>
      </c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5" t="s">
        <v>1393</v>
      </c>
      <c r="AE941" s="33"/>
      <c r="AF941" s="59" t="str">
        <f t="shared" si="43"/>
        <v>Không</v>
      </c>
      <c r="AG941" s="59" t="str">
        <f t="shared" si="44"/>
        <v>Không</v>
      </c>
      <c r="AH941" s="29" t="str">
        <f t="shared" ca="1" si="42"/>
        <v>Không</v>
      </c>
      <c r="AI941" s="29" t="str">
        <f ca="1">IF((R941)&gt;=6,"Có","Không")</f>
        <v>Không</v>
      </c>
      <c r="AJ941" s="29" t="str">
        <f>IF(OR(J941&gt;=140,K941&gt;=90),"Có","Không")</f>
        <v>Không</v>
      </c>
      <c r="AK941" s="5" t="s">
        <v>51</v>
      </c>
      <c r="AL941" s="32">
        <v>46142</v>
      </c>
      <c r="AM941" s="29" t="str">
        <f>"Tháng "&amp;MONTH(AL941)</f>
        <v>Tháng 4</v>
      </c>
      <c r="AN941" s="29" t="str">
        <f>LEFT(AK941,FIND(",",AK941)-1)</f>
        <v>Phường Hiệp Thành</v>
      </c>
    </row>
    <row r="942" spans="1:40" x14ac:dyDescent="0.25">
      <c r="A942" s="49" t="s">
        <v>927</v>
      </c>
      <c r="B942" s="5" t="s">
        <v>23</v>
      </c>
      <c r="C942" s="5" t="s">
        <v>59</v>
      </c>
      <c r="D942" s="29">
        <f ca="1">DATEDIF(C942,TODAY(),"Y")</f>
        <v>74</v>
      </c>
      <c r="E942" s="5" t="s">
        <v>25</v>
      </c>
      <c r="F942" s="30">
        <v>158</v>
      </c>
      <c r="G942" s="30">
        <v>34</v>
      </c>
      <c r="H942" s="31">
        <f>G942/((F942/100)*(F942/100))</f>
        <v>13.619612241627943</v>
      </c>
      <c r="I942" s="5">
        <v>81</v>
      </c>
      <c r="J942" s="30">
        <v>110</v>
      </c>
      <c r="K942" s="30">
        <v>70</v>
      </c>
      <c r="L942" s="29">
        <f>IF(B942="Nữ",0,2)</f>
        <v>0</v>
      </c>
      <c r="M942" s="29">
        <f ca="1">IF(D942&lt;45,0,IF(D942&lt;=49,1,2))</f>
        <v>2</v>
      </c>
      <c r="N942" s="29">
        <f>IF(E942="Có",4,0)</f>
        <v>4</v>
      </c>
      <c r="O942" s="29">
        <f>IF(H942&lt;23,0,IF(H942&lt;27.5,3,5))</f>
        <v>0</v>
      </c>
      <c r="P942" s="29">
        <f>IF(OR(AND(B942="Nam",I942&gt;=90),AND(B942="Nữ",I942&gt;=80)),2,0)</f>
        <v>2</v>
      </c>
      <c r="Q942" s="29">
        <f>IF(OR(J942&gt;=140,K942&gt;=90),2,0)</f>
        <v>0</v>
      </c>
      <c r="R942" s="29">
        <f ca="1">SUM(L942:Q942)</f>
        <v>8</v>
      </c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5" t="s">
        <v>1393</v>
      </c>
      <c r="AE942" s="33"/>
      <c r="AF942" s="59" t="str">
        <f t="shared" si="43"/>
        <v>Không</v>
      </c>
      <c r="AG942" s="59" t="str">
        <f t="shared" si="44"/>
        <v>Không</v>
      </c>
      <c r="AH942" s="29" t="str">
        <f t="shared" ca="1" si="42"/>
        <v>Có</v>
      </c>
      <c r="AI942" s="29" t="str">
        <f ca="1">IF((R942)&gt;=6,"Có","Không")</f>
        <v>Có</v>
      </c>
      <c r="AJ942" s="29" t="str">
        <f>IF(OR(J942&gt;=140,K942&gt;=90),"Có","Không")</f>
        <v>Không</v>
      </c>
      <c r="AK942" s="5" t="s">
        <v>122</v>
      </c>
      <c r="AL942" s="32">
        <v>46142</v>
      </c>
      <c r="AM942" s="29" t="str">
        <f>"Tháng "&amp;MONTH(AL942)</f>
        <v>Tháng 4</v>
      </c>
      <c r="AN942" s="29" t="str">
        <f>LEFT(AK942,FIND(",",AK942)-1)</f>
        <v>Giồng Nhãn</v>
      </c>
    </row>
    <row r="943" spans="1:40" x14ac:dyDescent="0.25">
      <c r="A943" s="49" t="s">
        <v>928</v>
      </c>
      <c r="B943" s="5" t="s">
        <v>23</v>
      </c>
      <c r="C943" s="5" t="s">
        <v>133</v>
      </c>
      <c r="D943" s="29">
        <f ca="1">DATEDIF(C943,TODAY(),"Y")</f>
        <v>56</v>
      </c>
      <c r="E943" s="5" t="s">
        <v>26</v>
      </c>
      <c r="F943" s="30">
        <v>160</v>
      </c>
      <c r="G943" s="30">
        <v>55</v>
      </c>
      <c r="H943" s="31">
        <f>G943/((F943/100)*(F943/100))</f>
        <v>21.484374999999996</v>
      </c>
      <c r="I943" s="5">
        <v>84</v>
      </c>
      <c r="J943" s="30">
        <v>150</v>
      </c>
      <c r="K943" s="30">
        <v>90</v>
      </c>
      <c r="L943" s="29">
        <f>IF(B943="Nữ",0,2)</f>
        <v>0</v>
      </c>
      <c r="M943" s="29">
        <f ca="1">IF(D943&lt;45,0,IF(D943&lt;=49,1,2))</f>
        <v>2</v>
      </c>
      <c r="N943" s="29">
        <f>IF(E943="Có",4,0)</f>
        <v>0</v>
      </c>
      <c r="O943" s="29">
        <f>IF(H943&lt;23,0,IF(H943&lt;27.5,3,5))</f>
        <v>0</v>
      </c>
      <c r="P943" s="29">
        <f>IF(OR(AND(B943="Nam",I943&gt;=90),AND(B943="Nữ",I943&gt;=80)),2,0)</f>
        <v>2</v>
      </c>
      <c r="Q943" s="29">
        <f>IF(OR(J943&gt;=140,K943&gt;=90),2,0)</f>
        <v>2</v>
      </c>
      <c r="R943" s="29">
        <f ca="1">SUM(L943:Q943)</f>
        <v>6</v>
      </c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5" t="s">
        <v>1393</v>
      </c>
      <c r="AE943" s="33"/>
      <c r="AF943" s="59" t="str">
        <f t="shared" si="43"/>
        <v>Không</v>
      </c>
      <c r="AG943" s="59" t="str">
        <f t="shared" si="44"/>
        <v>Không</v>
      </c>
      <c r="AH943" s="29" t="str">
        <f t="shared" ca="1" si="42"/>
        <v>Có</v>
      </c>
      <c r="AI943" s="29" t="str">
        <f ca="1">IF((R943)&gt;=6,"Có","Không")</f>
        <v>Có</v>
      </c>
      <c r="AJ943" s="29" t="str">
        <f>IF(OR(J943&gt;=140,K943&gt;=90),"Có","Không")</f>
        <v>Có</v>
      </c>
      <c r="AK943" s="5" t="s">
        <v>122</v>
      </c>
      <c r="AL943" s="32">
        <v>46142</v>
      </c>
      <c r="AM943" s="29" t="str">
        <f>"Tháng "&amp;MONTH(AL943)</f>
        <v>Tháng 4</v>
      </c>
      <c r="AN943" s="29" t="str">
        <f>LEFT(AK943,FIND(",",AK943)-1)</f>
        <v>Giồng Nhãn</v>
      </c>
    </row>
    <row r="944" spans="1:40" x14ac:dyDescent="0.25">
      <c r="A944" s="49" t="s">
        <v>929</v>
      </c>
      <c r="B944" s="5" t="s">
        <v>23</v>
      </c>
      <c r="C944" s="5" t="s">
        <v>130</v>
      </c>
      <c r="D944" s="29">
        <f ca="1">DATEDIF(C944,TODAY(),"Y")</f>
        <v>57</v>
      </c>
      <c r="E944" s="5" t="s">
        <v>25</v>
      </c>
      <c r="F944" s="30">
        <v>158</v>
      </c>
      <c r="G944" s="30">
        <v>58</v>
      </c>
      <c r="H944" s="31">
        <f>G944/((F944/100)*(F944/100))</f>
        <v>23.233456176894723</v>
      </c>
      <c r="I944" s="5">
        <v>91</v>
      </c>
      <c r="J944" s="30">
        <v>140</v>
      </c>
      <c r="K944" s="30">
        <v>80</v>
      </c>
      <c r="L944" s="29">
        <f>IF(B944="Nữ",0,2)</f>
        <v>0</v>
      </c>
      <c r="M944" s="29">
        <f ca="1">IF(D944&lt;45,0,IF(D944&lt;=49,1,2))</f>
        <v>2</v>
      </c>
      <c r="N944" s="29">
        <f>IF(E944="Có",4,0)</f>
        <v>4</v>
      </c>
      <c r="O944" s="29">
        <f>IF(H944&lt;23,0,IF(H944&lt;27.5,3,5))</f>
        <v>3</v>
      </c>
      <c r="P944" s="29">
        <f>IF(OR(AND(B944="Nam",I944&gt;=90),AND(B944="Nữ",I944&gt;=80)),2,0)</f>
        <v>2</v>
      </c>
      <c r="Q944" s="29">
        <f>IF(OR(J944&gt;=140,K944&gt;=90),2,0)</f>
        <v>2</v>
      </c>
      <c r="R944" s="29">
        <f ca="1">SUM(L944:Q944)</f>
        <v>13</v>
      </c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5" t="s">
        <v>1393</v>
      </c>
      <c r="AE944" s="33"/>
      <c r="AF944" s="59" t="str">
        <f t="shared" si="43"/>
        <v>Không</v>
      </c>
      <c r="AG944" s="59" t="str">
        <f t="shared" si="44"/>
        <v>Không</v>
      </c>
      <c r="AH944" s="29" t="str">
        <f t="shared" ca="1" si="42"/>
        <v>Có</v>
      </c>
      <c r="AI944" s="29" t="str">
        <f ca="1">IF((R944)&gt;=6,"Có","Không")</f>
        <v>Có</v>
      </c>
      <c r="AJ944" s="29" t="str">
        <f>IF(OR(J944&gt;=140,K944&gt;=90),"Có","Không")</f>
        <v>Có</v>
      </c>
      <c r="AK944" s="5" t="s">
        <v>603</v>
      </c>
      <c r="AL944" s="32">
        <v>46142</v>
      </c>
      <c r="AM944" s="29" t="str">
        <f>"Tháng "&amp;MONTH(AL944)</f>
        <v>Tháng 4</v>
      </c>
      <c r="AN944" s="29" t="str">
        <f>LEFT(AK944,FIND(",",AK944)-1)</f>
        <v>ấp Cù Lao</v>
      </c>
    </row>
    <row r="945" spans="1:40" x14ac:dyDescent="0.25">
      <c r="A945" s="49" t="s">
        <v>930</v>
      </c>
      <c r="B945" s="5" t="s">
        <v>30</v>
      </c>
      <c r="C945" s="5" t="s">
        <v>130</v>
      </c>
      <c r="D945" s="29">
        <f ca="1">DATEDIF(C945,TODAY(),"Y")</f>
        <v>57</v>
      </c>
      <c r="E945" s="5" t="s">
        <v>25</v>
      </c>
      <c r="F945" s="30">
        <v>169</v>
      </c>
      <c r="G945" s="30">
        <v>68</v>
      </c>
      <c r="H945" s="31">
        <f>G945/((F945/100)*(F945/100))</f>
        <v>23.808690171912751</v>
      </c>
      <c r="I945" s="5">
        <v>71</v>
      </c>
      <c r="J945" s="30">
        <v>120</v>
      </c>
      <c r="K945" s="30">
        <v>80</v>
      </c>
      <c r="L945" s="29">
        <f>IF(B945="Nữ",0,2)</f>
        <v>2</v>
      </c>
      <c r="M945" s="29">
        <f ca="1">IF(D945&lt;45,0,IF(D945&lt;=49,1,2))</f>
        <v>2</v>
      </c>
      <c r="N945" s="29">
        <f>IF(E945="Có",4,0)</f>
        <v>4</v>
      </c>
      <c r="O945" s="29">
        <f>IF(H945&lt;23,0,IF(H945&lt;27.5,3,5))</f>
        <v>3</v>
      </c>
      <c r="P945" s="29">
        <f>IF(OR(AND(B945="Nam",I945&gt;=90),AND(B945="Nữ",I945&gt;=80)),2,0)</f>
        <v>0</v>
      </c>
      <c r="Q945" s="29">
        <f>IF(OR(J945&gt;=140,K945&gt;=90),2,0)</f>
        <v>0</v>
      </c>
      <c r="R945" s="29">
        <f ca="1">SUM(L945:Q945)</f>
        <v>11</v>
      </c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5" t="s">
        <v>1393</v>
      </c>
      <c r="AE945" s="33"/>
      <c r="AF945" s="59" t="str">
        <f t="shared" si="43"/>
        <v>Không</v>
      </c>
      <c r="AG945" s="59" t="str">
        <f t="shared" si="44"/>
        <v>Không</v>
      </c>
      <c r="AH945" s="29" t="str">
        <f t="shared" ca="1" si="42"/>
        <v>Có</v>
      </c>
      <c r="AI945" s="29" t="str">
        <f ca="1">IF((R945)&gt;=6,"Có","Không")</f>
        <v>Có</v>
      </c>
      <c r="AJ945" s="29" t="str">
        <f>IF(OR(J945&gt;=140,K945&gt;=90),"Có","Không")</f>
        <v>Không</v>
      </c>
      <c r="AK945" s="5" t="s">
        <v>603</v>
      </c>
      <c r="AL945" s="32">
        <v>46142</v>
      </c>
      <c r="AM945" s="29" t="str">
        <f>"Tháng "&amp;MONTH(AL945)</f>
        <v>Tháng 4</v>
      </c>
      <c r="AN945" s="29" t="str">
        <f>LEFT(AK945,FIND(",",AK945)-1)</f>
        <v>ấp Cù Lao</v>
      </c>
    </row>
    <row r="946" spans="1:40" x14ac:dyDescent="0.25">
      <c r="A946" s="49" t="s">
        <v>931</v>
      </c>
      <c r="B946" s="5" t="s">
        <v>23</v>
      </c>
      <c r="C946" s="5" t="s">
        <v>56</v>
      </c>
      <c r="D946" s="29">
        <f ca="1">DATEDIF(C946,TODAY(),"Y")</f>
        <v>65</v>
      </c>
      <c r="E946" s="5" t="s">
        <v>26</v>
      </c>
      <c r="F946" s="30">
        <v>158</v>
      </c>
      <c r="G946" s="30">
        <v>58</v>
      </c>
      <c r="H946" s="31">
        <f>G946/((F946/100)*(F946/100))</f>
        <v>23.233456176894723</v>
      </c>
      <c r="I946" s="5">
        <v>96</v>
      </c>
      <c r="J946" s="30">
        <v>150</v>
      </c>
      <c r="K946" s="30">
        <v>80</v>
      </c>
      <c r="L946" s="29">
        <f>IF(B946="Nữ",0,2)</f>
        <v>0</v>
      </c>
      <c r="M946" s="29">
        <f ca="1">IF(D946&lt;45,0,IF(D946&lt;=49,1,2))</f>
        <v>2</v>
      </c>
      <c r="N946" s="29">
        <f>IF(E946="Có",4,0)</f>
        <v>0</v>
      </c>
      <c r="O946" s="29">
        <f>IF(H946&lt;23,0,IF(H946&lt;27.5,3,5))</f>
        <v>3</v>
      </c>
      <c r="P946" s="29">
        <f>IF(OR(AND(B946="Nam",I946&gt;=90),AND(B946="Nữ",I946&gt;=80)),2,0)</f>
        <v>2</v>
      </c>
      <c r="Q946" s="29">
        <f>IF(OR(J946&gt;=140,K946&gt;=90),2,0)</f>
        <v>2</v>
      </c>
      <c r="R946" s="29">
        <f ca="1">SUM(L946:Q946)</f>
        <v>9</v>
      </c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5" t="s">
        <v>1393</v>
      </c>
      <c r="AE946" s="33"/>
      <c r="AF946" s="59" t="str">
        <f t="shared" si="43"/>
        <v>Không</v>
      </c>
      <c r="AG946" s="59" t="str">
        <f t="shared" si="44"/>
        <v>Không</v>
      </c>
      <c r="AH946" s="29" t="str">
        <f t="shared" ca="1" si="42"/>
        <v>Có</v>
      </c>
      <c r="AI946" s="29" t="str">
        <f ca="1">IF((R946)&gt;=6,"Có","Không")</f>
        <v>Có</v>
      </c>
      <c r="AJ946" s="29" t="str">
        <f>IF(OR(J946&gt;=140,K946&gt;=90),"Có","Không")</f>
        <v>Có</v>
      </c>
      <c r="AK946" s="5" t="s">
        <v>51</v>
      </c>
      <c r="AL946" s="32">
        <v>46142</v>
      </c>
      <c r="AM946" s="29" t="str">
        <f>"Tháng "&amp;MONTH(AL946)</f>
        <v>Tháng 4</v>
      </c>
      <c r="AN946" s="29" t="str">
        <f>LEFT(AK946,FIND(",",AK946)-1)</f>
        <v>Phường Hiệp Thành</v>
      </c>
    </row>
    <row r="947" spans="1:40" x14ac:dyDescent="0.25">
      <c r="A947" s="49" t="s">
        <v>932</v>
      </c>
      <c r="B947" s="5" t="s">
        <v>30</v>
      </c>
      <c r="C947" s="5" t="s">
        <v>300</v>
      </c>
      <c r="D947" s="29">
        <f ca="1">DATEDIF(C947,TODAY(),"Y")</f>
        <v>80</v>
      </c>
      <c r="E947" s="5" t="s">
        <v>26</v>
      </c>
      <c r="F947" s="30">
        <v>169</v>
      </c>
      <c r="G947" s="30">
        <v>68</v>
      </c>
      <c r="H947" s="31">
        <f>G947/((F947/100)*(F947/100))</f>
        <v>23.808690171912751</v>
      </c>
      <c r="I947" s="5">
        <v>82</v>
      </c>
      <c r="J947" s="30">
        <v>140</v>
      </c>
      <c r="K947" s="30">
        <v>80</v>
      </c>
      <c r="L947" s="29">
        <f>IF(B947="Nữ",0,2)</f>
        <v>2</v>
      </c>
      <c r="M947" s="29">
        <f ca="1">IF(D947&lt;45,0,IF(D947&lt;=49,1,2))</f>
        <v>2</v>
      </c>
      <c r="N947" s="29">
        <f>IF(E947="Có",4,0)</f>
        <v>0</v>
      </c>
      <c r="O947" s="29">
        <f>IF(H947&lt;23,0,IF(H947&lt;27.5,3,5))</f>
        <v>3</v>
      </c>
      <c r="P947" s="29">
        <f>IF(OR(AND(B947="Nam",I947&gt;=90),AND(B947="Nữ",I947&gt;=80)),2,0)</f>
        <v>0</v>
      </c>
      <c r="Q947" s="29">
        <f>IF(OR(J947&gt;=140,K947&gt;=90),2,0)</f>
        <v>2</v>
      </c>
      <c r="R947" s="29">
        <f ca="1">SUM(L947:Q947)</f>
        <v>9</v>
      </c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5" t="s">
        <v>1393</v>
      </c>
      <c r="AE947" s="33"/>
      <c r="AF947" s="59" t="str">
        <f t="shared" si="43"/>
        <v>Không</v>
      </c>
      <c r="AG947" s="59" t="str">
        <f t="shared" si="44"/>
        <v>Không</v>
      </c>
      <c r="AH947" s="29" t="str">
        <f t="shared" ca="1" si="42"/>
        <v>Có</v>
      </c>
      <c r="AI947" s="29" t="str">
        <f ca="1">IF((R947)&gt;=6,"Có","Không")</f>
        <v>Có</v>
      </c>
      <c r="AJ947" s="29" t="str">
        <f>IF(OR(J947&gt;=140,K947&gt;=90),"Có","Không")</f>
        <v>Có</v>
      </c>
      <c r="AK947" s="5" t="s">
        <v>28</v>
      </c>
      <c r="AL947" s="32">
        <v>46142</v>
      </c>
      <c r="AM947" s="29" t="str">
        <f>"Tháng "&amp;MONTH(AL947)</f>
        <v>Tháng 4</v>
      </c>
      <c r="AN947" s="29" t="str">
        <f>LEFT(AK947,FIND(",",AK947)-1)</f>
        <v>Ấp Biển Đông A</v>
      </c>
    </row>
    <row r="948" spans="1:40" x14ac:dyDescent="0.25">
      <c r="A948" s="49" t="s">
        <v>933</v>
      </c>
      <c r="B948" s="5" t="s">
        <v>30</v>
      </c>
      <c r="C948" s="5" t="s">
        <v>146</v>
      </c>
      <c r="D948" s="29">
        <f ca="1">DATEDIF(C948,TODAY(),"Y")</f>
        <v>52</v>
      </c>
      <c r="E948" s="5" t="s">
        <v>26</v>
      </c>
      <c r="F948" s="30">
        <v>170</v>
      </c>
      <c r="G948" s="30">
        <v>72</v>
      </c>
      <c r="H948" s="31">
        <f>G948/((F948/100)*(F948/100))</f>
        <v>24.913494809688583</v>
      </c>
      <c r="I948" s="5">
        <v>65</v>
      </c>
      <c r="J948" s="30">
        <v>130</v>
      </c>
      <c r="K948" s="30">
        <v>80</v>
      </c>
      <c r="L948" s="29">
        <f>IF(B948="Nữ",0,2)</f>
        <v>2</v>
      </c>
      <c r="M948" s="29">
        <f ca="1">IF(D948&lt;45,0,IF(D948&lt;=49,1,2))</f>
        <v>2</v>
      </c>
      <c r="N948" s="29">
        <f>IF(E948="Có",4,0)</f>
        <v>0</v>
      </c>
      <c r="O948" s="29">
        <f>IF(H948&lt;23,0,IF(H948&lt;27.5,3,5))</f>
        <v>3</v>
      </c>
      <c r="P948" s="29">
        <f>IF(OR(AND(B948="Nam",I948&gt;=90),AND(B948="Nữ",I948&gt;=80)),2,0)</f>
        <v>0</v>
      </c>
      <c r="Q948" s="29">
        <f>IF(OR(J948&gt;=140,K948&gt;=90),2,0)</f>
        <v>0</v>
      </c>
      <c r="R948" s="29">
        <f ca="1">SUM(L948:Q948)</f>
        <v>7</v>
      </c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5" t="s">
        <v>1393</v>
      </c>
      <c r="AE948" s="33"/>
      <c r="AF948" s="59" t="str">
        <f t="shared" si="43"/>
        <v>Không</v>
      </c>
      <c r="AG948" s="59" t="str">
        <f t="shared" si="44"/>
        <v>Không</v>
      </c>
      <c r="AH948" s="29" t="str">
        <f t="shared" ca="1" si="42"/>
        <v>Có</v>
      </c>
      <c r="AI948" s="29" t="str">
        <f ca="1">IF((R948)&gt;=6,"Có","Không")</f>
        <v>Có</v>
      </c>
      <c r="AJ948" s="29" t="str">
        <f>IF(OR(J948&gt;=140,K948&gt;=90),"Có","Không")</f>
        <v>Không</v>
      </c>
      <c r="AK948" s="5" t="s">
        <v>934</v>
      </c>
      <c r="AL948" s="32">
        <v>46142</v>
      </c>
      <c r="AM948" s="29" t="str">
        <f>"Tháng "&amp;MONTH(AL948)</f>
        <v>Tháng 4</v>
      </c>
      <c r="AN948" s="29" t="str">
        <f>LEFT(AK948,FIND(",",AK948)-1)</f>
        <v>Kinh Xáng</v>
      </c>
    </row>
    <row r="949" spans="1:40" x14ac:dyDescent="0.25">
      <c r="A949" s="49" t="s">
        <v>935</v>
      </c>
      <c r="B949" s="5" t="s">
        <v>23</v>
      </c>
      <c r="C949" s="5" t="s">
        <v>40</v>
      </c>
      <c r="D949" s="29">
        <f ca="1">DATEDIF(C949,TODAY(),"Y")</f>
        <v>70</v>
      </c>
      <c r="E949" s="5" t="s">
        <v>26</v>
      </c>
      <c r="F949" s="30">
        <v>158</v>
      </c>
      <c r="G949" s="30">
        <v>58</v>
      </c>
      <c r="H949" s="31">
        <f>G949/((F949/100)*(F949/100))</f>
        <v>23.233456176894723</v>
      </c>
      <c r="I949" s="5">
        <v>89</v>
      </c>
      <c r="J949" s="30">
        <v>140</v>
      </c>
      <c r="K949" s="30">
        <v>80</v>
      </c>
      <c r="L949" s="29">
        <f>IF(B949="Nữ",0,2)</f>
        <v>0</v>
      </c>
      <c r="M949" s="29">
        <f ca="1">IF(D949&lt;45,0,IF(D949&lt;=49,1,2))</f>
        <v>2</v>
      </c>
      <c r="N949" s="29">
        <f>IF(E949="Có",4,0)</f>
        <v>0</v>
      </c>
      <c r="O949" s="29">
        <f>IF(H949&lt;23,0,IF(H949&lt;27.5,3,5))</f>
        <v>3</v>
      </c>
      <c r="P949" s="29">
        <f>IF(OR(AND(B949="Nam",I949&gt;=90),AND(B949="Nữ",I949&gt;=80)),2,0)</f>
        <v>2</v>
      </c>
      <c r="Q949" s="29">
        <f>IF(OR(J949&gt;=140,K949&gt;=90),2,0)</f>
        <v>2</v>
      </c>
      <c r="R949" s="29">
        <f ca="1">SUM(L949:Q949)</f>
        <v>9</v>
      </c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5" t="s">
        <v>1393</v>
      </c>
      <c r="AE949" s="33"/>
      <c r="AF949" s="59" t="str">
        <f t="shared" si="43"/>
        <v>Không</v>
      </c>
      <c r="AG949" s="59" t="str">
        <f t="shared" si="44"/>
        <v>Không</v>
      </c>
      <c r="AH949" s="29" t="str">
        <f t="shared" ca="1" si="42"/>
        <v>Có</v>
      </c>
      <c r="AI949" s="29" t="str">
        <f ca="1">IF((R949)&gt;=6,"Có","Không")</f>
        <v>Có</v>
      </c>
      <c r="AJ949" s="29" t="str">
        <f>IF(OR(J949&gt;=140,K949&gt;=90),"Có","Không")</f>
        <v>Có</v>
      </c>
      <c r="AK949" s="5" t="s">
        <v>38</v>
      </c>
      <c r="AL949" s="32">
        <v>46142</v>
      </c>
      <c r="AM949" s="29" t="str">
        <f>"Tháng "&amp;MONTH(AL949)</f>
        <v>Tháng 4</v>
      </c>
      <c r="AN949" s="29" t="str">
        <f>LEFT(AK949,FIND(",",AK949)-1)</f>
        <v>Ấp Biển Đông B</v>
      </c>
    </row>
    <row r="950" spans="1:40" x14ac:dyDescent="0.25">
      <c r="A950" s="49" t="s">
        <v>936</v>
      </c>
      <c r="B950" s="5" t="s">
        <v>30</v>
      </c>
      <c r="C950" s="5" t="s">
        <v>337</v>
      </c>
      <c r="D950" s="29">
        <f ca="1">DATEDIF(C950,TODAY(),"Y")</f>
        <v>86</v>
      </c>
      <c r="E950" s="5" t="s">
        <v>26</v>
      </c>
      <c r="F950" s="30">
        <v>170</v>
      </c>
      <c r="G950" s="30">
        <v>70</v>
      </c>
      <c r="H950" s="31">
        <f>G950/((F950/100)*(F950/100))</f>
        <v>24.221453287197235</v>
      </c>
      <c r="I950" s="5">
        <v>84</v>
      </c>
      <c r="J950" s="30">
        <v>120</v>
      </c>
      <c r="K950" s="30">
        <v>80</v>
      </c>
      <c r="L950" s="29">
        <f>IF(B950="Nữ",0,2)</f>
        <v>2</v>
      </c>
      <c r="M950" s="29">
        <f ca="1">IF(D950&lt;45,0,IF(D950&lt;=49,1,2))</f>
        <v>2</v>
      </c>
      <c r="N950" s="29">
        <f>IF(E950="Có",4,0)</f>
        <v>0</v>
      </c>
      <c r="O950" s="29">
        <f>IF(H950&lt;23,0,IF(H950&lt;27.5,3,5))</f>
        <v>3</v>
      </c>
      <c r="P950" s="29">
        <f>IF(OR(AND(B950="Nam",I950&gt;=90),AND(B950="Nữ",I950&gt;=80)),2,0)</f>
        <v>0</v>
      </c>
      <c r="Q950" s="29">
        <f>IF(OR(J950&gt;=140,K950&gt;=90),2,0)</f>
        <v>0</v>
      </c>
      <c r="R950" s="29">
        <f ca="1">SUM(L950:Q950)</f>
        <v>7</v>
      </c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5" t="s">
        <v>1393</v>
      </c>
      <c r="AE950" s="33"/>
      <c r="AF950" s="59" t="str">
        <f t="shared" si="43"/>
        <v>Không</v>
      </c>
      <c r="AG950" s="59" t="str">
        <f t="shared" si="44"/>
        <v>Không</v>
      </c>
      <c r="AH950" s="29" t="str">
        <f t="shared" ca="1" si="42"/>
        <v>Có</v>
      </c>
      <c r="AI950" s="29" t="str">
        <f ca="1">IF((R950)&gt;=6,"Có","Không")</f>
        <v>Có</v>
      </c>
      <c r="AJ950" s="29" t="str">
        <f>IF(OR(J950&gt;=140,K950&gt;=90),"Có","Không")</f>
        <v>Không</v>
      </c>
      <c r="AK950" s="5" t="s">
        <v>51</v>
      </c>
      <c r="AL950" s="32">
        <v>46142</v>
      </c>
      <c r="AM950" s="29" t="str">
        <f>"Tháng "&amp;MONTH(AL950)</f>
        <v>Tháng 4</v>
      </c>
      <c r="AN950" s="29" t="str">
        <f>LEFT(AK950,FIND(",",AK950)-1)</f>
        <v>Phường Hiệp Thành</v>
      </c>
    </row>
    <row r="951" spans="1:40" x14ac:dyDescent="0.25">
      <c r="A951" s="49" t="s">
        <v>938</v>
      </c>
      <c r="B951" s="5" t="s">
        <v>23</v>
      </c>
      <c r="C951" s="5" t="s">
        <v>138</v>
      </c>
      <c r="D951" s="29">
        <f ca="1">DATEDIF(C951,TODAY(),"Y")</f>
        <v>67</v>
      </c>
      <c r="E951" s="5" t="s">
        <v>26</v>
      </c>
      <c r="F951" s="30">
        <v>158</v>
      </c>
      <c r="G951" s="30">
        <v>58</v>
      </c>
      <c r="H951" s="31">
        <f>G951/((F951/100)*(F951/100))</f>
        <v>23.233456176894723</v>
      </c>
      <c r="I951" s="5">
        <v>80</v>
      </c>
      <c r="J951" s="30">
        <v>120</v>
      </c>
      <c r="K951" s="30">
        <v>80</v>
      </c>
      <c r="L951" s="29">
        <f>IF(B951="Nữ",0,2)</f>
        <v>0</v>
      </c>
      <c r="M951" s="29">
        <f ca="1">IF(D951&lt;45,0,IF(D951&lt;=49,1,2))</f>
        <v>2</v>
      </c>
      <c r="N951" s="29">
        <f>IF(E951="Có",4,0)</f>
        <v>0</v>
      </c>
      <c r="O951" s="29">
        <f>IF(H951&lt;23,0,IF(H951&lt;27.5,3,5))</f>
        <v>3</v>
      </c>
      <c r="P951" s="29">
        <f>IF(OR(AND(B951="Nam",I951&gt;=90),AND(B951="Nữ",I951&gt;=80)),2,0)</f>
        <v>2</v>
      </c>
      <c r="Q951" s="29">
        <f>IF(OR(J951&gt;=140,K951&gt;=90),2,0)</f>
        <v>0</v>
      </c>
      <c r="R951" s="29">
        <f ca="1">SUM(L951:Q951)</f>
        <v>7</v>
      </c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5" t="s">
        <v>1393</v>
      </c>
      <c r="AE951" s="33"/>
      <c r="AF951" s="59" t="str">
        <f t="shared" si="43"/>
        <v>Không</v>
      </c>
      <c r="AG951" s="59" t="str">
        <f t="shared" si="44"/>
        <v>Không</v>
      </c>
      <c r="AH951" s="29" t="str">
        <f t="shared" ca="1" si="42"/>
        <v>Có</v>
      </c>
      <c r="AI951" s="29" t="str">
        <f ca="1">IF((R951)&gt;=6,"Có","Không")</f>
        <v>Có</v>
      </c>
      <c r="AJ951" s="29" t="str">
        <f>IF(OR(J951&gt;=140,K951&gt;=90),"Có","Không")</f>
        <v>Không</v>
      </c>
      <c r="AK951" s="5" t="s">
        <v>70</v>
      </c>
      <c r="AL951" s="32">
        <v>46142</v>
      </c>
      <c r="AM951" s="29" t="str">
        <f>"Tháng "&amp;MONTH(AL951)</f>
        <v>Tháng 4</v>
      </c>
      <c r="AN951" s="29" t="str">
        <f>LEFT(AK951,FIND(",",AK951)-1)</f>
        <v>Ấp Biển Tây A</v>
      </c>
    </row>
    <row r="952" spans="1:40" x14ac:dyDescent="0.25">
      <c r="A952" s="49" t="s">
        <v>940</v>
      </c>
      <c r="B952" s="5" t="s">
        <v>23</v>
      </c>
      <c r="C952" s="5" t="s">
        <v>53</v>
      </c>
      <c r="D952" s="29">
        <f ca="1">DATEDIF(C952,TODAY(),"Y")</f>
        <v>72</v>
      </c>
      <c r="E952" s="5" t="s">
        <v>26</v>
      </c>
      <c r="F952" s="30">
        <v>158</v>
      </c>
      <c r="G952" s="30">
        <v>58</v>
      </c>
      <c r="H952" s="31">
        <f>G952/((F952/100)*(F952/100))</f>
        <v>23.233456176894723</v>
      </c>
      <c r="I952" s="5">
        <v>79</v>
      </c>
      <c r="J952" s="30">
        <v>150</v>
      </c>
      <c r="K952" s="30">
        <v>80</v>
      </c>
      <c r="L952" s="29">
        <f>IF(B952="Nữ",0,2)</f>
        <v>0</v>
      </c>
      <c r="M952" s="29">
        <f ca="1">IF(D952&lt;45,0,IF(D952&lt;=49,1,2))</f>
        <v>2</v>
      </c>
      <c r="N952" s="29">
        <f>IF(E952="Có",4,0)</f>
        <v>0</v>
      </c>
      <c r="O952" s="29">
        <f>IF(H952&lt;23,0,IF(H952&lt;27.5,3,5))</f>
        <v>3</v>
      </c>
      <c r="P952" s="29">
        <f>IF(OR(AND(B952="Nam",I952&gt;=90),AND(B952="Nữ",I952&gt;=80)),2,0)</f>
        <v>0</v>
      </c>
      <c r="Q952" s="29">
        <f>IF(OR(J952&gt;=140,K952&gt;=90),2,0)</f>
        <v>2</v>
      </c>
      <c r="R952" s="29">
        <f ca="1">SUM(L952:Q952)</f>
        <v>7</v>
      </c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5" t="s">
        <v>1393</v>
      </c>
      <c r="AE952" s="33"/>
      <c r="AF952" s="59" t="str">
        <f t="shared" si="43"/>
        <v>Không</v>
      </c>
      <c r="AG952" s="59" t="str">
        <f t="shared" si="44"/>
        <v>Không</v>
      </c>
      <c r="AH952" s="29" t="str">
        <f t="shared" ca="1" si="42"/>
        <v>Có</v>
      </c>
      <c r="AI952" s="29" t="str">
        <f ca="1">IF((R952)&gt;=6,"Có","Không")</f>
        <v>Có</v>
      </c>
      <c r="AJ952" s="29" t="str">
        <f>IF(OR(J952&gt;=140,K952&gt;=90),"Có","Không")</f>
        <v>Có</v>
      </c>
      <c r="AK952" s="5" t="s">
        <v>941</v>
      </c>
      <c r="AL952" s="32">
        <v>46142</v>
      </c>
      <c r="AM952" s="29" t="str">
        <f>"Tháng "&amp;MONTH(AL952)</f>
        <v>Tháng 4</v>
      </c>
      <c r="AN952" s="29" t="str">
        <f>LEFT(AK952,FIND(",",AK952)-1)</f>
        <v>Trung Hưng 1A</v>
      </c>
    </row>
    <row r="953" spans="1:40" x14ac:dyDescent="0.25">
      <c r="A953" s="49" t="s">
        <v>942</v>
      </c>
      <c r="B953" s="5" t="s">
        <v>23</v>
      </c>
      <c r="C953" s="5" t="s">
        <v>82</v>
      </c>
      <c r="D953" s="29">
        <f ca="1">DATEDIF(C953,TODAY(),"Y")</f>
        <v>73</v>
      </c>
      <c r="E953" s="5" t="s">
        <v>26</v>
      </c>
      <c r="F953" s="30">
        <v>158</v>
      </c>
      <c r="G953" s="30">
        <v>58</v>
      </c>
      <c r="H953" s="31">
        <f>G953/((F953/100)*(F953/100))</f>
        <v>23.233456176894723</v>
      </c>
      <c r="I953" s="5">
        <v>75</v>
      </c>
      <c r="J953" s="30">
        <v>120</v>
      </c>
      <c r="K953" s="30">
        <v>80</v>
      </c>
      <c r="L953" s="29">
        <f>IF(B953="Nữ",0,2)</f>
        <v>0</v>
      </c>
      <c r="M953" s="29">
        <f ca="1">IF(D953&lt;45,0,IF(D953&lt;=49,1,2))</f>
        <v>2</v>
      </c>
      <c r="N953" s="29">
        <f>IF(E953="Có",4,0)</f>
        <v>0</v>
      </c>
      <c r="O953" s="29">
        <f>IF(H953&lt;23,0,IF(H953&lt;27.5,3,5))</f>
        <v>3</v>
      </c>
      <c r="P953" s="29">
        <f>IF(OR(AND(B953="Nam",I953&gt;=90),AND(B953="Nữ",I953&gt;=80)),2,0)</f>
        <v>0</v>
      </c>
      <c r="Q953" s="29">
        <f>IF(OR(J953&gt;=140,K953&gt;=90),2,0)</f>
        <v>0</v>
      </c>
      <c r="R953" s="29">
        <f ca="1">SUM(L953:Q953)</f>
        <v>5</v>
      </c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5" t="s">
        <v>1393</v>
      </c>
      <c r="AE953" s="33"/>
      <c r="AF953" s="59" t="str">
        <f t="shared" si="43"/>
        <v>Không</v>
      </c>
      <c r="AG953" s="59" t="str">
        <f t="shared" si="44"/>
        <v>Không</v>
      </c>
      <c r="AH953" s="29" t="str">
        <f t="shared" ca="1" si="42"/>
        <v>Không</v>
      </c>
      <c r="AI953" s="29" t="str">
        <f ca="1">IF((R953)&gt;=6,"Có","Không")</f>
        <v>Không</v>
      </c>
      <c r="AJ953" s="29" t="str">
        <f>IF(OR(J953&gt;=140,K953&gt;=90),"Có","Không")</f>
        <v>Không</v>
      </c>
      <c r="AK953" s="5" t="s">
        <v>51</v>
      </c>
      <c r="AL953" s="32">
        <v>46142</v>
      </c>
      <c r="AM953" s="29" t="str">
        <f>"Tháng "&amp;MONTH(AL953)</f>
        <v>Tháng 4</v>
      </c>
      <c r="AN953" s="29" t="str">
        <f>LEFT(AK953,FIND(",",AK953)-1)</f>
        <v>Phường Hiệp Thành</v>
      </c>
    </row>
    <row r="954" spans="1:40" x14ac:dyDescent="0.25">
      <c r="A954" s="50" t="s">
        <v>1062</v>
      </c>
      <c r="B954" s="20" t="s">
        <v>23</v>
      </c>
      <c r="C954" s="35">
        <v>27030</v>
      </c>
      <c r="D954" s="29">
        <f ca="1">DATEDIF(C954,TODAY(),"Y")</f>
        <v>52</v>
      </c>
      <c r="E954" s="5" t="s">
        <v>26</v>
      </c>
      <c r="F954" s="30">
        <v>159</v>
      </c>
      <c r="G954" s="30">
        <v>70</v>
      </c>
      <c r="H954" s="31">
        <f>G954/((F954/100)*(F954/100))</f>
        <v>27.688778133776353</v>
      </c>
      <c r="I954" s="5">
        <v>100</v>
      </c>
      <c r="J954" s="30">
        <v>120</v>
      </c>
      <c r="K954" s="30">
        <v>80</v>
      </c>
      <c r="L954" s="29">
        <f>IF(B954="Nữ",0,2)</f>
        <v>0</v>
      </c>
      <c r="M954" s="29">
        <f ca="1">IF(D954&lt;45,0,IF(D954&lt;=49,1,2))</f>
        <v>2</v>
      </c>
      <c r="N954" s="29">
        <f>IF(E954="Có",4,0)</f>
        <v>0</v>
      </c>
      <c r="O954" s="29">
        <f>IF(H954&lt;23,0,IF(H954&lt;27.5,3,5))</f>
        <v>5</v>
      </c>
      <c r="P954" s="29">
        <f>IF(OR(AND(B954="Nam",I954&gt;=90),AND(B954="Nữ",I954&gt;=80)),2,0)</f>
        <v>2</v>
      </c>
      <c r="Q954" s="29">
        <f>IF(OR(J954&gt;=140,K954&gt;=90),2,0)</f>
        <v>0</v>
      </c>
      <c r="R954" s="29">
        <f ca="1">SUM(L954:Q954)</f>
        <v>9</v>
      </c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5" t="s">
        <v>1393</v>
      </c>
      <c r="AE954" s="33"/>
      <c r="AF954" s="59" t="str">
        <f t="shared" si="43"/>
        <v>Không</v>
      </c>
      <c r="AG954" s="59" t="str">
        <f t="shared" si="44"/>
        <v>Không</v>
      </c>
      <c r="AH954" s="29" t="str">
        <f t="shared" ca="1" si="42"/>
        <v>Có</v>
      </c>
      <c r="AI954" s="29" t="str">
        <f ca="1">IF((R954)&gt;=6,"Có","Không")</f>
        <v>Có</v>
      </c>
      <c r="AJ954" s="29" t="str">
        <f>IF(OR(J954&gt;=140,K954&gt;=90),"Có","Không")</f>
        <v>Không</v>
      </c>
      <c r="AK954" s="5" t="s">
        <v>51</v>
      </c>
      <c r="AL954" s="35">
        <v>46173</v>
      </c>
      <c r="AM954" s="29" t="str">
        <f>"Tháng "&amp;MONTH(AL954)</f>
        <v>Tháng 5</v>
      </c>
      <c r="AN954" s="69" t="s">
        <v>1376</v>
      </c>
    </row>
    <row r="955" spans="1:40" x14ac:dyDescent="0.25">
      <c r="A955" s="50" t="s">
        <v>1064</v>
      </c>
      <c r="B955" s="20" t="s">
        <v>23</v>
      </c>
      <c r="C955" s="35">
        <v>26299</v>
      </c>
      <c r="D955" s="29">
        <f ca="1">DATEDIF(C955,TODAY(),"Y")</f>
        <v>54</v>
      </c>
      <c r="E955" s="5" t="s">
        <v>26</v>
      </c>
      <c r="F955" s="30">
        <v>158</v>
      </c>
      <c r="G955" s="30">
        <v>58</v>
      </c>
      <c r="H955" s="31">
        <f>G955/((F955/100)*(F955/100))</f>
        <v>23.233456176894723</v>
      </c>
      <c r="I955" s="5">
        <v>96</v>
      </c>
      <c r="J955" s="30">
        <v>120</v>
      </c>
      <c r="K955" s="30">
        <v>80</v>
      </c>
      <c r="L955" s="29">
        <f>IF(B955="Nữ",0,2)</f>
        <v>0</v>
      </c>
      <c r="M955" s="29">
        <f ca="1">IF(D955&lt;45,0,IF(D955&lt;=49,1,2))</f>
        <v>2</v>
      </c>
      <c r="N955" s="29">
        <f>IF(E955="Có",4,0)</f>
        <v>0</v>
      </c>
      <c r="O955" s="29">
        <f>IF(H955&lt;23,0,IF(H955&lt;27.5,3,5))</f>
        <v>3</v>
      </c>
      <c r="P955" s="29">
        <f>IF(OR(AND(B955="Nam",I955&gt;=90),AND(B955="Nữ",I955&gt;=80)),2,0)</f>
        <v>2</v>
      </c>
      <c r="Q955" s="29">
        <f>IF(OR(J955&gt;=140,K955&gt;=90),2,0)</f>
        <v>0</v>
      </c>
      <c r="R955" s="29">
        <f ca="1">SUM(L955:Q955)</f>
        <v>7</v>
      </c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5" t="s">
        <v>1393</v>
      </c>
      <c r="AE955" s="33"/>
      <c r="AF955" s="59" t="str">
        <f t="shared" si="43"/>
        <v>Không</v>
      </c>
      <c r="AG955" s="59" t="str">
        <f t="shared" si="44"/>
        <v>Không</v>
      </c>
      <c r="AH955" s="29" t="str">
        <f t="shared" ca="1" si="42"/>
        <v>Có</v>
      </c>
      <c r="AI955" s="29" t="str">
        <f ca="1">IF((R955)&gt;=6,"Có","Không")</f>
        <v>Có</v>
      </c>
      <c r="AJ955" s="29" t="str">
        <f>IF(OR(J955&gt;=140,K955&gt;=90),"Có","Không")</f>
        <v>Không</v>
      </c>
      <c r="AK955" s="5" t="s">
        <v>51</v>
      </c>
      <c r="AL955" s="35">
        <v>46173</v>
      </c>
      <c r="AM955" s="29" t="str">
        <f>"Tháng "&amp;MONTH(AL955)</f>
        <v>Tháng 5</v>
      </c>
      <c r="AN955" s="69" t="s">
        <v>1376</v>
      </c>
    </row>
    <row r="956" spans="1:40" x14ac:dyDescent="0.25">
      <c r="A956" s="50" t="s">
        <v>1065</v>
      </c>
      <c r="B956" s="20" t="s">
        <v>30</v>
      </c>
      <c r="C956" s="35">
        <v>19360</v>
      </c>
      <c r="D956" s="29">
        <f ca="1">DATEDIF(C956,TODAY(),"Y")</f>
        <v>73</v>
      </c>
      <c r="E956" s="5" t="s">
        <v>26</v>
      </c>
      <c r="F956" s="30">
        <v>157</v>
      </c>
      <c r="G956" s="30">
        <v>85</v>
      </c>
      <c r="H956" s="31">
        <f>G956/((F956/100)*(F956/100))</f>
        <v>34.484157572315304</v>
      </c>
      <c r="I956" s="5">
        <v>88</v>
      </c>
      <c r="J956" s="30">
        <v>120</v>
      </c>
      <c r="K956" s="30">
        <v>80</v>
      </c>
      <c r="L956" s="29">
        <f>IF(B956="Nữ",0,2)</f>
        <v>2</v>
      </c>
      <c r="M956" s="29">
        <f ca="1">IF(D956&lt;45,0,IF(D956&lt;=49,1,2))</f>
        <v>2</v>
      </c>
      <c r="N956" s="29">
        <f>IF(E956="Có",4,0)</f>
        <v>0</v>
      </c>
      <c r="O956" s="29">
        <f>IF(H956&lt;23,0,IF(H956&lt;27.5,3,5))</f>
        <v>5</v>
      </c>
      <c r="P956" s="29">
        <f>IF(OR(AND(B956="Nam",I956&gt;=90),AND(B956="Nữ",I956&gt;=80)),2,0)</f>
        <v>0</v>
      </c>
      <c r="Q956" s="29">
        <f>IF(OR(J956&gt;=140,K956&gt;=90),2,0)</f>
        <v>0</v>
      </c>
      <c r="R956" s="29">
        <f ca="1">SUM(L956:Q956)</f>
        <v>9</v>
      </c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5" t="s">
        <v>1393</v>
      </c>
      <c r="AE956" s="33"/>
      <c r="AF956" s="59" t="str">
        <f t="shared" si="43"/>
        <v>Không</v>
      </c>
      <c r="AG956" s="59" t="str">
        <f t="shared" si="44"/>
        <v>Không</v>
      </c>
      <c r="AH956" s="29" t="str">
        <f t="shared" ca="1" si="42"/>
        <v>Có</v>
      </c>
      <c r="AI956" s="29" t="str">
        <f ca="1">IF((R956)&gt;=6,"Có","Không")</f>
        <v>Có</v>
      </c>
      <c r="AJ956" s="29" t="str">
        <f>IF(OR(J956&gt;=140,K956&gt;=90),"Có","Không")</f>
        <v>Không</v>
      </c>
      <c r="AK956" s="5" t="s">
        <v>51</v>
      </c>
      <c r="AL956" s="35">
        <v>46173</v>
      </c>
      <c r="AM956" s="29" t="str">
        <f>"Tháng "&amp;MONTH(AL956)</f>
        <v>Tháng 5</v>
      </c>
      <c r="AN956" s="69" t="s">
        <v>1376</v>
      </c>
    </row>
    <row r="957" spans="1:40" x14ac:dyDescent="0.25">
      <c r="A957" s="50" t="s">
        <v>1067</v>
      </c>
      <c r="B957" s="20" t="s">
        <v>23</v>
      </c>
      <c r="C957" s="35">
        <v>23377</v>
      </c>
      <c r="D957" s="29">
        <f ca="1">DATEDIF(C957,TODAY(),"Y")</f>
        <v>62</v>
      </c>
      <c r="E957" s="5" t="s">
        <v>26</v>
      </c>
      <c r="F957" s="30">
        <v>158</v>
      </c>
      <c r="G957" s="30">
        <v>58</v>
      </c>
      <c r="H957" s="31">
        <f>G957/((F957/100)*(F957/100))</f>
        <v>23.233456176894723</v>
      </c>
      <c r="I957" s="5">
        <v>76</v>
      </c>
      <c r="J957" s="30">
        <v>120</v>
      </c>
      <c r="K957" s="30">
        <v>80</v>
      </c>
      <c r="L957" s="29">
        <f>IF(B957="Nữ",0,2)</f>
        <v>0</v>
      </c>
      <c r="M957" s="29">
        <f ca="1">IF(D957&lt;45,0,IF(D957&lt;=49,1,2))</f>
        <v>2</v>
      </c>
      <c r="N957" s="29">
        <f>IF(E957="Có",4,0)</f>
        <v>0</v>
      </c>
      <c r="O957" s="29">
        <f>IF(H957&lt;23,0,IF(H957&lt;27.5,3,5))</f>
        <v>3</v>
      </c>
      <c r="P957" s="29">
        <f>IF(OR(AND(B957="Nam",I957&gt;=90),AND(B957="Nữ",I957&gt;=80)),2,0)</f>
        <v>0</v>
      </c>
      <c r="Q957" s="29">
        <f>IF(OR(J957&gt;=140,K957&gt;=90),2,0)</f>
        <v>0</v>
      </c>
      <c r="R957" s="29">
        <f ca="1">SUM(L957:Q957)</f>
        <v>5</v>
      </c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5" t="s">
        <v>1393</v>
      </c>
      <c r="AE957" s="33"/>
      <c r="AF957" s="59" t="str">
        <f t="shared" si="43"/>
        <v>Không</v>
      </c>
      <c r="AG957" s="59" t="str">
        <f t="shared" si="44"/>
        <v>Không</v>
      </c>
      <c r="AH957" s="29" t="str">
        <f t="shared" ca="1" si="42"/>
        <v>Không</v>
      </c>
      <c r="AI957" s="29" t="str">
        <f ca="1">IF((R957)&gt;=6,"Có","Không")</f>
        <v>Không</v>
      </c>
      <c r="AJ957" s="29" t="str">
        <f>IF(OR(J957&gt;=140,K957&gt;=90),"Có","Không")</f>
        <v>Không</v>
      </c>
      <c r="AK957" s="5" t="s">
        <v>51</v>
      </c>
      <c r="AL957" s="35">
        <v>46173</v>
      </c>
      <c r="AM957" s="29" t="str">
        <f>"Tháng "&amp;MONTH(AL957)</f>
        <v>Tháng 5</v>
      </c>
      <c r="AN957" s="69" t="s">
        <v>1376</v>
      </c>
    </row>
    <row r="958" spans="1:40" x14ac:dyDescent="0.25">
      <c r="A958" s="50" t="s">
        <v>1070</v>
      </c>
      <c r="B958" s="20" t="s">
        <v>23</v>
      </c>
      <c r="C958" s="35">
        <v>24838</v>
      </c>
      <c r="D958" s="29">
        <f ca="1">DATEDIF(C958,TODAY(),"Y")</f>
        <v>58</v>
      </c>
      <c r="E958" s="5" t="s">
        <v>26</v>
      </c>
      <c r="F958" s="30">
        <v>160</v>
      </c>
      <c r="G958" s="30">
        <v>70</v>
      </c>
      <c r="H958" s="31">
        <f>G958/((F958/100)*(F958/100))</f>
        <v>27.343749999999996</v>
      </c>
      <c r="I958" s="5">
        <v>96</v>
      </c>
      <c r="J958" s="30">
        <v>120</v>
      </c>
      <c r="K958" s="30">
        <v>80</v>
      </c>
      <c r="L958" s="29">
        <f>IF(B958="Nữ",0,2)</f>
        <v>0</v>
      </c>
      <c r="M958" s="29">
        <f ca="1">IF(D958&lt;45,0,IF(D958&lt;=49,1,2))</f>
        <v>2</v>
      </c>
      <c r="N958" s="29">
        <f>IF(E958="Có",4,0)</f>
        <v>0</v>
      </c>
      <c r="O958" s="29">
        <f>IF(H958&lt;23,0,IF(H958&lt;27.5,3,5))</f>
        <v>3</v>
      </c>
      <c r="P958" s="29">
        <f>IF(OR(AND(B958="Nam",I958&gt;=90),AND(B958="Nữ",I958&gt;=80)),2,0)</f>
        <v>2</v>
      </c>
      <c r="Q958" s="29">
        <f>IF(OR(J958&gt;=140,K958&gt;=90),2,0)</f>
        <v>0</v>
      </c>
      <c r="R958" s="29">
        <f ca="1">SUM(L958:Q958)</f>
        <v>7</v>
      </c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5" t="s">
        <v>1393</v>
      </c>
      <c r="AE958" s="33"/>
      <c r="AF958" s="59" t="str">
        <f t="shared" si="43"/>
        <v>Không</v>
      </c>
      <c r="AG958" s="59" t="str">
        <f t="shared" si="44"/>
        <v>Không</v>
      </c>
      <c r="AH958" s="29" t="str">
        <f t="shared" ca="1" si="42"/>
        <v>Có</v>
      </c>
      <c r="AI958" s="29" t="str">
        <f ca="1">IF((R958)&gt;=6,"Có","Không")</f>
        <v>Có</v>
      </c>
      <c r="AJ958" s="29" t="str">
        <f>IF(OR(J958&gt;=140,K958&gt;=90),"Có","Không")</f>
        <v>Không</v>
      </c>
      <c r="AK958" s="5" t="s">
        <v>51</v>
      </c>
      <c r="AL958" s="35">
        <v>46173</v>
      </c>
      <c r="AM958" s="29" t="str">
        <f>"Tháng "&amp;MONTH(AL958)</f>
        <v>Tháng 5</v>
      </c>
      <c r="AN958" s="69" t="s">
        <v>1376</v>
      </c>
    </row>
    <row r="959" spans="1:40" x14ac:dyDescent="0.25">
      <c r="A959" s="50" t="s">
        <v>1074</v>
      </c>
      <c r="B959" s="20" t="s">
        <v>23</v>
      </c>
      <c r="C959" s="35">
        <v>21916</v>
      </c>
      <c r="D959" s="29">
        <f ca="1">DATEDIF(C959,TODAY(),"Y")</f>
        <v>66</v>
      </c>
      <c r="E959" s="5" t="s">
        <v>26</v>
      </c>
      <c r="F959" s="30">
        <v>159</v>
      </c>
      <c r="G959" s="30">
        <v>70</v>
      </c>
      <c r="H959" s="31">
        <f>G959/((F959/100)*(F959/100))</f>
        <v>27.688778133776353</v>
      </c>
      <c r="I959" s="5">
        <v>75</v>
      </c>
      <c r="J959" s="30">
        <v>150</v>
      </c>
      <c r="K959" s="30">
        <v>80</v>
      </c>
      <c r="L959" s="29">
        <f>IF(B959="Nữ",0,2)</f>
        <v>0</v>
      </c>
      <c r="M959" s="29">
        <f ca="1">IF(D959&lt;45,0,IF(D959&lt;=49,1,2))</f>
        <v>2</v>
      </c>
      <c r="N959" s="29">
        <f>IF(E959="Có",4,0)</f>
        <v>0</v>
      </c>
      <c r="O959" s="29">
        <f>IF(H959&lt;23,0,IF(H959&lt;27.5,3,5))</f>
        <v>5</v>
      </c>
      <c r="P959" s="29">
        <f>IF(OR(AND(B959="Nam",I959&gt;=90),AND(B959="Nữ",I959&gt;=80)),2,0)</f>
        <v>0</v>
      </c>
      <c r="Q959" s="29">
        <f>IF(OR(J959&gt;=140,K959&gt;=90),2,0)</f>
        <v>2</v>
      </c>
      <c r="R959" s="29">
        <f ca="1">SUM(L959:Q959)</f>
        <v>9</v>
      </c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5" t="s">
        <v>1393</v>
      </c>
      <c r="AE959" s="33"/>
      <c r="AF959" s="59" t="str">
        <f t="shared" si="43"/>
        <v>Không</v>
      </c>
      <c r="AG959" s="59" t="str">
        <f t="shared" si="44"/>
        <v>Không</v>
      </c>
      <c r="AH959" s="29" t="str">
        <f t="shared" ca="1" si="42"/>
        <v>Có</v>
      </c>
      <c r="AI959" s="29" t="str">
        <f ca="1">IF((R959)&gt;=6,"Có","Không")</f>
        <v>Có</v>
      </c>
      <c r="AJ959" s="29" t="str">
        <f>IF(OR(J959&gt;=140,K959&gt;=90),"Có","Không")</f>
        <v>Có</v>
      </c>
      <c r="AK959" s="5" t="s">
        <v>51</v>
      </c>
      <c r="AL959" s="35">
        <v>46173</v>
      </c>
      <c r="AM959" s="29" t="str">
        <f>"Tháng "&amp;MONTH(AL959)</f>
        <v>Tháng 5</v>
      </c>
      <c r="AN959" s="69" t="s">
        <v>1376</v>
      </c>
    </row>
    <row r="960" spans="1:40" x14ac:dyDescent="0.25">
      <c r="A960" s="50" t="s">
        <v>984</v>
      </c>
      <c r="B960" s="20" t="s">
        <v>23</v>
      </c>
      <c r="C960" s="35">
        <v>25204</v>
      </c>
      <c r="D960" s="29">
        <f ca="1">DATEDIF(C960,TODAY(),"Y")</f>
        <v>57</v>
      </c>
      <c r="E960" s="5" t="s">
        <v>26</v>
      </c>
      <c r="F960" s="30">
        <v>158</v>
      </c>
      <c r="G960" s="30">
        <v>58</v>
      </c>
      <c r="H960" s="31">
        <f>G960/((F960/100)*(F960/100))</f>
        <v>23.233456176894723</v>
      </c>
      <c r="I960" s="5">
        <v>88</v>
      </c>
      <c r="J960" s="30">
        <v>120</v>
      </c>
      <c r="K960" s="30">
        <v>80</v>
      </c>
      <c r="L960" s="29">
        <f>IF(B960="Nữ",0,2)</f>
        <v>0</v>
      </c>
      <c r="M960" s="29">
        <f ca="1">IF(D960&lt;45,0,IF(D960&lt;=49,1,2))</f>
        <v>2</v>
      </c>
      <c r="N960" s="29">
        <f>IF(E960="Có",4,0)</f>
        <v>0</v>
      </c>
      <c r="O960" s="29">
        <f>IF(H960&lt;23,0,IF(H960&lt;27.5,3,5))</f>
        <v>3</v>
      </c>
      <c r="P960" s="29">
        <f>IF(OR(AND(B960="Nam",I960&gt;=90),AND(B960="Nữ",I960&gt;=80)),2,0)</f>
        <v>2</v>
      </c>
      <c r="Q960" s="29">
        <f>IF(OR(J960&gt;=140,K960&gt;=90),2,0)</f>
        <v>0</v>
      </c>
      <c r="R960" s="29">
        <f ca="1">SUM(L960:Q960)</f>
        <v>7</v>
      </c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5" t="s">
        <v>1393</v>
      </c>
      <c r="AE960" s="33"/>
      <c r="AF960" s="59" t="str">
        <f t="shared" si="43"/>
        <v>Không</v>
      </c>
      <c r="AG960" s="59" t="str">
        <f t="shared" si="44"/>
        <v>Không</v>
      </c>
      <c r="AH960" s="29" t="str">
        <f t="shared" ca="1" si="42"/>
        <v>Có</v>
      </c>
      <c r="AI960" s="29" t="str">
        <f ca="1">IF((R960)&gt;=6,"Có","Không")</f>
        <v>Có</v>
      </c>
      <c r="AJ960" s="29" t="str">
        <f>IF(OR(J960&gt;=140,K960&gt;=90),"Có","Không")</f>
        <v>Không</v>
      </c>
      <c r="AK960" s="5" t="s">
        <v>51</v>
      </c>
      <c r="AL960" s="35">
        <v>46173</v>
      </c>
      <c r="AM960" s="29" t="str">
        <f>"Tháng "&amp;MONTH(AL960)</f>
        <v>Tháng 5</v>
      </c>
      <c r="AN960" s="69" t="s">
        <v>1376</v>
      </c>
    </row>
    <row r="961" spans="1:40" x14ac:dyDescent="0.25">
      <c r="A961" s="50" t="s">
        <v>1077</v>
      </c>
      <c r="B961" s="20" t="s">
        <v>23</v>
      </c>
      <c r="C961" s="35">
        <v>25569</v>
      </c>
      <c r="D961" s="29">
        <f ca="1">DATEDIF(C961,TODAY(),"Y")</f>
        <v>56</v>
      </c>
      <c r="E961" s="5" t="s">
        <v>25</v>
      </c>
      <c r="F961" s="30">
        <v>162</v>
      </c>
      <c r="G961" s="30">
        <v>64</v>
      </c>
      <c r="H961" s="31">
        <f>G961/((F961/100)*(F961/100))</f>
        <v>24.386526444139609</v>
      </c>
      <c r="I961" s="5">
        <v>83</v>
      </c>
      <c r="J961" s="30">
        <v>120</v>
      </c>
      <c r="K961" s="30">
        <v>80</v>
      </c>
      <c r="L961" s="29">
        <f>IF(B961="Nữ",0,2)</f>
        <v>0</v>
      </c>
      <c r="M961" s="29">
        <f ca="1">IF(D961&lt;45,0,IF(D961&lt;=49,1,2))</f>
        <v>2</v>
      </c>
      <c r="N961" s="29">
        <f>IF(E961="Có",4,0)</f>
        <v>4</v>
      </c>
      <c r="O961" s="29">
        <f>IF(H961&lt;23,0,IF(H961&lt;27.5,3,5))</f>
        <v>3</v>
      </c>
      <c r="P961" s="29">
        <f>IF(OR(AND(B961="Nam",I961&gt;=90),AND(B961="Nữ",I961&gt;=80)),2,0)</f>
        <v>2</v>
      </c>
      <c r="Q961" s="29">
        <f>IF(OR(J961&gt;=140,K961&gt;=90),2,0)</f>
        <v>0</v>
      </c>
      <c r="R961" s="29">
        <f ca="1">SUM(L961:Q961)</f>
        <v>11</v>
      </c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5" t="s">
        <v>1393</v>
      </c>
      <c r="AE961" s="33"/>
      <c r="AF961" s="59" t="str">
        <f t="shared" si="43"/>
        <v>Không</v>
      </c>
      <c r="AG961" s="59" t="str">
        <f t="shared" si="44"/>
        <v>Không</v>
      </c>
      <c r="AH961" s="29" t="str">
        <f t="shared" ca="1" si="42"/>
        <v>Có</v>
      </c>
      <c r="AI961" s="29" t="str">
        <f ca="1">IF((R961)&gt;=6,"Có","Không")</f>
        <v>Có</v>
      </c>
      <c r="AJ961" s="29" t="str">
        <f>IF(OR(J961&gt;=140,K961&gt;=90),"Có","Không")</f>
        <v>Không</v>
      </c>
      <c r="AK961" s="5" t="s">
        <v>51</v>
      </c>
      <c r="AL961" s="35">
        <v>46173</v>
      </c>
      <c r="AM961" s="29" t="str">
        <f>"Tháng "&amp;MONTH(AL961)</f>
        <v>Tháng 5</v>
      </c>
      <c r="AN961" s="69" t="s">
        <v>1376</v>
      </c>
    </row>
    <row r="962" spans="1:40" x14ac:dyDescent="0.25">
      <c r="A962" s="50" t="s">
        <v>1081</v>
      </c>
      <c r="B962" s="20" t="s">
        <v>23</v>
      </c>
      <c r="C962" s="35">
        <v>18994</v>
      </c>
      <c r="D962" s="29">
        <f ca="1">DATEDIF(C962,TODAY(),"Y")</f>
        <v>74</v>
      </c>
      <c r="E962" s="5" t="s">
        <v>26</v>
      </c>
      <c r="F962" s="30">
        <v>160</v>
      </c>
      <c r="G962" s="30">
        <v>49</v>
      </c>
      <c r="H962" s="31">
        <f>G962/((F962/100)*(F962/100))</f>
        <v>19.140624999999996</v>
      </c>
      <c r="I962" s="5">
        <v>76</v>
      </c>
      <c r="J962" s="30">
        <v>120</v>
      </c>
      <c r="K962" s="30">
        <v>80</v>
      </c>
      <c r="L962" s="29">
        <f>IF(B962="Nữ",0,2)</f>
        <v>0</v>
      </c>
      <c r="M962" s="29">
        <f ca="1">IF(D962&lt;45,0,IF(D962&lt;=49,1,2))</f>
        <v>2</v>
      </c>
      <c r="N962" s="29">
        <f>IF(E962="Có",4,0)</f>
        <v>0</v>
      </c>
      <c r="O962" s="29">
        <f>IF(H962&lt;23,0,IF(H962&lt;27.5,3,5))</f>
        <v>0</v>
      </c>
      <c r="P962" s="29">
        <f>IF(OR(AND(B962="Nam",I962&gt;=90),AND(B962="Nữ",I962&gt;=80)),2,0)</f>
        <v>0</v>
      </c>
      <c r="Q962" s="29">
        <f>IF(OR(J962&gt;=140,K962&gt;=90),2,0)</f>
        <v>0</v>
      </c>
      <c r="R962" s="29">
        <f ca="1">SUM(L962:Q962)</f>
        <v>2</v>
      </c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5" t="s">
        <v>1393</v>
      </c>
      <c r="AE962" s="33"/>
      <c r="AF962" s="59" t="str">
        <f t="shared" si="43"/>
        <v>Không</v>
      </c>
      <c r="AG962" s="59" t="str">
        <f t="shared" si="44"/>
        <v>Không</v>
      </c>
      <c r="AH962" s="29" t="str">
        <f t="shared" ca="1" si="42"/>
        <v>Không</v>
      </c>
      <c r="AI962" s="29" t="str">
        <f ca="1">IF((R962)&gt;=6,"Có","Không")</f>
        <v>Không</v>
      </c>
      <c r="AJ962" s="29" t="str">
        <f>IF(OR(J962&gt;=140,K962&gt;=90),"Có","Không")</f>
        <v>Không</v>
      </c>
      <c r="AK962" s="5" t="s">
        <v>51</v>
      </c>
      <c r="AL962" s="35">
        <v>46173</v>
      </c>
      <c r="AM962" s="29" t="str">
        <f>"Tháng "&amp;MONTH(AL962)</f>
        <v>Tháng 5</v>
      </c>
      <c r="AN962" s="69" t="s">
        <v>1376</v>
      </c>
    </row>
    <row r="963" spans="1:40" x14ac:dyDescent="0.25">
      <c r="A963" s="50" t="s">
        <v>1084</v>
      </c>
      <c r="B963" s="20" t="s">
        <v>30</v>
      </c>
      <c r="C963" s="35">
        <v>23743</v>
      </c>
      <c r="D963" s="29">
        <f ca="1">DATEDIF(C963,TODAY(),"Y")</f>
        <v>61</v>
      </c>
      <c r="E963" s="5" t="s">
        <v>26</v>
      </c>
      <c r="F963" s="30">
        <v>158</v>
      </c>
      <c r="G963" s="30">
        <v>58</v>
      </c>
      <c r="H963" s="31">
        <f>G963/((F963/100)*(F963/100))</f>
        <v>23.233456176894723</v>
      </c>
      <c r="I963" s="5">
        <v>90</v>
      </c>
      <c r="J963" s="30">
        <v>160</v>
      </c>
      <c r="K963" s="30">
        <v>80</v>
      </c>
      <c r="L963" s="29">
        <f>IF(B963="Nữ",0,2)</f>
        <v>2</v>
      </c>
      <c r="M963" s="29">
        <f ca="1">IF(D963&lt;45,0,IF(D963&lt;=49,1,2))</f>
        <v>2</v>
      </c>
      <c r="N963" s="29">
        <f>IF(E963="Có",4,0)</f>
        <v>0</v>
      </c>
      <c r="O963" s="29">
        <f>IF(H963&lt;23,0,IF(H963&lt;27.5,3,5))</f>
        <v>3</v>
      </c>
      <c r="P963" s="29">
        <f>IF(OR(AND(B963="Nam",I963&gt;=90),AND(B963="Nữ",I963&gt;=80)),2,0)</f>
        <v>2</v>
      </c>
      <c r="Q963" s="29">
        <f>IF(OR(J963&gt;=140,K963&gt;=90),2,0)</f>
        <v>2</v>
      </c>
      <c r="R963" s="29">
        <f ca="1">SUM(L963:Q963)</f>
        <v>11</v>
      </c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5" t="s">
        <v>1393</v>
      </c>
      <c r="AE963" s="33"/>
      <c r="AF963" s="59" t="str">
        <f t="shared" si="43"/>
        <v>Không</v>
      </c>
      <c r="AG963" s="59" t="str">
        <f t="shared" si="44"/>
        <v>Không</v>
      </c>
      <c r="AH963" s="29" t="str">
        <f t="shared" ca="1" si="42"/>
        <v>Có</v>
      </c>
      <c r="AI963" s="29" t="str">
        <f ca="1">IF((R963)&gt;=6,"Có","Không")</f>
        <v>Có</v>
      </c>
      <c r="AJ963" s="29" t="str">
        <f>IF(OR(J963&gt;=140,K963&gt;=90),"Có","Không")</f>
        <v>Có</v>
      </c>
      <c r="AK963" s="5" t="s">
        <v>51</v>
      </c>
      <c r="AL963" s="35">
        <v>46173</v>
      </c>
      <c r="AM963" s="29" t="str">
        <f>"Tháng "&amp;MONTH(AL963)</f>
        <v>Tháng 5</v>
      </c>
      <c r="AN963" s="69" t="s">
        <v>1376</v>
      </c>
    </row>
    <row r="964" spans="1:40" x14ac:dyDescent="0.25">
      <c r="A964" s="50" t="s">
        <v>889</v>
      </c>
      <c r="B964" s="20" t="s">
        <v>23</v>
      </c>
      <c r="C964" s="35">
        <v>21551</v>
      </c>
      <c r="D964" s="29">
        <f ca="1">DATEDIF(C964,TODAY(),"Y")</f>
        <v>67</v>
      </c>
      <c r="E964" s="5" t="s">
        <v>25</v>
      </c>
      <c r="F964" s="30">
        <v>160</v>
      </c>
      <c r="G964" s="30">
        <v>70</v>
      </c>
      <c r="H964" s="31">
        <f>G964/((F964/100)*(F964/100))</f>
        <v>27.343749999999996</v>
      </c>
      <c r="I964" s="5">
        <v>71</v>
      </c>
      <c r="J964" s="30">
        <v>140</v>
      </c>
      <c r="K964" s="30">
        <v>80</v>
      </c>
      <c r="L964" s="29">
        <f>IF(B964="Nữ",0,2)</f>
        <v>0</v>
      </c>
      <c r="M964" s="29">
        <f ca="1">IF(D964&lt;45,0,IF(D964&lt;=49,1,2))</f>
        <v>2</v>
      </c>
      <c r="N964" s="29">
        <f>IF(E964="Có",4,0)</f>
        <v>4</v>
      </c>
      <c r="O964" s="29">
        <f>IF(H964&lt;23,0,IF(H964&lt;27.5,3,5))</f>
        <v>3</v>
      </c>
      <c r="P964" s="29">
        <f>IF(OR(AND(B964="Nam",I964&gt;=90),AND(B964="Nữ",I964&gt;=80)),2,0)</f>
        <v>0</v>
      </c>
      <c r="Q964" s="29">
        <f>IF(OR(J964&gt;=140,K964&gt;=90),2,0)</f>
        <v>2</v>
      </c>
      <c r="R964" s="29">
        <f ca="1">SUM(L964:Q964)</f>
        <v>11</v>
      </c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5" t="s">
        <v>1393</v>
      </c>
      <c r="AE964" s="33"/>
      <c r="AF964" s="59" t="str">
        <f t="shared" si="43"/>
        <v>Không</v>
      </c>
      <c r="AG964" s="59" t="str">
        <f t="shared" si="44"/>
        <v>Không</v>
      </c>
      <c r="AH964" s="29" t="str">
        <f t="shared" ref="AH964:AH1027" ca="1" si="45">IF((R964)&gt;=6,"Có","Không")</f>
        <v>Có</v>
      </c>
      <c r="AI964" s="29" t="str">
        <f ca="1">IF((R964)&gt;=6,"Có","Không")</f>
        <v>Có</v>
      </c>
      <c r="AJ964" s="29" t="str">
        <f>IF(OR(J964&gt;=140,K964&gt;=90),"Có","Không")</f>
        <v>Có</v>
      </c>
      <c r="AK964" s="5" t="s">
        <v>51</v>
      </c>
      <c r="AL964" s="35">
        <v>46173</v>
      </c>
      <c r="AM964" s="29" t="str">
        <f>"Tháng "&amp;MONTH(AL964)</f>
        <v>Tháng 5</v>
      </c>
      <c r="AN964" s="69" t="s">
        <v>1376</v>
      </c>
    </row>
    <row r="965" spans="1:40" x14ac:dyDescent="0.25">
      <c r="A965" s="50" t="s">
        <v>181</v>
      </c>
      <c r="B965" s="20" t="s">
        <v>23</v>
      </c>
      <c r="C965" s="35">
        <v>24108</v>
      </c>
      <c r="D965" s="29">
        <f ca="1">DATEDIF(C965,TODAY(),"Y")</f>
        <v>60</v>
      </c>
      <c r="E965" s="5" t="s">
        <v>26</v>
      </c>
      <c r="F965" s="30">
        <v>169</v>
      </c>
      <c r="G965" s="30">
        <v>68</v>
      </c>
      <c r="H965" s="31">
        <f>G965/((F965/100)*(F965/100))</f>
        <v>23.808690171912751</v>
      </c>
      <c r="I965" s="5">
        <v>86</v>
      </c>
      <c r="J965" s="30">
        <v>120</v>
      </c>
      <c r="K965" s="30">
        <v>70</v>
      </c>
      <c r="L965" s="29">
        <f>IF(B965="Nữ",0,2)</f>
        <v>0</v>
      </c>
      <c r="M965" s="29">
        <f ca="1">IF(D965&lt;45,0,IF(D965&lt;=49,1,2))</f>
        <v>2</v>
      </c>
      <c r="N965" s="29">
        <f>IF(E965="Có",4,0)</f>
        <v>0</v>
      </c>
      <c r="O965" s="29">
        <f>IF(H965&lt;23,0,IF(H965&lt;27.5,3,5))</f>
        <v>3</v>
      </c>
      <c r="P965" s="29">
        <f>IF(OR(AND(B965="Nam",I965&gt;=90),AND(B965="Nữ",I965&gt;=80)),2,0)</f>
        <v>2</v>
      </c>
      <c r="Q965" s="29">
        <f>IF(OR(J965&gt;=140,K965&gt;=90),2,0)</f>
        <v>0</v>
      </c>
      <c r="R965" s="29">
        <f ca="1">SUM(L965:Q965)</f>
        <v>7</v>
      </c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5" t="s">
        <v>1393</v>
      </c>
      <c r="AE965" s="33"/>
      <c r="AF965" s="59" t="str">
        <f t="shared" ref="AF965:AF1028" si="46">IF(COUNTIF(S965:Z965,"X")&gt;=2,"Có","Không")</f>
        <v>Không</v>
      </c>
      <c r="AG965" s="59" t="str">
        <f t="shared" ref="AG965:AG1028" si="47">IF(COUNTIF(AA965:AE965,"X")&gt;=3,"Có","Không")</f>
        <v>Không</v>
      </c>
      <c r="AH965" s="29" t="str">
        <f t="shared" ca="1" si="45"/>
        <v>Có</v>
      </c>
      <c r="AI965" s="29" t="str">
        <f ca="1">IF((R965)&gt;=6,"Có","Không")</f>
        <v>Có</v>
      </c>
      <c r="AJ965" s="29" t="str">
        <f>IF(OR(J965&gt;=140,K965&gt;=90),"Có","Không")</f>
        <v>Không</v>
      </c>
      <c r="AK965" s="5" t="s">
        <v>51</v>
      </c>
      <c r="AL965" s="35">
        <v>46173</v>
      </c>
      <c r="AM965" s="29" t="str">
        <f>"Tháng "&amp;MONTH(AL965)</f>
        <v>Tháng 5</v>
      </c>
      <c r="AN965" s="69" t="s">
        <v>1376</v>
      </c>
    </row>
    <row r="966" spans="1:40" x14ac:dyDescent="0.25">
      <c r="A966" s="50" t="s">
        <v>245</v>
      </c>
      <c r="B966" s="20" t="s">
        <v>23</v>
      </c>
      <c r="C966" s="35">
        <v>19725</v>
      </c>
      <c r="D966" s="29">
        <f ca="1">DATEDIF(C966,TODAY(),"Y")</f>
        <v>72</v>
      </c>
      <c r="E966" s="5" t="s">
        <v>26</v>
      </c>
      <c r="F966" s="30">
        <v>169</v>
      </c>
      <c r="G966" s="30">
        <v>68</v>
      </c>
      <c r="H966" s="31">
        <f>G966/((F966/100)*(F966/100))</f>
        <v>23.808690171912751</v>
      </c>
      <c r="I966" s="5">
        <v>89</v>
      </c>
      <c r="J966" s="30">
        <v>120</v>
      </c>
      <c r="K966" s="30">
        <v>80</v>
      </c>
      <c r="L966" s="29">
        <f>IF(B966="Nữ",0,2)</f>
        <v>0</v>
      </c>
      <c r="M966" s="29">
        <f ca="1">IF(D966&lt;45,0,IF(D966&lt;=49,1,2))</f>
        <v>2</v>
      </c>
      <c r="N966" s="29">
        <f>IF(E966="Có",4,0)</f>
        <v>0</v>
      </c>
      <c r="O966" s="29">
        <f>IF(H966&lt;23,0,IF(H966&lt;27.5,3,5))</f>
        <v>3</v>
      </c>
      <c r="P966" s="29">
        <f>IF(OR(AND(B966="Nam",I966&gt;=90),AND(B966="Nữ",I966&gt;=80)),2,0)</f>
        <v>2</v>
      </c>
      <c r="Q966" s="29">
        <f>IF(OR(J966&gt;=140,K966&gt;=90),2,0)</f>
        <v>0</v>
      </c>
      <c r="R966" s="29">
        <f ca="1">SUM(L966:Q966)</f>
        <v>7</v>
      </c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5" t="s">
        <v>1393</v>
      </c>
      <c r="AE966" s="33"/>
      <c r="AF966" s="59" t="str">
        <f t="shared" si="46"/>
        <v>Không</v>
      </c>
      <c r="AG966" s="59" t="str">
        <f t="shared" si="47"/>
        <v>Không</v>
      </c>
      <c r="AH966" s="29" t="str">
        <f t="shared" ca="1" si="45"/>
        <v>Có</v>
      </c>
      <c r="AI966" s="29" t="str">
        <f ca="1">IF((R966)&gt;=6,"Có","Không")</f>
        <v>Có</v>
      </c>
      <c r="AJ966" s="29" t="str">
        <f>IF(OR(J966&gt;=140,K966&gt;=90),"Có","Không")</f>
        <v>Không</v>
      </c>
      <c r="AK966" s="5" t="s">
        <v>51</v>
      </c>
      <c r="AL966" s="35">
        <v>46173</v>
      </c>
      <c r="AM966" s="29" t="str">
        <f>"Tháng "&amp;MONTH(AL966)</f>
        <v>Tháng 5</v>
      </c>
      <c r="AN966" s="69" t="s">
        <v>1376</v>
      </c>
    </row>
    <row r="967" spans="1:40" x14ac:dyDescent="0.25">
      <c r="A967" s="50" t="s">
        <v>1089</v>
      </c>
      <c r="B967" s="20" t="s">
        <v>23</v>
      </c>
      <c r="C967" s="35">
        <v>24108</v>
      </c>
      <c r="D967" s="29">
        <f ca="1">DATEDIF(C967,TODAY(),"Y")</f>
        <v>60</v>
      </c>
      <c r="E967" s="5" t="s">
        <v>25</v>
      </c>
      <c r="F967" s="30">
        <v>150</v>
      </c>
      <c r="G967" s="30">
        <v>52</v>
      </c>
      <c r="H967" s="31">
        <f>G967/((F967/100)*(F967/100))</f>
        <v>23.111111111111111</v>
      </c>
      <c r="I967" s="5">
        <v>73</v>
      </c>
      <c r="J967" s="30">
        <v>120</v>
      </c>
      <c r="K967" s="30">
        <v>80</v>
      </c>
      <c r="L967" s="29">
        <f>IF(B967="Nữ",0,2)</f>
        <v>0</v>
      </c>
      <c r="M967" s="29">
        <f ca="1">IF(D967&lt;45,0,IF(D967&lt;=49,1,2))</f>
        <v>2</v>
      </c>
      <c r="N967" s="29">
        <f>IF(E967="Có",4,0)</f>
        <v>4</v>
      </c>
      <c r="O967" s="29">
        <f>IF(H967&lt;23,0,IF(H967&lt;27.5,3,5))</f>
        <v>3</v>
      </c>
      <c r="P967" s="29">
        <f>IF(OR(AND(B967="Nam",I967&gt;=90),AND(B967="Nữ",I967&gt;=80)),2,0)</f>
        <v>0</v>
      </c>
      <c r="Q967" s="29">
        <f>IF(OR(J967&gt;=140,K967&gt;=90),2,0)</f>
        <v>0</v>
      </c>
      <c r="R967" s="29">
        <f ca="1">SUM(L967:Q967)</f>
        <v>9</v>
      </c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5" t="s">
        <v>1393</v>
      </c>
      <c r="AE967" s="33"/>
      <c r="AF967" s="59" t="str">
        <f t="shared" si="46"/>
        <v>Không</v>
      </c>
      <c r="AG967" s="59" t="str">
        <f t="shared" si="47"/>
        <v>Không</v>
      </c>
      <c r="AH967" s="29" t="str">
        <f t="shared" ca="1" si="45"/>
        <v>Có</v>
      </c>
      <c r="AI967" s="29" t="str">
        <f ca="1">IF((R967)&gt;=6,"Có","Không")</f>
        <v>Có</v>
      </c>
      <c r="AJ967" s="29" t="str">
        <f>IF(OR(J967&gt;=140,K967&gt;=90),"Có","Không")</f>
        <v>Không</v>
      </c>
      <c r="AK967" s="5" t="s">
        <v>51</v>
      </c>
      <c r="AL967" s="35">
        <v>46173</v>
      </c>
      <c r="AM967" s="29" t="str">
        <f>"Tháng "&amp;MONTH(AL967)</f>
        <v>Tháng 5</v>
      </c>
      <c r="AN967" s="69" t="s">
        <v>1376</v>
      </c>
    </row>
    <row r="968" spans="1:40" x14ac:dyDescent="0.25">
      <c r="A968" s="50" t="s">
        <v>1093</v>
      </c>
      <c r="B968" s="20" t="s">
        <v>23</v>
      </c>
      <c r="C968" s="35">
        <v>27030</v>
      </c>
      <c r="D968" s="29">
        <f ca="1">DATEDIF(C968,TODAY(),"Y")</f>
        <v>52</v>
      </c>
      <c r="E968" s="5" t="s">
        <v>25</v>
      </c>
      <c r="F968" s="30">
        <v>169</v>
      </c>
      <c r="G968" s="30">
        <v>68</v>
      </c>
      <c r="H968" s="31">
        <f>G968/((F968/100)*(F968/100))</f>
        <v>23.808690171912751</v>
      </c>
      <c r="I968" s="5">
        <v>100</v>
      </c>
      <c r="J968" s="30">
        <v>120</v>
      </c>
      <c r="K968" s="30">
        <v>80</v>
      </c>
      <c r="L968" s="29">
        <f>IF(B968="Nữ",0,2)</f>
        <v>0</v>
      </c>
      <c r="M968" s="29">
        <f ca="1">IF(D968&lt;45,0,IF(D968&lt;=49,1,2))</f>
        <v>2</v>
      </c>
      <c r="N968" s="29">
        <f>IF(E968="Có",4,0)</f>
        <v>4</v>
      </c>
      <c r="O968" s="29">
        <f>IF(H968&lt;23,0,IF(H968&lt;27.5,3,5))</f>
        <v>3</v>
      </c>
      <c r="P968" s="29">
        <f>IF(OR(AND(B968="Nam",I968&gt;=90),AND(B968="Nữ",I968&gt;=80)),2,0)</f>
        <v>2</v>
      </c>
      <c r="Q968" s="29">
        <f>IF(OR(J968&gt;=140,K968&gt;=90),2,0)</f>
        <v>0</v>
      </c>
      <c r="R968" s="29">
        <f ca="1">SUM(L968:Q968)</f>
        <v>11</v>
      </c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5" t="s">
        <v>1393</v>
      </c>
      <c r="AE968" s="33"/>
      <c r="AF968" s="59" t="str">
        <f t="shared" si="46"/>
        <v>Không</v>
      </c>
      <c r="AG968" s="59" t="str">
        <f t="shared" si="47"/>
        <v>Không</v>
      </c>
      <c r="AH968" s="29" t="str">
        <f t="shared" ca="1" si="45"/>
        <v>Có</v>
      </c>
      <c r="AI968" s="29" t="str">
        <f ca="1">IF((R968)&gt;=6,"Có","Không")</f>
        <v>Có</v>
      </c>
      <c r="AJ968" s="29" t="str">
        <f>IF(OR(J968&gt;=140,K968&gt;=90),"Có","Không")</f>
        <v>Không</v>
      </c>
      <c r="AK968" s="5" t="s">
        <v>51</v>
      </c>
      <c r="AL968" s="35">
        <v>46173</v>
      </c>
      <c r="AM968" s="29" t="str">
        <f>"Tháng "&amp;MONTH(AL968)</f>
        <v>Tháng 5</v>
      </c>
      <c r="AN968" s="69" t="s">
        <v>1376</v>
      </c>
    </row>
    <row r="969" spans="1:40" x14ac:dyDescent="0.25">
      <c r="A969" s="50" t="s">
        <v>949</v>
      </c>
      <c r="B969" s="20" t="s">
        <v>30</v>
      </c>
      <c r="C969" s="35">
        <v>24108</v>
      </c>
      <c r="D969" s="29">
        <f ca="1">DATEDIF(C969,TODAY(),"Y")</f>
        <v>60</v>
      </c>
      <c r="E969" s="5" t="s">
        <v>26</v>
      </c>
      <c r="F969" s="30">
        <v>160</v>
      </c>
      <c r="G969" s="30">
        <v>49</v>
      </c>
      <c r="H969" s="31">
        <f>G969/((F969/100)*(F969/100))</f>
        <v>19.140624999999996</v>
      </c>
      <c r="I969" s="5">
        <v>96</v>
      </c>
      <c r="J969" s="30">
        <v>150</v>
      </c>
      <c r="K969" s="30">
        <v>80</v>
      </c>
      <c r="L969" s="29">
        <f>IF(B969="Nữ",0,2)</f>
        <v>2</v>
      </c>
      <c r="M969" s="29">
        <f ca="1">IF(D969&lt;45,0,IF(D969&lt;=49,1,2))</f>
        <v>2</v>
      </c>
      <c r="N969" s="29">
        <f>IF(E969="Có",4,0)</f>
        <v>0</v>
      </c>
      <c r="O969" s="29">
        <f>IF(H969&lt;23,0,IF(H969&lt;27.5,3,5))</f>
        <v>0</v>
      </c>
      <c r="P969" s="29">
        <f>IF(OR(AND(B969="Nam",I969&gt;=90),AND(B969="Nữ",I969&gt;=80)),2,0)</f>
        <v>2</v>
      </c>
      <c r="Q969" s="29">
        <f>IF(OR(J969&gt;=140,K969&gt;=90),2,0)</f>
        <v>2</v>
      </c>
      <c r="R969" s="29">
        <f ca="1">SUM(L969:Q969)</f>
        <v>8</v>
      </c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5" t="s">
        <v>1393</v>
      </c>
      <c r="AE969" s="33"/>
      <c r="AF969" s="59" t="str">
        <f t="shared" si="46"/>
        <v>Không</v>
      </c>
      <c r="AG969" s="59" t="str">
        <f t="shared" si="47"/>
        <v>Không</v>
      </c>
      <c r="AH969" s="29" t="str">
        <f t="shared" ca="1" si="45"/>
        <v>Có</v>
      </c>
      <c r="AI969" s="29" t="str">
        <f ca="1">IF((R969)&gt;=6,"Có","Không")</f>
        <v>Có</v>
      </c>
      <c r="AJ969" s="29" t="str">
        <f>IF(OR(J969&gt;=140,K969&gt;=90),"Có","Không")</f>
        <v>Có</v>
      </c>
      <c r="AK969" s="5" t="s">
        <v>51</v>
      </c>
      <c r="AL969" s="35">
        <v>46173</v>
      </c>
      <c r="AM969" s="29" t="str">
        <f>"Tháng "&amp;MONTH(AL969)</f>
        <v>Tháng 5</v>
      </c>
      <c r="AN969" s="69" t="s">
        <v>1376</v>
      </c>
    </row>
    <row r="970" spans="1:40" x14ac:dyDescent="0.25">
      <c r="A970" s="50" t="s">
        <v>1094</v>
      </c>
      <c r="B970" s="20" t="s">
        <v>30</v>
      </c>
      <c r="C970" s="35">
        <v>23012</v>
      </c>
      <c r="D970" s="29">
        <f ca="1">DATEDIF(C970,TODAY(),"Y")</f>
        <v>63</v>
      </c>
      <c r="E970" s="5" t="s">
        <v>26</v>
      </c>
      <c r="F970" s="30">
        <v>158</v>
      </c>
      <c r="G970" s="30">
        <v>58</v>
      </c>
      <c r="H970" s="31">
        <f>G970/((F970/100)*(F970/100))</f>
        <v>23.233456176894723</v>
      </c>
      <c r="I970" s="5">
        <v>88</v>
      </c>
      <c r="J970" s="30">
        <v>130</v>
      </c>
      <c r="K970" s="30">
        <v>80</v>
      </c>
      <c r="L970" s="29">
        <f>IF(B970="Nữ",0,2)</f>
        <v>2</v>
      </c>
      <c r="M970" s="29">
        <f ca="1">IF(D970&lt;45,0,IF(D970&lt;=49,1,2))</f>
        <v>2</v>
      </c>
      <c r="N970" s="29">
        <f>IF(E970="Có",4,0)</f>
        <v>0</v>
      </c>
      <c r="O970" s="29">
        <f>IF(H970&lt;23,0,IF(H970&lt;27.5,3,5))</f>
        <v>3</v>
      </c>
      <c r="P970" s="29">
        <f>IF(OR(AND(B970="Nam",I970&gt;=90),AND(B970="Nữ",I970&gt;=80)),2,0)</f>
        <v>0</v>
      </c>
      <c r="Q970" s="29">
        <f>IF(OR(J970&gt;=140,K970&gt;=90),2,0)</f>
        <v>0</v>
      </c>
      <c r="R970" s="29">
        <f ca="1">SUM(L970:Q970)</f>
        <v>7</v>
      </c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5" t="s">
        <v>1393</v>
      </c>
      <c r="AE970" s="33"/>
      <c r="AF970" s="59" t="str">
        <f t="shared" si="46"/>
        <v>Không</v>
      </c>
      <c r="AG970" s="59" t="str">
        <f t="shared" si="47"/>
        <v>Không</v>
      </c>
      <c r="AH970" s="29" t="str">
        <f t="shared" ca="1" si="45"/>
        <v>Có</v>
      </c>
      <c r="AI970" s="29" t="str">
        <f ca="1">IF((R970)&gt;=6,"Có","Không")</f>
        <v>Có</v>
      </c>
      <c r="AJ970" s="29" t="str">
        <f>IF(OR(J970&gt;=140,K970&gt;=90),"Có","Không")</f>
        <v>Không</v>
      </c>
      <c r="AK970" s="5" t="s">
        <v>51</v>
      </c>
      <c r="AL970" s="35">
        <v>46173</v>
      </c>
      <c r="AM970" s="29" t="str">
        <f>"Tháng "&amp;MONTH(AL970)</f>
        <v>Tháng 5</v>
      </c>
      <c r="AN970" s="69" t="s">
        <v>1376</v>
      </c>
    </row>
    <row r="971" spans="1:40" x14ac:dyDescent="0.25">
      <c r="A971" s="50" t="s">
        <v>1095</v>
      </c>
      <c r="B971" s="20" t="s">
        <v>23</v>
      </c>
      <c r="C971" s="35">
        <v>18264</v>
      </c>
      <c r="D971" s="29">
        <f ca="1">DATEDIF(C971,TODAY(),"Y")</f>
        <v>76</v>
      </c>
      <c r="E971" s="5" t="s">
        <v>26</v>
      </c>
      <c r="F971" s="30">
        <v>159</v>
      </c>
      <c r="G971" s="30">
        <v>70</v>
      </c>
      <c r="H971" s="31">
        <f>G971/((F971/100)*(F971/100))</f>
        <v>27.688778133776353</v>
      </c>
      <c r="I971" s="5">
        <v>85</v>
      </c>
      <c r="J971" s="30">
        <v>120</v>
      </c>
      <c r="K971" s="30">
        <v>80</v>
      </c>
      <c r="L971" s="29">
        <f>IF(B971="Nữ",0,2)</f>
        <v>0</v>
      </c>
      <c r="M971" s="29">
        <f ca="1">IF(D971&lt;45,0,IF(D971&lt;=49,1,2))</f>
        <v>2</v>
      </c>
      <c r="N971" s="29">
        <f>IF(E971="Có",4,0)</f>
        <v>0</v>
      </c>
      <c r="O971" s="29">
        <f>IF(H971&lt;23,0,IF(H971&lt;27.5,3,5))</f>
        <v>5</v>
      </c>
      <c r="P971" s="29">
        <f>IF(OR(AND(B971="Nam",I971&gt;=90),AND(B971="Nữ",I971&gt;=80)),2,0)</f>
        <v>2</v>
      </c>
      <c r="Q971" s="29">
        <f>IF(OR(J971&gt;=140,K971&gt;=90),2,0)</f>
        <v>0</v>
      </c>
      <c r="R971" s="29">
        <f ca="1">SUM(L971:Q971)</f>
        <v>9</v>
      </c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5" t="s">
        <v>1393</v>
      </c>
      <c r="AE971" s="33"/>
      <c r="AF971" s="59" t="str">
        <f t="shared" si="46"/>
        <v>Không</v>
      </c>
      <c r="AG971" s="59" t="str">
        <f t="shared" si="47"/>
        <v>Không</v>
      </c>
      <c r="AH971" s="29" t="str">
        <f t="shared" ca="1" si="45"/>
        <v>Có</v>
      </c>
      <c r="AI971" s="29" t="str">
        <f ca="1">IF((R971)&gt;=6,"Có","Không")</f>
        <v>Có</v>
      </c>
      <c r="AJ971" s="29" t="str">
        <f>IF(OR(J971&gt;=140,K971&gt;=90),"Có","Không")</f>
        <v>Không</v>
      </c>
      <c r="AK971" s="5" t="s">
        <v>51</v>
      </c>
      <c r="AL971" s="35">
        <v>46173</v>
      </c>
      <c r="AM971" s="29" t="str">
        <f>"Tháng "&amp;MONTH(AL971)</f>
        <v>Tháng 5</v>
      </c>
      <c r="AN971" s="69" t="s">
        <v>1376</v>
      </c>
    </row>
    <row r="972" spans="1:40" x14ac:dyDescent="0.25">
      <c r="A972" s="50" t="s">
        <v>241</v>
      </c>
      <c r="B972" s="20" t="s">
        <v>23</v>
      </c>
      <c r="C972" s="35">
        <v>23743</v>
      </c>
      <c r="D972" s="29">
        <f ca="1">DATEDIF(C972,TODAY(),"Y")</f>
        <v>61</v>
      </c>
      <c r="E972" s="5" t="s">
        <v>26</v>
      </c>
      <c r="F972" s="30">
        <v>162</v>
      </c>
      <c r="G972" s="30">
        <v>64</v>
      </c>
      <c r="H972" s="31">
        <f>G972/((F972/100)*(F972/100))</f>
        <v>24.386526444139609</v>
      </c>
      <c r="I972" s="5">
        <v>68</v>
      </c>
      <c r="J972" s="30">
        <v>120</v>
      </c>
      <c r="K972" s="30">
        <v>80</v>
      </c>
      <c r="L972" s="29">
        <f>IF(B972="Nữ",0,2)</f>
        <v>0</v>
      </c>
      <c r="M972" s="29">
        <f ca="1">IF(D972&lt;45,0,IF(D972&lt;=49,1,2))</f>
        <v>2</v>
      </c>
      <c r="N972" s="29">
        <f>IF(E972="Có",4,0)</f>
        <v>0</v>
      </c>
      <c r="O972" s="29">
        <f>IF(H972&lt;23,0,IF(H972&lt;27.5,3,5))</f>
        <v>3</v>
      </c>
      <c r="P972" s="29">
        <f>IF(OR(AND(B972="Nam",I972&gt;=90),AND(B972="Nữ",I972&gt;=80)),2,0)</f>
        <v>0</v>
      </c>
      <c r="Q972" s="29">
        <f>IF(OR(J972&gt;=140,K972&gt;=90),2,0)</f>
        <v>0</v>
      </c>
      <c r="R972" s="29">
        <f ca="1">SUM(L972:Q972)</f>
        <v>5</v>
      </c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5" t="s">
        <v>1393</v>
      </c>
      <c r="AE972" s="33"/>
      <c r="AF972" s="59" t="str">
        <f t="shared" si="46"/>
        <v>Không</v>
      </c>
      <c r="AG972" s="59" t="str">
        <f t="shared" si="47"/>
        <v>Không</v>
      </c>
      <c r="AH972" s="29" t="str">
        <f t="shared" ca="1" si="45"/>
        <v>Không</v>
      </c>
      <c r="AI972" s="29" t="str">
        <f ca="1">IF((R972)&gt;=6,"Có","Không")</f>
        <v>Không</v>
      </c>
      <c r="AJ972" s="29" t="str">
        <f>IF(OR(J972&gt;=140,K972&gt;=90),"Có","Không")</f>
        <v>Không</v>
      </c>
      <c r="AK972" s="5" t="s">
        <v>51</v>
      </c>
      <c r="AL972" s="35">
        <v>46173</v>
      </c>
      <c r="AM972" s="29" t="str">
        <f>"Tháng "&amp;MONTH(AL972)</f>
        <v>Tháng 5</v>
      </c>
      <c r="AN972" s="69" t="s">
        <v>1376</v>
      </c>
    </row>
    <row r="973" spans="1:40" x14ac:dyDescent="0.25">
      <c r="A973" s="50" t="s">
        <v>387</v>
      </c>
      <c r="B973" s="20" t="s">
        <v>23</v>
      </c>
      <c r="C973" s="35">
        <v>24838</v>
      </c>
      <c r="D973" s="29">
        <f ca="1">DATEDIF(C973,TODAY(),"Y")</f>
        <v>58</v>
      </c>
      <c r="E973" s="5" t="s">
        <v>26</v>
      </c>
      <c r="F973" s="30">
        <v>158</v>
      </c>
      <c r="G973" s="30">
        <v>58</v>
      </c>
      <c r="H973" s="31">
        <f>G973/((F973/100)*(F973/100))</f>
        <v>23.233456176894723</v>
      </c>
      <c r="I973" s="5">
        <v>96</v>
      </c>
      <c r="J973" s="30">
        <v>150</v>
      </c>
      <c r="K973" s="30">
        <v>80</v>
      </c>
      <c r="L973" s="29">
        <f>IF(B973="Nữ",0,2)</f>
        <v>0</v>
      </c>
      <c r="M973" s="29">
        <f ca="1">IF(D973&lt;45,0,IF(D973&lt;=49,1,2))</f>
        <v>2</v>
      </c>
      <c r="N973" s="29">
        <f>IF(E973="Có",4,0)</f>
        <v>0</v>
      </c>
      <c r="O973" s="29">
        <f>IF(H973&lt;23,0,IF(H973&lt;27.5,3,5))</f>
        <v>3</v>
      </c>
      <c r="P973" s="29">
        <f>IF(OR(AND(B973="Nam",I973&gt;=90),AND(B973="Nữ",I973&gt;=80)),2,0)</f>
        <v>2</v>
      </c>
      <c r="Q973" s="29">
        <f>IF(OR(J973&gt;=140,K973&gt;=90),2,0)</f>
        <v>2</v>
      </c>
      <c r="R973" s="29">
        <f ca="1">SUM(L973:Q973)</f>
        <v>9</v>
      </c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5" t="s">
        <v>1393</v>
      </c>
      <c r="AE973" s="33"/>
      <c r="AF973" s="59" t="str">
        <f t="shared" si="46"/>
        <v>Không</v>
      </c>
      <c r="AG973" s="59" t="str">
        <f t="shared" si="47"/>
        <v>Không</v>
      </c>
      <c r="AH973" s="29" t="str">
        <f t="shared" ca="1" si="45"/>
        <v>Có</v>
      </c>
      <c r="AI973" s="29" t="str">
        <f ca="1">IF((R973)&gt;=6,"Có","Không")</f>
        <v>Có</v>
      </c>
      <c r="AJ973" s="29" t="str">
        <f>IF(OR(J973&gt;=140,K973&gt;=90),"Có","Không")</f>
        <v>Có</v>
      </c>
      <c r="AK973" s="5" t="s">
        <v>51</v>
      </c>
      <c r="AL973" s="35">
        <v>46173</v>
      </c>
      <c r="AM973" s="29" t="str">
        <f>"Tháng "&amp;MONTH(AL973)</f>
        <v>Tháng 5</v>
      </c>
      <c r="AN973" s="69" t="s">
        <v>1376</v>
      </c>
    </row>
    <row r="974" spans="1:40" x14ac:dyDescent="0.25">
      <c r="A974" s="50" t="s">
        <v>44</v>
      </c>
      <c r="B974" s="20" t="s">
        <v>23</v>
      </c>
      <c r="C974" s="35">
        <v>18264</v>
      </c>
      <c r="D974" s="29">
        <f ca="1">DATEDIF(C974,TODAY(),"Y")</f>
        <v>76</v>
      </c>
      <c r="E974" s="5" t="s">
        <v>26</v>
      </c>
      <c r="F974" s="30">
        <v>169</v>
      </c>
      <c r="G974" s="30">
        <v>68</v>
      </c>
      <c r="H974" s="31">
        <f>G974/((F974/100)*(F974/100))</f>
        <v>23.808690171912751</v>
      </c>
      <c r="I974" s="5">
        <v>75</v>
      </c>
      <c r="J974" s="30">
        <v>140</v>
      </c>
      <c r="K974" s="30">
        <v>80</v>
      </c>
      <c r="L974" s="29">
        <f>IF(B974="Nữ",0,2)</f>
        <v>0</v>
      </c>
      <c r="M974" s="29">
        <f ca="1">IF(D974&lt;45,0,IF(D974&lt;=49,1,2))</f>
        <v>2</v>
      </c>
      <c r="N974" s="29">
        <f>IF(E974="Có",4,0)</f>
        <v>0</v>
      </c>
      <c r="O974" s="29">
        <f>IF(H974&lt;23,0,IF(H974&lt;27.5,3,5))</f>
        <v>3</v>
      </c>
      <c r="P974" s="29">
        <f>IF(OR(AND(B974="Nam",I974&gt;=90),AND(B974="Nữ",I974&gt;=80)),2,0)</f>
        <v>0</v>
      </c>
      <c r="Q974" s="29">
        <f>IF(OR(J974&gt;=140,K974&gt;=90),2,0)</f>
        <v>2</v>
      </c>
      <c r="R974" s="29">
        <f ca="1">SUM(L974:Q974)</f>
        <v>7</v>
      </c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5" t="s">
        <v>1393</v>
      </c>
      <c r="AE974" s="33"/>
      <c r="AF974" s="59" t="str">
        <f t="shared" si="46"/>
        <v>Không</v>
      </c>
      <c r="AG974" s="59" t="str">
        <f t="shared" si="47"/>
        <v>Không</v>
      </c>
      <c r="AH974" s="29" t="str">
        <f t="shared" ca="1" si="45"/>
        <v>Có</v>
      </c>
      <c r="AI974" s="29" t="str">
        <f ca="1">IF((R974)&gt;=6,"Có","Không")</f>
        <v>Có</v>
      </c>
      <c r="AJ974" s="29" t="str">
        <f>IF(OR(J974&gt;=140,K974&gt;=90),"Có","Không")</f>
        <v>Có</v>
      </c>
      <c r="AK974" s="5" t="s">
        <v>51</v>
      </c>
      <c r="AL974" s="35">
        <v>46173</v>
      </c>
      <c r="AM974" s="29" t="str">
        <f>"Tháng "&amp;MONTH(AL974)</f>
        <v>Tháng 5</v>
      </c>
      <c r="AN974" s="69" t="s">
        <v>1376</v>
      </c>
    </row>
    <row r="975" spans="1:40" x14ac:dyDescent="0.25">
      <c r="A975" s="50" t="s">
        <v>1097</v>
      </c>
      <c r="B975" s="20" t="s">
        <v>23</v>
      </c>
      <c r="C975" s="35">
        <v>23377</v>
      </c>
      <c r="D975" s="29">
        <f ca="1">DATEDIF(C975,TODAY(),"Y")</f>
        <v>62</v>
      </c>
      <c r="E975" s="5" t="s">
        <v>26</v>
      </c>
      <c r="F975" s="30">
        <v>160</v>
      </c>
      <c r="G975" s="30">
        <v>48</v>
      </c>
      <c r="H975" s="31">
        <f>G975/((F975/100)*(F975/100))</f>
        <v>18.749999999999996</v>
      </c>
      <c r="I975" s="5">
        <v>82</v>
      </c>
      <c r="J975" s="30">
        <v>120</v>
      </c>
      <c r="K975" s="30">
        <v>80</v>
      </c>
      <c r="L975" s="29">
        <f>IF(B975="Nữ",0,2)</f>
        <v>0</v>
      </c>
      <c r="M975" s="29">
        <f ca="1">IF(D975&lt;45,0,IF(D975&lt;=49,1,2))</f>
        <v>2</v>
      </c>
      <c r="N975" s="29">
        <f>IF(E975="Có",4,0)</f>
        <v>0</v>
      </c>
      <c r="O975" s="29">
        <f>IF(H975&lt;23,0,IF(H975&lt;27.5,3,5))</f>
        <v>0</v>
      </c>
      <c r="P975" s="29">
        <f>IF(OR(AND(B975="Nam",I975&gt;=90),AND(B975="Nữ",I975&gt;=80)),2,0)</f>
        <v>2</v>
      </c>
      <c r="Q975" s="29">
        <f>IF(OR(J975&gt;=140,K975&gt;=90),2,0)</f>
        <v>0</v>
      </c>
      <c r="R975" s="29">
        <f ca="1">SUM(L975:Q975)</f>
        <v>4</v>
      </c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5" t="s">
        <v>1393</v>
      </c>
      <c r="AE975" s="33"/>
      <c r="AF975" s="59" t="str">
        <f t="shared" si="46"/>
        <v>Không</v>
      </c>
      <c r="AG975" s="59" t="str">
        <f t="shared" si="47"/>
        <v>Không</v>
      </c>
      <c r="AH975" s="29" t="str">
        <f t="shared" ca="1" si="45"/>
        <v>Không</v>
      </c>
      <c r="AI975" s="29" t="str">
        <f ca="1">IF((R975)&gt;=6,"Có","Không")</f>
        <v>Không</v>
      </c>
      <c r="AJ975" s="29" t="str">
        <f>IF(OR(J975&gt;=140,K975&gt;=90),"Có","Không")</f>
        <v>Không</v>
      </c>
      <c r="AK975" s="5" t="s">
        <v>51</v>
      </c>
      <c r="AL975" s="35">
        <v>46173</v>
      </c>
      <c r="AM975" s="29" t="str">
        <f>"Tháng "&amp;MONTH(AL975)</f>
        <v>Tháng 5</v>
      </c>
      <c r="AN975" s="69" t="s">
        <v>1376</v>
      </c>
    </row>
    <row r="976" spans="1:40" x14ac:dyDescent="0.25">
      <c r="A976" s="50" t="s">
        <v>569</v>
      </c>
      <c r="B976" s="20" t="s">
        <v>23</v>
      </c>
      <c r="C976" s="35">
        <v>23377</v>
      </c>
      <c r="D976" s="29">
        <f ca="1">DATEDIF(C976,TODAY(),"Y")</f>
        <v>62</v>
      </c>
      <c r="E976" s="5" t="s">
        <v>26</v>
      </c>
      <c r="F976" s="30">
        <v>150</v>
      </c>
      <c r="G976" s="30">
        <v>60</v>
      </c>
      <c r="H976" s="31">
        <f>G976/((F976/100)*(F976/100))</f>
        <v>26.666666666666668</v>
      </c>
      <c r="I976" s="5">
        <v>76</v>
      </c>
      <c r="J976" s="30">
        <v>120</v>
      </c>
      <c r="K976" s="30">
        <v>80</v>
      </c>
      <c r="L976" s="29">
        <f>IF(B976="Nữ",0,2)</f>
        <v>0</v>
      </c>
      <c r="M976" s="29">
        <f ca="1">IF(D976&lt;45,0,IF(D976&lt;=49,1,2))</f>
        <v>2</v>
      </c>
      <c r="N976" s="29">
        <f>IF(E976="Có",4,0)</f>
        <v>0</v>
      </c>
      <c r="O976" s="29">
        <f>IF(H976&lt;23,0,IF(H976&lt;27.5,3,5))</f>
        <v>3</v>
      </c>
      <c r="P976" s="29">
        <f>IF(OR(AND(B976="Nam",I976&gt;=90),AND(B976="Nữ",I976&gt;=80)),2,0)</f>
        <v>0</v>
      </c>
      <c r="Q976" s="29">
        <f>IF(OR(J976&gt;=140,K976&gt;=90),2,0)</f>
        <v>0</v>
      </c>
      <c r="R976" s="29">
        <f ca="1">SUM(L976:Q976)</f>
        <v>5</v>
      </c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5" t="s">
        <v>1393</v>
      </c>
      <c r="AE976" s="33"/>
      <c r="AF976" s="59" t="str">
        <f t="shared" si="46"/>
        <v>Không</v>
      </c>
      <c r="AG976" s="59" t="str">
        <f t="shared" si="47"/>
        <v>Không</v>
      </c>
      <c r="AH976" s="29" t="str">
        <f t="shared" ca="1" si="45"/>
        <v>Không</v>
      </c>
      <c r="AI976" s="29" t="str">
        <f ca="1">IF((R976)&gt;=6,"Có","Không")</f>
        <v>Không</v>
      </c>
      <c r="AJ976" s="29" t="str">
        <f>IF(OR(J976&gt;=140,K976&gt;=90),"Có","Không")</f>
        <v>Không</v>
      </c>
      <c r="AK976" s="5" t="s">
        <v>51</v>
      </c>
      <c r="AL976" s="35">
        <v>46173</v>
      </c>
      <c r="AM976" s="29" t="str">
        <f>"Tháng "&amp;MONTH(AL976)</f>
        <v>Tháng 5</v>
      </c>
      <c r="AN976" s="69" t="s">
        <v>1376</v>
      </c>
    </row>
    <row r="977" spans="1:40" x14ac:dyDescent="0.25">
      <c r="A977" s="50" t="s">
        <v>1099</v>
      </c>
      <c r="B977" s="20" t="s">
        <v>23</v>
      </c>
      <c r="C977" s="35">
        <v>19360</v>
      </c>
      <c r="D977" s="29">
        <f ca="1">DATEDIF(C977,TODAY(),"Y")</f>
        <v>73</v>
      </c>
      <c r="E977" s="5" t="s">
        <v>26</v>
      </c>
      <c r="F977" s="30">
        <v>158</v>
      </c>
      <c r="G977" s="30">
        <v>58</v>
      </c>
      <c r="H977" s="31">
        <f>G977/((F977/100)*(F977/100))</f>
        <v>23.233456176894723</v>
      </c>
      <c r="I977" s="5">
        <v>83</v>
      </c>
      <c r="J977" s="30">
        <v>150</v>
      </c>
      <c r="K977" s="30">
        <v>80</v>
      </c>
      <c r="L977" s="29">
        <f>IF(B977="Nữ",0,2)</f>
        <v>0</v>
      </c>
      <c r="M977" s="29">
        <f ca="1">IF(D977&lt;45,0,IF(D977&lt;=49,1,2))</f>
        <v>2</v>
      </c>
      <c r="N977" s="29">
        <f>IF(E977="Có",4,0)</f>
        <v>0</v>
      </c>
      <c r="O977" s="29">
        <f>IF(H977&lt;23,0,IF(H977&lt;27.5,3,5))</f>
        <v>3</v>
      </c>
      <c r="P977" s="29">
        <f>IF(OR(AND(B977="Nam",I977&gt;=90),AND(B977="Nữ",I977&gt;=80)),2,0)</f>
        <v>2</v>
      </c>
      <c r="Q977" s="29">
        <f>IF(OR(J977&gt;=140,K977&gt;=90),2,0)</f>
        <v>2</v>
      </c>
      <c r="R977" s="29">
        <f ca="1">SUM(L977:Q977)</f>
        <v>9</v>
      </c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5" t="s">
        <v>1393</v>
      </c>
      <c r="AE977" s="33"/>
      <c r="AF977" s="59" t="str">
        <f t="shared" si="46"/>
        <v>Không</v>
      </c>
      <c r="AG977" s="59" t="str">
        <f t="shared" si="47"/>
        <v>Không</v>
      </c>
      <c r="AH977" s="29" t="str">
        <f t="shared" ca="1" si="45"/>
        <v>Có</v>
      </c>
      <c r="AI977" s="29" t="str">
        <f ca="1">IF((R977)&gt;=6,"Có","Không")</f>
        <v>Có</v>
      </c>
      <c r="AJ977" s="29" t="str">
        <f>IF(OR(J977&gt;=140,K977&gt;=90),"Có","Không")</f>
        <v>Có</v>
      </c>
      <c r="AK977" s="5" t="s">
        <v>51</v>
      </c>
      <c r="AL977" s="35">
        <v>46173</v>
      </c>
      <c r="AM977" s="29" t="str">
        <f>"Tháng "&amp;MONTH(AL977)</f>
        <v>Tháng 5</v>
      </c>
      <c r="AN977" s="69" t="s">
        <v>1376</v>
      </c>
    </row>
    <row r="978" spans="1:40" x14ac:dyDescent="0.25">
      <c r="A978" s="50" t="s">
        <v>1100</v>
      </c>
      <c r="B978" s="20" t="s">
        <v>23</v>
      </c>
      <c r="C978" s="35">
        <v>24108</v>
      </c>
      <c r="D978" s="29">
        <f ca="1">DATEDIF(C978,TODAY(),"Y")</f>
        <v>60</v>
      </c>
      <c r="E978" s="5" t="s">
        <v>26</v>
      </c>
      <c r="F978" s="30">
        <v>158</v>
      </c>
      <c r="G978" s="30">
        <v>58</v>
      </c>
      <c r="H978" s="31">
        <f>G978/((F978/100)*(F978/100))</f>
        <v>23.233456176894723</v>
      </c>
      <c r="I978" s="5">
        <v>65</v>
      </c>
      <c r="J978" s="30">
        <v>120</v>
      </c>
      <c r="K978" s="30">
        <v>70</v>
      </c>
      <c r="L978" s="29">
        <f>IF(B978="Nữ",0,2)</f>
        <v>0</v>
      </c>
      <c r="M978" s="29">
        <f ca="1">IF(D978&lt;45,0,IF(D978&lt;=49,1,2))</f>
        <v>2</v>
      </c>
      <c r="N978" s="29">
        <f>IF(E978="Có",4,0)</f>
        <v>0</v>
      </c>
      <c r="O978" s="29">
        <f>IF(H978&lt;23,0,IF(H978&lt;27.5,3,5))</f>
        <v>3</v>
      </c>
      <c r="P978" s="29">
        <f>IF(OR(AND(B978="Nam",I978&gt;=90),AND(B978="Nữ",I978&gt;=80)),2,0)</f>
        <v>0</v>
      </c>
      <c r="Q978" s="29">
        <f>IF(OR(J978&gt;=140,K978&gt;=90),2,0)</f>
        <v>0</v>
      </c>
      <c r="R978" s="29">
        <f ca="1">SUM(L978:Q978)</f>
        <v>5</v>
      </c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5" t="s">
        <v>1393</v>
      </c>
      <c r="AE978" s="33"/>
      <c r="AF978" s="59" t="str">
        <f t="shared" si="46"/>
        <v>Không</v>
      </c>
      <c r="AG978" s="59" t="str">
        <f t="shared" si="47"/>
        <v>Không</v>
      </c>
      <c r="AH978" s="29" t="str">
        <f t="shared" ca="1" si="45"/>
        <v>Không</v>
      </c>
      <c r="AI978" s="29" t="str">
        <f ca="1">IF((R978)&gt;=6,"Có","Không")</f>
        <v>Không</v>
      </c>
      <c r="AJ978" s="29" t="str">
        <f>IF(OR(J978&gt;=140,K978&gt;=90),"Có","Không")</f>
        <v>Không</v>
      </c>
      <c r="AK978" s="5" t="s">
        <v>51</v>
      </c>
      <c r="AL978" s="35">
        <v>46173</v>
      </c>
      <c r="AM978" s="29" t="str">
        <f>"Tháng "&amp;MONTH(AL978)</f>
        <v>Tháng 5</v>
      </c>
      <c r="AN978" s="69" t="s">
        <v>1376</v>
      </c>
    </row>
    <row r="979" spans="1:40" x14ac:dyDescent="0.25">
      <c r="A979" s="50" t="s">
        <v>1102</v>
      </c>
      <c r="B979" s="20" t="s">
        <v>23</v>
      </c>
      <c r="C979" s="35">
        <v>23377</v>
      </c>
      <c r="D979" s="29">
        <f ca="1">DATEDIF(C979,TODAY(),"Y")</f>
        <v>62</v>
      </c>
      <c r="E979" s="5" t="s">
        <v>25</v>
      </c>
      <c r="F979" s="30">
        <v>158</v>
      </c>
      <c r="G979" s="30">
        <v>58</v>
      </c>
      <c r="H979" s="31">
        <f>G979/((F979/100)*(F979/100))</f>
        <v>23.233456176894723</v>
      </c>
      <c r="I979" s="5">
        <v>65</v>
      </c>
      <c r="J979" s="30">
        <v>130</v>
      </c>
      <c r="K979" s="30">
        <v>80</v>
      </c>
      <c r="L979" s="29">
        <f>IF(B979="Nữ",0,2)</f>
        <v>0</v>
      </c>
      <c r="M979" s="29">
        <f ca="1">IF(D979&lt;45,0,IF(D979&lt;=49,1,2))</f>
        <v>2</v>
      </c>
      <c r="N979" s="29">
        <f>IF(E979="Có",4,0)</f>
        <v>4</v>
      </c>
      <c r="O979" s="29">
        <f>IF(H979&lt;23,0,IF(H979&lt;27.5,3,5))</f>
        <v>3</v>
      </c>
      <c r="P979" s="29">
        <f>IF(OR(AND(B979="Nam",I979&gt;=90),AND(B979="Nữ",I979&gt;=80)),2,0)</f>
        <v>0</v>
      </c>
      <c r="Q979" s="29">
        <f>IF(OR(J979&gt;=140,K979&gt;=90),2,0)</f>
        <v>0</v>
      </c>
      <c r="R979" s="29">
        <f ca="1">SUM(L979:Q979)</f>
        <v>9</v>
      </c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5" t="s">
        <v>1393</v>
      </c>
      <c r="AE979" s="33"/>
      <c r="AF979" s="59" t="str">
        <f t="shared" si="46"/>
        <v>Không</v>
      </c>
      <c r="AG979" s="59" t="str">
        <f t="shared" si="47"/>
        <v>Không</v>
      </c>
      <c r="AH979" s="29" t="str">
        <f t="shared" ca="1" si="45"/>
        <v>Có</v>
      </c>
      <c r="AI979" s="29" t="str">
        <f ca="1">IF((R979)&gt;=6,"Có","Không")</f>
        <v>Có</v>
      </c>
      <c r="AJ979" s="29" t="str">
        <f>IF(OR(J979&gt;=140,K979&gt;=90),"Có","Không")</f>
        <v>Không</v>
      </c>
      <c r="AK979" s="5" t="s">
        <v>51</v>
      </c>
      <c r="AL979" s="35">
        <v>46173</v>
      </c>
      <c r="AM979" s="29" t="str">
        <f>"Tháng "&amp;MONTH(AL979)</f>
        <v>Tháng 5</v>
      </c>
      <c r="AN979" s="69" t="s">
        <v>1376</v>
      </c>
    </row>
    <row r="980" spans="1:40" x14ac:dyDescent="0.25">
      <c r="A980" s="50" t="s">
        <v>1106</v>
      </c>
      <c r="B980" s="20" t="s">
        <v>23</v>
      </c>
      <c r="C980" s="35">
        <v>23377</v>
      </c>
      <c r="D980" s="29">
        <f ca="1">DATEDIF(C980,TODAY(),"Y")</f>
        <v>62</v>
      </c>
      <c r="E980" s="5" t="s">
        <v>26</v>
      </c>
      <c r="F980" s="30">
        <v>158</v>
      </c>
      <c r="G980" s="30">
        <v>58</v>
      </c>
      <c r="H980" s="31">
        <f>G980/((F980/100)*(F980/100))</f>
        <v>23.233456176894723</v>
      </c>
      <c r="I980" s="5">
        <v>96</v>
      </c>
      <c r="J980" s="30">
        <v>130</v>
      </c>
      <c r="K980" s="30">
        <v>80</v>
      </c>
      <c r="L980" s="29">
        <f>IF(B980="Nữ",0,2)</f>
        <v>0</v>
      </c>
      <c r="M980" s="29">
        <f ca="1">IF(D980&lt;45,0,IF(D980&lt;=49,1,2))</f>
        <v>2</v>
      </c>
      <c r="N980" s="29">
        <f>IF(E980="Có",4,0)</f>
        <v>0</v>
      </c>
      <c r="O980" s="29">
        <f>IF(H980&lt;23,0,IF(H980&lt;27.5,3,5))</f>
        <v>3</v>
      </c>
      <c r="P980" s="29">
        <f>IF(OR(AND(B980="Nam",I980&gt;=90),AND(B980="Nữ",I980&gt;=80)),2,0)</f>
        <v>2</v>
      </c>
      <c r="Q980" s="29">
        <f>IF(OR(J980&gt;=140,K980&gt;=90),2,0)</f>
        <v>0</v>
      </c>
      <c r="R980" s="29">
        <f ca="1">SUM(L980:Q980)</f>
        <v>7</v>
      </c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5" t="s">
        <v>1393</v>
      </c>
      <c r="AE980" s="33"/>
      <c r="AF980" s="59" t="str">
        <f t="shared" si="46"/>
        <v>Không</v>
      </c>
      <c r="AG980" s="59" t="str">
        <f t="shared" si="47"/>
        <v>Không</v>
      </c>
      <c r="AH980" s="29" t="str">
        <f t="shared" ca="1" si="45"/>
        <v>Có</v>
      </c>
      <c r="AI980" s="29" t="str">
        <f ca="1">IF((R980)&gt;=6,"Có","Không")</f>
        <v>Có</v>
      </c>
      <c r="AJ980" s="29" t="str">
        <f>IF(OR(J980&gt;=140,K980&gt;=90),"Có","Không")</f>
        <v>Không</v>
      </c>
      <c r="AK980" s="5" t="s">
        <v>51</v>
      </c>
      <c r="AL980" s="35">
        <v>46173</v>
      </c>
      <c r="AM980" s="29" t="str">
        <f>"Tháng "&amp;MONTH(AL980)</f>
        <v>Tháng 5</v>
      </c>
      <c r="AN980" s="69" t="s">
        <v>1376</v>
      </c>
    </row>
    <row r="981" spans="1:40" x14ac:dyDescent="0.25">
      <c r="A981" s="50" t="s">
        <v>1107</v>
      </c>
      <c r="B981" s="20" t="s">
        <v>23</v>
      </c>
      <c r="C981" s="35">
        <v>23743</v>
      </c>
      <c r="D981" s="29">
        <f ca="1">DATEDIF(C981,TODAY(),"Y")</f>
        <v>61</v>
      </c>
      <c r="E981" s="5" t="s">
        <v>26</v>
      </c>
      <c r="F981" s="30">
        <v>169</v>
      </c>
      <c r="G981" s="30">
        <v>68</v>
      </c>
      <c r="H981" s="31">
        <f>G981/((F981/100)*(F981/100))</f>
        <v>23.808690171912751</v>
      </c>
      <c r="I981" s="5">
        <v>69</v>
      </c>
      <c r="J981" s="30">
        <v>120</v>
      </c>
      <c r="K981" s="30">
        <v>70</v>
      </c>
      <c r="L981" s="29">
        <f>IF(B981="Nữ",0,2)</f>
        <v>0</v>
      </c>
      <c r="M981" s="29">
        <f ca="1">IF(D981&lt;45,0,IF(D981&lt;=49,1,2))</f>
        <v>2</v>
      </c>
      <c r="N981" s="29">
        <f>IF(E981="Có",4,0)</f>
        <v>0</v>
      </c>
      <c r="O981" s="29">
        <f>IF(H981&lt;23,0,IF(H981&lt;27.5,3,5))</f>
        <v>3</v>
      </c>
      <c r="P981" s="29">
        <f>IF(OR(AND(B981="Nam",I981&gt;=90),AND(B981="Nữ",I981&gt;=80)),2,0)</f>
        <v>0</v>
      </c>
      <c r="Q981" s="29">
        <f>IF(OR(J981&gt;=140,K981&gt;=90),2,0)</f>
        <v>0</v>
      </c>
      <c r="R981" s="29">
        <f ca="1">SUM(L981:Q981)</f>
        <v>5</v>
      </c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5" t="s">
        <v>1393</v>
      </c>
      <c r="AE981" s="33"/>
      <c r="AF981" s="59" t="str">
        <f t="shared" si="46"/>
        <v>Không</v>
      </c>
      <c r="AG981" s="59" t="str">
        <f t="shared" si="47"/>
        <v>Không</v>
      </c>
      <c r="AH981" s="29" t="str">
        <f t="shared" ca="1" si="45"/>
        <v>Không</v>
      </c>
      <c r="AI981" s="29" t="str">
        <f ca="1">IF((R981)&gt;=6,"Có","Không")</f>
        <v>Không</v>
      </c>
      <c r="AJ981" s="29" t="str">
        <f>IF(OR(J981&gt;=140,K981&gt;=90),"Có","Không")</f>
        <v>Không</v>
      </c>
      <c r="AK981" s="5" t="s">
        <v>51</v>
      </c>
      <c r="AL981" s="35">
        <v>46173</v>
      </c>
      <c r="AM981" s="29" t="str">
        <f>"Tháng "&amp;MONTH(AL981)</f>
        <v>Tháng 5</v>
      </c>
      <c r="AN981" s="69" t="s">
        <v>1376</v>
      </c>
    </row>
    <row r="982" spans="1:40" x14ac:dyDescent="0.25">
      <c r="A982" s="50" t="s">
        <v>1111</v>
      </c>
      <c r="B982" s="20" t="s">
        <v>30</v>
      </c>
      <c r="C982" s="35">
        <v>19360</v>
      </c>
      <c r="D982" s="29">
        <f ca="1">DATEDIF(C982,TODAY(),"Y")</f>
        <v>73</v>
      </c>
      <c r="E982" s="5" t="s">
        <v>26</v>
      </c>
      <c r="F982" s="30">
        <v>162</v>
      </c>
      <c r="G982" s="30">
        <v>76</v>
      </c>
      <c r="H982" s="31">
        <f>G982/((F982/100)*(F982/100))</f>
        <v>28.959000152415786</v>
      </c>
      <c r="I982" s="5">
        <v>85</v>
      </c>
      <c r="J982" s="30">
        <v>110</v>
      </c>
      <c r="K982" s="30">
        <v>70</v>
      </c>
      <c r="L982" s="29">
        <f>IF(B982="Nữ",0,2)</f>
        <v>2</v>
      </c>
      <c r="M982" s="29">
        <f ca="1">IF(D982&lt;45,0,IF(D982&lt;=49,1,2))</f>
        <v>2</v>
      </c>
      <c r="N982" s="29">
        <f>IF(E982="Có",4,0)</f>
        <v>0</v>
      </c>
      <c r="O982" s="29">
        <f>IF(H982&lt;23,0,IF(H982&lt;27.5,3,5))</f>
        <v>5</v>
      </c>
      <c r="P982" s="29">
        <f>IF(OR(AND(B982="Nam",I982&gt;=90),AND(B982="Nữ",I982&gt;=80)),2,0)</f>
        <v>0</v>
      </c>
      <c r="Q982" s="29">
        <f>IF(OR(J982&gt;=140,K982&gt;=90),2,0)</f>
        <v>0</v>
      </c>
      <c r="R982" s="29">
        <f ca="1">SUM(L982:Q982)</f>
        <v>9</v>
      </c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5" t="s">
        <v>1393</v>
      </c>
      <c r="AE982" s="33"/>
      <c r="AF982" s="59" t="str">
        <f t="shared" si="46"/>
        <v>Không</v>
      </c>
      <c r="AG982" s="59" t="str">
        <f t="shared" si="47"/>
        <v>Không</v>
      </c>
      <c r="AH982" s="29" t="str">
        <f t="shared" ca="1" si="45"/>
        <v>Có</v>
      </c>
      <c r="AI982" s="29" t="str">
        <f ca="1">IF((R982)&gt;=6,"Có","Không")</f>
        <v>Có</v>
      </c>
      <c r="AJ982" s="29" t="str">
        <f>IF(OR(J982&gt;=140,K982&gt;=90),"Có","Không")</f>
        <v>Không</v>
      </c>
      <c r="AK982" s="5" t="s">
        <v>51</v>
      </c>
      <c r="AL982" s="35">
        <v>46173</v>
      </c>
      <c r="AM982" s="29" t="str">
        <f>"Tháng "&amp;MONTH(AL982)</f>
        <v>Tháng 5</v>
      </c>
      <c r="AN982" s="69" t="s">
        <v>1376</v>
      </c>
    </row>
    <row r="983" spans="1:40" x14ac:dyDescent="0.25">
      <c r="A983" s="50" t="s">
        <v>1114</v>
      </c>
      <c r="B983" s="20" t="s">
        <v>23</v>
      </c>
      <c r="C983" s="35">
        <v>18264</v>
      </c>
      <c r="D983" s="29">
        <f ca="1">DATEDIF(C983,TODAY(),"Y")</f>
        <v>76</v>
      </c>
      <c r="E983" s="5" t="s">
        <v>26</v>
      </c>
      <c r="F983" s="30">
        <v>165</v>
      </c>
      <c r="G983" s="30">
        <v>100</v>
      </c>
      <c r="H983" s="31">
        <f>G983/((F983/100)*(F983/100))</f>
        <v>36.730945821854917</v>
      </c>
      <c r="I983" s="5">
        <v>88</v>
      </c>
      <c r="J983" s="30">
        <v>120</v>
      </c>
      <c r="K983" s="30">
        <v>70</v>
      </c>
      <c r="L983" s="29">
        <f>IF(B983="Nữ",0,2)</f>
        <v>0</v>
      </c>
      <c r="M983" s="29">
        <f ca="1">IF(D983&lt;45,0,IF(D983&lt;=49,1,2))</f>
        <v>2</v>
      </c>
      <c r="N983" s="29">
        <f>IF(E983="Có",4,0)</f>
        <v>0</v>
      </c>
      <c r="O983" s="29">
        <f>IF(H983&lt;23,0,IF(H983&lt;27.5,3,5))</f>
        <v>5</v>
      </c>
      <c r="P983" s="29">
        <f>IF(OR(AND(B983="Nam",I983&gt;=90),AND(B983="Nữ",I983&gt;=80)),2,0)</f>
        <v>2</v>
      </c>
      <c r="Q983" s="29">
        <f>IF(OR(J983&gt;=140,K983&gt;=90),2,0)</f>
        <v>0</v>
      </c>
      <c r="R983" s="29">
        <f ca="1">SUM(L983:Q983)</f>
        <v>9</v>
      </c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5" t="s">
        <v>1393</v>
      </c>
      <c r="AE983" s="33"/>
      <c r="AF983" s="59" t="str">
        <f t="shared" si="46"/>
        <v>Không</v>
      </c>
      <c r="AG983" s="59" t="str">
        <f t="shared" si="47"/>
        <v>Không</v>
      </c>
      <c r="AH983" s="29" t="str">
        <f t="shared" ca="1" si="45"/>
        <v>Có</v>
      </c>
      <c r="AI983" s="29" t="str">
        <f ca="1">IF((R983)&gt;=6,"Có","Không")</f>
        <v>Có</v>
      </c>
      <c r="AJ983" s="29" t="str">
        <f>IF(OR(J983&gt;=140,K983&gt;=90),"Có","Không")</f>
        <v>Không</v>
      </c>
      <c r="AK983" s="5" t="s">
        <v>51</v>
      </c>
      <c r="AL983" s="35">
        <v>46173</v>
      </c>
      <c r="AM983" s="29" t="str">
        <f>"Tháng "&amp;MONTH(AL983)</f>
        <v>Tháng 5</v>
      </c>
      <c r="AN983" s="69" t="s">
        <v>1376</v>
      </c>
    </row>
    <row r="984" spans="1:40" x14ac:dyDescent="0.25">
      <c r="A984" s="50" t="s">
        <v>682</v>
      </c>
      <c r="B984" s="20" t="s">
        <v>30</v>
      </c>
      <c r="C984" s="35">
        <v>14611</v>
      </c>
      <c r="D984" s="29">
        <f ca="1">DATEDIF(C984,TODAY(),"Y")</f>
        <v>86</v>
      </c>
      <c r="E984" s="5" t="s">
        <v>26</v>
      </c>
      <c r="F984" s="30">
        <v>158</v>
      </c>
      <c r="G984" s="30">
        <v>58</v>
      </c>
      <c r="H984" s="31">
        <f>G984/((F984/100)*(F984/100))</f>
        <v>23.233456176894723</v>
      </c>
      <c r="I984" s="5">
        <v>88</v>
      </c>
      <c r="J984" s="30">
        <v>120</v>
      </c>
      <c r="K984" s="30">
        <v>70</v>
      </c>
      <c r="L984" s="29">
        <f>IF(B984="Nữ",0,2)</f>
        <v>2</v>
      </c>
      <c r="M984" s="29">
        <f ca="1">IF(D984&lt;45,0,IF(D984&lt;=49,1,2))</f>
        <v>2</v>
      </c>
      <c r="N984" s="29">
        <f>IF(E984="Có",4,0)</f>
        <v>0</v>
      </c>
      <c r="O984" s="29">
        <f>IF(H984&lt;23,0,IF(H984&lt;27.5,3,5))</f>
        <v>3</v>
      </c>
      <c r="P984" s="29">
        <f>IF(OR(AND(B984="Nam",I984&gt;=90),AND(B984="Nữ",I984&gt;=80)),2,0)</f>
        <v>0</v>
      </c>
      <c r="Q984" s="29">
        <f>IF(OR(J984&gt;=140,K984&gt;=90),2,0)</f>
        <v>0</v>
      </c>
      <c r="R984" s="29">
        <f ca="1">SUM(L984:Q984)</f>
        <v>7</v>
      </c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5" t="s">
        <v>1393</v>
      </c>
      <c r="AE984" s="33"/>
      <c r="AF984" s="59" t="str">
        <f t="shared" si="46"/>
        <v>Không</v>
      </c>
      <c r="AG984" s="59" t="str">
        <f t="shared" si="47"/>
        <v>Không</v>
      </c>
      <c r="AH984" s="29" t="str">
        <f t="shared" ca="1" si="45"/>
        <v>Có</v>
      </c>
      <c r="AI984" s="29" t="str">
        <f ca="1">IF((R984)&gt;=6,"Có","Không")</f>
        <v>Có</v>
      </c>
      <c r="AJ984" s="29" t="str">
        <f>IF(OR(J984&gt;=140,K984&gt;=90),"Có","Không")</f>
        <v>Không</v>
      </c>
      <c r="AK984" s="5" t="s">
        <v>51</v>
      </c>
      <c r="AL984" s="35">
        <v>46173</v>
      </c>
      <c r="AM984" s="29" t="str">
        <f>"Tháng "&amp;MONTH(AL984)</f>
        <v>Tháng 5</v>
      </c>
      <c r="AN984" s="69" t="s">
        <v>1376</v>
      </c>
    </row>
    <row r="985" spans="1:40" x14ac:dyDescent="0.25">
      <c r="A985" s="50" t="s">
        <v>1118</v>
      </c>
      <c r="B985" s="20" t="s">
        <v>23</v>
      </c>
      <c r="C985" s="35">
        <v>25204</v>
      </c>
      <c r="D985" s="29">
        <f ca="1">DATEDIF(C985,TODAY(),"Y")</f>
        <v>57</v>
      </c>
      <c r="E985" s="5" t="s">
        <v>26</v>
      </c>
      <c r="F985" s="30">
        <v>160</v>
      </c>
      <c r="G985" s="30">
        <v>54</v>
      </c>
      <c r="H985" s="31">
        <f>G985/((F985/100)*(F985/100))</f>
        <v>21.093749999999996</v>
      </c>
      <c r="I985" s="5">
        <v>93</v>
      </c>
      <c r="J985" s="30">
        <v>120</v>
      </c>
      <c r="K985" s="30">
        <v>80</v>
      </c>
      <c r="L985" s="29">
        <f>IF(B985="Nữ",0,2)</f>
        <v>0</v>
      </c>
      <c r="M985" s="29">
        <f ca="1">IF(D985&lt;45,0,IF(D985&lt;=49,1,2))</f>
        <v>2</v>
      </c>
      <c r="N985" s="29">
        <f>IF(E985="Có",4,0)</f>
        <v>0</v>
      </c>
      <c r="O985" s="29">
        <f>IF(H985&lt;23,0,IF(H985&lt;27.5,3,5))</f>
        <v>0</v>
      </c>
      <c r="P985" s="29">
        <f>IF(OR(AND(B985="Nam",I985&gt;=90),AND(B985="Nữ",I985&gt;=80)),2,0)</f>
        <v>2</v>
      </c>
      <c r="Q985" s="29">
        <f>IF(OR(J985&gt;=140,K985&gt;=90),2,0)</f>
        <v>0</v>
      </c>
      <c r="R985" s="29">
        <f ca="1">SUM(L985:Q985)</f>
        <v>4</v>
      </c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5" t="s">
        <v>1393</v>
      </c>
      <c r="AE985" s="33"/>
      <c r="AF985" s="59" t="str">
        <f t="shared" si="46"/>
        <v>Không</v>
      </c>
      <c r="AG985" s="59" t="str">
        <f t="shared" si="47"/>
        <v>Không</v>
      </c>
      <c r="AH985" s="29" t="str">
        <f t="shared" ca="1" si="45"/>
        <v>Không</v>
      </c>
      <c r="AI985" s="29" t="str">
        <f ca="1">IF((R985)&gt;=6,"Có","Không")</f>
        <v>Không</v>
      </c>
      <c r="AJ985" s="29" t="str">
        <f>IF(OR(J985&gt;=140,K985&gt;=90),"Có","Không")</f>
        <v>Không</v>
      </c>
      <c r="AK985" s="5" t="s">
        <v>51</v>
      </c>
      <c r="AL985" s="35">
        <v>46173</v>
      </c>
      <c r="AM985" s="29" t="str">
        <f>"Tháng "&amp;MONTH(AL985)</f>
        <v>Tháng 5</v>
      </c>
      <c r="AN985" s="69" t="s">
        <v>1376</v>
      </c>
    </row>
    <row r="986" spans="1:40" x14ac:dyDescent="0.25">
      <c r="A986" s="50" t="s">
        <v>1119</v>
      </c>
      <c r="B986" s="20" t="s">
        <v>30</v>
      </c>
      <c r="C986" s="35">
        <v>23377</v>
      </c>
      <c r="D986" s="29">
        <f ca="1">DATEDIF(C986,TODAY(),"Y")</f>
        <v>62</v>
      </c>
      <c r="E986" s="5" t="s">
        <v>26</v>
      </c>
      <c r="F986" s="30">
        <v>158</v>
      </c>
      <c r="G986" s="30">
        <v>58</v>
      </c>
      <c r="H986" s="31">
        <f>G986/((F986/100)*(F986/100))</f>
        <v>23.233456176894723</v>
      </c>
      <c r="I986" s="5">
        <v>74</v>
      </c>
      <c r="J986" s="30">
        <v>150</v>
      </c>
      <c r="K986" s="30">
        <v>80</v>
      </c>
      <c r="L986" s="29">
        <f>IF(B986="Nữ",0,2)</f>
        <v>2</v>
      </c>
      <c r="M986" s="29">
        <f ca="1">IF(D986&lt;45,0,IF(D986&lt;=49,1,2))</f>
        <v>2</v>
      </c>
      <c r="N986" s="29">
        <f>IF(E986="Có",4,0)</f>
        <v>0</v>
      </c>
      <c r="O986" s="29">
        <f>IF(H986&lt;23,0,IF(H986&lt;27.5,3,5))</f>
        <v>3</v>
      </c>
      <c r="P986" s="29">
        <f>IF(OR(AND(B986="Nam",I986&gt;=90),AND(B986="Nữ",I986&gt;=80)),2,0)</f>
        <v>0</v>
      </c>
      <c r="Q986" s="29">
        <f>IF(OR(J986&gt;=140,K986&gt;=90),2,0)</f>
        <v>2</v>
      </c>
      <c r="R986" s="29">
        <f ca="1">SUM(L986:Q986)</f>
        <v>9</v>
      </c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5" t="s">
        <v>1393</v>
      </c>
      <c r="AE986" s="33"/>
      <c r="AF986" s="59" t="str">
        <f t="shared" si="46"/>
        <v>Không</v>
      </c>
      <c r="AG986" s="59" t="str">
        <f t="shared" si="47"/>
        <v>Không</v>
      </c>
      <c r="AH986" s="29" t="str">
        <f t="shared" ca="1" si="45"/>
        <v>Có</v>
      </c>
      <c r="AI986" s="29" t="str">
        <f ca="1">IF((R986)&gt;=6,"Có","Không")</f>
        <v>Có</v>
      </c>
      <c r="AJ986" s="29" t="str">
        <f>IF(OR(J986&gt;=140,K986&gt;=90),"Có","Không")</f>
        <v>Có</v>
      </c>
      <c r="AK986" s="5" t="s">
        <v>51</v>
      </c>
      <c r="AL986" s="35">
        <v>46173</v>
      </c>
      <c r="AM986" s="29" t="str">
        <f>"Tháng "&amp;MONTH(AL986)</f>
        <v>Tháng 5</v>
      </c>
      <c r="AN986" s="69" t="s">
        <v>1376</v>
      </c>
    </row>
    <row r="987" spans="1:40" x14ac:dyDescent="0.25">
      <c r="A987" s="50" t="s">
        <v>483</v>
      </c>
      <c r="B987" s="20" t="s">
        <v>23</v>
      </c>
      <c r="C987" s="35">
        <v>19725</v>
      </c>
      <c r="D987" s="29">
        <f ca="1">DATEDIF(C987,TODAY(),"Y")</f>
        <v>72</v>
      </c>
      <c r="E987" s="5" t="s">
        <v>26</v>
      </c>
      <c r="F987" s="30">
        <v>169</v>
      </c>
      <c r="G987" s="30">
        <v>69</v>
      </c>
      <c r="H987" s="31">
        <f>G987/((F987/100)*(F987/100))</f>
        <v>24.158817968558527</v>
      </c>
      <c r="I987" s="5">
        <v>93</v>
      </c>
      <c r="J987" s="30">
        <v>120</v>
      </c>
      <c r="K987" s="30">
        <v>80</v>
      </c>
      <c r="L987" s="29">
        <f>IF(B987="Nữ",0,2)</f>
        <v>0</v>
      </c>
      <c r="M987" s="29">
        <f ca="1">IF(D987&lt;45,0,IF(D987&lt;=49,1,2))</f>
        <v>2</v>
      </c>
      <c r="N987" s="29">
        <f>IF(E987="Có",4,0)</f>
        <v>0</v>
      </c>
      <c r="O987" s="29">
        <f>IF(H987&lt;23,0,IF(H987&lt;27.5,3,5))</f>
        <v>3</v>
      </c>
      <c r="P987" s="29">
        <f>IF(OR(AND(B987="Nam",I987&gt;=90),AND(B987="Nữ",I987&gt;=80)),2,0)</f>
        <v>2</v>
      </c>
      <c r="Q987" s="29">
        <f>IF(OR(J987&gt;=140,K987&gt;=90),2,0)</f>
        <v>0</v>
      </c>
      <c r="R987" s="29">
        <f ca="1">SUM(L987:Q987)</f>
        <v>7</v>
      </c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5" t="s">
        <v>1393</v>
      </c>
      <c r="AE987" s="33"/>
      <c r="AF987" s="59" t="str">
        <f t="shared" si="46"/>
        <v>Không</v>
      </c>
      <c r="AG987" s="59" t="str">
        <f t="shared" si="47"/>
        <v>Không</v>
      </c>
      <c r="AH987" s="29" t="str">
        <f t="shared" ca="1" si="45"/>
        <v>Có</v>
      </c>
      <c r="AI987" s="29" t="str">
        <f ca="1">IF((R987)&gt;=6,"Có","Không")</f>
        <v>Có</v>
      </c>
      <c r="AJ987" s="29" t="str">
        <f>IF(OR(J987&gt;=140,K987&gt;=90),"Có","Không")</f>
        <v>Không</v>
      </c>
      <c r="AK987" s="5" t="s">
        <v>51</v>
      </c>
      <c r="AL987" s="35">
        <v>46173</v>
      </c>
      <c r="AM987" s="29" t="str">
        <f>"Tháng "&amp;MONTH(AL987)</f>
        <v>Tháng 5</v>
      </c>
      <c r="AN987" s="69" t="s">
        <v>1376</v>
      </c>
    </row>
    <row r="988" spans="1:40" x14ac:dyDescent="0.25">
      <c r="A988" s="51" t="s">
        <v>1125</v>
      </c>
      <c r="B988" s="20" t="s">
        <v>23</v>
      </c>
      <c r="C988" s="35">
        <v>26665</v>
      </c>
      <c r="D988" s="29">
        <f ca="1">DATEDIF(C988,TODAY(),"Y")</f>
        <v>53</v>
      </c>
      <c r="E988" s="5" t="s">
        <v>26</v>
      </c>
      <c r="F988" s="30">
        <v>165</v>
      </c>
      <c r="G988" s="30">
        <v>62</v>
      </c>
      <c r="H988" s="31">
        <f>G988/((F988/100)*(F988/100))</f>
        <v>22.77318640955005</v>
      </c>
      <c r="I988" s="5">
        <v>94</v>
      </c>
      <c r="J988" s="30">
        <v>140</v>
      </c>
      <c r="K988" s="30">
        <v>80</v>
      </c>
      <c r="L988" s="29">
        <f>IF(B988="Nữ",0,2)</f>
        <v>0</v>
      </c>
      <c r="M988" s="29">
        <f ca="1">IF(D988&lt;45,0,IF(D988&lt;=49,1,2))</f>
        <v>2</v>
      </c>
      <c r="N988" s="29">
        <f>IF(E988="Có",4,0)</f>
        <v>0</v>
      </c>
      <c r="O988" s="29">
        <f>IF(H988&lt;23,0,IF(H988&lt;27.5,3,5))</f>
        <v>0</v>
      </c>
      <c r="P988" s="29">
        <f>IF(OR(AND(B988="Nam",I988&gt;=90),AND(B988="Nữ",I988&gt;=80)),2,0)</f>
        <v>2</v>
      </c>
      <c r="Q988" s="29">
        <f>IF(OR(J988&gt;=140,K988&gt;=90),2,0)</f>
        <v>2</v>
      </c>
      <c r="R988" s="29">
        <f ca="1">SUM(L988:Q988)</f>
        <v>6</v>
      </c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5" t="s">
        <v>1393</v>
      </c>
      <c r="AE988" s="33"/>
      <c r="AF988" s="59" t="str">
        <f t="shared" si="46"/>
        <v>Không</v>
      </c>
      <c r="AG988" s="59" t="str">
        <f t="shared" si="47"/>
        <v>Không</v>
      </c>
      <c r="AH988" s="29" t="str">
        <f t="shared" ca="1" si="45"/>
        <v>Có</v>
      </c>
      <c r="AI988" s="29" t="str">
        <f ca="1">IF((R988)&gt;=6,"Có","Không")</f>
        <v>Có</v>
      </c>
      <c r="AJ988" s="29" t="str">
        <f>IF(OR(J988&gt;=140,K988&gt;=90),"Có","Không")</f>
        <v>Có</v>
      </c>
      <c r="AK988" s="5" t="s">
        <v>51</v>
      </c>
      <c r="AL988" s="35">
        <v>46173</v>
      </c>
      <c r="AM988" s="29" t="str">
        <f>"Tháng "&amp;MONTH(AL988)</f>
        <v>Tháng 5</v>
      </c>
      <c r="AN988" s="69" t="s">
        <v>1376</v>
      </c>
    </row>
    <row r="989" spans="1:40" x14ac:dyDescent="0.25">
      <c r="A989" s="51" t="s">
        <v>534</v>
      </c>
      <c r="B989" s="20" t="s">
        <v>23</v>
      </c>
      <c r="C989" s="35">
        <v>23012</v>
      </c>
      <c r="D989" s="29">
        <f ca="1">DATEDIF(C989,TODAY(),"Y")</f>
        <v>63</v>
      </c>
      <c r="E989" s="5" t="s">
        <v>26</v>
      </c>
      <c r="F989" s="30">
        <v>158</v>
      </c>
      <c r="G989" s="30">
        <v>58</v>
      </c>
      <c r="H989" s="31">
        <f>G989/((F989/100)*(F989/100))</f>
        <v>23.233456176894723</v>
      </c>
      <c r="I989" s="5">
        <v>79</v>
      </c>
      <c r="J989" s="30">
        <v>140</v>
      </c>
      <c r="K989" s="30">
        <v>80</v>
      </c>
      <c r="L989" s="29">
        <f>IF(B989="Nữ",0,2)</f>
        <v>0</v>
      </c>
      <c r="M989" s="29">
        <f ca="1">IF(D989&lt;45,0,IF(D989&lt;=49,1,2))</f>
        <v>2</v>
      </c>
      <c r="N989" s="29">
        <f>IF(E989="Có",4,0)</f>
        <v>0</v>
      </c>
      <c r="O989" s="29">
        <f>IF(H989&lt;23,0,IF(H989&lt;27.5,3,5))</f>
        <v>3</v>
      </c>
      <c r="P989" s="29">
        <f>IF(OR(AND(B989="Nam",I989&gt;=90),AND(B989="Nữ",I989&gt;=80)),2,0)</f>
        <v>0</v>
      </c>
      <c r="Q989" s="29">
        <f>IF(OR(J989&gt;=140,K989&gt;=90),2,0)</f>
        <v>2</v>
      </c>
      <c r="R989" s="29">
        <f ca="1">SUM(L989:Q989)</f>
        <v>7</v>
      </c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5" t="s">
        <v>1393</v>
      </c>
      <c r="AE989" s="33"/>
      <c r="AF989" s="59" t="str">
        <f t="shared" si="46"/>
        <v>Không</v>
      </c>
      <c r="AG989" s="59" t="str">
        <f t="shared" si="47"/>
        <v>Không</v>
      </c>
      <c r="AH989" s="29" t="str">
        <f t="shared" ca="1" si="45"/>
        <v>Có</v>
      </c>
      <c r="AI989" s="29" t="str">
        <f ca="1">IF((R989)&gt;=6,"Có","Không")</f>
        <v>Có</v>
      </c>
      <c r="AJ989" s="29" t="str">
        <f>IF(OR(J989&gt;=140,K989&gt;=90),"Có","Không")</f>
        <v>Có</v>
      </c>
      <c r="AK989" s="5" t="s">
        <v>51</v>
      </c>
      <c r="AL989" s="35">
        <v>46173</v>
      </c>
      <c r="AM989" s="29" t="str">
        <f>"Tháng "&amp;MONTH(AL989)</f>
        <v>Tháng 5</v>
      </c>
      <c r="AN989" s="69" t="s">
        <v>1376</v>
      </c>
    </row>
    <row r="990" spans="1:40" x14ac:dyDescent="0.25">
      <c r="A990" s="51" t="s">
        <v>1129</v>
      </c>
      <c r="B990" s="20" t="s">
        <v>23</v>
      </c>
      <c r="C990" s="35">
        <v>20090</v>
      </c>
      <c r="D990" s="29">
        <f ca="1">DATEDIF(C990,TODAY(),"Y")</f>
        <v>71</v>
      </c>
      <c r="E990" s="5" t="s">
        <v>26</v>
      </c>
      <c r="F990" s="30">
        <v>165</v>
      </c>
      <c r="G990" s="30">
        <v>55</v>
      </c>
      <c r="H990" s="31">
        <f>G990/((F990/100)*(F990/100))</f>
        <v>20.202020202020204</v>
      </c>
      <c r="I990" s="5">
        <v>73</v>
      </c>
      <c r="J990" s="30">
        <v>160</v>
      </c>
      <c r="K990" s="30">
        <v>80</v>
      </c>
      <c r="L990" s="29">
        <f>IF(B990="Nữ",0,2)</f>
        <v>0</v>
      </c>
      <c r="M990" s="29">
        <f ca="1">IF(D990&lt;45,0,IF(D990&lt;=49,1,2))</f>
        <v>2</v>
      </c>
      <c r="N990" s="29">
        <f>IF(E990="Có",4,0)</f>
        <v>0</v>
      </c>
      <c r="O990" s="29">
        <f>IF(H990&lt;23,0,IF(H990&lt;27.5,3,5))</f>
        <v>0</v>
      </c>
      <c r="P990" s="29">
        <f>IF(OR(AND(B990="Nam",I990&gt;=90),AND(B990="Nữ",I990&gt;=80)),2,0)</f>
        <v>0</v>
      </c>
      <c r="Q990" s="29">
        <f>IF(OR(J990&gt;=140,K990&gt;=90),2,0)</f>
        <v>2</v>
      </c>
      <c r="R990" s="29">
        <f ca="1">SUM(L990:Q990)</f>
        <v>4</v>
      </c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5" t="s">
        <v>1393</v>
      </c>
      <c r="AE990" s="33"/>
      <c r="AF990" s="59" t="str">
        <f t="shared" si="46"/>
        <v>Không</v>
      </c>
      <c r="AG990" s="59" t="str">
        <f t="shared" si="47"/>
        <v>Không</v>
      </c>
      <c r="AH990" s="29" t="str">
        <f t="shared" ca="1" si="45"/>
        <v>Không</v>
      </c>
      <c r="AI990" s="29" t="str">
        <f ca="1">IF((R990)&gt;=6,"Có","Không")</f>
        <v>Không</v>
      </c>
      <c r="AJ990" s="29" t="str">
        <f>IF(OR(J990&gt;=140,K990&gt;=90),"Có","Không")</f>
        <v>Có</v>
      </c>
      <c r="AK990" s="5" t="s">
        <v>51</v>
      </c>
      <c r="AL990" s="35">
        <v>46173</v>
      </c>
      <c r="AM990" s="29" t="str">
        <f>"Tháng "&amp;MONTH(AL990)</f>
        <v>Tháng 5</v>
      </c>
      <c r="AN990" s="69" t="s">
        <v>1376</v>
      </c>
    </row>
    <row r="991" spans="1:40" x14ac:dyDescent="0.25">
      <c r="A991" s="51" t="s">
        <v>1131</v>
      </c>
      <c r="B991" s="20" t="s">
        <v>23</v>
      </c>
      <c r="C991" s="35">
        <v>29221</v>
      </c>
      <c r="D991" s="29">
        <f ca="1">DATEDIF(C991,TODAY(),"Y")</f>
        <v>46</v>
      </c>
      <c r="E991" s="5" t="s">
        <v>26</v>
      </c>
      <c r="F991" s="30">
        <v>160</v>
      </c>
      <c r="G991" s="30">
        <v>70</v>
      </c>
      <c r="H991" s="31">
        <f>G991/((F991/100)*(F991/100))</f>
        <v>27.343749999999996</v>
      </c>
      <c r="I991" s="5">
        <v>68</v>
      </c>
      <c r="J991" s="30">
        <v>120</v>
      </c>
      <c r="K991" s="30">
        <v>70</v>
      </c>
      <c r="L991" s="29">
        <f>IF(B991="Nữ",0,2)</f>
        <v>0</v>
      </c>
      <c r="M991" s="29">
        <f ca="1">IF(D991&lt;45,0,IF(D991&lt;=49,1,2))</f>
        <v>1</v>
      </c>
      <c r="N991" s="29">
        <f>IF(E991="Có",4,0)</f>
        <v>0</v>
      </c>
      <c r="O991" s="29">
        <f>IF(H991&lt;23,0,IF(H991&lt;27.5,3,5))</f>
        <v>3</v>
      </c>
      <c r="P991" s="29">
        <f>IF(OR(AND(B991="Nam",I991&gt;=90),AND(B991="Nữ",I991&gt;=80)),2,0)</f>
        <v>0</v>
      </c>
      <c r="Q991" s="29">
        <f>IF(OR(J991&gt;=140,K991&gt;=90),2,0)</f>
        <v>0</v>
      </c>
      <c r="R991" s="29">
        <f ca="1">SUM(L991:Q991)</f>
        <v>4</v>
      </c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5" t="s">
        <v>1393</v>
      </c>
      <c r="AE991" s="33"/>
      <c r="AF991" s="59" t="str">
        <f t="shared" si="46"/>
        <v>Không</v>
      </c>
      <c r="AG991" s="59" t="str">
        <f t="shared" si="47"/>
        <v>Không</v>
      </c>
      <c r="AH991" s="29" t="str">
        <f t="shared" ca="1" si="45"/>
        <v>Không</v>
      </c>
      <c r="AI991" s="29" t="str">
        <f ca="1">IF((R991)&gt;=6,"Có","Không")</f>
        <v>Không</v>
      </c>
      <c r="AJ991" s="29" t="str">
        <f>IF(OR(J991&gt;=140,K991&gt;=90),"Có","Không")</f>
        <v>Không</v>
      </c>
      <c r="AK991" s="5" t="s">
        <v>51</v>
      </c>
      <c r="AL991" s="35">
        <v>46173</v>
      </c>
      <c r="AM991" s="29" t="str">
        <f>"Tháng "&amp;MONTH(AL991)</f>
        <v>Tháng 5</v>
      </c>
      <c r="AN991" s="69" t="s">
        <v>1376</v>
      </c>
    </row>
    <row r="992" spans="1:40" x14ac:dyDescent="0.25">
      <c r="A992" s="51" t="s">
        <v>1132</v>
      </c>
      <c r="B992" s="20" t="s">
        <v>30</v>
      </c>
      <c r="C992" s="35">
        <v>18994</v>
      </c>
      <c r="D992" s="29">
        <f ca="1">DATEDIF(C992,TODAY(),"Y")</f>
        <v>74</v>
      </c>
      <c r="E992" s="5" t="s">
        <v>26</v>
      </c>
      <c r="F992" s="30">
        <v>158</v>
      </c>
      <c r="G992" s="30">
        <v>58</v>
      </c>
      <c r="H992" s="31">
        <f>G992/((F992/100)*(F992/100))</f>
        <v>23.233456176894723</v>
      </c>
      <c r="I992" s="5">
        <v>83</v>
      </c>
      <c r="J992" s="30">
        <v>130</v>
      </c>
      <c r="K992" s="30">
        <v>80</v>
      </c>
      <c r="L992" s="29">
        <f>IF(B992="Nữ",0,2)</f>
        <v>2</v>
      </c>
      <c r="M992" s="29">
        <f ca="1">IF(D992&lt;45,0,IF(D992&lt;=49,1,2))</f>
        <v>2</v>
      </c>
      <c r="N992" s="29">
        <f>IF(E992="Có",4,0)</f>
        <v>0</v>
      </c>
      <c r="O992" s="29">
        <f>IF(H992&lt;23,0,IF(H992&lt;27.5,3,5))</f>
        <v>3</v>
      </c>
      <c r="P992" s="29">
        <f>IF(OR(AND(B992="Nam",I992&gt;=90),AND(B992="Nữ",I992&gt;=80)),2,0)</f>
        <v>0</v>
      </c>
      <c r="Q992" s="29">
        <f>IF(OR(J992&gt;=140,K992&gt;=90),2,0)</f>
        <v>0</v>
      </c>
      <c r="R992" s="29">
        <f ca="1">SUM(L992:Q992)</f>
        <v>7</v>
      </c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5" t="s">
        <v>1393</v>
      </c>
      <c r="AE992" s="33"/>
      <c r="AF992" s="59" t="str">
        <f t="shared" si="46"/>
        <v>Không</v>
      </c>
      <c r="AG992" s="59" t="str">
        <f t="shared" si="47"/>
        <v>Không</v>
      </c>
      <c r="AH992" s="29" t="str">
        <f t="shared" ca="1" si="45"/>
        <v>Có</v>
      </c>
      <c r="AI992" s="29" t="str">
        <f ca="1">IF((R992)&gt;=6,"Có","Không")</f>
        <v>Có</v>
      </c>
      <c r="AJ992" s="29" t="str">
        <f>IF(OR(J992&gt;=140,K992&gt;=90),"Có","Không")</f>
        <v>Không</v>
      </c>
      <c r="AK992" s="5" t="s">
        <v>51</v>
      </c>
      <c r="AL992" s="35">
        <v>46173</v>
      </c>
      <c r="AM992" s="29" t="str">
        <f>"Tháng "&amp;MONTH(AL992)</f>
        <v>Tháng 5</v>
      </c>
      <c r="AN992" s="69" t="s">
        <v>1376</v>
      </c>
    </row>
    <row r="993" spans="1:40" x14ac:dyDescent="0.25">
      <c r="A993" s="51" t="s">
        <v>480</v>
      </c>
      <c r="B993" s="20" t="s">
        <v>30</v>
      </c>
      <c r="C993" s="35">
        <v>27395</v>
      </c>
      <c r="D993" s="29">
        <f ca="1">DATEDIF(C993,TODAY(),"Y")</f>
        <v>51</v>
      </c>
      <c r="E993" s="5" t="s">
        <v>26</v>
      </c>
      <c r="F993" s="30">
        <v>169</v>
      </c>
      <c r="G993" s="30">
        <v>69</v>
      </c>
      <c r="H993" s="31">
        <f>G993/((F993/100)*(F993/100))</f>
        <v>24.158817968558527</v>
      </c>
      <c r="I993" s="5">
        <v>75</v>
      </c>
      <c r="J993" s="30">
        <v>120</v>
      </c>
      <c r="K993" s="30">
        <v>70</v>
      </c>
      <c r="L993" s="29">
        <f>IF(B993="Nữ",0,2)</f>
        <v>2</v>
      </c>
      <c r="M993" s="29">
        <f ca="1">IF(D993&lt;45,0,IF(D993&lt;=49,1,2))</f>
        <v>2</v>
      </c>
      <c r="N993" s="29">
        <f>IF(E993="Có",4,0)</f>
        <v>0</v>
      </c>
      <c r="O993" s="29">
        <f>IF(H993&lt;23,0,IF(H993&lt;27.5,3,5))</f>
        <v>3</v>
      </c>
      <c r="P993" s="29">
        <f>IF(OR(AND(B993="Nam",I993&gt;=90),AND(B993="Nữ",I993&gt;=80)),2,0)</f>
        <v>0</v>
      </c>
      <c r="Q993" s="29">
        <f>IF(OR(J993&gt;=140,K993&gt;=90),2,0)</f>
        <v>0</v>
      </c>
      <c r="R993" s="29">
        <f ca="1">SUM(L993:Q993)</f>
        <v>7</v>
      </c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5" t="s">
        <v>1393</v>
      </c>
      <c r="AE993" s="33"/>
      <c r="AF993" s="59" t="str">
        <f t="shared" si="46"/>
        <v>Không</v>
      </c>
      <c r="AG993" s="59" t="str">
        <f t="shared" si="47"/>
        <v>Không</v>
      </c>
      <c r="AH993" s="29" t="str">
        <f t="shared" ca="1" si="45"/>
        <v>Có</v>
      </c>
      <c r="AI993" s="29" t="str">
        <f ca="1">IF((R993)&gt;=6,"Có","Không")</f>
        <v>Có</v>
      </c>
      <c r="AJ993" s="29" t="str">
        <f>IF(OR(J993&gt;=140,K993&gt;=90),"Có","Không")</f>
        <v>Không</v>
      </c>
      <c r="AK993" s="5" t="s">
        <v>51</v>
      </c>
      <c r="AL993" s="35">
        <v>46173</v>
      </c>
      <c r="AM993" s="29" t="str">
        <f>"Tháng "&amp;MONTH(AL993)</f>
        <v>Tháng 5</v>
      </c>
      <c r="AN993" s="69" t="s">
        <v>1376</v>
      </c>
    </row>
    <row r="994" spans="1:40" x14ac:dyDescent="0.25">
      <c r="A994" s="51" t="s">
        <v>247</v>
      </c>
      <c r="B994" s="20" t="s">
        <v>30</v>
      </c>
      <c r="C994" s="35">
        <v>21186</v>
      </c>
      <c r="D994" s="29">
        <f ca="1">DATEDIF(C994,TODAY(),"Y")</f>
        <v>68</v>
      </c>
      <c r="E994" s="5" t="s">
        <v>26</v>
      </c>
      <c r="F994" s="30">
        <v>152</v>
      </c>
      <c r="G994" s="30">
        <v>56</v>
      </c>
      <c r="H994" s="31">
        <f>G994/((F994/100)*(F994/100))</f>
        <v>24.238227146814403</v>
      </c>
      <c r="I994" s="5">
        <v>66</v>
      </c>
      <c r="J994" s="30">
        <v>120</v>
      </c>
      <c r="K994" s="30">
        <v>80</v>
      </c>
      <c r="L994" s="29">
        <f>IF(B994="Nữ",0,2)</f>
        <v>2</v>
      </c>
      <c r="M994" s="29">
        <f ca="1">IF(D994&lt;45,0,IF(D994&lt;=49,1,2))</f>
        <v>2</v>
      </c>
      <c r="N994" s="29">
        <f>IF(E994="Có",4,0)</f>
        <v>0</v>
      </c>
      <c r="O994" s="29">
        <f>IF(H994&lt;23,0,IF(H994&lt;27.5,3,5))</f>
        <v>3</v>
      </c>
      <c r="P994" s="29">
        <f>IF(OR(AND(B994="Nam",I994&gt;=90),AND(B994="Nữ",I994&gt;=80)),2,0)</f>
        <v>0</v>
      </c>
      <c r="Q994" s="29">
        <f>IF(OR(J994&gt;=140,K994&gt;=90),2,0)</f>
        <v>0</v>
      </c>
      <c r="R994" s="29">
        <f ca="1">SUM(L994:Q994)</f>
        <v>7</v>
      </c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5" t="s">
        <v>1393</v>
      </c>
      <c r="AE994" s="33"/>
      <c r="AF994" s="59" t="str">
        <f t="shared" si="46"/>
        <v>Không</v>
      </c>
      <c r="AG994" s="59" t="str">
        <f t="shared" si="47"/>
        <v>Không</v>
      </c>
      <c r="AH994" s="29" t="str">
        <f t="shared" ca="1" si="45"/>
        <v>Có</v>
      </c>
      <c r="AI994" s="29" t="str">
        <f ca="1">IF((R994)&gt;=6,"Có","Không")</f>
        <v>Có</v>
      </c>
      <c r="AJ994" s="29" t="str">
        <f>IF(OR(J994&gt;=140,K994&gt;=90),"Có","Không")</f>
        <v>Không</v>
      </c>
      <c r="AK994" s="5" t="s">
        <v>51</v>
      </c>
      <c r="AL994" s="35">
        <v>46173</v>
      </c>
      <c r="AM994" s="29" t="str">
        <f>"Tháng "&amp;MONTH(AL994)</f>
        <v>Tháng 5</v>
      </c>
      <c r="AN994" s="69" t="s">
        <v>1376</v>
      </c>
    </row>
    <row r="995" spans="1:40" x14ac:dyDescent="0.25">
      <c r="A995" s="51" t="s">
        <v>1136</v>
      </c>
      <c r="B995" s="20" t="s">
        <v>30</v>
      </c>
      <c r="C995" s="35">
        <v>23377</v>
      </c>
      <c r="D995" s="29">
        <f ca="1">DATEDIF(C995,TODAY(),"Y")</f>
        <v>62</v>
      </c>
      <c r="E995" s="5" t="s">
        <v>26</v>
      </c>
      <c r="F995" s="30">
        <v>158</v>
      </c>
      <c r="G995" s="30">
        <v>58</v>
      </c>
      <c r="H995" s="31">
        <f>G995/((F995/100)*(F995/100))</f>
        <v>23.233456176894723</v>
      </c>
      <c r="I995" s="5">
        <v>73</v>
      </c>
      <c r="J995" s="30">
        <v>120</v>
      </c>
      <c r="K995" s="30">
        <v>70</v>
      </c>
      <c r="L995" s="29">
        <f>IF(B995="Nữ",0,2)</f>
        <v>2</v>
      </c>
      <c r="M995" s="29">
        <f ca="1">IF(D995&lt;45,0,IF(D995&lt;=49,1,2))</f>
        <v>2</v>
      </c>
      <c r="N995" s="29">
        <f>IF(E995="Có",4,0)</f>
        <v>0</v>
      </c>
      <c r="O995" s="29">
        <f>IF(H995&lt;23,0,IF(H995&lt;27.5,3,5))</f>
        <v>3</v>
      </c>
      <c r="P995" s="29">
        <f>IF(OR(AND(B995="Nam",I995&gt;=90),AND(B995="Nữ",I995&gt;=80)),2,0)</f>
        <v>0</v>
      </c>
      <c r="Q995" s="29">
        <f>IF(OR(J995&gt;=140,K995&gt;=90),2,0)</f>
        <v>0</v>
      </c>
      <c r="R995" s="29">
        <f ca="1">SUM(L995:Q995)</f>
        <v>7</v>
      </c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5" t="s">
        <v>1393</v>
      </c>
      <c r="AE995" s="33"/>
      <c r="AF995" s="59" t="str">
        <f t="shared" si="46"/>
        <v>Không</v>
      </c>
      <c r="AG995" s="59" t="str">
        <f t="shared" si="47"/>
        <v>Không</v>
      </c>
      <c r="AH995" s="29" t="str">
        <f t="shared" ca="1" si="45"/>
        <v>Có</v>
      </c>
      <c r="AI995" s="29" t="str">
        <f ca="1">IF((R995)&gt;=6,"Có","Không")</f>
        <v>Có</v>
      </c>
      <c r="AJ995" s="29" t="str">
        <f>IF(OR(J995&gt;=140,K995&gt;=90),"Có","Không")</f>
        <v>Không</v>
      </c>
      <c r="AK995" s="5" t="s">
        <v>51</v>
      </c>
      <c r="AL995" s="35">
        <v>46173</v>
      </c>
      <c r="AM995" s="29" t="str">
        <f>"Tháng "&amp;MONTH(AL995)</f>
        <v>Tháng 5</v>
      </c>
      <c r="AN995" s="69" t="s">
        <v>1376</v>
      </c>
    </row>
    <row r="996" spans="1:40" x14ac:dyDescent="0.25">
      <c r="A996" s="51" t="s">
        <v>985</v>
      </c>
      <c r="B996" s="20" t="s">
        <v>30</v>
      </c>
      <c r="C996" s="35">
        <v>19725</v>
      </c>
      <c r="D996" s="29">
        <f ca="1">DATEDIF(C996,TODAY(),"Y")</f>
        <v>72</v>
      </c>
      <c r="E996" s="5" t="s">
        <v>26</v>
      </c>
      <c r="F996" s="30">
        <v>169</v>
      </c>
      <c r="G996" s="30">
        <v>69</v>
      </c>
      <c r="H996" s="31">
        <f>G996/((F996/100)*(F996/100))</f>
        <v>24.158817968558527</v>
      </c>
      <c r="I996" s="5">
        <v>96</v>
      </c>
      <c r="J996" s="30">
        <v>120</v>
      </c>
      <c r="K996" s="30">
        <v>70</v>
      </c>
      <c r="L996" s="29">
        <f>IF(B996="Nữ",0,2)</f>
        <v>2</v>
      </c>
      <c r="M996" s="29">
        <f ca="1">IF(D996&lt;45,0,IF(D996&lt;=49,1,2))</f>
        <v>2</v>
      </c>
      <c r="N996" s="29">
        <f>IF(E996="Có",4,0)</f>
        <v>0</v>
      </c>
      <c r="O996" s="29">
        <f>IF(H996&lt;23,0,IF(H996&lt;27.5,3,5))</f>
        <v>3</v>
      </c>
      <c r="P996" s="29">
        <f>IF(OR(AND(B996="Nam",I996&gt;=90),AND(B996="Nữ",I996&gt;=80)),2,0)</f>
        <v>2</v>
      </c>
      <c r="Q996" s="29">
        <f>IF(OR(J996&gt;=140,K996&gt;=90),2,0)</f>
        <v>0</v>
      </c>
      <c r="R996" s="29">
        <f ca="1">SUM(L996:Q996)</f>
        <v>9</v>
      </c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5" t="s">
        <v>1393</v>
      </c>
      <c r="AE996" s="33"/>
      <c r="AF996" s="59" t="str">
        <f t="shared" si="46"/>
        <v>Không</v>
      </c>
      <c r="AG996" s="59" t="str">
        <f t="shared" si="47"/>
        <v>Không</v>
      </c>
      <c r="AH996" s="29" t="str">
        <f t="shared" ca="1" si="45"/>
        <v>Có</v>
      </c>
      <c r="AI996" s="29" t="str">
        <f ca="1">IF((R996)&gt;=6,"Có","Không")</f>
        <v>Có</v>
      </c>
      <c r="AJ996" s="29" t="str">
        <f>IF(OR(J996&gt;=140,K996&gt;=90),"Có","Không")</f>
        <v>Không</v>
      </c>
      <c r="AK996" s="5" t="s">
        <v>51</v>
      </c>
      <c r="AL996" s="35">
        <v>46173</v>
      </c>
      <c r="AM996" s="29" t="str">
        <f>"Tháng "&amp;MONTH(AL996)</f>
        <v>Tháng 5</v>
      </c>
      <c r="AN996" s="69" t="s">
        <v>1376</v>
      </c>
    </row>
    <row r="997" spans="1:40" x14ac:dyDescent="0.25">
      <c r="A997" s="51" t="s">
        <v>968</v>
      </c>
      <c r="B997" s="20" t="s">
        <v>30</v>
      </c>
      <c r="C997" s="35">
        <v>20090</v>
      </c>
      <c r="D997" s="29">
        <f ca="1">DATEDIF(C997,TODAY(),"Y")</f>
        <v>71</v>
      </c>
      <c r="E997" s="5" t="s">
        <v>26</v>
      </c>
      <c r="F997" s="30">
        <v>160</v>
      </c>
      <c r="G997" s="30">
        <v>56</v>
      </c>
      <c r="H997" s="31">
        <f>G997/((F997/100)*(F997/100))</f>
        <v>21.874999999999996</v>
      </c>
      <c r="I997" s="5">
        <v>82</v>
      </c>
      <c r="J997" s="30">
        <v>120</v>
      </c>
      <c r="K997" s="30">
        <v>80</v>
      </c>
      <c r="L997" s="29">
        <f>IF(B997="Nữ",0,2)</f>
        <v>2</v>
      </c>
      <c r="M997" s="29">
        <f ca="1">IF(D997&lt;45,0,IF(D997&lt;=49,1,2))</f>
        <v>2</v>
      </c>
      <c r="N997" s="29">
        <f>IF(E997="Có",4,0)</f>
        <v>0</v>
      </c>
      <c r="O997" s="29">
        <f>IF(H997&lt;23,0,IF(H997&lt;27.5,3,5))</f>
        <v>0</v>
      </c>
      <c r="P997" s="29">
        <f>IF(OR(AND(B997="Nam",I997&gt;=90),AND(B997="Nữ",I997&gt;=80)),2,0)</f>
        <v>0</v>
      </c>
      <c r="Q997" s="29">
        <f>IF(OR(J997&gt;=140,K997&gt;=90),2,0)</f>
        <v>0</v>
      </c>
      <c r="R997" s="29">
        <f ca="1">SUM(L997:Q997)</f>
        <v>4</v>
      </c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5" t="s">
        <v>1393</v>
      </c>
      <c r="AE997" s="33"/>
      <c r="AF997" s="59" t="str">
        <f t="shared" si="46"/>
        <v>Không</v>
      </c>
      <c r="AG997" s="59" t="str">
        <f t="shared" si="47"/>
        <v>Không</v>
      </c>
      <c r="AH997" s="29" t="str">
        <f t="shared" ca="1" si="45"/>
        <v>Không</v>
      </c>
      <c r="AI997" s="29" t="str">
        <f ca="1">IF((R997)&gt;=6,"Có","Không")</f>
        <v>Không</v>
      </c>
      <c r="AJ997" s="29" t="str">
        <f>IF(OR(J997&gt;=140,K997&gt;=90),"Có","Không")</f>
        <v>Không</v>
      </c>
      <c r="AK997" s="5" t="s">
        <v>51</v>
      </c>
      <c r="AL997" s="35">
        <v>46173</v>
      </c>
      <c r="AM997" s="29" t="str">
        <f>"Tháng "&amp;MONTH(AL997)</f>
        <v>Tháng 5</v>
      </c>
      <c r="AN997" s="69" t="s">
        <v>1376</v>
      </c>
    </row>
    <row r="998" spans="1:40" x14ac:dyDescent="0.25">
      <c r="A998" s="51" t="s">
        <v>1138</v>
      </c>
      <c r="B998" s="20" t="s">
        <v>30</v>
      </c>
      <c r="C998" s="35">
        <v>23377</v>
      </c>
      <c r="D998" s="29">
        <f ca="1">DATEDIF(C998,TODAY(),"Y")</f>
        <v>62</v>
      </c>
      <c r="E998" s="5" t="s">
        <v>25</v>
      </c>
      <c r="F998" s="30">
        <v>157</v>
      </c>
      <c r="G998" s="30">
        <v>68</v>
      </c>
      <c r="H998" s="31">
        <f>G998/((F998/100)*(F998/100))</f>
        <v>27.587326057852245</v>
      </c>
      <c r="I998" s="5">
        <v>82</v>
      </c>
      <c r="J998" s="30">
        <v>140</v>
      </c>
      <c r="K998" s="30">
        <v>80</v>
      </c>
      <c r="L998" s="29">
        <f>IF(B998="Nữ",0,2)</f>
        <v>2</v>
      </c>
      <c r="M998" s="29">
        <f ca="1">IF(D998&lt;45,0,IF(D998&lt;=49,1,2))</f>
        <v>2</v>
      </c>
      <c r="N998" s="29">
        <f>IF(E998="Có",4,0)</f>
        <v>4</v>
      </c>
      <c r="O998" s="29">
        <f>IF(H998&lt;23,0,IF(H998&lt;27.5,3,5))</f>
        <v>5</v>
      </c>
      <c r="P998" s="29">
        <f>IF(OR(AND(B998="Nam",I998&gt;=90),AND(B998="Nữ",I998&gt;=80)),2,0)</f>
        <v>0</v>
      </c>
      <c r="Q998" s="29">
        <f>IF(OR(J998&gt;=140,K998&gt;=90),2,0)</f>
        <v>2</v>
      </c>
      <c r="R998" s="29">
        <f ca="1">SUM(L998:Q998)</f>
        <v>15</v>
      </c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5" t="s">
        <v>1393</v>
      </c>
      <c r="AE998" s="33"/>
      <c r="AF998" s="59" t="str">
        <f t="shared" si="46"/>
        <v>Không</v>
      </c>
      <c r="AG998" s="59" t="str">
        <f t="shared" si="47"/>
        <v>Không</v>
      </c>
      <c r="AH998" s="29" t="str">
        <f t="shared" ca="1" si="45"/>
        <v>Có</v>
      </c>
      <c r="AI998" s="29" t="str">
        <f ca="1">IF((R998)&gt;=6,"Có","Không")</f>
        <v>Có</v>
      </c>
      <c r="AJ998" s="29" t="str">
        <f>IF(OR(J998&gt;=140,K998&gt;=90),"Có","Không")</f>
        <v>Có</v>
      </c>
      <c r="AK998" s="5" t="s">
        <v>51</v>
      </c>
      <c r="AL998" s="35">
        <v>46173</v>
      </c>
      <c r="AM998" s="29" t="str">
        <f>"Tháng "&amp;MONTH(AL998)</f>
        <v>Tháng 5</v>
      </c>
      <c r="AN998" s="69" t="s">
        <v>1376</v>
      </c>
    </row>
    <row r="999" spans="1:40" x14ac:dyDescent="0.25">
      <c r="A999" s="51" t="s">
        <v>1034</v>
      </c>
      <c r="B999" s="20" t="s">
        <v>23</v>
      </c>
      <c r="C999" s="35">
        <v>21551</v>
      </c>
      <c r="D999" s="29">
        <f ca="1">DATEDIF(C999,TODAY(),"Y")</f>
        <v>67</v>
      </c>
      <c r="E999" s="5" t="s">
        <v>26</v>
      </c>
      <c r="F999" s="30">
        <v>60</v>
      </c>
      <c r="G999" s="30">
        <v>167</v>
      </c>
      <c r="H999" s="31">
        <f>G999/((F999/100)*(F999/100))</f>
        <v>463.88888888888891</v>
      </c>
      <c r="I999" s="5">
        <v>85</v>
      </c>
      <c r="J999" s="30">
        <v>120</v>
      </c>
      <c r="K999" s="30">
        <v>80</v>
      </c>
      <c r="L999" s="29">
        <f>IF(B999="Nữ",0,2)</f>
        <v>0</v>
      </c>
      <c r="M999" s="29">
        <f ca="1">IF(D999&lt;45,0,IF(D999&lt;=49,1,2))</f>
        <v>2</v>
      </c>
      <c r="N999" s="29">
        <f>IF(E999="Có",4,0)</f>
        <v>0</v>
      </c>
      <c r="O999" s="29">
        <f>IF(H999&lt;23,0,IF(H999&lt;27.5,3,5))</f>
        <v>5</v>
      </c>
      <c r="P999" s="29">
        <f>IF(OR(AND(B999="Nam",I999&gt;=90),AND(B999="Nữ",I999&gt;=80)),2,0)</f>
        <v>2</v>
      </c>
      <c r="Q999" s="29">
        <f>IF(OR(J999&gt;=140,K999&gt;=90),2,0)</f>
        <v>0</v>
      </c>
      <c r="R999" s="29">
        <f ca="1">SUM(L999:Q999)</f>
        <v>9</v>
      </c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5" t="s">
        <v>1393</v>
      </c>
      <c r="AE999" s="33"/>
      <c r="AF999" s="59" t="str">
        <f t="shared" si="46"/>
        <v>Không</v>
      </c>
      <c r="AG999" s="59" t="str">
        <f t="shared" si="47"/>
        <v>Không</v>
      </c>
      <c r="AH999" s="29" t="str">
        <f t="shared" ca="1" si="45"/>
        <v>Có</v>
      </c>
      <c r="AI999" s="29" t="str">
        <f ca="1">IF((R999)&gt;=6,"Có","Không")</f>
        <v>Có</v>
      </c>
      <c r="AJ999" s="29" t="str">
        <f>IF(OR(J999&gt;=140,K999&gt;=90),"Có","Không")</f>
        <v>Không</v>
      </c>
      <c r="AK999" s="5" t="s">
        <v>51</v>
      </c>
      <c r="AL999" s="35">
        <v>46173</v>
      </c>
      <c r="AM999" s="29" t="str">
        <f>"Tháng "&amp;MONTH(AL999)</f>
        <v>Tháng 5</v>
      </c>
      <c r="AN999" s="69" t="s">
        <v>1376</v>
      </c>
    </row>
    <row r="1000" spans="1:40" x14ac:dyDescent="0.25">
      <c r="A1000" s="51" t="s">
        <v>1139</v>
      </c>
      <c r="B1000" s="20" t="s">
        <v>23</v>
      </c>
      <c r="C1000" s="35">
        <v>18629</v>
      </c>
      <c r="D1000" s="29">
        <f ca="1">DATEDIF(C1000,TODAY(),"Y")</f>
        <v>75</v>
      </c>
      <c r="E1000" s="5" t="s">
        <v>25</v>
      </c>
      <c r="F1000" s="30">
        <v>160</v>
      </c>
      <c r="G1000" s="30">
        <v>67</v>
      </c>
      <c r="H1000" s="31">
        <f>G1000/((F1000/100)*(F1000/100))</f>
        <v>26.171874999999996</v>
      </c>
      <c r="I1000" s="5">
        <v>68</v>
      </c>
      <c r="J1000" s="30">
        <v>120</v>
      </c>
      <c r="K1000" s="30">
        <v>80</v>
      </c>
      <c r="L1000" s="29">
        <f>IF(B1000="Nữ",0,2)</f>
        <v>0</v>
      </c>
      <c r="M1000" s="29">
        <f ca="1">IF(D1000&lt;45,0,IF(D1000&lt;=49,1,2))</f>
        <v>2</v>
      </c>
      <c r="N1000" s="29">
        <f>IF(E1000="Có",4,0)</f>
        <v>4</v>
      </c>
      <c r="O1000" s="29">
        <f>IF(H1000&lt;23,0,IF(H1000&lt;27.5,3,5))</f>
        <v>3</v>
      </c>
      <c r="P1000" s="29">
        <f>IF(OR(AND(B1000="Nam",I1000&gt;=90),AND(B1000="Nữ",I1000&gt;=80)),2,0)</f>
        <v>0</v>
      </c>
      <c r="Q1000" s="29">
        <f>IF(OR(J1000&gt;=140,K1000&gt;=90),2,0)</f>
        <v>0</v>
      </c>
      <c r="R1000" s="29">
        <f ca="1">SUM(L1000:Q1000)</f>
        <v>9</v>
      </c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5" t="s">
        <v>1393</v>
      </c>
      <c r="AE1000" s="33"/>
      <c r="AF1000" s="59" t="str">
        <f t="shared" si="46"/>
        <v>Không</v>
      </c>
      <c r="AG1000" s="59" t="str">
        <f t="shared" si="47"/>
        <v>Không</v>
      </c>
      <c r="AH1000" s="29" t="str">
        <f t="shared" ca="1" si="45"/>
        <v>Có</v>
      </c>
      <c r="AI1000" s="29" t="str">
        <f ca="1">IF((R1000)&gt;=6,"Có","Không")</f>
        <v>Có</v>
      </c>
      <c r="AJ1000" s="29" t="str">
        <f>IF(OR(J1000&gt;=140,K1000&gt;=90),"Có","Không")</f>
        <v>Không</v>
      </c>
      <c r="AK1000" s="5" t="s">
        <v>51</v>
      </c>
      <c r="AL1000" s="35">
        <v>46173</v>
      </c>
      <c r="AM1000" s="29" t="str">
        <f>"Tháng "&amp;MONTH(AL1000)</f>
        <v>Tháng 5</v>
      </c>
      <c r="AN1000" s="69" t="s">
        <v>1376</v>
      </c>
    </row>
    <row r="1001" spans="1:40" x14ac:dyDescent="0.25">
      <c r="A1001" s="51" t="s">
        <v>766</v>
      </c>
      <c r="B1001" s="20" t="s">
        <v>23</v>
      </c>
      <c r="C1001" s="35">
        <v>22647</v>
      </c>
      <c r="D1001" s="29">
        <f ca="1">DATEDIF(C1001,TODAY(),"Y")</f>
        <v>64</v>
      </c>
      <c r="E1001" s="5" t="s">
        <v>26</v>
      </c>
      <c r="F1001" s="30">
        <v>158</v>
      </c>
      <c r="G1001" s="30">
        <v>58</v>
      </c>
      <c r="H1001" s="31">
        <f>G1001/((F1001/100)*(F1001/100))</f>
        <v>23.233456176894723</v>
      </c>
      <c r="I1001" s="5">
        <v>86</v>
      </c>
      <c r="J1001" s="30">
        <v>120</v>
      </c>
      <c r="K1001" s="30">
        <v>80</v>
      </c>
      <c r="L1001" s="29">
        <f>IF(B1001="Nữ",0,2)</f>
        <v>0</v>
      </c>
      <c r="M1001" s="29">
        <f ca="1">IF(D1001&lt;45,0,IF(D1001&lt;=49,1,2))</f>
        <v>2</v>
      </c>
      <c r="N1001" s="29">
        <f>IF(E1001="Có",4,0)</f>
        <v>0</v>
      </c>
      <c r="O1001" s="29">
        <f>IF(H1001&lt;23,0,IF(H1001&lt;27.5,3,5))</f>
        <v>3</v>
      </c>
      <c r="P1001" s="29">
        <f>IF(OR(AND(B1001="Nam",I1001&gt;=90),AND(B1001="Nữ",I1001&gt;=80)),2,0)</f>
        <v>2</v>
      </c>
      <c r="Q1001" s="29">
        <f>IF(OR(J1001&gt;=140,K1001&gt;=90),2,0)</f>
        <v>0</v>
      </c>
      <c r="R1001" s="29">
        <f ca="1">SUM(L1001:Q1001)</f>
        <v>7</v>
      </c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5" t="s">
        <v>1393</v>
      </c>
      <c r="AE1001" s="33"/>
      <c r="AF1001" s="59" t="str">
        <f t="shared" si="46"/>
        <v>Không</v>
      </c>
      <c r="AG1001" s="59" t="str">
        <f t="shared" si="47"/>
        <v>Không</v>
      </c>
      <c r="AH1001" s="29" t="str">
        <f t="shared" ca="1" si="45"/>
        <v>Có</v>
      </c>
      <c r="AI1001" s="29" t="str">
        <f ca="1">IF((R1001)&gt;=6,"Có","Không")</f>
        <v>Có</v>
      </c>
      <c r="AJ1001" s="29" t="str">
        <f>IF(OR(J1001&gt;=140,K1001&gt;=90),"Có","Không")</f>
        <v>Không</v>
      </c>
      <c r="AK1001" s="5" t="s">
        <v>51</v>
      </c>
      <c r="AL1001" s="35">
        <v>46173</v>
      </c>
      <c r="AM1001" s="29" t="str">
        <f>"Tháng "&amp;MONTH(AL1001)</f>
        <v>Tháng 5</v>
      </c>
      <c r="AN1001" s="69" t="s">
        <v>1376</v>
      </c>
    </row>
    <row r="1002" spans="1:40" x14ac:dyDescent="0.25">
      <c r="A1002" s="51" t="s">
        <v>956</v>
      </c>
      <c r="B1002" s="20" t="s">
        <v>23</v>
      </c>
      <c r="C1002" s="35">
        <v>21916</v>
      </c>
      <c r="D1002" s="29">
        <f ca="1">DATEDIF(C1002,TODAY(),"Y")</f>
        <v>66</v>
      </c>
      <c r="E1002" s="5" t="s">
        <v>25</v>
      </c>
      <c r="F1002" s="30">
        <v>158</v>
      </c>
      <c r="G1002" s="30">
        <v>58</v>
      </c>
      <c r="H1002" s="31">
        <f>G1002/((F1002/100)*(F1002/100))</f>
        <v>23.233456176894723</v>
      </c>
      <c r="I1002" s="5">
        <v>70</v>
      </c>
      <c r="J1002" s="30">
        <v>140</v>
      </c>
      <c r="K1002" s="30">
        <v>80</v>
      </c>
      <c r="L1002" s="29">
        <f>IF(B1002="Nữ",0,2)</f>
        <v>0</v>
      </c>
      <c r="M1002" s="29">
        <f ca="1">IF(D1002&lt;45,0,IF(D1002&lt;=49,1,2))</f>
        <v>2</v>
      </c>
      <c r="N1002" s="29">
        <f>IF(E1002="Có",4,0)</f>
        <v>4</v>
      </c>
      <c r="O1002" s="29">
        <f>IF(H1002&lt;23,0,IF(H1002&lt;27.5,3,5))</f>
        <v>3</v>
      </c>
      <c r="P1002" s="29">
        <f>IF(OR(AND(B1002="Nam",I1002&gt;=90),AND(B1002="Nữ",I1002&gt;=80)),2,0)</f>
        <v>0</v>
      </c>
      <c r="Q1002" s="29">
        <f>IF(OR(J1002&gt;=140,K1002&gt;=90),2,0)</f>
        <v>2</v>
      </c>
      <c r="R1002" s="29">
        <f ca="1">SUM(L1002:Q1002)</f>
        <v>11</v>
      </c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  <c r="AD1002" s="5" t="s">
        <v>1393</v>
      </c>
      <c r="AE1002" s="33"/>
      <c r="AF1002" s="59" t="str">
        <f t="shared" si="46"/>
        <v>Không</v>
      </c>
      <c r="AG1002" s="59" t="str">
        <f t="shared" si="47"/>
        <v>Không</v>
      </c>
      <c r="AH1002" s="29" t="str">
        <f t="shared" ca="1" si="45"/>
        <v>Có</v>
      </c>
      <c r="AI1002" s="29" t="str">
        <f ca="1">IF((R1002)&gt;=6,"Có","Không")</f>
        <v>Có</v>
      </c>
      <c r="AJ1002" s="29" t="str">
        <f>IF(OR(J1002&gt;=140,K1002&gt;=90),"Có","Không")</f>
        <v>Có</v>
      </c>
      <c r="AK1002" s="5" t="s">
        <v>51</v>
      </c>
      <c r="AL1002" s="35">
        <v>46173</v>
      </c>
      <c r="AM1002" s="29" t="str">
        <f>"Tháng "&amp;MONTH(AL1002)</f>
        <v>Tháng 5</v>
      </c>
      <c r="AN1002" s="69" t="s">
        <v>1376</v>
      </c>
    </row>
    <row r="1003" spans="1:40" x14ac:dyDescent="0.25">
      <c r="A1003" s="51" t="s">
        <v>950</v>
      </c>
      <c r="B1003" s="20" t="s">
        <v>23</v>
      </c>
      <c r="C1003" s="35">
        <v>25569</v>
      </c>
      <c r="D1003" s="29">
        <f ca="1">DATEDIF(C1003,TODAY(),"Y")</f>
        <v>56</v>
      </c>
      <c r="E1003" s="5" t="s">
        <v>25</v>
      </c>
      <c r="F1003" s="30">
        <v>168</v>
      </c>
      <c r="G1003" s="30">
        <v>67</v>
      </c>
      <c r="H1003" s="31">
        <f>G1003/((F1003/100)*(F1003/100))</f>
        <v>23.738662131519277</v>
      </c>
      <c r="I1003" s="5">
        <v>80</v>
      </c>
      <c r="J1003" s="30">
        <v>100</v>
      </c>
      <c r="K1003" s="30">
        <v>80</v>
      </c>
      <c r="L1003" s="29">
        <f>IF(B1003="Nữ",0,2)</f>
        <v>0</v>
      </c>
      <c r="M1003" s="29">
        <f ca="1">IF(D1003&lt;45,0,IF(D1003&lt;=49,1,2))</f>
        <v>2</v>
      </c>
      <c r="N1003" s="29">
        <f>IF(E1003="Có",4,0)</f>
        <v>4</v>
      </c>
      <c r="O1003" s="29">
        <f>IF(H1003&lt;23,0,IF(H1003&lt;27.5,3,5))</f>
        <v>3</v>
      </c>
      <c r="P1003" s="29">
        <f>IF(OR(AND(B1003="Nam",I1003&gt;=90),AND(B1003="Nữ",I1003&gt;=80)),2,0)</f>
        <v>2</v>
      </c>
      <c r="Q1003" s="29">
        <f>IF(OR(J1003&gt;=140,K1003&gt;=90),2,0)</f>
        <v>0</v>
      </c>
      <c r="R1003" s="29">
        <f ca="1">SUM(L1003:Q1003)</f>
        <v>11</v>
      </c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  <c r="AD1003" s="5" t="s">
        <v>1393</v>
      </c>
      <c r="AE1003" s="33"/>
      <c r="AF1003" s="59" t="str">
        <f t="shared" si="46"/>
        <v>Không</v>
      </c>
      <c r="AG1003" s="59" t="str">
        <f t="shared" si="47"/>
        <v>Không</v>
      </c>
      <c r="AH1003" s="29" t="str">
        <f t="shared" ca="1" si="45"/>
        <v>Có</v>
      </c>
      <c r="AI1003" s="29" t="str">
        <f ca="1">IF((R1003)&gt;=6,"Có","Không")</f>
        <v>Có</v>
      </c>
      <c r="AJ1003" s="29" t="str">
        <f>IF(OR(J1003&gt;=140,K1003&gt;=90),"Có","Không")</f>
        <v>Không</v>
      </c>
      <c r="AK1003" s="5" t="s">
        <v>51</v>
      </c>
      <c r="AL1003" s="35">
        <v>46173</v>
      </c>
      <c r="AM1003" s="29" t="str">
        <f>"Tháng "&amp;MONTH(AL1003)</f>
        <v>Tháng 5</v>
      </c>
      <c r="AN1003" s="69" t="s">
        <v>1376</v>
      </c>
    </row>
    <row r="1004" spans="1:40" x14ac:dyDescent="0.25">
      <c r="A1004" s="51" t="s">
        <v>1142</v>
      </c>
      <c r="B1004" s="20" t="s">
        <v>23</v>
      </c>
      <c r="C1004" s="35">
        <v>24473</v>
      </c>
      <c r="D1004" s="29">
        <f ca="1">DATEDIF(C1004,TODAY(),"Y")</f>
        <v>59</v>
      </c>
      <c r="E1004" s="5" t="s">
        <v>26</v>
      </c>
      <c r="F1004" s="30">
        <v>158</v>
      </c>
      <c r="G1004" s="30">
        <v>58</v>
      </c>
      <c r="H1004" s="31">
        <f>G1004/((F1004/100)*(F1004/100))</f>
        <v>23.233456176894723</v>
      </c>
      <c r="I1004" s="5">
        <v>100</v>
      </c>
      <c r="J1004" s="30">
        <v>140</v>
      </c>
      <c r="K1004" s="30">
        <v>80</v>
      </c>
      <c r="L1004" s="29">
        <f>IF(B1004="Nữ",0,2)</f>
        <v>0</v>
      </c>
      <c r="M1004" s="29">
        <f ca="1">IF(D1004&lt;45,0,IF(D1004&lt;=49,1,2))</f>
        <v>2</v>
      </c>
      <c r="N1004" s="29">
        <f>IF(E1004="Có",4,0)</f>
        <v>0</v>
      </c>
      <c r="O1004" s="29">
        <f>IF(H1004&lt;23,0,IF(H1004&lt;27.5,3,5))</f>
        <v>3</v>
      </c>
      <c r="P1004" s="29">
        <f>IF(OR(AND(B1004="Nam",I1004&gt;=90),AND(B1004="Nữ",I1004&gt;=80)),2,0)</f>
        <v>2</v>
      </c>
      <c r="Q1004" s="29">
        <f>IF(OR(J1004&gt;=140,K1004&gt;=90),2,0)</f>
        <v>2</v>
      </c>
      <c r="R1004" s="29">
        <f ca="1">SUM(L1004:Q1004)</f>
        <v>9</v>
      </c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  <c r="AD1004" s="5" t="s">
        <v>1393</v>
      </c>
      <c r="AE1004" s="33"/>
      <c r="AF1004" s="59" t="str">
        <f t="shared" si="46"/>
        <v>Không</v>
      </c>
      <c r="AG1004" s="59" t="str">
        <f t="shared" si="47"/>
        <v>Không</v>
      </c>
      <c r="AH1004" s="29" t="str">
        <f t="shared" ca="1" si="45"/>
        <v>Có</v>
      </c>
      <c r="AI1004" s="29" t="str">
        <f ca="1">IF((R1004)&gt;=6,"Có","Không")</f>
        <v>Có</v>
      </c>
      <c r="AJ1004" s="29" t="str">
        <f>IF(OR(J1004&gt;=140,K1004&gt;=90),"Có","Không")</f>
        <v>Có</v>
      </c>
      <c r="AK1004" s="5" t="s">
        <v>51</v>
      </c>
      <c r="AL1004" s="35">
        <v>46173</v>
      </c>
      <c r="AM1004" s="29" t="str">
        <f>"Tháng "&amp;MONTH(AL1004)</f>
        <v>Tháng 5</v>
      </c>
      <c r="AN1004" s="69" t="s">
        <v>1376</v>
      </c>
    </row>
    <row r="1005" spans="1:40" x14ac:dyDescent="0.25">
      <c r="A1005" s="51" t="s">
        <v>1038</v>
      </c>
      <c r="B1005" s="20" t="s">
        <v>23</v>
      </c>
      <c r="C1005" s="35">
        <v>19725</v>
      </c>
      <c r="D1005" s="29">
        <f ca="1">DATEDIF(C1005,TODAY(),"Y")</f>
        <v>72</v>
      </c>
      <c r="E1005" s="5" t="s">
        <v>26</v>
      </c>
      <c r="F1005" s="30">
        <v>169</v>
      </c>
      <c r="G1005" s="30">
        <v>68</v>
      </c>
      <c r="H1005" s="31">
        <f>G1005/((F1005/100)*(F1005/100))</f>
        <v>23.808690171912751</v>
      </c>
      <c r="I1005" s="5">
        <v>86</v>
      </c>
      <c r="J1005" s="30">
        <v>120</v>
      </c>
      <c r="K1005" s="30">
        <v>80</v>
      </c>
      <c r="L1005" s="29">
        <f>IF(B1005="Nữ",0,2)</f>
        <v>0</v>
      </c>
      <c r="M1005" s="29">
        <f ca="1">IF(D1005&lt;45,0,IF(D1005&lt;=49,1,2))</f>
        <v>2</v>
      </c>
      <c r="N1005" s="29">
        <f>IF(E1005="Có",4,0)</f>
        <v>0</v>
      </c>
      <c r="O1005" s="29">
        <f>IF(H1005&lt;23,0,IF(H1005&lt;27.5,3,5))</f>
        <v>3</v>
      </c>
      <c r="P1005" s="29">
        <f>IF(OR(AND(B1005="Nam",I1005&gt;=90),AND(B1005="Nữ",I1005&gt;=80)),2,0)</f>
        <v>2</v>
      </c>
      <c r="Q1005" s="29">
        <f>IF(OR(J1005&gt;=140,K1005&gt;=90),2,0)</f>
        <v>0</v>
      </c>
      <c r="R1005" s="29">
        <f ca="1">SUM(L1005:Q1005)</f>
        <v>7</v>
      </c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  <c r="AD1005" s="5" t="s">
        <v>1393</v>
      </c>
      <c r="AE1005" s="33"/>
      <c r="AF1005" s="59" t="str">
        <f t="shared" si="46"/>
        <v>Không</v>
      </c>
      <c r="AG1005" s="59" t="str">
        <f t="shared" si="47"/>
        <v>Không</v>
      </c>
      <c r="AH1005" s="29" t="str">
        <f t="shared" ca="1" si="45"/>
        <v>Có</v>
      </c>
      <c r="AI1005" s="29" t="str">
        <f ca="1">IF((R1005)&gt;=6,"Có","Không")</f>
        <v>Có</v>
      </c>
      <c r="AJ1005" s="29" t="str">
        <f>IF(OR(J1005&gt;=140,K1005&gt;=90),"Có","Không")</f>
        <v>Không</v>
      </c>
      <c r="AK1005" s="5" t="s">
        <v>51</v>
      </c>
      <c r="AL1005" s="35">
        <v>46173</v>
      </c>
      <c r="AM1005" s="29" t="str">
        <f>"Tháng "&amp;MONTH(AL1005)</f>
        <v>Tháng 5</v>
      </c>
      <c r="AN1005" s="69" t="s">
        <v>1376</v>
      </c>
    </row>
    <row r="1006" spans="1:40" x14ac:dyDescent="0.25">
      <c r="A1006" s="51" t="s">
        <v>891</v>
      </c>
      <c r="B1006" s="20" t="s">
        <v>23</v>
      </c>
      <c r="C1006" s="35">
        <v>31778</v>
      </c>
      <c r="D1006" s="29">
        <f ca="1">DATEDIF(C1006,TODAY(),"Y")</f>
        <v>39</v>
      </c>
      <c r="E1006" s="5" t="s">
        <v>26</v>
      </c>
      <c r="F1006" s="30">
        <v>158</v>
      </c>
      <c r="G1006" s="30">
        <v>58</v>
      </c>
      <c r="H1006" s="31">
        <f>G1006/((F1006/100)*(F1006/100))</f>
        <v>23.233456176894723</v>
      </c>
      <c r="I1006" s="5">
        <v>84</v>
      </c>
      <c r="J1006" s="30">
        <v>150</v>
      </c>
      <c r="K1006" s="30">
        <v>80</v>
      </c>
      <c r="L1006" s="29">
        <f>IF(B1006="Nữ",0,2)</f>
        <v>0</v>
      </c>
      <c r="M1006" s="29">
        <f ca="1">IF(D1006&lt;45,0,IF(D1006&lt;=49,1,2))</f>
        <v>0</v>
      </c>
      <c r="N1006" s="29">
        <f>IF(E1006="Có",4,0)</f>
        <v>0</v>
      </c>
      <c r="O1006" s="29">
        <f>IF(H1006&lt;23,0,IF(H1006&lt;27.5,3,5))</f>
        <v>3</v>
      </c>
      <c r="P1006" s="29">
        <f>IF(OR(AND(B1006="Nam",I1006&gt;=90),AND(B1006="Nữ",I1006&gt;=80)),2,0)</f>
        <v>2</v>
      </c>
      <c r="Q1006" s="29">
        <f>IF(OR(J1006&gt;=140,K1006&gt;=90),2,0)</f>
        <v>2</v>
      </c>
      <c r="R1006" s="29">
        <f ca="1">SUM(L1006:Q1006)</f>
        <v>7</v>
      </c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3"/>
      <c r="AD1006" s="5" t="s">
        <v>1393</v>
      </c>
      <c r="AE1006" s="33"/>
      <c r="AF1006" s="59" t="str">
        <f t="shared" si="46"/>
        <v>Không</v>
      </c>
      <c r="AG1006" s="59" t="str">
        <f t="shared" si="47"/>
        <v>Không</v>
      </c>
      <c r="AH1006" s="29" t="str">
        <f t="shared" ca="1" si="45"/>
        <v>Có</v>
      </c>
      <c r="AI1006" s="29" t="str">
        <f ca="1">IF((R1006)&gt;=6,"Có","Không")</f>
        <v>Có</v>
      </c>
      <c r="AJ1006" s="29" t="str">
        <f>IF(OR(J1006&gt;=140,K1006&gt;=90),"Có","Không")</f>
        <v>Có</v>
      </c>
      <c r="AK1006" s="5" t="s">
        <v>51</v>
      </c>
      <c r="AL1006" s="35">
        <v>46173</v>
      </c>
      <c r="AM1006" s="29" t="str">
        <f>"Tháng "&amp;MONTH(AL1006)</f>
        <v>Tháng 5</v>
      </c>
      <c r="AN1006" s="69" t="s">
        <v>1376</v>
      </c>
    </row>
    <row r="1007" spans="1:40" x14ac:dyDescent="0.25">
      <c r="A1007" s="51" t="s">
        <v>1144</v>
      </c>
      <c r="B1007" s="20" t="s">
        <v>23</v>
      </c>
      <c r="C1007" s="35">
        <v>21551</v>
      </c>
      <c r="D1007" s="29">
        <f ca="1">DATEDIF(C1007,TODAY(),"Y")</f>
        <v>67</v>
      </c>
      <c r="E1007" s="5" t="s">
        <v>25</v>
      </c>
      <c r="F1007" s="30">
        <v>170</v>
      </c>
      <c r="G1007" s="30">
        <v>52</v>
      </c>
      <c r="H1007" s="31">
        <f>G1007/((F1007/100)*(F1007/100))</f>
        <v>17.993079584775089</v>
      </c>
      <c r="I1007" s="5">
        <v>89</v>
      </c>
      <c r="J1007" s="30">
        <v>140</v>
      </c>
      <c r="K1007" s="30">
        <v>80</v>
      </c>
      <c r="L1007" s="29">
        <f>IF(B1007="Nữ",0,2)</f>
        <v>0</v>
      </c>
      <c r="M1007" s="29">
        <f ca="1">IF(D1007&lt;45,0,IF(D1007&lt;=49,1,2))</f>
        <v>2</v>
      </c>
      <c r="N1007" s="29">
        <f>IF(E1007="Có",4,0)</f>
        <v>4</v>
      </c>
      <c r="O1007" s="29">
        <f>IF(H1007&lt;23,0,IF(H1007&lt;27.5,3,5))</f>
        <v>0</v>
      </c>
      <c r="P1007" s="29">
        <f>IF(OR(AND(B1007="Nam",I1007&gt;=90),AND(B1007="Nữ",I1007&gt;=80)),2,0)</f>
        <v>2</v>
      </c>
      <c r="Q1007" s="29">
        <f>IF(OR(J1007&gt;=140,K1007&gt;=90),2,0)</f>
        <v>2</v>
      </c>
      <c r="R1007" s="29">
        <f ca="1">SUM(L1007:Q1007)</f>
        <v>10</v>
      </c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  <c r="AC1007" s="33"/>
      <c r="AD1007" s="5" t="s">
        <v>1393</v>
      </c>
      <c r="AE1007" s="33"/>
      <c r="AF1007" s="59" t="str">
        <f t="shared" si="46"/>
        <v>Không</v>
      </c>
      <c r="AG1007" s="59" t="str">
        <f t="shared" si="47"/>
        <v>Không</v>
      </c>
      <c r="AH1007" s="29" t="str">
        <f t="shared" ca="1" si="45"/>
        <v>Có</v>
      </c>
      <c r="AI1007" s="29" t="str">
        <f ca="1">IF((R1007)&gt;=6,"Có","Không")</f>
        <v>Có</v>
      </c>
      <c r="AJ1007" s="29" t="str">
        <f>IF(OR(J1007&gt;=140,K1007&gt;=90),"Có","Không")</f>
        <v>Có</v>
      </c>
      <c r="AK1007" s="5" t="s">
        <v>51</v>
      </c>
      <c r="AL1007" s="35">
        <v>46173</v>
      </c>
      <c r="AM1007" s="29" t="str">
        <f>"Tháng "&amp;MONTH(AL1007)</f>
        <v>Tháng 5</v>
      </c>
      <c r="AN1007" s="69" t="s">
        <v>1376</v>
      </c>
    </row>
    <row r="1008" spans="1:40" x14ac:dyDescent="0.25">
      <c r="A1008" s="51" t="s">
        <v>1147</v>
      </c>
      <c r="B1008" s="20" t="s">
        <v>23</v>
      </c>
      <c r="C1008" s="35">
        <v>14246</v>
      </c>
      <c r="D1008" s="29">
        <f ca="1">DATEDIF(C1008,TODAY(),"Y")</f>
        <v>87</v>
      </c>
      <c r="E1008" s="5" t="s">
        <v>26</v>
      </c>
      <c r="F1008" s="30">
        <v>169</v>
      </c>
      <c r="G1008" s="30">
        <v>69</v>
      </c>
      <c r="H1008" s="31">
        <f>G1008/((F1008/100)*(F1008/100))</f>
        <v>24.158817968558527</v>
      </c>
      <c r="I1008" s="5">
        <v>81</v>
      </c>
      <c r="J1008" s="30">
        <v>150</v>
      </c>
      <c r="K1008" s="30">
        <v>80</v>
      </c>
      <c r="L1008" s="29">
        <f>IF(B1008="Nữ",0,2)</f>
        <v>0</v>
      </c>
      <c r="M1008" s="29">
        <f ca="1">IF(D1008&lt;45,0,IF(D1008&lt;=49,1,2))</f>
        <v>2</v>
      </c>
      <c r="N1008" s="29">
        <f>IF(E1008="Có",4,0)</f>
        <v>0</v>
      </c>
      <c r="O1008" s="29">
        <f>IF(H1008&lt;23,0,IF(H1008&lt;27.5,3,5))</f>
        <v>3</v>
      </c>
      <c r="P1008" s="29">
        <f>IF(OR(AND(B1008="Nam",I1008&gt;=90),AND(B1008="Nữ",I1008&gt;=80)),2,0)</f>
        <v>2</v>
      </c>
      <c r="Q1008" s="29">
        <f>IF(OR(J1008&gt;=140,K1008&gt;=90),2,0)</f>
        <v>2</v>
      </c>
      <c r="R1008" s="29">
        <f ca="1">SUM(L1008:Q1008)</f>
        <v>9</v>
      </c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3"/>
      <c r="AD1008" s="5" t="s">
        <v>1393</v>
      </c>
      <c r="AE1008" s="33"/>
      <c r="AF1008" s="59" t="str">
        <f t="shared" si="46"/>
        <v>Không</v>
      </c>
      <c r="AG1008" s="59" t="str">
        <f t="shared" si="47"/>
        <v>Không</v>
      </c>
      <c r="AH1008" s="29" t="str">
        <f t="shared" ca="1" si="45"/>
        <v>Có</v>
      </c>
      <c r="AI1008" s="29" t="str">
        <f ca="1">IF((R1008)&gt;=6,"Có","Không")</f>
        <v>Có</v>
      </c>
      <c r="AJ1008" s="29" t="str">
        <f>IF(OR(J1008&gt;=140,K1008&gt;=90),"Có","Không")</f>
        <v>Có</v>
      </c>
      <c r="AK1008" s="5" t="s">
        <v>51</v>
      </c>
      <c r="AL1008" s="35">
        <v>46173</v>
      </c>
      <c r="AM1008" s="29" t="str">
        <f>"Tháng "&amp;MONTH(AL1008)</f>
        <v>Tháng 5</v>
      </c>
      <c r="AN1008" s="69" t="s">
        <v>1376</v>
      </c>
    </row>
    <row r="1009" spans="1:40" x14ac:dyDescent="0.25">
      <c r="A1009" s="51" t="s">
        <v>1152</v>
      </c>
      <c r="B1009" s="20" t="s">
        <v>23</v>
      </c>
      <c r="C1009" s="35">
        <v>24838</v>
      </c>
      <c r="D1009" s="29">
        <f ca="1">DATEDIF(C1009,TODAY(),"Y")</f>
        <v>58</v>
      </c>
      <c r="E1009" s="5" t="s">
        <v>26</v>
      </c>
      <c r="F1009" s="30">
        <v>165</v>
      </c>
      <c r="G1009" s="30">
        <v>64</v>
      </c>
      <c r="H1009" s="31">
        <f>G1009/((F1009/100)*(F1009/100))</f>
        <v>23.507805325987146</v>
      </c>
      <c r="I1009" s="5">
        <v>75</v>
      </c>
      <c r="J1009" s="30">
        <v>160</v>
      </c>
      <c r="K1009" s="30">
        <v>80</v>
      </c>
      <c r="L1009" s="29">
        <f>IF(B1009="Nữ",0,2)</f>
        <v>0</v>
      </c>
      <c r="M1009" s="29">
        <f ca="1">IF(D1009&lt;45,0,IF(D1009&lt;=49,1,2))</f>
        <v>2</v>
      </c>
      <c r="N1009" s="29">
        <f>IF(E1009="Có",4,0)</f>
        <v>0</v>
      </c>
      <c r="O1009" s="29">
        <f>IF(H1009&lt;23,0,IF(H1009&lt;27.5,3,5))</f>
        <v>3</v>
      </c>
      <c r="P1009" s="29">
        <f>IF(OR(AND(B1009="Nam",I1009&gt;=90),AND(B1009="Nữ",I1009&gt;=80)),2,0)</f>
        <v>0</v>
      </c>
      <c r="Q1009" s="29">
        <f>IF(OR(J1009&gt;=140,K1009&gt;=90),2,0)</f>
        <v>2</v>
      </c>
      <c r="R1009" s="29">
        <f ca="1">SUM(L1009:Q1009)</f>
        <v>7</v>
      </c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  <c r="AC1009" s="33"/>
      <c r="AD1009" s="5" t="s">
        <v>1393</v>
      </c>
      <c r="AE1009" s="33"/>
      <c r="AF1009" s="59" t="str">
        <f t="shared" si="46"/>
        <v>Không</v>
      </c>
      <c r="AG1009" s="59" t="str">
        <f t="shared" si="47"/>
        <v>Không</v>
      </c>
      <c r="AH1009" s="29" t="str">
        <f t="shared" ca="1" si="45"/>
        <v>Có</v>
      </c>
      <c r="AI1009" s="29" t="str">
        <f ca="1">IF((R1009)&gt;=6,"Có","Không")</f>
        <v>Có</v>
      </c>
      <c r="AJ1009" s="29" t="str">
        <f>IF(OR(J1009&gt;=140,K1009&gt;=90),"Có","Không")</f>
        <v>Có</v>
      </c>
      <c r="AK1009" s="5" t="s">
        <v>51</v>
      </c>
      <c r="AL1009" s="35">
        <v>46173</v>
      </c>
      <c r="AM1009" s="29" t="str">
        <f>"Tháng "&amp;MONTH(AL1009)</f>
        <v>Tháng 5</v>
      </c>
      <c r="AN1009" s="69" t="s">
        <v>1376</v>
      </c>
    </row>
    <row r="1010" spans="1:40" x14ac:dyDescent="0.25">
      <c r="A1010" s="51" t="s">
        <v>1153</v>
      </c>
      <c r="B1010" s="20" t="s">
        <v>30</v>
      </c>
      <c r="C1010" s="35">
        <v>16072</v>
      </c>
      <c r="D1010" s="29">
        <f ca="1">DATEDIF(C1010,TODAY(),"Y")</f>
        <v>82</v>
      </c>
      <c r="E1010" s="5" t="s">
        <v>26</v>
      </c>
      <c r="F1010" s="30">
        <v>168</v>
      </c>
      <c r="G1010" s="30">
        <v>68</v>
      </c>
      <c r="H1010" s="31">
        <f>G1010/((F1010/100)*(F1010/100))</f>
        <v>24.092970521541954</v>
      </c>
      <c r="I1010" s="5">
        <v>87</v>
      </c>
      <c r="J1010" s="30">
        <v>130</v>
      </c>
      <c r="K1010" s="30">
        <v>80</v>
      </c>
      <c r="L1010" s="29">
        <f>IF(B1010="Nữ",0,2)</f>
        <v>2</v>
      </c>
      <c r="M1010" s="29">
        <f ca="1">IF(D1010&lt;45,0,IF(D1010&lt;=49,1,2))</f>
        <v>2</v>
      </c>
      <c r="N1010" s="29">
        <f>IF(E1010="Có",4,0)</f>
        <v>0</v>
      </c>
      <c r="O1010" s="29">
        <f>IF(H1010&lt;23,0,IF(H1010&lt;27.5,3,5))</f>
        <v>3</v>
      </c>
      <c r="P1010" s="29">
        <f>IF(OR(AND(B1010="Nam",I1010&gt;=90),AND(B1010="Nữ",I1010&gt;=80)),2,0)</f>
        <v>0</v>
      </c>
      <c r="Q1010" s="29">
        <f>IF(OR(J1010&gt;=140,K1010&gt;=90),2,0)</f>
        <v>0</v>
      </c>
      <c r="R1010" s="29">
        <f ca="1">SUM(L1010:Q1010)</f>
        <v>7</v>
      </c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  <c r="AC1010" s="33"/>
      <c r="AD1010" s="5" t="s">
        <v>1393</v>
      </c>
      <c r="AE1010" s="33"/>
      <c r="AF1010" s="59" t="str">
        <f t="shared" si="46"/>
        <v>Không</v>
      </c>
      <c r="AG1010" s="59" t="str">
        <f t="shared" si="47"/>
        <v>Không</v>
      </c>
      <c r="AH1010" s="29" t="str">
        <f t="shared" ca="1" si="45"/>
        <v>Có</v>
      </c>
      <c r="AI1010" s="29" t="str">
        <f ca="1">IF((R1010)&gt;=6,"Có","Không")</f>
        <v>Có</v>
      </c>
      <c r="AJ1010" s="29" t="str">
        <f>IF(OR(J1010&gt;=140,K1010&gt;=90),"Có","Không")</f>
        <v>Không</v>
      </c>
      <c r="AK1010" s="5" t="s">
        <v>51</v>
      </c>
      <c r="AL1010" s="35">
        <v>46173</v>
      </c>
      <c r="AM1010" s="29" t="str">
        <f>"Tháng "&amp;MONTH(AL1010)</f>
        <v>Tháng 5</v>
      </c>
      <c r="AN1010" s="69" t="s">
        <v>1376</v>
      </c>
    </row>
    <row r="1011" spans="1:40" x14ac:dyDescent="0.25">
      <c r="A1011" s="51" t="s">
        <v>1155</v>
      </c>
      <c r="B1011" s="20" t="s">
        <v>30</v>
      </c>
      <c r="C1011" s="35">
        <v>25934</v>
      </c>
      <c r="D1011" s="29">
        <f ca="1">DATEDIF(C1011,TODAY(),"Y")</f>
        <v>55</v>
      </c>
      <c r="E1011" s="5" t="s">
        <v>26</v>
      </c>
      <c r="F1011" s="30">
        <v>168</v>
      </c>
      <c r="G1011" s="30">
        <v>68</v>
      </c>
      <c r="H1011" s="31">
        <f>G1011/((F1011/100)*(F1011/100))</f>
        <v>24.092970521541954</v>
      </c>
      <c r="I1011" s="5">
        <v>93</v>
      </c>
      <c r="J1011" s="30">
        <v>120</v>
      </c>
      <c r="K1011" s="30">
        <v>80</v>
      </c>
      <c r="L1011" s="29">
        <f>IF(B1011="Nữ",0,2)</f>
        <v>2</v>
      </c>
      <c r="M1011" s="29">
        <f ca="1">IF(D1011&lt;45,0,IF(D1011&lt;=49,1,2))</f>
        <v>2</v>
      </c>
      <c r="N1011" s="29">
        <f>IF(E1011="Có",4,0)</f>
        <v>0</v>
      </c>
      <c r="O1011" s="29">
        <f>IF(H1011&lt;23,0,IF(H1011&lt;27.5,3,5))</f>
        <v>3</v>
      </c>
      <c r="P1011" s="29">
        <f>IF(OR(AND(B1011="Nam",I1011&gt;=90),AND(B1011="Nữ",I1011&gt;=80)),2,0)</f>
        <v>2</v>
      </c>
      <c r="Q1011" s="29">
        <f>IF(OR(J1011&gt;=140,K1011&gt;=90),2,0)</f>
        <v>0</v>
      </c>
      <c r="R1011" s="29">
        <f ca="1">SUM(L1011:Q1011)</f>
        <v>9</v>
      </c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  <c r="AC1011" s="33"/>
      <c r="AD1011" s="5" t="s">
        <v>1393</v>
      </c>
      <c r="AE1011" s="33"/>
      <c r="AF1011" s="59" t="str">
        <f t="shared" si="46"/>
        <v>Không</v>
      </c>
      <c r="AG1011" s="59" t="str">
        <f t="shared" si="47"/>
        <v>Không</v>
      </c>
      <c r="AH1011" s="29" t="str">
        <f t="shared" ca="1" si="45"/>
        <v>Có</v>
      </c>
      <c r="AI1011" s="29" t="str">
        <f ca="1">IF((R1011)&gt;=6,"Có","Không")</f>
        <v>Có</v>
      </c>
      <c r="AJ1011" s="29" t="str">
        <f>IF(OR(J1011&gt;=140,K1011&gt;=90),"Có","Không")</f>
        <v>Không</v>
      </c>
      <c r="AK1011" s="5" t="s">
        <v>51</v>
      </c>
      <c r="AL1011" s="35">
        <v>46173</v>
      </c>
      <c r="AM1011" s="29" t="str">
        <f>"Tháng "&amp;MONTH(AL1011)</f>
        <v>Tháng 5</v>
      </c>
      <c r="AN1011" s="69" t="s">
        <v>1376</v>
      </c>
    </row>
    <row r="1012" spans="1:40" x14ac:dyDescent="0.25">
      <c r="A1012" s="51" t="s">
        <v>1156</v>
      </c>
      <c r="B1012" s="20" t="s">
        <v>23</v>
      </c>
      <c r="C1012" s="35">
        <v>21916</v>
      </c>
      <c r="D1012" s="29">
        <f ca="1">DATEDIF(C1012,TODAY(),"Y")</f>
        <v>66</v>
      </c>
      <c r="E1012" s="5" t="s">
        <v>26</v>
      </c>
      <c r="F1012" s="30">
        <v>160</v>
      </c>
      <c r="G1012" s="30">
        <v>65</v>
      </c>
      <c r="H1012" s="31">
        <f>G1012/((F1012/100)*(F1012/100))</f>
        <v>25.390624999999996</v>
      </c>
      <c r="I1012" s="5">
        <v>91</v>
      </c>
      <c r="J1012" s="30">
        <v>130</v>
      </c>
      <c r="K1012" s="30">
        <v>80</v>
      </c>
      <c r="L1012" s="29">
        <f>IF(B1012="Nữ",0,2)</f>
        <v>0</v>
      </c>
      <c r="M1012" s="29">
        <f ca="1">IF(D1012&lt;45,0,IF(D1012&lt;=49,1,2))</f>
        <v>2</v>
      </c>
      <c r="N1012" s="29">
        <f>IF(E1012="Có",4,0)</f>
        <v>0</v>
      </c>
      <c r="O1012" s="29">
        <f>IF(H1012&lt;23,0,IF(H1012&lt;27.5,3,5))</f>
        <v>3</v>
      </c>
      <c r="P1012" s="29">
        <f>IF(OR(AND(B1012="Nam",I1012&gt;=90),AND(B1012="Nữ",I1012&gt;=80)),2,0)</f>
        <v>2</v>
      </c>
      <c r="Q1012" s="29">
        <f>IF(OR(J1012&gt;=140,K1012&gt;=90),2,0)</f>
        <v>0</v>
      </c>
      <c r="R1012" s="29">
        <f ca="1">SUM(L1012:Q1012)</f>
        <v>7</v>
      </c>
      <c r="S1012" s="33"/>
      <c r="T1012" s="33"/>
      <c r="U1012" s="33"/>
      <c r="V1012" s="33"/>
      <c r="W1012" s="33"/>
      <c r="X1012" s="33"/>
      <c r="Y1012" s="33"/>
      <c r="Z1012" s="33"/>
      <c r="AA1012" s="33"/>
      <c r="AB1012" s="33"/>
      <c r="AC1012" s="33"/>
      <c r="AD1012" s="5" t="s">
        <v>1393</v>
      </c>
      <c r="AE1012" s="33"/>
      <c r="AF1012" s="59" t="str">
        <f t="shared" si="46"/>
        <v>Không</v>
      </c>
      <c r="AG1012" s="59" t="str">
        <f t="shared" si="47"/>
        <v>Không</v>
      </c>
      <c r="AH1012" s="29" t="str">
        <f t="shared" ca="1" si="45"/>
        <v>Có</v>
      </c>
      <c r="AI1012" s="29" t="str">
        <f ca="1">IF((R1012)&gt;=6,"Có","Không")</f>
        <v>Có</v>
      </c>
      <c r="AJ1012" s="29" t="str">
        <f>IF(OR(J1012&gt;=140,K1012&gt;=90),"Có","Không")</f>
        <v>Không</v>
      </c>
      <c r="AK1012" s="5" t="s">
        <v>51</v>
      </c>
      <c r="AL1012" s="35">
        <v>46173</v>
      </c>
      <c r="AM1012" s="29" t="str">
        <f>"Tháng "&amp;MONTH(AL1012)</f>
        <v>Tháng 5</v>
      </c>
      <c r="AN1012" s="69" t="s">
        <v>1376</v>
      </c>
    </row>
    <row r="1013" spans="1:40" x14ac:dyDescent="0.25">
      <c r="A1013" s="51" t="s">
        <v>1158</v>
      </c>
      <c r="B1013" s="20" t="s">
        <v>23</v>
      </c>
      <c r="C1013" s="35">
        <v>14611</v>
      </c>
      <c r="D1013" s="29">
        <f ca="1">DATEDIF(C1013,TODAY(),"Y")</f>
        <v>86</v>
      </c>
      <c r="E1013" s="5" t="s">
        <v>26</v>
      </c>
      <c r="F1013" s="30">
        <v>158</v>
      </c>
      <c r="G1013" s="30">
        <v>58</v>
      </c>
      <c r="H1013" s="31">
        <f>G1013/((F1013/100)*(F1013/100))</f>
        <v>23.233456176894723</v>
      </c>
      <c r="I1013" s="5">
        <v>71</v>
      </c>
      <c r="J1013" s="30">
        <v>150</v>
      </c>
      <c r="K1013" s="30">
        <v>80</v>
      </c>
      <c r="L1013" s="29">
        <f>IF(B1013="Nữ",0,2)</f>
        <v>0</v>
      </c>
      <c r="M1013" s="29">
        <f ca="1">IF(D1013&lt;45,0,IF(D1013&lt;=49,1,2))</f>
        <v>2</v>
      </c>
      <c r="N1013" s="29">
        <f>IF(E1013="Có",4,0)</f>
        <v>0</v>
      </c>
      <c r="O1013" s="29">
        <f>IF(H1013&lt;23,0,IF(H1013&lt;27.5,3,5))</f>
        <v>3</v>
      </c>
      <c r="P1013" s="29">
        <f>IF(OR(AND(B1013="Nam",I1013&gt;=90),AND(B1013="Nữ",I1013&gt;=80)),2,0)</f>
        <v>0</v>
      </c>
      <c r="Q1013" s="29">
        <f>IF(OR(J1013&gt;=140,K1013&gt;=90),2,0)</f>
        <v>2</v>
      </c>
      <c r="R1013" s="29">
        <f ca="1">SUM(L1013:Q1013)</f>
        <v>7</v>
      </c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  <c r="AC1013" s="33"/>
      <c r="AD1013" s="5" t="s">
        <v>1393</v>
      </c>
      <c r="AE1013" s="33"/>
      <c r="AF1013" s="59" t="str">
        <f t="shared" si="46"/>
        <v>Không</v>
      </c>
      <c r="AG1013" s="59" t="str">
        <f t="shared" si="47"/>
        <v>Không</v>
      </c>
      <c r="AH1013" s="29" t="str">
        <f t="shared" ca="1" si="45"/>
        <v>Có</v>
      </c>
      <c r="AI1013" s="29" t="str">
        <f ca="1">IF((R1013)&gt;=6,"Có","Không")</f>
        <v>Có</v>
      </c>
      <c r="AJ1013" s="29" t="str">
        <f>IF(OR(J1013&gt;=140,K1013&gt;=90),"Có","Không")</f>
        <v>Có</v>
      </c>
      <c r="AK1013" s="5" t="s">
        <v>51</v>
      </c>
      <c r="AL1013" s="35">
        <v>46173</v>
      </c>
      <c r="AM1013" s="29" t="str">
        <f>"Tháng "&amp;MONTH(AL1013)</f>
        <v>Tháng 5</v>
      </c>
      <c r="AN1013" s="69" t="s">
        <v>1376</v>
      </c>
    </row>
    <row r="1014" spans="1:40" x14ac:dyDescent="0.25">
      <c r="A1014" s="51" t="s">
        <v>1159</v>
      </c>
      <c r="B1014" s="20" t="s">
        <v>23</v>
      </c>
      <c r="C1014" s="35">
        <v>25934</v>
      </c>
      <c r="D1014" s="29">
        <f ca="1">DATEDIF(C1014,TODAY(),"Y")</f>
        <v>55</v>
      </c>
      <c r="E1014" s="5" t="s">
        <v>26</v>
      </c>
      <c r="F1014" s="30">
        <v>158</v>
      </c>
      <c r="G1014" s="30">
        <v>58</v>
      </c>
      <c r="H1014" s="31">
        <f>G1014/((F1014/100)*(F1014/100))</f>
        <v>23.233456176894723</v>
      </c>
      <c r="I1014" s="5">
        <v>96</v>
      </c>
      <c r="J1014" s="30">
        <v>120</v>
      </c>
      <c r="K1014" s="30">
        <v>80</v>
      </c>
      <c r="L1014" s="29">
        <f>IF(B1014="Nữ",0,2)</f>
        <v>0</v>
      </c>
      <c r="M1014" s="29">
        <f ca="1">IF(D1014&lt;45,0,IF(D1014&lt;=49,1,2))</f>
        <v>2</v>
      </c>
      <c r="N1014" s="29">
        <f>IF(E1014="Có",4,0)</f>
        <v>0</v>
      </c>
      <c r="O1014" s="29">
        <f>IF(H1014&lt;23,0,IF(H1014&lt;27.5,3,5))</f>
        <v>3</v>
      </c>
      <c r="P1014" s="29">
        <f>IF(OR(AND(B1014="Nam",I1014&gt;=90),AND(B1014="Nữ",I1014&gt;=80)),2,0)</f>
        <v>2</v>
      </c>
      <c r="Q1014" s="29">
        <f>IF(OR(J1014&gt;=140,K1014&gt;=90),2,0)</f>
        <v>0</v>
      </c>
      <c r="R1014" s="29">
        <f ca="1">SUM(L1014:Q1014)</f>
        <v>7</v>
      </c>
      <c r="S1014" s="33"/>
      <c r="T1014" s="33"/>
      <c r="U1014" s="33"/>
      <c r="V1014" s="33"/>
      <c r="W1014" s="33"/>
      <c r="X1014" s="33"/>
      <c r="Y1014" s="33"/>
      <c r="Z1014" s="33"/>
      <c r="AA1014" s="33"/>
      <c r="AB1014" s="33"/>
      <c r="AC1014" s="33"/>
      <c r="AD1014" s="5" t="s">
        <v>1393</v>
      </c>
      <c r="AE1014" s="33"/>
      <c r="AF1014" s="59" t="str">
        <f t="shared" si="46"/>
        <v>Không</v>
      </c>
      <c r="AG1014" s="59" t="str">
        <f t="shared" si="47"/>
        <v>Không</v>
      </c>
      <c r="AH1014" s="29" t="str">
        <f t="shared" ca="1" si="45"/>
        <v>Có</v>
      </c>
      <c r="AI1014" s="29" t="str">
        <f ca="1">IF((R1014)&gt;=6,"Có","Không")</f>
        <v>Có</v>
      </c>
      <c r="AJ1014" s="29" t="str">
        <f>IF(OR(J1014&gt;=140,K1014&gt;=90),"Có","Không")</f>
        <v>Không</v>
      </c>
      <c r="AK1014" s="5" t="s">
        <v>51</v>
      </c>
      <c r="AL1014" s="35">
        <v>46173</v>
      </c>
      <c r="AM1014" s="29" t="str">
        <f>"Tháng "&amp;MONTH(AL1014)</f>
        <v>Tháng 5</v>
      </c>
      <c r="AN1014" s="69" t="s">
        <v>1376</v>
      </c>
    </row>
    <row r="1015" spans="1:40" x14ac:dyDescent="0.25">
      <c r="A1015" s="51" t="s">
        <v>1160</v>
      </c>
      <c r="B1015" s="20" t="s">
        <v>23</v>
      </c>
      <c r="C1015" s="35">
        <v>20821</v>
      </c>
      <c r="D1015" s="29">
        <f ca="1">DATEDIF(C1015,TODAY(),"Y")</f>
        <v>69</v>
      </c>
      <c r="E1015" s="5" t="s">
        <v>26</v>
      </c>
      <c r="F1015" s="30">
        <v>170</v>
      </c>
      <c r="G1015" s="30">
        <v>66</v>
      </c>
      <c r="H1015" s="31">
        <f>G1015/((F1015/100)*(F1015/100))</f>
        <v>22.837370242214536</v>
      </c>
      <c r="I1015" s="5">
        <v>65</v>
      </c>
      <c r="J1015" s="30">
        <v>130</v>
      </c>
      <c r="K1015" s="30">
        <v>80</v>
      </c>
      <c r="L1015" s="29">
        <f>IF(B1015="Nữ",0,2)</f>
        <v>0</v>
      </c>
      <c r="M1015" s="29">
        <f ca="1">IF(D1015&lt;45,0,IF(D1015&lt;=49,1,2))</f>
        <v>2</v>
      </c>
      <c r="N1015" s="29">
        <f>IF(E1015="Có",4,0)</f>
        <v>0</v>
      </c>
      <c r="O1015" s="29">
        <f>IF(H1015&lt;23,0,IF(H1015&lt;27.5,3,5))</f>
        <v>0</v>
      </c>
      <c r="P1015" s="29">
        <f>IF(OR(AND(B1015="Nam",I1015&gt;=90),AND(B1015="Nữ",I1015&gt;=80)),2,0)</f>
        <v>0</v>
      </c>
      <c r="Q1015" s="29">
        <f>IF(OR(J1015&gt;=140,K1015&gt;=90),2,0)</f>
        <v>0</v>
      </c>
      <c r="R1015" s="29">
        <f ca="1">SUM(L1015:Q1015)</f>
        <v>2</v>
      </c>
      <c r="S1015" s="33"/>
      <c r="T1015" s="33"/>
      <c r="U1015" s="33"/>
      <c r="V1015" s="33"/>
      <c r="W1015" s="33"/>
      <c r="X1015" s="33"/>
      <c r="Y1015" s="33"/>
      <c r="Z1015" s="33"/>
      <c r="AA1015" s="33"/>
      <c r="AB1015" s="33"/>
      <c r="AC1015" s="33"/>
      <c r="AD1015" s="5" t="s">
        <v>1393</v>
      </c>
      <c r="AE1015" s="33"/>
      <c r="AF1015" s="59" t="str">
        <f t="shared" si="46"/>
        <v>Không</v>
      </c>
      <c r="AG1015" s="59" t="str">
        <f t="shared" si="47"/>
        <v>Không</v>
      </c>
      <c r="AH1015" s="29" t="str">
        <f t="shared" ca="1" si="45"/>
        <v>Không</v>
      </c>
      <c r="AI1015" s="29" t="str">
        <f ca="1">IF((R1015)&gt;=6,"Có","Không")</f>
        <v>Không</v>
      </c>
      <c r="AJ1015" s="29" t="str">
        <f>IF(OR(J1015&gt;=140,K1015&gt;=90),"Có","Không")</f>
        <v>Không</v>
      </c>
      <c r="AK1015" s="5" t="s">
        <v>51</v>
      </c>
      <c r="AL1015" s="35">
        <v>46173</v>
      </c>
      <c r="AM1015" s="29" t="str">
        <f>"Tháng "&amp;MONTH(AL1015)</f>
        <v>Tháng 5</v>
      </c>
      <c r="AN1015" s="69" t="s">
        <v>1376</v>
      </c>
    </row>
    <row r="1016" spans="1:40" x14ac:dyDescent="0.25">
      <c r="A1016" s="51" t="s">
        <v>1162</v>
      </c>
      <c r="B1016" s="20" t="s">
        <v>23</v>
      </c>
      <c r="C1016" s="35">
        <v>23743</v>
      </c>
      <c r="D1016" s="29">
        <f ca="1">DATEDIF(C1016,TODAY(),"Y")</f>
        <v>61</v>
      </c>
      <c r="E1016" s="5" t="s">
        <v>26</v>
      </c>
      <c r="F1016" s="30">
        <v>157</v>
      </c>
      <c r="G1016" s="30">
        <v>55</v>
      </c>
      <c r="H1016" s="31">
        <f>G1016/((F1016/100)*(F1016/100))</f>
        <v>22.313278429145196</v>
      </c>
      <c r="I1016" s="5">
        <v>83</v>
      </c>
      <c r="J1016" s="30">
        <v>120</v>
      </c>
      <c r="K1016" s="30">
        <v>80</v>
      </c>
      <c r="L1016" s="29">
        <f>IF(B1016="Nữ",0,2)</f>
        <v>0</v>
      </c>
      <c r="M1016" s="29">
        <f ca="1">IF(D1016&lt;45,0,IF(D1016&lt;=49,1,2))</f>
        <v>2</v>
      </c>
      <c r="N1016" s="29">
        <f>IF(E1016="Có",4,0)</f>
        <v>0</v>
      </c>
      <c r="O1016" s="29">
        <f>IF(H1016&lt;23,0,IF(H1016&lt;27.5,3,5))</f>
        <v>0</v>
      </c>
      <c r="P1016" s="29">
        <f>IF(OR(AND(B1016="Nam",I1016&gt;=90),AND(B1016="Nữ",I1016&gt;=80)),2,0)</f>
        <v>2</v>
      </c>
      <c r="Q1016" s="29">
        <f>IF(OR(J1016&gt;=140,K1016&gt;=90),2,0)</f>
        <v>0</v>
      </c>
      <c r="R1016" s="29">
        <f ca="1">SUM(L1016:Q1016)</f>
        <v>4</v>
      </c>
      <c r="S1016" s="33"/>
      <c r="T1016" s="33"/>
      <c r="U1016" s="33"/>
      <c r="V1016" s="33"/>
      <c r="W1016" s="33"/>
      <c r="X1016" s="33"/>
      <c r="Y1016" s="33"/>
      <c r="Z1016" s="33"/>
      <c r="AA1016" s="33"/>
      <c r="AB1016" s="33"/>
      <c r="AC1016" s="33"/>
      <c r="AD1016" s="5" t="s">
        <v>1393</v>
      </c>
      <c r="AE1016" s="33"/>
      <c r="AF1016" s="59" t="str">
        <f t="shared" si="46"/>
        <v>Không</v>
      </c>
      <c r="AG1016" s="59" t="str">
        <f t="shared" si="47"/>
        <v>Không</v>
      </c>
      <c r="AH1016" s="29" t="str">
        <f t="shared" ca="1" si="45"/>
        <v>Không</v>
      </c>
      <c r="AI1016" s="29" t="str">
        <f ca="1">IF((R1016)&gt;=6,"Có","Không")</f>
        <v>Không</v>
      </c>
      <c r="AJ1016" s="29" t="str">
        <f>IF(OR(J1016&gt;=140,K1016&gt;=90),"Có","Không")</f>
        <v>Không</v>
      </c>
      <c r="AK1016" s="5" t="s">
        <v>51</v>
      </c>
      <c r="AL1016" s="35">
        <v>46173</v>
      </c>
      <c r="AM1016" s="29" t="str">
        <f>"Tháng "&amp;MONTH(AL1016)</f>
        <v>Tháng 5</v>
      </c>
      <c r="AN1016" s="69" t="s">
        <v>1376</v>
      </c>
    </row>
    <row r="1017" spans="1:40" x14ac:dyDescent="0.25">
      <c r="A1017" s="51" t="s">
        <v>1042</v>
      </c>
      <c r="B1017" s="20" t="s">
        <v>23</v>
      </c>
      <c r="C1017" s="35">
        <v>13516</v>
      </c>
      <c r="D1017" s="29">
        <f ca="1">DATEDIF(C1017,TODAY(),"Y")</f>
        <v>89</v>
      </c>
      <c r="E1017" s="5" t="s">
        <v>26</v>
      </c>
      <c r="F1017" s="30">
        <v>150</v>
      </c>
      <c r="G1017" s="30">
        <v>71</v>
      </c>
      <c r="H1017" s="31">
        <f>G1017/((F1017/100)*(F1017/100))</f>
        <v>31.555555555555557</v>
      </c>
      <c r="I1017" s="5">
        <v>73</v>
      </c>
      <c r="J1017" s="30">
        <v>120</v>
      </c>
      <c r="K1017" s="30">
        <v>80</v>
      </c>
      <c r="L1017" s="29">
        <f>IF(B1017="Nữ",0,2)</f>
        <v>0</v>
      </c>
      <c r="M1017" s="29">
        <f ca="1">IF(D1017&lt;45,0,IF(D1017&lt;=49,1,2))</f>
        <v>2</v>
      </c>
      <c r="N1017" s="29">
        <f>IF(E1017="Có",4,0)</f>
        <v>0</v>
      </c>
      <c r="O1017" s="29">
        <f>IF(H1017&lt;23,0,IF(H1017&lt;27.5,3,5))</f>
        <v>5</v>
      </c>
      <c r="P1017" s="29">
        <f>IF(OR(AND(B1017="Nam",I1017&gt;=90),AND(B1017="Nữ",I1017&gt;=80)),2,0)</f>
        <v>0</v>
      </c>
      <c r="Q1017" s="29">
        <f>IF(OR(J1017&gt;=140,K1017&gt;=90),2,0)</f>
        <v>0</v>
      </c>
      <c r="R1017" s="29">
        <f ca="1">SUM(L1017:Q1017)</f>
        <v>7</v>
      </c>
      <c r="S1017" s="33"/>
      <c r="T1017" s="33"/>
      <c r="U1017" s="33"/>
      <c r="V1017" s="33"/>
      <c r="W1017" s="33"/>
      <c r="X1017" s="33"/>
      <c r="Y1017" s="33"/>
      <c r="Z1017" s="33"/>
      <c r="AA1017" s="33"/>
      <c r="AB1017" s="33"/>
      <c r="AC1017" s="33"/>
      <c r="AD1017" s="5" t="s">
        <v>1393</v>
      </c>
      <c r="AE1017" s="33"/>
      <c r="AF1017" s="59" t="str">
        <f t="shared" si="46"/>
        <v>Không</v>
      </c>
      <c r="AG1017" s="59" t="str">
        <f t="shared" si="47"/>
        <v>Không</v>
      </c>
      <c r="AH1017" s="29" t="str">
        <f t="shared" ca="1" si="45"/>
        <v>Có</v>
      </c>
      <c r="AI1017" s="29" t="str">
        <f ca="1">IF((R1017)&gt;=6,"Có","Không")</f>
        <v>Có</v>
      </c>
      <c r="AJ1017" s="29" t="str">
        <f>IF(OR(J1017&gt;=140,K1017&gt;=90),"Có","Không")</f>
        <v>Không</v>
      </c>
      <c r="AK1017" s="5" t="s">
        <v>51</v>
      </c>
      <c r="AL1017" s="35">
        <v>46173</v>
      </c>
      <c r="AM1017" s="29" t="str">
        <f>"Tháng "&amp;MONTH(AL1017)</f>
        <v>Tháng 5</v>
      </c>
      <c r="AN1017" s="69" t="s">
        <v>1376</v>
      </c>
    </row>
    <row r="1018" spans="1:40" x14ac:dyDescent="0.25">
      <c r="A1018" s="51" t="s">
        <v>597</v>
      </c>
      <c r="B1018" s="20" t="s">
        <v>23</v>
      </c>
      <c r="C1018" s="35">
        <v>26665</v>
      </c>
      <c r="D1018" s="29">
        <f ca="1">DATEDIF(C1018,TODAY(),"Y")</f>
        <v>53</v>
      </c>
      <c r="E1018" s="5" t="s">
        <v>25</v>
      </c>
      <c r="F1018" s="30">
        <v>169</v>
      </c>
      <c r="G1018" s="30">
        <v>68</v>
      </c>
      <c r="H1018" s="31">
        <f>G1018/((F1018/100)*(F1018/100))</f>
        <v>23.808690171912751</v>
      </c>
      <c r="I1018" s="5">
        <v>85</v>
      </c>
      <c r="J1018" s="30">
        <v>120</v>
      </c>
      <c r="K1018" s="30">
        <v>80</v>
      </c>
      <c r="L1018" s="29">
        <f>IF(B1018="Nữ",0,2)</f>
        <v>0</v>
      </c>
      <c r="M1018" s="29">
        <f ca="1">IF(D1018&lt;45,0,IF(D1018&lt;=49,1,2))</f>
        <v>2</v>
      </c>
      <c r="N1018" s="29">
        <f>IF(E1018="Có",4,0)</f>
        <v>4</v>
      </c>
      <c r="O1018" s="29">
        <f>IF(H1018&lt;23,0,IF(H1018&lt;27.5,3,5))</f>
        <v>3</v>
      </c>
      <c r="P1018" s="29">
        <f>IF(OR(AND(B1018="Nam",I1018&gt;=90),AND(B1018="Nữ",I1018&gt;=80)),2,0)</f>
        <v>2</v>
      </c>
      <c r="Q1018" s="29">
        <f>IF(OR(J1018&gt;=140,K1018&gt;=90),2,0)</f>
        <v>0</v>
      </c>
      <c r="R1018" s="29">
        <f ca="1">SUM(L1018:Q1018)</f>
        <v>11</v>
      </c>
      <c r="S1018" s="33"/>
      <c r="T1018" s="33"/>
      <c r="U1018" s="33"/>
      <c r="V1018" s="33"/>
      <c r="W1018" s="33"/>
      <c r="X1018" s="33"/>
      <c r="Y1018" s="33"/>
      <c r="Z1018" s="33"/>
      <c r="AA1018" s="33"/>
      <c r="AB1018" s="33"/>
      <c r="AC1018" s="33"/>
      <c r="AD1018" s="5" t="s">
        <v>1393</v>
      </c>
      <c r="AE1018" s="33"/>
      <c r="AF1018" s="59" t="str">
        <f t="shared" si="46"/>
        <v>Không</v>
      </c>
      <c r="AG1018" s="59" t="str">
        <f t="shared" si="47"/>
        <v>Không</v>
      </c>
      <c r="AH1018" s="29" t="str">
        <f t="shared" ca="1" si="45"/>
        <v>Có</v>
      </c>
      <c r="AI1018" s="29" t="str">
        <f ca="1">IF((R1018)&gt;=6,"Có","Không")</f>
        <v>Có</v>
      </c>
      <c r="AJ1018" s="29" t="str">
        <f>IF(OR(J1018&gt;=140,K1018&gt;=90),"Có","Không")</f>
        <v>Không</v>
      </c>
      <c r="AK1018" s="5" t="s">
        <v>51</v>
      </c>
      <c r="AL1018" s="35">
        <v>46173</v>
      </c>
      <c r="AM1018" s="29" t="str">
        <f>"Tháng "&amp;MONTH(AL1018)</f>
        <v>Tháng 5</v>
      </c>
      <c r="AN1018" s="69" t="s">
        <v>1376</v>
      </c>
    </row>
    <row r="1019" spans="1:40" x14ac:dyDescent="0.25">
      <c r="A1019" s="51" t="s">
        <v>1165</v>
      </c>
      <c r="B1019" s="20" t="s">
        <v>23</v>
      </c>
      <c r="C1019" s="35">
        <v>18629</v>
      </c>
      <c r="D1019" s="29">
        <f ca="1">DATEDIF(C1019,TODAY(),"Y")</f>
        <v>75</v>
      </c>
      <c r="E1019" s="5" t="s">
        <v>26</v>
      </c>
      <c r="F1019" s="30">
        <v>169</v>
      </c>
      <c r="G1019" s="30">
        <v>68</v>
      </c>
      <c r="H1019" s="31">
        <f>G1019/((F1019/100)*(F1019/100))</f>
        <v>23.808690171912751</v>
      </c>
      <c r="I1019" s="5">
        <v>72</v>
      </c>
      <c r="J1019" s="30">
        <v>120</v>
      </c>
      <c r="K1019" s="30">
        <v>80</v>
      </c>
      <c r="L1019" s="29">
        <f>IF(B1019="Nữ",0,2)</f>
        <v>0</v>
      </c>
      <c r="M1019" s="29">
        <f ca="1">IF(D1019&lt;45,0,IF(D1019&lt;=49,1,2))</f>
        <v>2</v>
      </c>
      <c r="N1019" s="29">
        <f>IF(E1019="Có",4,0)</f>
        <v>0</v>
      </c>
      <c r="O1019" s="29">
        <f>IF(H1019&lt;23,0,IF(H1019&lt;27.5,3,5))</f>
        <v>3</v>
      </c>
      <c r="P1019" s="29">
        <f>IF(OR(AND(B1019="Nam",I1019&gt;=90),AND(B1019="Nữ",I1019&gt;=80)),2,0)</f>
        <v>0</v>
      </c>
      <c r="Q1019" s="29">
        <f>IF(OR(J1019&gt;=140,K1019&gt;=90),2,0)</f>
        <v>0</v>
      </c>
      <c r="R1019" s="29">
        <f ca="1">SUM(L1019:Q1019)</f>
        <v>5</v>
      </c>
      <c r="S1019" s="33"/>
      <c r="T1019" s="33"/>
      <c r="U1019" s="33"/>
      <c r="V1019" s="33"/>
      <c r="W1019" s="33"/>
      <c r="X1019" s="33"/>
      <c r="Y1019" s="33"/>
      <c r="Z1019" s="33"/>
      <c r="AA1019" s="33"/>
      <c r="AB1019" s="33"/>
      <c r="AC1019" s="33"/>
      <c r="AD1019" s="5" t="s">
        <v>1393</v>
      </c>
      <c r="AE1019" s="33"/>
      <c r="AF1019" s="59" t="str">
        <f t="shared" si="46"/>
        <v>Không</v>
      </c>
      <c r="AG1019" s="59" t="str">
        <f t="shared" si="47"/>
        <v>Không</v>
      </c>
      <c r="AH1019" s="29" t="str">
        <f t="shared" ca="1" si="45"/>
        <v>Không</v>
      </c>
      <c r="AI1019" s="29" t="str">
        <f ca="1">IF((R1019)&gt;=6,"Có","Không")</f>
        <v>Không</v>
      </c>
      <c r="AJ1019" s="29" t="str">
        <f>IF(OR(J1019&gt;=140,K1019&gt;=90),"Có","Không")</f>
        <v>Không</v>
      </c>
      <c r="AK1019" s="5" t="s">
        <v>51</v>
      </c>
      <c r="AL1019" s="35">
        <v>46173</v>
      </c>
      <c r="AM1019" s="29" t="str">
        <f>"Tháng "&amp;MONTH(AL1019)</f>
        <v>Tháng 5</v>
      </c>
      <c r="AN1019" s="69" t="s">
        <v>1376</v>
      </c>
    </row>
    <row r="1020" spans="1:40" x14ac:dyDescent="0.25">
      <c r="A1020" s="51" t="s">
        <v>1170</v>
      </c>
      <c r="B1020" s="20" t="s">
        <v>23</v>
      </c>
      <c r="C1020" s="35">
        <v>22282</v>
      </c>
      <c r="D1020" s="29">
        <f ca="1">DATEDIF(C1020,TODAY(),"Y")</f>
        <v>65</v>
      </c>
      <c r="E1020" s="5" t="s">
        <v>26</v>
      </c>
      <c r="F1020" s="30">
        <v>158</v>
      </c>
      <c r="G1020" s="30">
        <v>58</v>
      </c>
      <c r="H1020" s="31">
        <f>G1020/((F1020/100)*(F1020/100))</f>
        <v>23.233456176894723</v>
      </c>
      <c r="I1020" s="5">
        <v>93</v>
      </c>
      <c r="J1020" s="30">
        <v>150</v>
      </c>
      <c r="K1020" s="30">
        <v>80</v>
      </c>
      <c r="L1020" s="29">
        <f>IF(B1020="Nữ",0,2)</f>
        <v>0</v>
      </c>
      <c r="M1020" s="29">
        <f ca="1">IF(D1020&lt;45,0,IF(D1020&lt;=49,1,2))</f>
        <v>2</v>
      </c>
      <c r="N1020" s="29">
        <f>IF(E1020="Có",4,0)</f>
        <v>0</v>
      </c>
      <c r="O1020" s="29">
        <f>IF(H1020&lt;23,0,IF(H1020&lt;27.5,3,5))</f>
        <v>3</v>
      </c>
      <c r="P1020" s="29">
        <f>IF(OR(AND(B1020="Nam",I1020&gt;=90),AND(B1020="Nữ",I1020&gt;=80)),2,0)</f>
        <v>2</v>
      </c>
      <c r="Q1020" s="29">
        <f>IF(OR(J1020&gt;=140,K1020&gt;=90),2,0)</f>
        <v>2</v>
      </c>
      <c r="R1020" s="29">
        <f ca="1">SUM(L1020:Q1020)</f>
        <v>9</v>
      </c>
      <c r="S1020" s="33"/>
      <c r="T1020" s="33"/>
      <c r="U1020" s="33"/>
      <c r="V1020" s="33"/>
      <c r="W1020" s="33"/>
      <c r="X1020" s="33"/>
      <c r="Y1020" s="33"/>
      <c r="Z1020" s="33"/>
      <c r="AA1020" s="33"/>
      <c r="AB1020" s="33"/>
      <c r="AC1020" s="33"/>
      <c r="AD1020" s="5" t="s">
        <v>1393</v>
      </c>
      <c r="AE1020" s="33"/>
      <c r="AF1020" s="59" t="str">
        <f t="shared" si="46"/>
        <v>Không</v>
      </c>
      <c r="AG1020" s="59" t="str">
        <f t="shared" si="47"/>
        <v>Không</v>
      </c>
      <c r="AH1020" s="29" t="str">
        <f t="shared" ca="1" si="45"/>
        <v>Có</v>
      </c>
      <c r="AI1020" s="29" t="str">
        <f ca="1">IF((R1020)&gt;=6,"Có","Không")</f>
        <v>Có</v>
      </c>
      <c r="AJ1020" s="29" t="str">
        <f>IF(OR(J1020&gt;=140,K1020&gt;=90),"Có","Không")</f>
        <v>Có</v>
      </c>
      <c r="AK1020" s="5" t="s">
        <v>51</v>
      </c>
      <c r="AL1020" s="35">
        <v>46173</v>
      </c>
      <c r="AM1020" s="29" t="str">
        <f>"Tháng "&amp;MONTH(AL1020)</f>
        <v>Tháng 5</v>
      </c>
      <c r="AN1020" s="69" t="s">
        <v>1376</v>
      </c>
    </row>
    <row r="1021" spans="1:40" x14ac:dyDescent="0.25">
      <c r="A1021" s="51" t="s">
        <v>1172</v>
      </c>
      <c r="B1021" s="20" t="s">
        <v>23</v>
      </c>
      <c r="C1021" s="35">
        <v>23012</v>
      </c>
      <c r="D1021" s="29">
        <f ca="1">DATEDIF(C1021,TODAY(),"Y")</f>
        <v>63</v>
      </c>
      <c r="E1021" s="5" t="s">
        <v>25</v>
      </c>
      <c r="F1021" s="30">
        <v>158</v>
      </c>
      <c r="G1021" s="30">
        <v>58</v>
      </c>
      <c r="H1021" s="31">
        <f>G1021/((F1021/100)*(F1021/100))</f>
        <v>23.233456176894723</v>
      </c>
      <c r="I1021" s="5">
        <v>81</v>
      </c>
      <c r="J1021" s="30">
        <v>120</v>
      </c>
      <c r="K1021" s="30">
        <v>80</v>
      </c>
      <c r="L1021" s="29">
        <f>IF(B1021="Nữ",0,2)</f>
        <v>0</v>
      </c>
      <c r="M1021" s="29">
        <f ca="1">IF(D1021&lt;45,0,IF(D1021&lt;=49,1,2))</f>
        <v>2</v>
      </c>
      <c r="N1021" s="29">
        <f>IF(E1021="Có",4,0)</f>
        <v>4</v>
      </c>
      <c r="O1021" s="29">
        <f>IF(H1021&lt;23,0,IF(H1021&lt;27.5,3,5))</f>
        <v>3</v>
      </c>
      <c r="P1021" s="29">
        <f>IF(OR(AND(B1021="Nam",I1021&gt;=90),AND(B1021="Nữ",I1021&gt;=80)),2,0)</f>
        <v>2</v>
      </c>
      <c r="Q1021" s="29">
        <f>IF(OR(J1021&gt;=140,K1021&gt;=90),2,0)</f>
        <v>0</v>
      </c>
      <c r="R1021" s="29">
        <f ca="1">SUM(L1021:Q1021)</f>
        <v>11</v>
      </c>
      <c r="S1021" s="33"/>
      <c r="T1021" s="33"/>
      <c r="U1021" s="33"/>
      <c r="V1021" s="33"/>
      <c r="W1021" s="33"/>
      <c r="X1021" s="33"/>
      <c r="Y1021" s="33"/>
      <c r="Z1021" s="33"/>
      <c r="AA1021" s="33"/>
      <c r="AB1021" s="33"/>
      <c r="AC1021" s="33"/>
      <c r="AD1021" s="5" t="s">
        <v>1393</v>
      </c>
      <c r="AE1021" s="33"/>
      <c r="AF1021" s="59" t="str">
        <f t="shared" si="46"/>
        <v>Không</v>
      </c>
      <c r="AG1021" s="59" t="str">
        <f t="shared" si="47"/>
        <v>Không</v>
      </c>
      <c r="AH1021" s="29" t="str">
        <f t="shared" ca="1" si="45"/>
        <v>Có</v>
      </c>
      <c r="AI1021" s="29" t="str">
        <f ca="1">IF((R1021)&gt;=6,"Có","Không")</f>
        <v>Có</v>
      </c>
      <c r="AJ1021" s="29" t="str">
        <f>IF(OR(J1021&gt;=140,K1021&gt;=90),"Có","Không")</f>
        <v>Không</v>
      </c>
      <c r="AK1021" s="5" t="s">
        <v>51</v>
      </c>
      <c r="AL1021" s="35">
        <v>46173</v>
      </c>
      <c r="AM1021" s="29" t="str">
        <f>"Tháng "&amp;MONTH(AL1021)</f>
        <v>Tháng 5</v>
      </c>
      <c r="AN1021" s="69" t="s">
        <v>1376</v>
      </c>
    </row>
    <row r="1022" spans="1:40" x14ac:dyDescent="0.25">
      <c r="A1022" s="51" t="s">
        <v>1173</v>
      </c>
      <c r="B1022" s="20" t="s">
        <v>23</v>
      </c>
      <c r="C1022" s="35">
        <v>23012</v>
      </c>
      <c r="D1022" s="29">
        <f ca="1">DATEDIF(C1022,TODAY(),"Y")</f>
        <v>63</v>
      </c>
      <c r="E1022" s="5" t="s">
        <v>26</v>
      </c>
      <c r="F1022" s="30">
        <v>158</v>
      </c>
      <c r="G1022" s="30">
        <v>58</v>
      </c>
      <c r="H1022" s="31">
        <f>G1022/((F1022/100)*(F1022/100))</f>
        <v>23.233456176894723</v>
      </c>
      <c r="I1022" s="5">
        <v>95</v>
      </c>
      <c r="J1022" s="30">
        <v>120</v>
      </c>
      <c r="K1022" s="30">
        <v>80</v>
      </c>
      <c r="L1022" s="29">
        <f>IF(B1022="Nữ",0,2)</f>
        <v>0</v>
      </c>
      <c r="M1022" s="29">
        <f ca="1">IF(D1022&lt;45,0,IF(D1022&lt;=49,1,2))</f>
        <v>2</v>
      </c>
      <c r="N1022" s="29">
        <f>IF(E1022="Có",4,0)</f>
        <v>0</v>
      </c>
      <c r="O1022" s="29">
        <f>IF(H1022&lt;23,0,IF(H1022&lt;27.5,3,5))</f>
        <v>3</v>
      </c>
      <c r="P1022" s="29">
        <f>IF(OR(AND(B1022="Nam",I1022&gt;=90),AND(B1022="Nữ",I1022&gt;=80)),2,0)</f>
        <v>2</v>
      </c>
      <c r="Q1022" s="29">
        <f>IF(OR(J1022&gt;=140,K1022&gt;=90),2,0)</f>
        <v>0</v>
      </c>
      <c r="R1022" s="29">
        <f ca="1">SUM(L1022:Q1022)</f>
        <v>7</v>
      </c>
      <c r="S1022" s="33"/>
      <c r="T1022" s="33"/>
      <c r="U1022" s="33"/>
      <c r="V1022" s="33"/>
      <c r="W1022" s="33"/>
      <c r="X1022" s="33"/>
      <c r="Y1022" s="33"/>
      <c r="Z1022" s="33"/>
      <c r="AA1022" s="33"/>
      <c r="AB1022" s="33"/>
      <c r="AC1022" s="33"/>
      <c r="AD1022" s="5" t="s">
        <v>1393</v>
      </c>
      <c r="AE1022" s="33"/>
      <c r="AF1022" s="59" t="str">
        <f t="shared" si="46"/>
        <v>Không</v>
      </c>
      <c r="AG1022" s="59" t="str">
        <f t="shared" si="47"/>
        <v>Không</v>
      </c>
      <c r="AH1022" s="29" t="str">
        <f t="shared" ca="1" si="45"/>
        <v>Có</v>
      </c>
      <c r="AI1022" s="29" t="str">
        <f ca="1">IF((R1022)&gt;=6,"Có","Không")</f>
        <v>Có</v>
      </c>
      <c r="AJ1022" s="29" t="str">
        <f>IF(OR(J1022&gt;=140,K1022&gt;=90),"Có","Không")</f>
        <v>Không</v>
      </c>
      <c r="AK1022" s="5" t="s">
        <v>51</v>
      </c>
      <c r="AL1022" s="35">
        <v>46173</v>
      </c>
      <c r="AM1022" s="29" t="str">
        <f>"Tháng "&amp;MONTH(AL1022)</f>
        <v>Tháng 5</v>
      </c>
      <c r="AN1022" s="69" t="s">
        <v>1376</v>
      </c>
    </row>
    <row r="1023" spans="1:40" x14ac:dyDescent="0.25">
      <c r="A1023" s="52" t="s">
        <v>599</v>
      </c>
      <c r="B1023" s="20" t="s">
        <v>23</v>
      </c>
      <c r="C1023" s="35">
        <v>22647</v>
      </c>
      <c r="D1023" s="29">
        <f ca="1">DATEDIF(C1023,TODAY(),"Y")</f>
        <v>64</v>
      </c>
      <c r="E1023" s="5" t="s">
        <v>26</v>
      </c>
      <c r="F1023" s="30">
        <v>169</v>
      </c>
      <c r="G1023" s="30">
        <v>68</v>
      </c>
      <c r="H1023" s="31">
        <f>G1023/((F1023/100)*(F1023/100))</f>
        <v>23.808690171912751</v>
      </c>
      <c r="I1023" s="5">
        <v>75</v>
      </c>
      <c r="J1023" s="30">
        <v>120</v>
      </c>
      <c r="K1023" s="30">
        <v>80</v>
      </c>
      <c r="L1023" s="29">
        <f>IF(B1023="Nữ",0,2)</f>
        <v>0</v>
      </c>
      <c r="M1023" s="29">
        <f ca="1">IF(D1023&lt;45,0,IF(D1023&lt;=49,1,2))</f>
        <v>2</v>
      </c>
      <c r="N1023" s="29">
        <f>IF(E1023="Có",4,0)</f>
        <v>0</v>
      </c>
      <c r="O1023" s="29">
        <f>IF(H1023&lt;23,0,IF(H1023&lt;27.5,3,5))</f>
        <v>3</v>
      </c>
      <c r="P1023" s="29">
        <f>IF(OR(AND(B1023="Nam",I1023&gt;=90),AND(B1023="Nữ",I1023&gt;=80)),2,0)</f>
        <v>0</v>
      </c>
      <c r="Q1023" s="29">
        <f>IF(OR(J1023&gt;=140,K1023&gt;=90),2,0)</f>
        <v>0</v>
      </c>
      <c r="R1023" s="29">
        <f ca="1">SUM(L1023:Q1023)</f>
        <v>5</v>
      </c>
      <c r="S1023" s="33"/>
      <c r="T1023" s="33"/>
      <c r="U1023" s="33"/>
      <c r="V1023" s="33"/>
      <c r="W1023" s="33"/>
      <c r="X1023" s="33"/>
      <c r="Y1023" s="33"/>
      <c r="Z1023" s="33"/>
      <c r="AA1023" s="33"/>
      <c r="AB1023" s="33"/>
      <c r="AC1023" s="33"/>
      <c r="AD1023" s="5" t="s">
        <v>1393</v>
      </c>
      <c r="AE1023" s="33"/>
      <c r="AF1023" s="59" t="str">
        <f t="shared" si="46"/>
        <v>Không</v>
      </c>
      <c r="AG1023" s="59" t="str">
        <f t="shared" si="47"/>
        <v>Không</v>
      </c>
      <c r="AH1023" s="29" t="str">
        <f t="shared" ca="1" si="45"/>
        <v>Không</v>
      </c>
      <c r="AI1023" s="29" t="str">
        <f ca="1">IF((R1023)&gt;=6,"Có","Không")</f>
        <v>Không</v>
      </c>
      <c r="AJ1023" s="29" t="str">
        <f>IF(OR(J1023&gt;=140,K1023&gt;=90),"Có","Không")</f>
        <v>Không</v>
      </c>
      <c r="AK1023" s="5" t="s">
        <v>51</v>
      </c>
      <c r="AL1023" s="35">
        <v>46173</v>
      </c>
      <c r="AM1023" s="29" t="str">
        <f>"Tháng "&amp;MONTH(AL1023)</f>
        <v>Tháng 5</v>
      </c>
      <c r="AN1023" s="69" t="s">
        <v>1376</v>
      </c>
    </row>
    <row r="1024" spans="1:40" x14ac:dyDescent="0.25">
      <c r="A1024" s="52" t="s">
        <v>658</v>
      </c>
      <c r="B1024" s="20" t="s">
        <v>23</v>
      </c>
      <c r="C1024" s="35">
        <v>23377</v>
      </c>
      <c r="D1024" s="29">
        <f ca="1">DATEDIF(C1024,TODAY(),"Y")</f>
        <v>62</v>
      </c>
      <c r="E1024" s="5" t="s">
        <v>26</v>
      </c>
      <c r="F1024" s="30">
        <v>154</v>
      </c>
      <c r="G1024" s="30">
        <v>54</v>
      </c>
      <c r="H1024" s="31">
        <f>G1024/((F1024/100)*(F1024/100))</f>
        <v>22.769438353853939</v>
      </c>
      <c r="I1024" s="5">
        <v>83</v>
      </c>
      <c r="J1024" s="30">
        <v>150</v>
      </c>
      <c r="K1024" s="30">
        <v>80</v>
      </c>
      <c r="L1024" s="29">
        <f>IF(B1024="Nữ",0,2)</f>
        <v>0</v>
      </c>
      <c r="M1024" s="29">
        <f ca="1">IF(D1024&lt;45,0,IF(D1024&lt;=49,1,2))</f>
        <v>2</v>
      </c>
      <c r="N1024" s="29">
        <f>IF(E1024="Có",4,0)</f>
        <v>0</v>
      </c>
      <c r="O1024" s="29">
        <f>IF(H1024&lt;23,0,IF(H1024&lt;27.5,3,5))</f>
        <v>0</v>
      </c>
      <c r="P1024" s="29">
        <f>IF(OR(AND(B1024="Nam",I1024&gt;=90),AND(B1024="Nữ",I1024&gt;=80)),2,0)</f>
        <v>2</v>
      </c>
      <c r="Q1024" s="29">
        <f>IF(OR(J1024&gt;=140,K1024&gt;=90),2,0)</f>
        <v>2</v>
      </c>
      <c r="R1024" s="29">
        <f ca="1">SUM(L1024:Q1024)</f>
        <v>6</v>
      </c>
      <c r="S1024" s="33"/>
      <c r="T1024" s="33"/>
      <c r="U1024" s="33"/>
      <c r="V1024" s="33"/>
      <c r="W1024" s="33"/>
      <c r="X1024" s="33"/>
      <c r="Y1024" s="33"/>
      <c r="Z1024" s="33"/>
      <c r="AA1024" s="33"/>
      <c r="AB1024" s="33"/>
      <c r="AC1024" s="33"/>
      <c r="AD1024" s="5" t="s">
        <v>1393</v>
      </c>
      <c r="AE1024" s="33"/>
      <c r="AF1024" s="59" t="str">
        <f t="shared" si="46"/>
        <v>Không</v>
      </c>
      <c r="AG1024" s="59" t="str">
        <f t="shared" si="47"/>
        <v>Không</v>
      </c>
      <c r="AH1024" s="29" t="str">
        <f t="shared" ca="1" si="45"/>
        <v>Có</v>
      </c>
      <c r="AI1024" s="29" t="str">
        <f ca="1">IF((R1024)&gt;=6,"Có","Không")</f>
        <v>Có</v>
      </c>
      <c r="AJ1024" s="29" t="str">
        <f>IF(OR(J1024&gt;=140,K1024&gt;=90),"Có","Không")</f>
        <v>Có</v>
      </c>
      <c r="AK1024" s="5" t="s">
        <v>51</v>
      </c>
      <c r="AL1024" s="35">
        <v>46173</v>
      </c>
      <c r="AM1024" s="29" t="str">
        <f>"Tháng "&amp;MONTH(AL1024)</f>
        <v>Tháng 5</v>
      </c>
      <c r="AN1024" s="69" t="s">
        <v>1376</v>
      </c>
    </row>
    <row r="1025" spans="1:40" x14ac:dyDescent="0.25">
      <c r="A1025" s="52" t="s">
        <v>1176</v>
      </c>
      <c r="B1025" s="20" t="s">
        <v>30</v>
      </c>
      <c r="C1025" s="35">
        <v>21916</v>
      </c>
      <c r="D1025" s="29">
        <f ca="1">DATEDIF(C1025,TODAY(),"Y")</f>
        <v>66</v>
      </c>
      <c r="E1025" s="5" t="s">
        <v>26</v>
      </c>
      <c r="F1025" s="30">
        <v>173</v>
      </c>
      <c r="G1025" s="30">
        <v>71</v>
      </c>
      <c r="H1025" s="31">
        <f>G1025/((F1025/100)*(F1025/100))</f>
        <v>23.722810651876106</v>
      </c>
      <c r="I1025" s="5">
        <v>86</v>
      </c>
      <c r="J1025" s="30">
        <v>140</v>
      </c>
      <c r="K1025" s="30">
        <v>80</v>
      </c>
      <c r="L1025" s="29">
        <f>IF(B1025="Nữ",0,2)</f>
        <v>2</v>
      </c>
      <c r="M1025" s="29">
        <f ca="1">IF(D1025&lt;45,0,IF(D1025&lt;=49,1,2))</f>
        <v>2</v>
      </c>
      <c r="N1025" s="29">
        <f>IF(E1025="Có",4,0)</f>
        <v>0</v>
      </c>
      <c r="O1025" s="29">
        <f>IF(H1025&lt;23,0,IF(H1025&lt;27.5,3,5))</f>
        <v>3</v>
      </c>
      <c r="P1025" s="29">
        <f>IF(OR(AND(B1025="Nam",I1025&gt;=90),AND(B1025="Nữ",I1025&gt;=80)),2,0)</f>
        <v>0</v>
      </c>
      <c r="Q1025" s="29">
        <f>IF(OR(J1025&gt;=140,K1025&gt;=90),2,0)</f>
        <v>2</v>
      </c>
      <c r="R1025" s="29">
        <f ca="1">SUM(L1025:Q1025)</f>
        <v>9</v>
      </c>
      <c r="S1025" s="33"/>
      <c r="T1025" s="33"/>
      <c r="U1025" s="33"/>
      <c r="V1025" s="33"/>
      <c r="W1025" s="33"/>
      <c r="X1025" s="33"/>
      <c r="Y1025" s="33"/>
      <c r="Z1025" s="33"/>
      <c r="AA1025" s="33"/>
      <c r="AB1025" s="33"/>
      <c r="AC1025" s="33"/>
      <c r="AD1025" s="5" t="s">
        <v>1393</v>
      </c>
      <c r="AE1025" s="33"/>
      <c r="AF1025" s="59" t="str">
        <f t="shared" si="46"/>
        <v>Không</v>
      </c>
      <c r="AG1025" s="59" t="str">
        <f t="shared" si="47"/>
        <v>Không</v>
      </c>
      <c r="AH1025" s="29" t="str">
        <f t="shared" ca="1" si="45"/>
        <v>Có</v>
      </c>
      <c r="AI1025" s="29" t="str">
        <f ca="1">IF((R1025)&gt;=6,"Có","Không")</f>
        <v>Có</v>
      </c>
      <c r="AJ1025" s="29" t="str">
        <f>IF(OR(J1025&gt;=140,K1025&gt;=90),"Có","Không")</f>
        <v>Có</v>
      </c>
      <c r="AK1025" s="5" t="s">
        <v>51</v>
      </c>
      <c r="AL1025" s="35">
        <v>46173</v>
      </c>
      <c r="AM1025" s="29" t="str">
        <f>"Tháng "&amp;MONTH(AL1025)</f>
        <v>Tháng 5</v>
      </c>
      <c r="AN1025" s="69" t="s">
        <v>1376</v>
      </c>
    </row>
    <row r="1026" spans="1:40" x14ac:dyDescent="0.25">
      <c r="A1026" s="52" t="s">
        <v>1181</v>
      </c>
      <c r="B1026" s="20" t="s">
        <v>30</v>
      </c>
      <c r="C1026" s="35">
        <v>14246</v>
      </c>
      <c r="D1026" s="29">
        <f ca="1">DATEDIF(C1026,TODAY(),"Y")</f>
        <v>87</v>
      </c>
      <c r="E1026" s="5" t="s">
        <v>26</v>
      </c>
      <c r="F1026" s="30">
        <v>158</v>
      </c>
      <c r="G1026" s="30">
        <v>58</v>
      </c>
      <c r="H1026" s="31">
        <f>G1026/((F1026/100)*(F1026/100))</f>
        <v>23.233456176894723</v>
      </c>
      <c r="I1026" s="5">
        <v>85</v>
      </c>
      <c r="J1026" s="30">
        <v>120</v>
      </c>
      <c r="K1026" s="30">
        <v>80</v>
      </c>
      <c r="L1026" s="29">
        <f>IF(B1026="Nữ",0,2)</f>
        <v>2</v>
      </c>
      <c r="M1026" s="29">
        <f ca="1">IF(D1026&lt;45,0,IF(D1026&lt;=49,1,2))</f>
        <v>2</v>
      </c>
      <c r="N1026" s="29">
        <f>IF(E1026="Có",4,0)</f>
        <v>0</v>
      </c>
      <c r="O1026" s="29">
        <f>IF(H1026&lt;23,0,IF(H1026&lt;27.5,3,5))</f>
        <v>3</v>
      </c>
      <c r="P1026" s="29">
        <f>IF(OR(AND(B1026="Nam",I1026&gt;=90),AND(B1026="Nữ",I1026&gt;=80)),2,0)</f>
        <v>0</v>
      </c>
      <c r="Q1026" s="29">
        <f>IF(OR(J1026&gt;=140,K1026&gt;=90),2,0)</f>
        <v>0</v>
      </c>
      <c r="R1026" s="29">
        <f ca="1">SUM(L1026:Q1026)</f>
        <v>7</v>
      </c>
      <c r="S1026" s="33"/>
      <c r="T1026" s="33"/>
      <c r="U1026" s="33"/>
      <c r="V1026" s="33"/>
      <c r="W1026" s="33"/>
      <c r="X1026" s="33"/>
      <c r="Y1026" s="33"/>
      <c r="Z1026" s="33"/>
      <c r="AA1026" s="33"/>
      <c r="AB1026" s="33"/>
      <c r="AC1026" s="33"/>
      <c r="AD1026" s="5" t="s">
        <v>1393</v>
      </c>
      <c r="AE1026" s="33"/>
      <c r="AF1026" s="59" t="str">
        <f t="shared" si="46"/>
        <v>Không</v>
      </c>
      <c r="AG1026" s="59" t="str">
        <f t="shared" si="47"/>
        <v>Không</v>
      </c>
      <c r="AH1026" s="29" t="str">
        <f t="shared" ca="1" si="45"/>
        <v>Có</v>
      </c>
      <c r="AI1026" s="29" t="str">
        <f ca="1">IF((R1026)&gt;=6,"Có","Không")</f>
        <v>Có</v>
      </c>
      <c r="AJ1026" s="29" t="str">
        <f>IF(OR(J1026&gt;=140,K1026&gt;=90),"Có","Không")</f>
        <v>Không</v>
      </c>
      <c r="AK1026" s="5" t="s">
        <v>51</v>
      </c>
      <c r="AL1026" s="35">
        <v>46173</v>
      </c>
      <c r="AM1026" s="29" t="str">
        <f>"Tháng "&amp;MONTH(AL1026)</f>
        <v>Tháng 5</v>
      </c>
      <c r="AN1026" s="69" t="s">
        <v>1376</v>
      </c>
    </row>
    <row r="1027" spans="1:40" x14ac:dyDescent="0.25">
      <c r="A1027" s="52" t="s">
        <v>1184</v>
      </c>
      <c r="B1027" s="20" t="s">
        <v>30</v>
      </c>
      <c r="C1027" s="35">
        <v>24108</v>
      </c>
      <c r="D1027" s="29">
        <f ca="1">DATEDIF(C1027,TODAY(),"Y")</f>
        <v>60</v>
      </c>
      <c r="E1027" s="5" t="s">
        <v>25</v>
      </c>
      <c r="F1027" s="30">
        <v>158</v>
      </c>
      <c r="G1027" s="30">
        <v>58</v>
      </c>
      <c r="H1027" s="31">
        <f>G1027/((F1027/100)*(F1027/100))</f>
        <v>23.233456176894723</v>
      </c>
      <c r="I1027" s="5">
        <v>67</v>
      </c>
      <c r="J1027" s="30">
        <v>120</v>
      </c>
      <c r="K1027" s="30">
        <v>80</v>
      </c>
      <c r="L1027" s="29">
        <f>IF(B1027="Nữ",0,2)</f>
        <v>2</v>
      </c>
      <c r="M1027" s="29">
        <f ca="1">IF(D1027&lt;45,0,IF(D1027&lt;=49,1,2))</f>
        <v>2</v>
      </c>
      <c r="N1027" s="29">
        <f>IF(E1027="Có",4,0)</f>
        <v>4</v>
      </c>
      <c r="O1027" s="29">
        <f>IF(H1027&lt;23,0,IF(H1027&lt;27.5,3,5))</f>
        <v>3</v>
      </c>
      <c r="P1027" s="29">
        <f>IF(OR(AND(B1027="Nam",I1027&gt;=90),AND(B1027="Nữ",I1027&gt;=80)),2,0)</f>
        <v>0</v>
      </c>
      <c r="Q1027" s="29">
        <f>IF(OR(J1027&gt;=140,K1027&gt;=90),2,0)</f>
        <v>0</v>
      </c>
      <c r="R1027" s="29">
        <f ca="1">SUM(L1027:Q1027)</f>
        <v>11</v>
      </c>
      <c r="S1027" s="33"/>
      <c r="T1027" s="33"/>
      <c r="U1027" s="33"/>
      <c r="V1027" s="33"/>
      <c r="W1027" s="33"/>
      <c r="X1027" s="33"/>
      <c r="Y1027" s="33"/>
      <c r="Z1027" s="33"/>
      <c r="AA1027" s="33"/>
      <c r="AB1027" s="33"/>
      <c r="AC1027" s="33"/>
      <c r="AD1027" s="5" t="s">
        <v>1393</v>
      </c>
      <c r="AE1027" s="33"/>
      <c r="AF1027" s="59" t="str">
        <f t="shared" si="46"/>
        <v>Không</v>
      </c>
      <c r="AG1027" s="59" t="str">
        <f t="shared" si="47"/>
        <v>Không</v>
      </c>
      <c r="AH1027" s="29" t="str">
        <f t="shared" ca="1" si="45"/>
        <v>Có</v>
      </c>
      <c r="AI1027" s="29" t="str">
        <f ca="1">IF((R1027)&gt;=6,"Có","Không")</f>
        <v>Có</v>
      </c>
      <c r="AJ1027" s="29" t="str">
        <f>IF(OR(J1027&gt;=140,K1027&gt;=90),"Có","Không")</f>
        <v>Không</v>
      </c>
      <c r="AK1027" s="5" t="s">
        <v>51</v>
      </c>
      <c r="AL1027" s="35">
        <v>46173</v>
      </c>
      <c r="AM1027" s="29" t="str">
        <f>"Tháng "&amp;MONTH(AL1027)</f>
        <v>Tháng 5</v>
      </c>
      <c r="AN1027" s="69" t="s">
        <v>1376</v>
      </c>
    </row>
    <row r="1028" spans="1:40" x14ac:dyDescent="0.25">
      <c r="A1028" s="52" t="s">
        <v>1185</v>
      </c>
      <c r="B1028" s="20" t="s">
        <v>30</v>
      </c>
      <c r="C1028" s="35">
        <v>18994</v>
      </c>
      <c r="D1028" s="29">
        <f ca="1">DATEDIF(C1028,TODAY(),"Y")</f>
        <v>74</v>
      </c>
      <c r="E1028" s="5" t="s">
        <v>26</v>
      </c>
      <c r="F1028" s="30">
        <v>169</v>
      </c>
      <c r="G1028" s="30">
        <v>68</v>
      </c>
      <c r="H1028" s="31">
        <f>G1028/((F1028/100)*(F1028/100))</f>
        <v>23.808690171912751</v>
      </c>
      <c r="I1028" s="5">
        <v>65</v>
      </c>
      <c r="J1028" s="30">
        <v>140</v>
      </c>
      <c r="K1028" s="30">
        <v>80</v>
      </c>
      <c r="L1028" s="29">
        <f>IF(B1028="Nữ",0,2)</f>
        <v>2</v>
      </c>
      <c r="M1028" s="29">
        <f ca="1">IF(D1028&lt;45,0,IF(D1028&lt;=49,1,2))</f>
        <v>2</v>
      </c>
      <c r="N1028" s="29">
        <f>IF(E1028="Có",4,0)</f>
        <v>0</v>
      </c>
      <c r="O1028" s="29">
        <f>IF(H1028&lt;23,0,IF(H1028&lt;27.5,3,5))</f>
        <v>3</v>
      </c>
      <c r="P1028" s="29">
        <f>IF(OR(AND(B1028="Nam",I1028&gt;=90),AND(B1028="Nữ",I1028&gt;=80)),2,0)</f>
        <v>0</v>
      </c>
      <c r="Q1028" s="29">
        <f>IF(OR(J1028&gt;=140,K1028&gt;=90),2,0)</f>
        <v>2</v>
      </c>
      <c r="R1028" s="29">
        <f ca="1">SUM(L1028:Q1028)</f>
        <v>9</v>
      </c>
      <c r="S1028" s="33"/>
      <c r="T1028" s="33"/>
      <c r="U1028" s="33"/>
      <c r="V1028" s="33"/>
      <c r="W1028" s="33"/>
      <c r="X1028" s="33"/>
      <c r="Y1028" s="33"/>
      <c r="Z1028" s="33"/>
      <c r="AA1028" s="33"/>
      <c r="AB1028" s="33"/>
      <c r="AC1028" s="33"/>
      <c r="AD1028" s="5" t="s">
        <v>1393</v>
      </c>
      <c r="AE1028" s="33"/>
      <c r="AF1028" s="59" t="str">
        <f t="shared" si="46"/>
        <v>Không</v>
      </c>
      <c r="AG1028" s="59" t="str">
        <f t="shared" si="47"/>
        <v>Không</v>
      </c>
      <c r="AH1028" s="29" t="str">
        <f t="shared" ref="AH1028:AH1091" ca="1" si="48">IF((R1028)&gt;=6,"Có","Không")</f>
        <v>Có</v>
      </c>
      <c r="AI1028" s="29" t="str">
        <f ca="1">IF((R1028)&gt;=6,"Có","Không")</f>
        <v>Có</v>
      </c>
      <c r="AJ1028" s="29" t="str">
        <f>IF(OR(J1028&gt;=140,K1028&gt;=90),"Có","Không")</f>
        <v>Có</v>
      </c>
      <c r="AK1028" s="5" t="s">
        <v>51</v>
      </c>
      <c r="AL1028" s="35">
        <v>46173</v>
      </c>
      <c r="AM1028" s="29" t="str">
        <f>"Tháng "&amp;MONTH(AL1028)</f>
        <v>Tháng 5</v>
      </c>
      <c r="AN1028" s="69" t="s">
        <v>1376</v>
      </c>
    </row>
    <row r="1029" spans="1:40" x14ac:dyDescent="0.25">
      <c r="A1029" s="52" t="s">
        <v>1186</v>
      </c>
      <c r="B1029" s="20" t="s">
        <v>30</v>
      </c>
      <c r="C1029" s="35">
        <v>22647</v>
      </c>
      <c r="D1029" s="29">
        <f ca="1">DATEDIF(C1029,TODAY(),"Y")</f>
        <v>64</v>
      </c>
      <c r="E1029" s="5" t="s">
        <v>26</v>
      </c>
      <c r="F1029" s="30">
        <v>158</v>
      </c>
      <c r="G1029" s="30">
        <v>58</v>
      </c>
      <c r="H1029" s="31">
        <f>G1029/((F1029/100)*(F1029/100))</f>
        <v>23.233456176894723</v>
      </c>
      <c r="I1029" s="5">
        <v>83</v>
      </c>
      <c r="J1029" s="30">
        <v>130</v>
      </c>
      <c r="K1029" s="30">
        <v>80</v>
      </c>
      <c r="L1029" s="29">
        <f>IF(B1029="Nữ",0,2)</f>
        <v>2</v>
      </c>
      <c r="M1029" s="29">
        <f ca="1">IF(D1029&lt;45,0,IF(D1029&lt;=49,1,2))</f>
        <v>2</v>
      </c>
      <c r="N1029" s="29">
        <f>IF(E1029="Có",4,0)</f>
        <v>0</v>
      </c>
      <c r="O1029" s="29">
        <f>IF(H1029&lt;23,0,IF(H1029&lt;27.5,3,5))</f>
        <v>3</v>
      </c>
      <c r="P1029" s="29">
        <f>IF(OR(AND(B1029="Nam",I1029&gt;=90),AND(B1029="Nữ",I1029&gt;=80)),2,0)</f>
        <v>0</v>
      </c>
      <c r="Q1029" s="29">
        <f>IF(OR(J1029&gt;=140,K1029&gt;=90),2,0)</f>
        <v>0</v>
      </c>
      <c r="R1029" s="29">
        <f ca="1">SUM(L1029:Q1029)</f>
        <v>7</v>
      </c>
      <c r="S1029" s="33"/>
      <c r="T1029" s="33"/>
      <c r="U1029" s="33"/>
      <c r="V1029" s="33"/>
      <c r="W1029" s="33"/>
      <c r="X1029" s="33"/>
      <c r="Y1029" s="33"/>
      <c r="Z1029" s="33"/>
      <c r="AA1029" s="33"/>
      <c r="AB1029" s="33"/>
      <c r="AC1029" s="33"/>
      <c r="AD1029" s="5" t="s">
        <v>1393</v>
      </c>
      <c r="AE1029" s="33"/>
      <c r="AF1029" s="59" t="str">
        <f t="shared" ref="AF1029:AF1092" si="49">IF(COUNTIF(S1029:Z1029,"X")&gt;=2,"Có","Không")</f>
        <v>Không</v>
      </c>
      <c r="AG1029" s="59" t="str">
        <f t="shared" ref="AG1029:AG1092" si="50">IF(COUNTIF(AA1029:AE1029,"X")&gt;=3,"Có","Không")</f>
        <v>Không</v>
      </c>
      <c r="AH1029" s="29" t="str">
        <f t="shared" ca="1" si="48"/>
        <v>Có</v>
      </c>
      <c r="AI1029" s="29" t="str">
        <f ca="1">IF((R1029)&gt;=6,"Có","Không")</f>
        <v>Có</v>
      </c>
      <c r="AJ1029" s="29" t="str">
        <f>IF(OR(J1029&gt;=140,K1029&gt;=90),"Có","Không")</f>
        <v>Không</v>
      </c>
      <c r="AK1029" s="5" t="s">
        <v>51</v>
      </c>
      <c r="AL1029" s="35">
        <v>46173</v>
      </c>
      <c r="AM1029" s="29" t="str">
        <f>"Tháng "&amp;MONTH(AL1029)</f>
        <v>Tháng 5</v>
      </c>
      <c r="AN1029" s="69" t="s">
        <v>1376</v>
      </c>
    </row>
    <row r="1030" spans="1:40" x14ac:dyDescent="0.25">
      <c r="A1030" s="52" t="s">
        <v>1187</v>
      </c>
      <c r="B1030" s="20" t="s">
        <v>30</v>
      </c>
      <c r="C1030" s="35">
        <v>18994</v>
      </c>
      <c r="D1030" s="29">
        <f ca="1">DATEDIF(C1030,TODAY(),"Y")</f>
        <v>74</v>
      </c>
      <c r="E1030" s="5" t="s">
        <v>26</v>
      </c>
      <c r="F1030" s="30">
        <v>158</v>
      </c>
      <c r="G1030" s="30">
        <v>58</v>
      </c>
      <c r="H1030" s="31">
        <f>G1030/((F1030/100)*(F1030/100))</f>
        <v>23.233456176894723</v>
      </c>
      <c r="I1030" s="5">
        <v>72</v>
      </c>
      <c r="J1030" s="30">
        <v>120</v>
      </c>
      <c r="K1030" s="30">
        <v>80</v>
      </c>
      <c r="L1030" s="29">
        <f>IF(B1030="Nữ",0,2)</f>
        <v>2</v>
      </c>
      <c r="M1030" s="29">
        <f ca="1">IF(D1030&lt;45,0,IF(D1030&lt;=49,1,2))</f>
        <v>2</v>
      </c>
      <c r="N1030" s="29">
        <f>IF(E1030="Có",4,0)</f>
        <v>0</v>
      </c>
      <c r="O1030" s="29">
        <f>IF(H1030&lt;23,0,IF(H1030&lt;27.5,3,5))</f>
        <v>3</v>
      </c>
      <c r="P1030" s="29">
        <f>IF(OR(AND(B1030="Nam",I1030&gt;=90),AND(B1030="Nữ",I1030&gt;=80)),2,0)</f>
        <v>0</v>
      </c>
      <c r="Q1030" s="29">
        <f>IF(OR(J1030&gt;=140,K1030&gt;=90),2,0)</f>
        <v>0</v>
      </c>
      <c r="R1030" s="29">
        <f ca="1">SUM(L1030:Q1030)</f>
        <v>7</v>
      </c>
      <c r="S1030" s="33"/>
      <c r="T1030" s="33"/>
      <c r="U1030" s="33"/>
      <c r="V1030" s="33"/>
      <c r="W1030" s="33"/>
      <c r="X1030" s="33"/>
      <c r="Y1030" s="33"/>
      <c r="Z1030" s="33"/>
      <c r="AA1030" s="33"/>
      <c r="AB1030" s="33"/>
      <c r="AC1030" s="33"/>
      <c r="AD1030" s="5" t="s">
        <v>1393</v>
      </c>
      <c r="AE1030" s="33"/>
      <c r="AF1030" s="59" t="str">
        <f t="shared" si="49"/>
        <v>Không</v>
      </c>
      <c r="AG1030" s="59" t="str">
        <f t="shared" si="50"/>
        <v>Không</v>
      </c>
      <c r="AH1030" s="29" t="str">
        <f t="shared" ca="1" si="48"/>
        <v>Có</v>
      </c>
      <c r="AI1030" s="29" t="str">
        <f ca="1">IF((R1030)&gt;=6,"Có","Không")</f>
        <v>Có</v>
      </c>
      <c r="AJ1030" s="29" t="str">
        <f>IF(OR(J1030&gt;=140,K1030&gt;=90),"Có","Không")</f>
        <v>Không</v>
      </c>
      <c r="AK1030" s="5" t="s">
        <v>51</v>
      </c>
      <c r="AL1030" s="35">
        <v>46173</v>
      </c>
      <c r="AM1030" s="29" t="str">
        <f>"Tháng "&amp;MONTH(AL1030)</f>
        <v>Tháng 5</v>
      </c>
      <c r="AN1030" s="69" t="s">
        <v>1376</v>
      </c>
    </row>
    <row r="1031" spans="1:40" x14ac:dyDescent="0.25">
      <c r="A1031" s="52" t="s">
        <v>1189</v>
      </c>
      <c r="B1031" s="21" t="s">
        <v>30</v>
      </c>
      <c r="C1031" s="35">
        <v>22647</v>
      </c>
      <c r="D1031" s="29">
        <f ca="1">DATEDIF(C1031,TODAY(),"Y")</f>
        <v>64</v>
      </c>
      <c r="E1031" s="5" t="s">
        <v>26</v>
      </c>
      <c r="F1031" s="30">
        <v>169</v>
      </c>
      <c r="G1031" s="30">
        <v>68</v>
      </c>
      <c r="H1031" s="31">
        <f>G1031/((F1031/100)*(F1031/100))</f>
        <v>23.808690171912751</v>
      </c>
      <c r="I1031" s="5">
        <v>68</v>
      </c>
      <c r="J1031" s="30">
        <v>160</v>
      </c>
      <c r="K1031" s="30">
        <v>80</v>
      </c>
      <c r="L1031" s="29">
        <f>IF(B1031="Nữ",0,2)</f>
        <v>2</v>
      </c>
      <c r="M1031" s="29">
        <f ca="1">IF(D1031&lt;45,0,IF(D1031&lt;=49,1,2))</f>
        <v>2</v>
      </c>
      <c r="N1031" s="29">
        <f>IF(E1031="Có",4,0)</f>
        <v>0</v>
      </c>
      <c r="O1031" s="29">
        <f>IF(H1031&lt;23,0,IF(H1031&lt;27.5,3,5))</f>
        <v>3</v>
      </c>
      <c r="P1031" s="29">
        <f>IF(OR(AND(B1031="Nam",I1031&gt;=90),AND(B1031="Nữ",I1031&gt;=80)),2,0)</f>
        <v>0</v>
      </c>
      <c r="Q1031" s="29">
        <f>IF(OR(J1031&gt;=140,K1031&gt;=90),2,0)</f>
        <v>2</v>
      </c>
      <c r="R1031" s="29">
        <f ca="1">SUM(L1031:Q1031)</f>
        <v>9</v>
      </c>
      <c r="S1031" s="33"/>
      <c r="T1031" s="33"/>
      <c r="U1031" s="33"/>
      <c r="V1031" s="33"/>
      <c r="W1031" s="33"/>
      <c r="X1031" s="33"/>
      <c r="Y1031" s="33"/>
      <c r="Z1031" s="33"/>
      <c r="AA1031" s="33"/>
      <c r="AB1031" s="33"/>
      <c r="AC1031" s="33"/>
      <c r="AD1031" s="5" t="s">
        <v>1393</v>
      </c>
      <c r="AE1031" s="33"/>
      <c r="AF1031" s="59" t="str">
        <f t="shared" si="49"/>
        <v>Không</v>
      </c>
      <c r="AG1031" s="59" t="str">
        <f t="shared" si="50"/>
        <v>Không</v>
      </c>
      <c r="AH1031" s="29" t="str">
        <f t="shared" ca="1" si="48"/>
        <v>Có</v>
      </c>
      <c r="AI1031" s="29" t="str">
        <f ca="1">IF((R1031)&gt;=6,"Có","Không")</f>
        <v>Có</v>
      </c>
      <c r="AJ1031" s="29" t="str">
        <f>IF(OR(J1031&gt;=140,K1031&gt;=90),"Có","Không")</f>
        <v>Có</v>
      </c>
      <c r="AK1031" s="5" t="s">
        <v>51</v>
      </c>
      <c r="AL1031" s="35">
        <v>46173</v>
      </c>
      <c r="AM1031" s="29" t="str">
        <f>"Tháng "&amp;MONTH(AL1031)</f>
        <v>Tháng 5</v>
      </c>
      <c r="AN1031" s="69" t="s">
        <v>1376</v>
      </c>
    </row>
    <row r="1032" spans="1:40" x14ac:dyDescent="0.25">
      <c r="A1032" s="52" t="s">
        <v>1190</v>
      </c>
      <c r="B1032" s="21" t="s">
        <v>30</v>
      </c>
      <c r="C1032" s="35">
        <v>24108</v>
      </c>
      <c r="D1032" s="29">
        <f ca="1">DATEDIF(C1032,TODAY(),"Y")</f>
        <v>60</v>
      </c>
      <c r="E1032" s="5" t="s">
        <v>26</v>
      </c>
      <c r="F1032" s="30">
        <v>158</v>
      </c>
      <c r="G1032" s="30">
        <v>58</v>
      </c>
      <c r="H1032" s="31">
        <f>G1032/((F1032/100)*(F1032/100))</f>
        <v>23.233456176894723</v>
      </c>
      <c r="I1032" s="5">
        <v>77</v>
      </c>
      <c r="J1032" s="30">
        <v>140</v>
      </c>
      <c r="K1032" s="30">
        <v>80</v>
      </c>
      <c r="L1032" s="29">
        <f>IF(B1032="Nữ",0,2)</f>
        <v>2</v>
      </c>
      <c r="M1032" s="29">
        <f ca="1">IF(D1032&lt;45,0,IF(D1032&lt;=49,1,2))</f>
        <v>2</v>
      </c>
      <c r="N1032" s="29">
        <f>IF(E1032="Có",4,0)</f>
        <v>0</v>
      </c>
      <c r="O1032" s="29">
        <f>IF(H1032&lt;23,0,IF(H1032&lt;27.5,3,5))</f>
        <v>3</v>
      </c>
      <c r="P1032" s="29">
        <f>IF(OR(AND(B1032="Nam",I1032&gt;=90),AND(B1032="Nữ",I1032&gt;=80)),2,0)</f>
        <v>0</v>
      </c>
      <c r="Q1032" s="29">
        <f>IF(OR(J1032&gt;=140,K1032&gt;=90),2,0)</f>
        <v>2</v>
      </c>
      <c r="R1032" s="29">
        <f ca="1">SUM(L1032:Q1032)</f>
        <v>9</v>
      </c>
      <c r="S1032" s="33"/>
      <c r="T1032" s="33"/>
      <c r="U1032" s="33"/>
      <c r="V1032" s="33"/>
      <c r="W1032" s="33"/>
      <c r="X1032" s="33"/>
      <c r="Y1032" s="33"/>
      <c r="Z1032" s="33"/>
      <c r="AA1032" s="33"/>
      <c r="AB1032" s="33"/>
      <c r="AC1032" s="33"/>
      <c r="AD1032" s="5" t="s">
        <v>1393</v>
      </c>
      <c r="AE1032" s="33"/>
      <c r="AF1032" s="59" t="str">
        <f t="shared" si="49"/>
        <v>Không</v>
      </c>
      <c r="AG1032" s="59" t="str">
        <f t="shared" si="50"/>
        <v>Không</v>
      </c>
      <c r="AH1032" s="29" t="str">
        <f t="shared" ca="1" si="48"/>
        <v>Có</v>
      </c>
      <c r="AI1032" s="29" t="str">
        <f ca="1">IF((R1032)&gt;=6,"Có","Không")</f>
        <v>Có</v>
      </c>
      <c r="AJ1032" s="29" t="str">
        <f>IF(OR(J1032&gt;=140,K1032&gt;=90),"Có","Không")</f>
        <v>Có</v>
      </c>
      <c r="AK1032" s="5" t="s">
        <v>51</v>
      </c>
      <c r="AL1032" s="35">
        <v>46173</v>
      </c>
      <c r="AM1032" s="29" t="str">
        <f>"Tháng "&amp;MONTH(AL1032)</f>
        <v>Tháng 5</v>
      </c>
      <c r="AN1032" s="69" t="s">
        <v>1376</v>
      </c>
    </row>
    <row r="1033" spans="1:40" x14ac:dyDescent="0.25">
      <c r="A1033" s="52" t="s">
        <v>1192</v>
      </c>
      <c r="B1033" s="21" t="s">
        <v>30</v>
      </c>
      <c r="C1033" s="35">
        <v>15342</v>
      </c>
      <c r="D1033" s="29">
        <f ca="1">DATEDIF(C1033,TODAY(),"Y")</f>
        <v>84</v>
      </c>
      <c r="E1033" s="5" t="s">
        <v>26</v>
      </c>
      <c r="F1033" s="30">
        <v>156</v>
      </c>
      <c r="G1033" s="30">
        <v>56</v>
      </c>
      <c r="H1033" s="31">
        <f>G1033/((F1033/100)*(F1033/100))</f>
        <v>23.011176857330703</v>
      </c>
      <c r="I1033" s="5">
        <v>96</v>
      </c>
      <c r="J1033" s="30">
        <v>160</v>
      </c>
      <c r="K1033" s="30">
        <v>80</v>
      </c>
      <c r="L1033" s="29">
        <f>IF(B1033="Nữ",0,2)</f>
        <v>2</v>
      </c>
      <c r="M1033" s="29">
        <f ca="1">IF(D1033&lt;45,0,IF(D1033&lt;=49,1,2))</f>
        <v>2</v>
      </c>
      <c r="N1033" s="29">
        <f>IF(E1033="Có",4,0)</f>
        <v>0</v>
      </c>
      <c r="O1033" s="29">
        <f>IF(H1033&lt;23,0,IF(H1033&lt;27.5,3,5))</f>
        <v>3</v>
      </c>
      <c r="P1033" s="29">
        <f>IF(OR(AND(B1033="Nam",I1033&gt;=90),AND(B1033="Nữ",I1033&gt;=80)),2,0)</f>
        <v>2</v>
      </c>
      <c r="Q1033" s="29">
        <f>IF(OR(J1033&gt;=140,K1033&gt;=90),2,0)</f>
        <v>2</v>
      </c>
      <c r="R1033" s="29">
        <f ca="1">SUM(L1033:Q1033)</f>
        <v>11</v>
      </c>
      <c r="S1033" s="33"/>
      <c r="T1033" s="33"/>
      <c r="U1033" s="33"/>
      <c r="V1033" s="33"/>
      <c r="W1033" s="33"/>
      <c r="X1033" s="33"/>
      <c r="Y1033" s="33"/>
      <c r="Z1033" s="33"/>
      <c r="AA1033" s="33"/>
      <c r="AB1033" s="33"/>
      <c r="AC1033" s="33"/>
      <c r="AD1033" s="5" t="s">
        <v>1393</v>
      </c>
      <c r="AE1033" s="33"/>
      <c r="AF1033" s="59" t="str">
        <f t="shared" si="49"/>
        <v>Không</v>
      </c>
      <c r="AG1033" s="59" t="str">
        <f t="shared" si="50"/>
        <v>Không</v>
      </c>
      <c r="AH1033" s="29" t="str">
        <f t="shared" ca="1" si="48"/>
        <v>Có</v>
      </c>
      <c r="AI1033" s="29" t="str">
        <f ca="1">IF((R1033)&gt;=6,"Có","Không")</f>
        <v>Có</v>
      </c>
      <c r="AJ1033" s="29" t="str">
        <f>IF(OR(J1033&gt;=140,K1033&gt;=90),"Có","Không")</f>
        <v>Có</v>
      </c>
      <c r="AK1033" s="5" t="s">
        <v>51</v>
      </c>
      <c r="AL1033" s="35">
        <v>46173</v>
      </c>
      <c r="AM1033" s="29" t="str">
        <f>"Tháng "&amp;MONTH(AL1033)</f>
        <v>Tháng 5</v>
      </c>
      <c r="AN1033" s="69" t="s">
        <v>1376</v>
      </c>
    </row>
    <row r="1034" spans="1:40" x14ac:dyDescent="0.25">
      <c r="A1034" s="52" t="s">
        <v>1193</v>
      </c>
      <c r="B1034" s="21" t="s">
        <v>30</v>
      </c>
      <c r="C1034" s="35">
        <v>19725</v>
      </c>
      <c r="D1034" s="29">
        <f ca="1">DATEDIF(C1034,TODAY(),"Y")</f>
        <v>72</v>
      </c>
      <c r="E1034" s="5" t="s">
        <v>26</v>
      </c>
      <c r="F1034" s="30">
        <v>150</v>
      </c>
      <c r="G1034" s="30">
        <v>54</v>
      </c>
      <c r="H1034" s="31">
        <f>G1034/((F1034/100)*(F1034/100))</f>
        <v>24</v>
      </c>
      <c r="I1034" s="5">
        <v>97</v>
      </c>
      <c r="J1034" s="30">
        <v>140</v>
      </c>
      <c r="K1034" s="30">
        <v>80</v>
      </c>
      <c r="L1034" s="29">
        <f>IF(B1034="Nữ",0,2)</f>
        <v>2</v>
      </c>
      <c r="M1034" s="29">
        <f ca="1">IF(D1034&lt;45,0,IF(D1034&lt;=49,1,2))</f>
        <v>2</v>
      </c>
      <c r="N1034" s="29">
        <f>IF(E1034="Có",4,0)</f>
        <v>0</v>
      </c>
      <c r="O1034" s="29">
        <f>IF(H1034&lt;23,0,IF(H1034&lt;27.5,3,5))</f>
        <v>3</v>
      </c>
      <c r="P1034" s="29">
        <f>IF(OR(AND(B1034="Nam",I1034&gt;=90),AND(B1034="Nữ",I1034&gt;=80)),2,0)</f>
        <v>2</v>
      </c>
      <c r="Q1034" s="29">
        <f>IF(OR(J1034&gt;=140,K1034&gt;=90),2,0)</f>
        <v>2</v>
      </c>
      <c r="R1034" s="29">
        <f ca="1">SUM(L1034:Q1034)</f>
        <v>11</v>
      </c>
      <c r="S1034" s="33"/>
      <c r="T1034" s="33"/>
      <c r="U1034" s="33"/>
      <c r="V1034" s="33"/>
      <c r="W1034" s="33"/>
      <c r="X1034" s="33"/>
      <c r="Y1034" s="33"/>
      <c r="Z1034" s="33"/>
      <c r="AA1034" s="33"/>
      <c r="AB1034" s="33"/>
      <c r="AC1034" s="33"/>
      <c r="AD1034" s="5" t="s">
        <v>1393</v>
      </c>
      <c r="AE1034" s="33"/>
      <c r="AF1034" s="59" t="str">
        <f t="shared" si="49"/>
        <v>Không</v>
      </c>
      <c r="AG1034" s="59" t="str">
        <f t="shared" si="50"/>
        <v>Không</v>
      </c>
      <c r="AH1034" s="29" t="str">
        <f t="shared" ca="1" si="48"/>
        <v>Có</v>
      </c>
      <c r="AI1034" s="29" t="str">
        <f ca="1">IF((R1034)&gt;=6,"Có","Không")</f>
        <v>Có</v>
      </c>
      <c r="AJ1034" s="29" t="str">
        <f>IF(OR(J1034&gt;=140,K1034&gt;=90),"Có","Không")</f>
        <v>Có</v>
      </c>
      <c r="AK1034" s="5" t="s">
        <v>51</v>
      </c>
      <c r="AL1034" s="35">
        <v>46173</v>
      </c>
      <c r="AM1034" s="29" t="str">
        <f>"Tháng "&amp;MONTH(AL1034)</f>
        <v>Tháng 5</v>
      </c>
      <c r="AN1034" s="69" t="s">
        <v>1376</v>
      </c>
    </row>
    <row r="1035" spans="1:40" x14ac:dyDescent="0.25">
      <c r="A1035" s="52" t="s">
        <v>1194</v>
      </c>
      <c r="B1035" s="21" t="s">
        <v>30</v>
      </c>
      <c r="C1035" s="35">
        <v>23377</v>
      </c>
      <c r="D1035" s="29">
        <f ca="1">DATEDIF(C1035,TODAY(),"Y")</f>
        <v>62</v>
      </c>
      <c r="E1035" s="5" t="s">
        <v>26</v>
      </c>
      <c r="F1035" s="30">
        <v>158</v>
      </c>
      <c r="G1035" s="30">
        <v>58</v>
      </c>
      <c r="H1035" s="31">
        <f>G1035/((F1035/100)*(F1035/100))</f>
        <v>23.233456176894723</v>
      </c>
      <c r="I1035" s="5">
        <v>86</v>
      </c>
      <c r="J1035" s="30">
        <v>140</v>
      </c>
      <c r="K1035" s="30">
        <v>80</v>
      </c>
      <c r="L1035" s="29">
        <f>IF(B1035="Nữ",0,2)</f>
        <v>2</v>
      </c>
      <c r="M1035" s="29">
        <f ca="1">IF(D1035&lt;45,0,IF(D1035&lt;=49,1,2))</f>
        <v>2</v>
      </c>
      <c r="N1035" s="29">
        <f>IF(E1035="Có",4,0)</f>
        <v>0</v>
      </c>
      <c r="O1035" s="29">
        <f>IF(H1035&lt;23,0,IF(H1035&lt;27.5,3,5))</f>
        <v>3</v>
      </c>
      <c r="P1035" s="29">
        <f>IF(OR(AND(B1035="Nam",I1035&gt;=90),AND(B1035="Nữ",I1035&gt;=80)),2,0)</f>
        <v>0</v>
      </c>
      <c r="Q1035" s="29">
        <f>IF(OR(J1035&gt;=140,K1035&gt;=90),2,0)</f>
        <v>2</v>
      </c>
      <c r="R1035" s="29">
        <f ca="1">SUM(L1035:Q1035)</f>
        <v>9</v>
      </c>
      <c r="S1035" s="33"/>
      <c r="T1035" s="33"/>
      <c r="U1035" s="33"/>
      <c r="V1035" s="33"/>
      <c r="W1035" s="33"/>
      <c r="X1035" s="33"/>
      <c r="Y1035" s="33"/>
      <c r="Z1035" s="33"/>
      <c r="AA1035" s="33"/>
      <c r="AB1035" s="33"/>
      <c r="AC1035" s="33"/>
      <c r="AD1035" s="5" t="s">
        <v>1393</v>
      </c>
      <c r="AE1035" s="33"/>
      <c r="AF1035" s="59" t="str">
        <f t="shared" si="49"/>
        <v>Không</v>
      </c>
      <c r="AG1035" s="59" t="str">
        <f t="shared" si="50"/>
        <v>Không</v>
      </c>
      <c r="AH1035" s="29" t="str">
        <f t="shared" ca="1" si="48"/>
        <v>Có</v>
      </c>
      <c r="AI1035" s="29" t="str">
        <f ca="1">IF((R1035)&gt;=6,"Có","Không")</f>
        <v>Có</v>
      </c>
      <c r="AJ1035" s="29" t="str">
        <f>IF(OR(J1035&gt;=140,K1035&gt;=90),"Có","Không")</f>
        <v>Có</v>
      </c>
      <c r="AK1035" s="5" t="s">
        <v>51</v>
      </c>
      <c r="AL1035" s="35">
        <v>46173</v>
      </c>
      <c r="AM1035" s="29" t="str">
        <f>"Tháng "&amp;MONTH(AL1035)</f>
        <v>Tháng 5</v>
      </c>
      <c r="AN1035" s="69" t="s">
        <v>1376</v>
      </c>
    </row>
    <row r="1036" spans="1:40" x14ac:dyDescent="0.25">
      <c r="A1036" s="52" t="s">
        <v>1195</v>
      </c>
      <c r="B1036" s="21" t="s">
        <v>23</v>
      </c>
      <c r="C1036" s="35">
        <v>23743</v>
      </c>
      <c r="D1036" s="29">
        <f ca="1">DATEDIF(C1036,TODAY(),"Y")</f>
        <v>61</v>
      </c>
      <c r="E1036" s="5" t="s">
        <v>26</v>
      </c>
      <c r="F1036" s="30">
        <v>160</v>
      </c>
      <c r="G1036" s="30">
        <v>69</v>
      </c>
      <c r="H1036" s="31">
        <f>G1036/((F1036/100)*(F1036/100))</f>
        <v>26.953124999999996</v>
      </c>
      <c r="I1036" s="5">
        <v>75</v>
      </c>
      <c r="J1036" s="30">
        <v>160</v>
      </c>
      <c r="K1036" s="30">
        <v>80</v>
      </c>
      <c r="L1036" s="29">
        <f>IF(B1036="Nữ",0,2)</f>
        <v>0</v>
      </c>
      <c r="M1036" s="29">
        <f ca="1">IF(D1036&lt;45,0,IF(D1036&lt;=49,1,2))</f>
        <v>2</v>
      </c>
      <c r="N1036" s="29">
        <f>IF(E1036="Có",4,0)</f>
        <v>0</v>
      </c>
      <c r="O1036" s="29">
        <f>IF(H1036&lt;23,0,IF(H1036&lt;27.5,3,5))</f>
        <v>3</v>
      </c>
      <c r="P1036" s="29">
        <f>IF(OR(AND(B1036="Nam",I1036&gt;=90),AND(B1036="Nữ",I1036&gt;=80)),2,0)</f>
        <v>0</v>
      </c>
      <c r="Q1036" s="29">
        <f>IF(OR(J1036&gt;=140,K1036&gt;=90),2,0)</f>
        <v>2</v>
      </c>
      <c r="R1036" s="29">
        <f ca="1">SUM(L1036:Q1036)</f>
        <v>7</v>
      </c>
      <c r="S1036" s="33"/>
      <c r="T1036" s="33"/>
      <c r="U1036" s="33"/>
      <c r="V1036" s="33"/>
      <c r="W1036" s="33"/>
      <c r="X1036" s="33"/>
      <c r="Y1036" s="33"/>
      <c r="Z1036" s="33"/>
      <c r="AA1036" s="33"/>
      <c r="AB1036" s="33"/>
      <c r="AC1036" s="33"/>
      <c r="AD1036" s="5" t="s">
        <v>1393</v>
      </c>
      <c r="AE1036" s="33"/>
      <c r="AF1036" s="59" t="str">
        <f t="shared" si="49"/>
        <v>Không</v>
      </c>
      <c r="AG1036" s="59" t="str">
        <f t="shared" si="50"/>
        <v>Không</v>
      </c>
      <c r="AH1036" s="29" t="str">
        <f t="shared" ca="1" si="48"/>
        <v>Có</v>
      </c>
      <c r="AI1036" s="29" t="str">
        <f ca="1">IF((R1036)&gt;=6,"Có","Không")</f>
        <v>Có</v>
      </c>
      <c r="AJ1036" s="29" t="str">
        <f>IF(OR(J1036&gt;=140,K1036&gt;=90),"Có","Không")</f>
        <v>Có</v>
      </c>
      <c r="AK1036" s="5" t="s">
        <v>51</v>
      </c>
      <c r="AL1036" s="35">
        <v>46173</v>
      </c>
      <c r="AM1036" s="29" t="str">
        <f>"Tháng "&amp;MONTH(AL1036)</f>
        <v>Tháng 5</v>
      </c>
      <c r="AN1036" s="69" t="s">
        <v>1376</v>
      </c>
    </row>
    <row r="1037" spans="1:40" x14ac:dyDescent="0.25">
      <c r="A1037" s="52" t="s">
        <v>1196</v>
      </c>
      <c r="B1037" s="21" t="s">
        <v>30</v>
      </c>
      <c r="C1037" s="35">
        <v>26665</v>
      </c>
      <c r="D1037" s="29">
        <f ca="1">DATEDIF(C1037,TODAY(),"Y")</f>
        <v>53</v>
      </c>
      <c r="E1037" s="5" t="s">
        <v>25</v>
      </c>
      <c r="F1037" s="30">
        <v>158</v>
      </c>
      <c r="G1037" s="30">
        <v>58</v>
      </c>
      <c r="H1037" s="31">
        <f>G1037/((F1037/100)*(F1037/100))</f>
        <v>23.233456176894723</v>
      </c>
      <c r="I1037" s="5">
        <v>82</v>
      </c>
      <c r="J1037" s="30">
        <v>140</v>
      </c>
      <c r="K1037" s="30">
        <v>80</v>
      </c>
      <c r="L1037" s="29">
        <f>IF(B1037="Nữ",0,2)</f>
        <v>2</v>
      </c>
      <c r="M1037" s="29">
        <f ca="1">IF(D1037&lt;45,0,IF(D1037&lt;=49,1,2))</f>
        <v>2</v>
      </c>
      <c r="N1037" s="29">
        <f>IF(E1037="Có",4,0)</f>
        <v>4</v>
      </c>
      <c r="O1037" s="29">
        <f>IF(H1037&lt;23,0,IF(H1037&lt;27.5,3,5))</f>
        <v>3</v>
      </c>
      <c r="P1037" s="29">
        <f>IF(OR(AND(B1037="Nam",I1037&gt;=90),AND(B1037="Nữ",I1037&gt;=80)),2,0)</f>
        <v>0</v>
      </c>
      <c r="Q1037" s="29">
        <f>IF(OR(J1037&gt;=140,K1037&gt;=90),2,0)</f>
        <v>2</v>
      </c>
      <c r="R1037" s="29">
        <f ca="1">SUM(L1037:Q1037)</f>
        <v>13</v>
      </c>
      <c r="S1037" s="33"/>
      <c r="T1037" s="33"/>
      <c r="U1037" s="33"/>
      <c r="V1037" s="33"/>
      <c r="W1037" s="33"/>
      <c r="X1037" s="33"/>
      <c r="Y1037" s="33"/>
      <c r="Z1037" s="33"/>
      <c r="AA1037" s="33"/>
      <c r="AB1037" s="33"/>
      <c r="AC1037" s="33"/>
      <c r="AD1037" s="5" t="s">
        <v>1393</v>
      </c>
      <c r="AE1037" s="33"/>
      <c r="AF1037" s="59" t="str">
        <f t="shared" si="49"/>
        <v>Không</v>
      </c>
      <c r="AG1037" s="59" t="str">
        <f t="shared" si="50"/>
        <v>Không</v>
      </c>
      <c r="AH1037" s="29" t="str">
        <f t="shared" ca="1" si="48"/>
        <v>Có</v>
      </c>
      <c r="AI1037" s="29" t="str">
        <f ca="1">IF((R1037)&gt;=6,"Có","Không")</f>
        <v>Có</v>
      </c>
      <c r="AJ1037" s="29" t="str">
        <f>IF(OR(J1037&gt;=140,K1037&gt;=90),"Có","Không")</f>
        <v>Có</v>
      </c>
      <c r="AK1037" s="5" t="s">
        <v>51</v>
      </c>
      <c r="AL1037" s="35">
        <v>46173</v>
      </c>
      <c r="AM1037" s="29" t="str">
        <f>"Tháng "&amp;MONTH(AL1037)</f>
        <v>Tháng 5</v>
      </c>
      <c r="AN1037" s="69" t="s">
        <v>1376</v>
      </c>
    </row>
    <row r="1038" spans="1:40" x14ac:dyDescent="0.25">
      <c r="A1038" s="52" t="s">
        <v>1198</v>
      </c>
      <c r="B1038" s="21" t="s">
        <v>30</v>
      </c>
      <c r="C1038" s="35">
        <v>21916</v>
      </c>
      <c r="D1038" s="29">
        <f ca="1">DATEDIF(C1038,TODAY(),"Y")</f>
        <v>66</v>
      </c>
      <c r="E1038" s="5" t="s">
        <v>26</v>
      </c>
      <c r="F1038" s="30">
        <v>165</v>
      </c>
      <c r="G1038" s="30">
        <v>70</v>
      </c>
      <c r="H1038" s="31">
        <f>G1038/((F1038/100)*(F1038/100))</f>
        <v>25.711662075298442</v>
      </c>
      <c r="I1038" s="5">
        <v>88</v>
      </c>
      <c r="J1038" s="30">
        <v>120</v>
      </c>
      <c r="K1038" s="30">
        <v>80</v>
      </c>
      <c r="L1038" s="29">
        <f>IF(B1038="Nữ",0,2)</f>
        <v>2</v>
      </c>
      <c r="M1038" s="29">
        <f ca="1">IF(D1038&lt;45,0,IF(D1038&lt;=49,1,2))</f>
        <v>2</v>
      </c>
      <c r="N1038" s="29">
        <f>IF(E1038="Có",4,0)</f>
        <v>0</v>
      </c>
      <c r="O1038" s="29">
        <f>IF(H1038&lt;23,0,IF(H1038&lt;27.5,3,5))</f>
        <v>3</v>
      </c>
      <c r="P1038" s="29">
        <f>IF(OR(AND(B1038="Nam",I1038&gt;=90),AND(B1038="Nữ",I1038&gt;=80)),2,0)</f>
        <v>0</v>
      </c>
      <c r="Q1038" s="29">
        <f>IF(OR(J1038&gt;=140,K1038&gt;=90),2,0)</f>
        <v>0</v>
      </c>
      <c r="R1038" s="29">
        <f ca="1">SUM(L1038:Q1038)</f>
        <v>7</v>
      </c>
      <c r="S1038" s="33"/>
      <c r="T1038" s="33"/>
      <c r="U1038" s="33"/>
      <c r="V1038" s="33"/>
      <c r="W1038" s="33"/>
      <c r="X1038" s="33"/>
      <c r="Y1038" s="33"/>
      <c r="Z1038" s="33"/>
      <c r="AA1038" s="33"/>
      <c r="AB1038" s="33"/>
      <c r="AC1038" s="33"/>
      <c r="AD1038" s="5" t="s">
        <v>1393</v>
      </c>
      <c r="AE1038" s="33"/>
      <c r="AF1038" s="59" t="str">
        <f t="shared" si="49"/>
        <v>Không</v>
      </c>
      <c r="AG1038" s="59" t="str">
        <f t="shared" si="50"/>
        <v>Không</v>
      </c>
      <c r="AH1038" s="29" t="str">
        <f t="shared" ca="1" si="48"/>
        <v>Có</v>
      </c>
      <c r="AI1038" s="29" t="str">
        <f ca="1">IF((R1038)&gt;=6,"Có","Không")</f>
        <v>Có</v>
      </c>
      <c r="AJ1038" s="29" t="str">
        <f>IF(OR(J1038&gt;=140,K1038&gt;=90),"Có","Không")</f>
        <v>Không</v>
      </c>
      <c r="AK1038" s="5" t="s">
        <v>51</v>
      </c>
      <c r="AL1038" s="35">
        <v>46173</v>
      </c>
      <c r="AM1038" s="29" t="str">
        <f>"Tháng "&amp;MONTH(AL1038)</f>
        <v>Tháng 5</v>
      </c>
      <c r="AN1038" s="69" t="s">
        <v>1376</v>
      </c>
    </row>
    <row r="1039" spans="1:40" x14ac:dyDescent="0.25">
      <c r="A1039" s="52" t="s">
        <v>1200</v>
      </c>
      <c r="B1039" s="21" t="s">
        <v>30</v>
      </c>
      <c r="C1039" s="35">
        <v>24838</v>
      </c>
      <c r="D1039" s="29">
        <f ca="1">DATEDIF(C1039,TODAY(),"Y")</f>
        <v>58</v>
      </c>
      <c r="E1039" s="5" t="s">
        <v>25</v>
      </c>
      <c r="F1039" s="30">
        <v>160</v>
      </c>
      <c r="G1039" s="30">
        <v>60</v>
      </c>
      <c r="H1039" s="31">
        <f>G1039/((F1039/100)*(F1039/100))</f>
        <v>23.437499999999996</v>
      </c>
      <c r="I1039" s="5">
        <v>73</v>
      </c>
      <c r="J1039" s="30">
        <v>130</v>
      </c>
      <c r="K1039" s="30">
        <v>80</v>
      </c>
      <c r="L1039" s="29">
        <f>IF(B1039="Nữ",0,2)</f>
        <v>2</v>
      </c>
      <c r="M1039" s="29">
        <f ca="1">IF(D1039&lt;45,0,IF(D1039&lt;=49,1,2))</f>
        <v>2</v>
      </c>
      <c r="N1039" s="29">
        <f>IF(E1039="Có",4,0)</f>
        <v>4</v>
      </c>
      <c r="O1039" s="29">
        <f>IF(H1039&lt;23,0,IF(H1039&lt;27.5,3,5))</f>
        <v>3</v>
      </c>
      <c r="P1039" s="29">
        <f>IF(OR(AND(B1039="Nam",I1039&gt;=90),AND(B1039="Nữ",I1039&gt;=80)),2,0)</f>
        <v>0</v>
      </c>
      <c r="Q1039" s="29">
        <f>IF(OR(J1039&gt;=140,K1039&gt;=90),2,0)</f>
        <v>0</v>
      </c>
      <c r="R1039" s="29">
        <f ca="1">SUM(L1039:Q1039)</f>
        <v>11</v>
      </c>
      <c r="S1039" s="33"/>
      <c r="T1039" s="33"/>
      <c r="U1039" s="33"/>
      <c r="V1039" s="33"/>
      <c r="W1039" s="33"/>
      <c r="X1039" s="33"/>
      <c r="Y1039" s="33"/>
      <c r="Z1039" s="33"/>
      <c r="AA1039" s="33"/>
      <c r="AB1039" s="33"/>
      <c r="AC1039" s="33"/>
      <c r="AD1039" s="5" t="s">
        <v>1393</v>
      </c>
      <c r="AE1039" s="33"/>
      <c r="AF1039" s="59" t="str">
        <f t="shared" si="49"/>
        <v>Không</v>
      </c>
      <c r="AG1039" s="59" t="str">
        <f t="shared" si="50"/>
        <v>Không</v>
      </c>
      <c r="AH1039" s="29" t="str">
        <f t="shared" ca="1" si="48"/>
        <v>Có</v>
      </c>
      <c r="AI1039" s="29" t="str">
        <f ca="1">IF((R1039)&gt;=6,"Có","Không")</f>
        <v>Có</v>
      </c>
      <c r="AJ1039" s="29" t="str">
        <f>IF(OR(J1039&gt;=140,K1039&gt;=90),"Có","Không")</f>
        <v>Không</v>
      </c>
      <c r="AK1039" s="5" t="s">
        <v>51</v>
      </c>
      <c r="AL1039" s="35">
        <v>46173</v>
      </c>
      <c r="AM1039" s="29" t="str">
        <f>"Tháng "&amp;MONTH(AL1039)</f>
        <v>Tháng 5</v>
      </c>
      <c r="AN1039" s="69" t="s">
        <v>1376</v>
      </c>
    </row>
    <row r="1040" spans="1:40" x14ac:dyDescent="0.25">
      <c r="A1040" s="52" t="s">
        <v>1201</v>
      </c>
      <c r="B1040" s="21" t="s">
        <v>23</v>
      </c>
      <c r="C1040" s="35">
        <v>25569</v>
      </c>
      <c r="D1040" s="29">
        <f ca="1">DATEDIF(C1040,TODAY(),"Y")</f>
        <v>56</v>
      </c>
      <c r="E1040" s="5" t="s">
        <v>26</v>
      </c>
      <c r="F1040" s="30">
        <v>158</v>
      </c>
      <c r="G1040" s="30">
        <v>58</v>
      </c>
      <c r="H1040" s="31">
        <f>G1040/((F1040/100)*(F1040/100))</f>
        <v>23.233456176894723</v>
      </c>
      <c r="I1040" s="5">
        <v>68</v>
      </c>
      <c r="J1040" s="30">
        <v>120</v>
      </c>
      <c r="K1040" s="30">
        <v>70</v>
      </c>
      <c r="L1040" s="29">
        <f>IF(B1040="Nữ",0,2)</f>
        <v>0</v>
      </c>
      <c r="M1040" s="29">
        <f ca="1">IF(D1040&lt;45,0,IF(D1040&lt;=49,1,2))</f>
        <v>2</v>
      </c>
      <c r="N1040" s="29">
        <f>IF(E1040="Có",4,0)</f>
        <v>0</v>
      </c>
      <c r="O1040" s="29">
        <f>IF(H1040&lt;23,0,IF(H1040&lt;27.5,3,5))</f>
        <v>3</v>
      </c>
      <c r="P1040" s="29">
        <f>IF(OR(AND(B1040="Nam",I1040&gt;=90),AND(B1040="Nữ",I1040&gt;=80)),2,0)</f>
        <v>0</v>
      </c>
      <c r="Q1040" s="29">
        <f>IF(OR(J1040&gt;=140,K1040&gt;=90),2,0)</f>
        <v>0</v>
      </c>
      <c r="R1040" s="29">
        <f ca="1">SUM(L1040:Q1040)</f>
        <v>5</v>
      </c>
      <c r="S1040" s="33"/>
      <c r="T1040" s="33"/>
      <c r="U1040" s="33"/>
      <c r="V1040" s="33"/>
      <c r="W1040" s="33"/>
      <c r="X1040" s="33"/>
      <c r="Y1040" s="33"/>
      <c r="Z1040" s="33"/>
      <c r="AA1040" s="33"/>
      <c r="AB1040" s="33"/>
      <c r="AC1040" s="33"/>
      <c r="AD1040" s="5" t="s">
        <v>1393</v>
      </c>
      <c r="AE1040" s="33"/>
      <c r="AF1040" s="59" t="str">
        <f t="shared" si="49"/>
        <v>Không</v>
      </c>
      <c r="AG1040" s="59" t="str">
        <f t="shared" si="50"/>
        <v>Không</v>
      </c>
      <c r="AH1040" s="29" t="str">
        <f t="shared" ca="1" si="48"/>
        <v>Không</v>
      </c>
      <c r="AI1040" s="29" t="str">
        <f ca="1">IF((R1040)&gt;=6,"Có","Không")</f>
        <v>Không</v>
      </c>
      <c r="AJ1040" s="29" t="str">
        <f>IF(OR(J1040&gt;=140,K1040&gt;=90),"Có","Không")</f>
        <v>Không</v>
      </c>
      <c r="AK1040" s="5" t="s">
        <v>51</v>
      </c>
      <c r="AL1040" s="35">
        <v>46173</v>
      </c>
      <c r="AM1040" s="29" t="str">
        <f>"Tháng "&amp;MONTH(AL1040)</f>
        <v>Tháng 5</v>
      </c>
      <c r="AN1040" s="69" t="s">
        <v>1376</v>
      </c>
    </row>
    <row r="1041" spans="1:40" x14ac:dyDescent="0.25">
      <c r="A1041" s="52" t="s">
        <v>1202</v>
      </c>
      <c r="B1041" s="21" t="s">
        <v>23</v>
      </c>
      <c r="C1041" s="35">
        <v>27395</v>
      </c>
      <c r="D1041" s="29">
        <f ca="1">DATEDIF(C1041,TODAY(),"Y")</f>
        <v>51</v>
      </c>
      <c r="E1041" s="5" t="s">
        <v>26</v>
      </c>
      <c r="F1041" s="30">
        <v>169</v>
      </c>
      <c r="G1041" s="30">
        <v>68</v>
      </c>
      <c r="H1041" s="31">
        <f>G1041/((F1041/100)*(F1041/100))</f>
        <v>23.808690171912751</v>
      </c>
      <c r="I1041" s="5">
        <v>76</v>
      </c>
      <c r="J1041" s="30">
        <v>120</v>
      </c>
      <c r="K1041" s="30">
        <v>70</v>
      </c>
      <c r="L1041" s="29">
        <f>IF(B1041="Nữ",0,2)</f>
        <v>0</v>
      </c>
      <c r="M1041" s="29">
        <f ca="1">IF(D1041&lt;45,0,IF(D1041&lt;=49,1,2))</f>
        <v>2</v>
      </c>
      <c r="N1041" s="29">
        <f>IF(E1041="Có",4,0)</f>
        <v>0</v>
      </c>
      <c r="O1041" s="29">
        <f>IF(H1041&lt;23,0,IF(H1041&lt;27.5,3,5))</f>
        <v>3</v>
      </c>
      <c r="P1041" s="29">
        <f>IF(OR(AND(B1041="Nam",I1041&gt;=90),AND(B1041="Nữ",I1041&gt;=80)),2,0)</f>
        <v>0</v>
      </c>
      <c r="Q1041" s="29">
        <f>IF(OR(J1041&gt;=140,K1041&gt;=90),2,0)</f>
        <v>0</v>
      </c>
      <c r="R1041" s="29">
        <f ca="1">SUM(L1041:Q1041)</f>
        <v>5</v>
      </c>
      <c r="S1041" s="33"/>
      <c r="T1041" s="33"/>
      <c r="U1041" s="33"/>
      <c r="V1041" s="33"/>
      <c r="W1041" s="33"/>
      <c r="X1041" s="33"/>
      <c r="Y1041" s="33"/>
      <c r="Z1041" s="33"/>
      <c r="AA1041" s="33"/>
      <c r="AB1041" s="33"/>
      <c r="AC1041" s="33"/>
      <c r="AD1041" s="5" t="s">
        <v>1393</v>
      </c>
      <c r="AE1041" s="33"/>
      <c r="AF1041" s="59" t="str">
        <f t="shared" si="49"/>
        <v>Không</v>
      </c>
      <c r="AG1041" s="59" t="str">
        <f t="shared" si="50"/>
        <v>Không</v>
      </c>
      <c r="AH1041" s="29" t="str">
        <f t="shared" ca="1" si="48"/>
        <v>Không</v>
      </c>
      <c r="AI1041" s="29" t="str">
        <f ca="1">IF((R1041)&gt;=6,"Có","Không")</f>
        <v>Không</v>
      </c>
      <c r="AJ1041" s="29" t="str">
        <f>IF(OR(J1041&gt;=140,K1041&gt;=90),"Có","Không")</f>
        <v>Không</v>
      </c>
      <c r="AK1041" s="5" t="s">
        <v>51</v>
      </c>
      <c r="AL1041" s="35">
        <v>46173</v>
      </c>
      <c r="AM1041" s="29" t="str">
        <f>"Tháng "&amp;MONTH(AL1041)</f>
        <v>Tháng 5</v>
      </c>
      <c r="AN1041" s="69" t="s">
        <v>1376</v>
      </c>
    </row>
    <row r="1042" spans="1:40" x14ac:dyDescent="0.25">
      <c r="A1042" s="52" t="s">
        <v>1203</v>
      </c>
      <c r="B1042" s="21" t="s">
        <v>23</v>
      </c>
      <c r="C1042" s="35">
        <v>16072</v>
      </c>
      <c r="D1042" s="29">
        <f ca="1">DATEDIF(C1042,TODAY(),"Y")</f>
        <v>82</v>
      </c>
      <c r="E1042" s="5" t="s">
        <v>25</v>
      </c>
      <c r="F1042" s="30">
        <v>160</v>
      </c>
      <c r="G1042" s="30">
        <v>68</v>
      </c>
      <c r="H1042" s="31">
        <f>G1042/((F1042/100)*(F1042/100))</f>
        <v>26.562499999999996</v>
      </c>
      <c r="I1042" s="5">
        <v>83</v>
      </c>
      <c r="J1042" s="30">
        <v>120</v>
      </c>
      <c r="K1042" s="30">
        <v>70</v>
      </c>
      <c r="L1042" s="29">
        <f>IF(B1042="Nữ",0,2)</f>
        <v>0</v>
      </c>
      <c r="M1042" s="29">
        <f ca="1">IF(D1042&lt;45,0,IF(D1042&lt;=49,1,2))</f>
        <v>2</v>
      </c>
      <c r="N1042" s="29">
        <f>IF(E1042="Có",4,0)</f>
        <v>4</v>
      </c>
      <c r="O1042" s="29">
        <f>IF(H1042&lt;23,0,IF(H1042&lt;27.5,3,5))</f>
        <v>3</v>
      </c>
      <c r="P1042" s="29">
        <f>IF(OR(AND(B1042="Nam",I1042&gt;=90),AND(B1042="Nữ",I1042&gt;=80)),2,0)</f>
        <v>2</v>
      </c>
      <c r="Q1042" s="29">
        <f>IF(OR(J1042&gt;=140,K1042&gt;=90),2,0)</f>
        <v>0</v>
      </c>
      <c r="R1042" s="29">
        <f ca="1">SUM(L1042:Q1042)</f>
        <v>11</v>
      </c>
      <c r="S1042" s="33"/>
      <c r="T1042" s="33"/>
      <c r="U1042" s="33"/>
      <c r="V1042" s="33"/>
      <c r="W1042" s="33"/>
      <c r="X1042" s="33"/>
      <c r="Y1042" s="33"/>
      <c r="Z1042" s="33"/>
      <c r="AA1042" s="33"/>
      <c r="AB1042" s="33"/>
      <c r="AC1042" s="33"/>
      <c r="AD1042" s="5" t="s">
        <v>1393</v>
      </c>
      <c r="AE1042" s="33"/>
      <c r="AF1042" s="59" t="str">
        <f t="shared" si="49"/>
        <v>Không</v>
      </c>
      <c r="AG1042" s="59" t="str">
        <f t="shared" si="50"/>
        <v>Không</v>
      </c>
      <c r="AH1042" s="29" t="str">
        <f t="shared" ca="1" si="48"/>
        <v>Có</v>
      </c>
      <c r="AI1042" s="29" t="str">
        <f ca="1">IF((R1042)&gt;=6,"Có","Không")</f>
        <v>Có</v>
      </c>
      <c r="AJ1042" s="29" t="str">
        <f>IF(OR(J1042&gt;=140,K1042&gt;=90),"Có","Không")</f>
        <v>Không</v>
      </c>
      <c r="AK1042" s="5" t="s">
        <v>51</v>
      </c>
      <c r="AL1042" s="35">
        <v>46173</v>
      </c>
      <c r="AM1042" s="29" t="str">
        <f>"Tháng "&amp;MONTH(AL1042)</f>
        <v>Tháng 5</v>
      </c>
      <c r="AN1042" s="69" t="s">
        <v>1376</v>
      </c>
    </row>
    <row r="1043" spans="1:40" x14ac:dyDescent="0.25">
      <c r="A1043" s="52" t="s">
        <v>1206</v>
      </c>
      <c r="B1043" s="21" t="s">
        <v>30</v>
      </c>
      <c r="C1043" s="35">
        <v>24473</v>
      </c>
      <c r="D1043" s="29">
        <f ca="1">DATEDIF(C1043,TODAY(),"Y")</f>
        <v>59</v>
      </c>
      <c r="E1043" s="5" t="s">
        <v>26</v>
      </c>
      <c r="F1043" s="30">
        <v>169</v>
      </c>
      <c r="G1043" s="30">
        <v>68</v>
      </c>
      <c r="H1043" s="31">
        <f>G1043/((F1043/100)*(F1043/100))</f>
        <v>23.808690171912751</v>
      </c>
      <c r="I1043" s="5">
        <v>75</v>
      </c>
      <c r="J1043" s="30">
        <v>120</v>
      </c>
      <c r="K1043" s="30">
        <v>80</v>
      </c>
      <c r="L1043" s="29">
        <f>IF(B1043="Nữ",0,2)</f>
        <v>2</v>
      </c>
      <c r="M1043" s="29">
        <f ca="1">IF(D1043&lt;45,0,IF(D1043&lt;=49,1,2))</f>
        <v>2</v>
      </c>
      <c r="N1043" s="29">
        <f>IF(E1043="Có",4,0)</f>
        <v>0</v>
      </c>
      <c r="O1043" s="29">
        <f>IF(H1043&lt;23,0,IF(H1043&lt;27.5,3,5))</f>
        <v>3</v>
      </c>
      <c r="P1043" s="29">
        <f>IF(OR(AND(B1043="Nam",I1043&gt;=90),AND(B1043="Nữ",I1043&gt;=80)),2,0)</f>
        <v>0</v>
      </c>
      <c r="Q1043" s="29">
        <f>IF(OR(J1043&gt;=140,K1043&gt;=90),2,0)</f>
        <v>0</v>
      </c>
      <c r="R1043" s="29">
        <f ca="1">SUM(L1043:Q1043)</f>
        <v>7</v>
      </c>
      <c r="S1043" s="33"/>
      <c r="T1043" s="33"/>
      <c r="U1043" s="33"/>
      <c r="V1043" s="33"/>
      <c r="W1043" s="33"/>
      <c r="X1043" s="33"/>
      <c r="Y1043" s="33"/>
      <c r="Z1043" s="33"/>
      <c r="AA1043" s="33"/>
      <c r="AB1043" s="33"/>
      <c r="AC1043" s="33"/>
      <c r="AD1043" s="5" t="s">
        <v>1393</v>
      </c>
      <c r="AE1043" s="33"/>
      <c r="AF1043" s="59" t="str">
        <f t="shared" si="49"/>
        <v>Không</v>
      </c>
      <c r="AG1043" s="59" t="str">
        <f t="shared" si="50"/>
        <v>Không</v>
      </c>
      <c r="AH1043" s="29" t="str">
        <f t="shared" ca="1" si="48"/>
        <v>Có</v>
      </c>
      <c r="AI1043" s="29" t="str">
        <f ca="1">IF((R1043)&gt;=6,"Có","Không")</f>
        <v>Có</v>
      </c>
      <c r="AJ1043" s="29" t="str">
        <f>IF(OR(J1043&gt;=140,K1043&gt;=90),"Có","Không")</f>
        <v>Không</v>
      </c>
      <c r="AK1043" s="5" t="s">
        <v>51</v>
      </c>
      <c r="AL1043" s="35">
        <v>46173</v>
      </c>
      <c r="AM1043" s="29" t="str">
        <f>"Tháng "&amp;MONTH(AL1043)</f>
        <v>Tháng 5</v>
      </c>
      <c r="AN1043" s="69" t="s">
        <v>1376</v>
      </c>
    </row>
    <row r="1044" spans="1:40" x14ac:dyDescent="0.25">
      <c r="A1044" s="52" t="s">
        <v>1207</v>
      </c>
      <c r="B1044" s="21" t="s">
        <v>23</v>
      </c>
      <c r="C1044" s="35">
        <v>16438</v>
      </c>
      <c r="D1044" s="29">
        <f ca="1">DATEDIF(C1044,TODAY(),"Y")</f>
        <v>81</v>
      </c>
      <c r="E1044" s="5" t="s">
        <v>26</v>
      </c>
      <c r="F1044" s="30">
        <v>160</v>
      </c>
      <c r="G1044" s="30">
        <v>65</v>
      </c>
      <c r="H1044" s="31">
        <f>G1044/((F1044/100)*(F1044/100))</f>
        <v>25.390624999999996</v>
      </c>
      <c r="I1044" s="5">
        <v>87</v>
      </c>
      <c r="J1044" s="30">
        <v>120</v>
      </c>
      <c r="K1044" s="30">
        <v>70</v>
      </c>
      <c r="L1044" s="29">
        <f>IF(B1044="Nữ",0,2)</f>
        <v>0</v>
      </c>
      <c r="M1044" s="29">
        <f ca="1">IF(D1044&lt;45,0,IF(D1044&lt;=49,1,2))</f>
        <v>2</v>
      </c>
      <c r="N1044" s="29">
        <f>IF(E1044="Có",4,0)</f>
        <v>0</v>
      </c>
      <c r="O1044" s="29">
        <f>IF(H1044&lt;23,0,IF(H1044&lt;27.5,3,5))</f>
        <v>3</v>
      </c>
      <c r="P1044" s="29">
        <f>IF(OR(AND(B1044="Nam",I1044&gt;=90),AND(B1044="Nữ",I1044&gt;=80)),2,0)</f>
        <v>2</v>
      </c>
      <c r="Q1044" s="29">
        <f>IF(OR(J1044&gt;=140,K1044&gt;=90),2,0)</f>
        <v>0</v>
      </c>
      <c r="R1044" s="29">
        <f ca="1">SUM(L1044:Q1044)</f>
        <v>7</v>
      </c>
      <c r="S1044" s="33"/>
      <c r="T1044" s="33"/>
      <c r="U1044" s="33"/>
      <c r="V1044" s="33"/>
      <c r="W1044" s="33"/>
      <c r="X1044" s="33"/>
      <c r="Y1044" s="33"/>
      <c r="Z1044" s="33"/>
      <c r="AA1044" s="33"/>
      <c r="AB1044" s="33"/>
      <c r="AC1044" s="33"/>
      <c r="AD1044" s="5" t="s">
        <v>1393</v>
      </c>
      <c r="AE1044" s="33"/>
      <c r="AF1044" s="59" t="str">
        <f t="shared" si="49"/>
        <v>Không</v>
      </c>
      <c r="AG1044" s="59" t="str">
        <f t="shared" si="50"/>
        <v>Không</v>
      </c>
      <c r="AH1044" s="29" t="str">
        <f t="shared" ca="1" si="48"/>
        <v>Có</v>
      </c>
      <c r="AI1044" s="29" t="str">
        <f ca="1">IF((R1044)&gt;=6,"Có","Không")</f>
        <v>Có</v>
      </c>
      <c r="AJ1044" s="29" t="str">
        <f>IF(OR(J1044&gt;=140,K1044&gt;=90),"Có","Không")</f>
        <v>Không</v>
      </c>
      <c r="AK1044" s="5" t="s">
        <v>51</v>
      </c>
      <c r="AL1044" s="35">
        <v>46173</v>
      </c>
      <c r="AM1044" s="29" t="str">
        <f>"Tháng "&amp;MONTH(AL1044)</f>
        <v>Tháng 5</v>
      </c>
      <c r="AN1044" s="69" t="s">
        <v>1376</v>
      </c>
    </row>
    <row r="1045" spans="1:40" x14ac:dyDescent="0.25">
      <c r="A1045" s="52" t="s">
        <v>1208</v>
      </c>
      <c r="B1045" s="21" t="s">
        <v>23</v>
      </c>
      <c r="C1045" s="35">
        <v>24838</v>
      </c>
      <c r="D1045" s="29">
        <f ca="1">DATEDIF(C1045,TODAY(),"Y")</f>
        <v>58</v>
      </c>
      <c r="E1045" s="5" t="s">
        <v>26</v>
      </c>
      <c r="F1045" s="30">
        <v>169</v>
      </c>
      <c r="G1045" s="30">
        <v>69</v>
      </c>
      <c r="H1045" s="31">
        <f>G1045/((F1045/100)*(F1045/100))</f>
        <v>24.158817968558527</v>
      </c>
      <c r="I1045" s="5">
        <v>90</v>
      </c>
      <c r="J1045" s="30">
        <v>120</v>
      </c>
      <c r="K1045" s="30">
        <v>80</v>
      </c>
      <c r="L1045" s="29">
        <f>IF(B1045="Nữ",0,2)</f>
        <v>0</v>
      </c>
      <c r="M1045" s="29">
        <f ca="1">IF(D1045&lt;45,0,IF(D1045&lt;=49,1,2))</f>
        <v>2</v>
      </c>
      <c r="N1045" s="29">
        <f>IF(E1045="Có",4,0)</f>
        <v>0</v>
      </c>
      <c r="O1045" s="29">
        <f>IF(H1045&lt;23,0,IF(H1045&lt;27.5,3,5))</f>
        <v>3</v>
      </c>
      <c r="P1045" s="29">
        <f>IF(OR(AND(B1045="Nam",I1045&gt;=90),AND(B1045="Nữ",I1045&gt;=80)),2,0)</f>
        <v>2</v>
      </c>
      <c r="Q1045" s="29">
        <f>IF(OR(J1045&gt;=140,K1045&gt;=90),2,0)</f>
        <v>0</v>
      </c>
      <c r="R1045" s="29">
        <f ca="1">SUM(L1045:Q1045)</f>
        <v>7</v>
      </c>
      <c r="S1045" s="33"/>
      <c r="T1045" s="33"/>
      <c r="U1045" s="33"/>
      <c r="V1045" s="33"/>
      <c r="W1045" s="33"/>
      <c r="X1045" s="33"/>
      <c r="Y1045" s="33"/>
      <c r="Z1045" s="33"/>
      <c r="AA1045" s="33"/>
      <c r="AB1045" s="33"/>
      <c r="AC1045" s="33"/>
      <c r="AD1045" s="5" t="s">
        <v>1393</v>
      </c>
      <c r="AE1045" s="33"/>
      <c r="AF1045" s="59" t="str">
        <f t="shared" si="49"/>
        <v>Không</v>
      </c>
      <c r="AG1045" s="59" t="str">
        <f t="shared" si="50"/>
        <v>Không</v>
      </c>
      <c r="AH1045" s="29" t="str">
        <f t="shared" ca="1" si="48"/>
        <v>Có</v>
      </c>
      <c r="AI1045" s="29" t="str">
        <f ca="1">IF((R1045)&gt;=6,"Có","Không")</f>
        <v>Có</v>
      </c>
      <c r="AJ1045" s="29" t="str">
        <f>IF(OR(J1045&gt;=140,K1045&gt;=90),"Có","Không")</f>
        <v>Không</v>
      </c>
      <c r="AK1045" s="5" t="s">
        <v>51</v>
      </c>
      <c r="AL1045" s="35">
        <v>46173</v>
      </c>
      <c r="AM1045" s="29" t="str">
        <f>"Tháng "&amp;MONTH(AL1045)</f>
        <v>Tháng 5</v>
      </c>
      <c r="AN1045" s="69" t="s">
        <v>1376</v>
      </c>
    </row>
    <row r="1046" spans="1:40" x14ac:dyDescent="0.25">
      <c r="A1046" s="52" t="s">
        <v>1209</v>
      </c>
      <c r="B1046" s="21" t="s">
        <v>30</v>
      </c>
      <c r="C1046" s="35">
        <v>21186</v>
      </c>
      <c r="D1046" s="29">
        <f ca="1">DATEDIF(C1046,TODAY(),"Y")</f>
        <v>68</v>
      </c>
      <c r="E1046" s="5" t="s">
        <v>26</v>
      </c>
      <c r="F1046" s="30">
        <v>158</v>
      </c>
      <c r="G1046" s="30">
        <v>58</v>
      </c>
      <c r="H1046" s="31">
        <f>G1046/((F1046/100)*(F1046/100))</f>
        <v>23.233456176894723</v>
      </c>
      <c r="I1046" s="5">
        <v>79</v>
      </c>
      <c r="J1046" s="30">
        <v>120</v>
      </c>
      <c r="K1046" s="30">
        <v>80</v>
      </c>
      <c r="L1046" s="29">
        <f>IF(B1046="Nữ",0,2)</f>
        <v>2</v>
      </c>
      <c r="M1046" s="29">
        <f ca="1">IF(D1046&lt;45,0,IF(D1046&lt;=49,1,2))</f>
        <v>2</v>
      </c>
      <c r="N1046" s="29">
        <f>IF(E1046="Có",4,0)</f>
        <v>0</v>
      </c>
      <c r="O1046" s="29">
        <f>IF(H1046&lt;23,0,IF(H1046&lt;27.5,3,5))</f>
        <v>3</v>
      </c>
      <c r="P1046" s="29">
        <f>IF(OR(AND(B1046="Nam",I1046&gt;=90),AND(B1046="Nữ",I1046&gt;=80)),2,0)</f>
        <v>0</v>
      </c>
      <c r="Q1046" s="29">
        <f>IF(OR(J1046&gt;=140,K1046&gt;=90),2,0)</f>
        <v>0</v>
      </c>
      <c r="R1046" s="29">
        <f ca="1">SUM(L1046:Q1046)</f>
        <v>7</v>
      </c>
      <c r="S1046" s="33"/>
      <c r="T1046" s="33"/>
      <c r="U1046" s="33"/>
      <c r="V1046" s="33"/>
      <c r="W1046" s="33"/>
      <c r="X1046" s="33"/>
      <c r="Y1046" s="33"/>
      <c r="Z1046" s="33"/>
      <c r="AA1046" s="33"/>
      <c r="AB1046" s="33"/>
      <c r="AC1046" s="33"/>
      <c r="AD1046" s="5" t="s">
        <v>1393</v>
      </c>
      <c r="AE1046" s="33"/>
      <c r="AF1046" s="59" t="str">
        <f t="shared" si="49"/>
        <v>Không</v>
      </c>
      <c r="AG1046" s="59" t="str">
        <f t="shared" si="50"/>
        <v>Không</v>
      </c>
      <c r="AH1046" s="29" t="str">
        <f t="shared" ca="1" si="48"/>
        <v>Có</v>
      </c>
      <c r="AI1046" s="29" t="str">
        <f ca="1">IF((R1046)&gt;=6,"Có","Không")</f>
        <v>Có</v>
      </c>
      <c r="AJ1046" s="29" t="str">
        <f>IF(OR(J1046&gt;=140,K1046&gt;=90),"Có","Không")</f>
        <v>Không</v>
      </c>
      <c r="AK1046" s="5" t="s">
        <v>51</v>
      </c>
      <c r="AL1046" s="35">
        <v>46173</v>
      </c>
      <c r="AM1046" s="29" t="str">
        <f>"Tháng "&amp;MONTH(AL1046)</f>
        <v>Tháng 5</v>
      </c>
      <c r="AN1046" s="69" t="s">
        <v>1376</v>
      </c>
    </row>
    <row r="1047" spans="1:40" x14ac:dyDescent="0.25">
      <c r="A1047" s="52" t="s">
        <v>1211</v>
      </c>
      <c r="B1047" s="21" t="s">
        <v>30</v>
      </c>
      <c r="C1047" s="35">
        <v>18629</v>
      </c>
      <c r="D1047" s="29">
        <f ca="1">DATEDIF(C1047,TODAY(),"Y")</f>
        <v>75</v>
      </c>
      <c r="E1047" s="5" t="s">
        <v>26</v>
      </c>
      <c r="F1047" s="30">
        <v>158</v>
      </c>
      <c r="G1047" s="30">
        <v>58</v>
      </c>
      <c r="H1047" s="31">
        <f>G1047/((F1047/100)*(F1047/100))</f>
        <v>23.233456176894723</v>
      </c>
      <c r="I1047" s="5">
        <v>73</v>
      </c>
      <c r="J1047" s="30">
        <v>140</v>
      </c>
      <c r="K1047" s="30">
        <v>80</v>
      </c>
      <c r="L1047" s="29">
        <f>IF(B1047="Nữ",0,2)</f>
        <v>2</v>
      </c>
      <c r="M1047" s="29">
        <f ca="1">IF(D1047&lt;45,0,IF(D1047&lt;=49,1,2))</f>
        <v>2</v>
      </c>
      <c r="N1047" s="29">
        <f>IF(E1047="Có",4,0)</f>
        <v>0</v>
      </c>
      <c r="O1047" s="29">
        <f>IF(H1047&lt;23,0,IF(H1047&lt;27.5,3,5))</f>
        <v>3</v>
      </c>
      <c r="P1047" s="29">
        <f>IF(OR(AND(B1047="Nam",I1047&gt;=90),AND(B1047="Nữ",I1047&gt;=80)),2,0)</f>
        <v>0</v>
      </c>
      <c r="Q1047" s="29">
        <f>IF(OR(J1047&gt;=140,K1047&gt;=90),2,0)</f>
        <v>2</v>
      </c>
      <c r="R1047" s="29">
        <f ca="1">SUM(L1047:Q1047)</f>
        <v>9</v>
      </c>
      <c r="S1047" s="33"/>
      <c r="T1047" s="33"/>
      <c r="U1047" s="33"/>
      <c r="V1047" s="33"/>
      <c r="W1047" s="33"/>
      <c r="X1047" s="33"/>
      <c r="Y1047" s="33"/>
      <c r="Z1047" s="33"/>
      <c r="AA1047" s="33"/>
      <c r="AB1047" s="33"/>
      <c r="AC1047" s="33"/>
      <c r="AD1047" s="5" t="s">
        <v>1393</v>
      </c>
      <c r="AE1047" s="33"/>
      <c r="AF1047" s="59" t="str">
        <f t="shared" si="49"/>
        <v>Không</v>
      </c>
      <c r="AG1047" s="59" t="str">
        <f t="shared" si="50"/>
        <v>Không</v>
      </c>
      <c r="AH1047" s="29" t="str">
        <f t="shared" ca="1" si="48"/>
        <v>Có</v>
      </c>
      <c r="AI1047" s="29" t="str">
        <f ca="1">IF((R1047)&gt;=6,"Có","Không")</f>
        <v>Có</v>
      </c>
      <c r="AJ1047" s="29" t="str">
        <f>IF(OR(J1047&gt;=140,K1047&gt;=90),"Có","Không")</f>
        <v>Có</v>
      </c>
      <c r="AK1047" s="5" t="s">
        <v>51</v>
      </c>
      <c r="AL1047" s="35">
        <v>46173</v>
      </c>
      <c r="AM1047" s="29" t="str">
        <f>"Tháng "&amp;MONTH(AL1047)</f>
        <v>Tháng 5</v>
      </c>
      <c r="AN1047" s="69" t="s">
        <v>1376</v>
      </c>
    </row>
    <row r="1048" spans="1:40" x14ac:dyDescent="0.25">
      <c r="A1048" s="52" t="s">
        <v>1212</v>
      </c>
      <c r="B1048" s="21" t="s">
        <v>30</v>
      </c>
      <c r="C1048" s="35">
        <v>25569</v>
      </c>
      <c r="D1048" s="29">
        <f ca="1">DATEDIF(C1048,TODAY(),"Y")</f>
        <v>56</v>
      </c>
      <c r="E1048" s="5" t="s">
        <v>26</v>
      </c>
      <c r="F1048" s="30">
        <v>158</v>
      </c>
      <c r="G1048" s="30">
        <v>58</v>
      </c>
      <c r="H1048" s="31">
        <f>G1048/((F1048/100)*(F1048/100))</f>
        <v>23.233456176894723</v>
      </c>
      <c r="I1048" s="5">
        <v>72</v>
      </c>
      <c r="J1048" s="30">
        <v>120</v>
      </c>
      <c r="K1048" s="30">
        <v>80</v>
      </c>
      <c r="L1048" s="29">
        <f>IF(B1048="Nữ",0,2)</f>
        <v>2</v>
      </c>
      <c r="M1048" s="29">
        <f ca="1">IF(D1048&lt;45,0,IF(D1048&lt;=49,1,2))</f>
        <v>2</v>
      </c>
      <c r="N1048" s="29">
        <f>IF(E1048="Có",4,0)</f>
        <v>0</v>
      </c>
      <c r="O1048" s="29">
        <f>IF(H1048&lt;23,0,IF(H1048&lt;27.5,3,5))</f>
        <v>3</v>
      </c>
      <c r="P1048" s="29">
        <f>IF(OR(AND(B1048="Nam",I1048&gt;=90),AND(B1048="Nữ",I1048&gt;=80)),2,0)</f>
        <v>0</v>
      </c>
      <c r="Q1048" s="29">
        <f>IF(OR(J1048&gt;=140,K1048&gt;=90),2,0)</f>
        <v>0</v>
      </c>
      <c r="R1048" s="29">
        <f ca="1">SUM(L1048:Q1048)</f>
        <v>7</v>
      </c>
      <c r="S1048" s="33"/>
      <c r="T1048" s="33"/>
      <c r="U1048" s="33"/>
      <c r="V1048" s="33"/>
      <c r="W1048" s="33"/>
      <c r="X1048" s="33"/>
      <c r="Y1048" s="33"/>
      <c r="Z1048" s="33"/>
      <c r="AA1048" s="33"/>
      <c r="AB1048" s="33"/>
      <c r="AC1048" s="33"/>
      <c r="AD1048" s="5" t="s">
        <v>1393</v>
      </c>
      <c r="AE1048" s="33"/>
      <c r="AF1048" s="59" t="str">
        <f t="shared" si="49"/>
        <v>Không</v>
      </c>
      <c r="AG1048" s="59" t="str">
        <f t="shared" si="50"/>
        <v>Không</v>
      </c>
      <c r="AH1048" s="29" t="str">
        <f t="shared" ca="1" si="48"/>
        <v>Có</v>
      </c>
      <c r="AI1048" s="29" t="str">
        <f ca="1">IF((R1048)&gt;=6,"Có","Không")</f>
        <v>Có</v>
      </c>
      <c r="AJ1048" s="29" t="str">
        <f>IF(OR(J1048&gt;=140,K1048&gt;=90),"Có","Không")</f>
        <v>Không</v>
      </c>
      <c r="AK1048" s="5" t="s">
        <v>51</v>
      </c>
      <c r="AL1048" s="35">
        <v>46173</v>
      </c>
      <c r="AM1048" s="29" t="str">
        <f>"Tháng "&amp;MONTH(AL1048)</f>
        <v>Tháng 5</v>
      </c>
      <c r="AN1048" s="69" t="s">
        <v>1376</v>
      </c>
    </row>
    <row r="1049" spans="1:40" x14ac:dyDescent="0.25">
      <c r="A1049" s="52" t="s">
        <v>1213</v>
      </c>
      <c r="B1049" s="21" t="s">
        <v>23</v>
      </c>
      <c r="C1049" s="35">
        <v>22282</v>
      </c>
      <c r="D1049" s="29">
        <f ca="1">DATEDIF(C1049,TODAY(),"Y")</f>
        <v>65</v>
      </c>
      <c r="E1049" s="5" t="s">
        <v>26</v>
      </c>
      <c r="F1049" s="30">
        <v>158</v>
      </c>
      <c r="G1049" s="30">
        <v>58</v>
      </c>
      <c r="H1049" s="31">
        <f>G1049/((F1049/100)*(F1049/100))</f>
        <v>23.233456176894723</v>
      </c>
      <c r="I1049" s="5">
        <v>91</v>
      </c>
      <c r="J1049" s="30">
        <v>120</v>
      </c>
      <c r="K1049" s="30">
        <v>80</v>
      </c>
      <c r="L1049" s="29">
        <f>IF(B1049="Nữ",0,2)</f>
        <v>0</v>
      </c>
      <c r="M1049" s="29">
        <f ca="1">IF(D1049&lt;45,0,IF(D1049&lt;=49,1,2))</f>
        <v>2</v>
      </c>
      <c r="N1049" s="29">
        <f>IF(E1049="Có",4,0)</f>
        <v>0</v>
      </c>
      <c r="O1049" s="29">
        <f>IF(H1049&lt;23,0,IF(H1049&lt;27.5,3,5))</f>
        <v>3</v>
      </c>
      <c r="P1049" s="29">
        <f>IF(OR(AND(B1049="Nam",I1049&gt;=90),AND(B1049="Nữ",I1049&gt;=80)),2,0)</f>
        <v>2</v>
      </c>
      <c r="Q1049" s="29">
        <f>IF(OR(J1049&gt;=140,K1049&gt;=90),2,0)</f>
        <v>0</v>
      </c>
      <c r="R1049" s="29">
        <f ca="1">SUM(L1049:Q1049)</f>
        <v>7</v>
      </c>
      <c r="S1049" s="33"/>
      <c r="T1049" s="33"/>
      <c r="U1049" s="33"/>
      <c r="V1049" s="33"/>
      <c r="W1049" s="33"/>
      <c r="X1049" s="33"/>
      <c r="Y1049" s="33"/>
      <c r="Z1049" s="33"/>
      <c r="AA1049" s="33"/>
      <c r="AB1049" s="33"/>
      <c r="AC1049" s="33"/>
      <c r="AD1049" s="5" t="s">
        <v>1393</v>
      </c>
      <c r="AE1049" s="33"/>
      <c r="AF1049" s="59" t="str">
        <f t="shared" si="49"/>
        <v>Không</v>
      </c>
      <c r="AG1049" s="59" t="str">
        <f t="shared" si="50"/>
        <v>Không</v>
      </c>
      <c r="AH1049" s="29" t="str">
        <f t="shared" ca="1" si="48"/>
        <v>Có</v>
      </c>
      <c r="AI1049" s="29" t="str">
        <f ca="1">IF((R1049)&gt;=6,"Có","Không")</f>
        <v>Có</v>
      </c>
      <c r="AJ1049" s="29" t="str">
        <f>IF(OR(J1049&gt;=140,K1049&gt;=90),"Có","Không")</f>
        <v>Không</v>
      </c>
      <c r="AK1049" s="5" t="s">
        <v>51</v>
      </c>
      <c r="AL1049" s="35">
        <v>46173</v>
      </c>
      <c r="AM1049" s="29" t="str">
        <f>"Tháng "&amp;MONTH(AL1049)</f>
        <v>Tháng 5</v>
      </c>
      <c r="AN1049" s="69" t="s">
        <v>1376</v>
      </c>
    </row>
    <row r="1050" spans="1:40" x14ac:dyDescent="0.25">
      <c r="A1050" s="52" t="s">
        <v>1214</v>
      </c>
      <c r="B1050" s="21" t="s">
        <v>30</v>
      </c>
      <c r="C1050" s="35">
        <v>23377</v>
      </c>
      <c r="D1050" s="29">
        <f ca="1">DATEDIF(C1050,TODAY(),"Y")</f>
        <v>62</v>
      </c>
      <c r="E1050" s="5" t="s">
        <v>26</v>
      </c>
      <c r="F1050" s="30">
        <v>150</v>
      </c>
      <c r="G1050" s="30">
        <v>49</v>
      </c>
      <c r="H1050" s="31">
        <f>G1050/((F1050/100)*(F1050/100))</f>
        <v>21.777777777777779</v>
      </c>
      <c r="I1050" s="5">
        <v>65</v>
      </c>
      <c r="J1050" s="30">
        <v>120</v>
      </c>
      <c r="K1050" s="30">
        <v>80</v>
      </c>
      <c r="L1050" s="29">
        <f>IF(B1050="Nữ",0,2)</f>
        <v>2</v>
      </c>
      <c r="M1050" s="29">
        <f ca="1">IF(D1050&lt;45,0,IF(D1050&lt;=49,1,2))</f>
        <v>2</v>
      </c>
      <c r="N1050" s="29">
        <f>IF(E1050="Có",4,0)</f>
        <v>0</v>
      </c>
      <c r="O1050" s="29">
        <f>IF(H1050&lt;23,0,IF(H1050&lt;27.5,3,5))</f>
        <v>0</v>
      </c>
      <c r="P1050" s="29">
        <f>IF(OR(AND(B1050="Nam",I1050&gt;=90),AND(B1050="Nữ",I1050&gt;=80)),2,0)</f>
        <v>0</v>
      </c>
      <c r="Q1050" s="29">
        <f>IF(OR(J1050&gt;=140,K1050&gt;=90),2,0)</f>
        <v>0</v>
      </c>
      <c r="R1050" s="29">
        <f ca="1">SUM(L1050:Q1050)</f>
        <v>4</v>
      </c>
      <c r="S1050" s="33"/>
      <c r="T1050" s="33"/>
      <c r="U1050" s="33"/>
      <c r="V1050" s="33"/>
      <c r="W1050" s="33"/>
      <c r="X1050" s="33"/>
      <c r="Y1050" s="33"/>
      <c r="Z1050" s="33"/>
      <c r="AA1050" s="33"/>
      <c r="AB1050" s="33"/>
      <c r="AC1050" s="33"/>
      <c r="AD1050" s="5" t="s">
        <v>1393</v>
      </c>
      <c r="AE1050" s="33"/>
      <c r="AF1050" s="59" t="str">
        <f t="shared" si="49"/>
        <v>Không</v>
      </c>
      <c r="AG1050" s="59" t="str">
        <f t="shared" si="50"/>
        <v>Không</v>
      </c>
      <c r="AH1050" s="29" t="str">
        <f t="shared" ca="1" si="48"/>
        <v>Không</v>
      </c>
      <c r="AI1050" s="29" t="str">
        <f ca="1">IF((R1050)&gt;=6,"Có","Không")</f>
        <v>Không</v>
      </c>
      <c r="AJ1050" s="29" t="str">
        <f>IF(OR(J1050&gt;=140,K1050&gt;=90),"Có","Không")</f>
        <v>Không</v>
      </c>
      <c r="AK1050" s="5" t="s">
        <v>51</v>
      </c>
      <c r="AL1050" s="35">
        <v>46173</v>
      </c>
      <c r="AM1050" s="29" t="str">
        <f>"Tháng "&amp;MONTH(AL1050)</f>
        <v>Tháng 5</v>
      </c>
      <c r="AN1050" s="69" t="s">
        <v>1376</v>
      </c>
    </row>
    <row r="1051" spans="1:40" x14ac:dyDescent="0.25">
      <c r="A1051" s="52" t="s">
        <v>1216</v>
      </c>
      <c r="B1051" s="21" t="s">
        <v>30</v>
      </c>
      <c r="C1051" s="35">
        <v>22282</v>
      </c>
      <c r="D1051" s="29">
        <f ca="1">DATEDIF(C1051,TODAY(),"Y")</f>
        <v>65</v>
      </c>
      <c r="E1051" s="5" t="s">
        <v>26</v>
      </c>
      <c r="F1051" s="30">
        <v>160</v>
      </c>
      <c r="G1051" s="30">
        <v>63</v>
      </c>
      <c r="H1051" s="31">
        <f>G1051/((F1051/100)*(F1051/100))</f>
        <v>24.609374999999996</v>
      </c>
      <c r="I1051" s="5">
        <v>88</v>
      </c>
      <c r="J1051" s="30">
        <v>120</v>
      </c>
      <c r="K1051" s="30">
        <v>80</v>
      </c>
      <c r="L1051" s="29">
        <f>IF(B1051="Nữ",0,2)</f>
        <v>2</v>
      </c>
      <c r="M1051" s="29">
        <f ca="1">IF(D1051&lt;45,0,IF(D1051&lt;=49,1,2))</f>
        <v>2</v>
      </c>
      <c r="N1051" s="29">
        <f>IF(E1051="Có",4,0)</f>
        <v>0</v>
      </c>
      <c r="O1051" s="29">
        <f>IF(H1051&lt;23,0,IF(H1051&lt;27.5,3,5))</f>
        <v>3</v>
      </c>
      <c r="P1051" s="29">
        <f>IF(OR(AND(B1051="Nam",I1051&gt;=90),AND(B1051="Nữ",I1051&gt;=80)),2,0)</f>
        <v>0</v>
      </c>
      <c r="Q1051" s="29">
        <f>IF(OR(J1051&gt;=140,K1051&gt;=90),2,0)</f>
        <v>0</v>
      </c>
      <c r="R1051" s="29">
        <f ca="1">SUM(L1051:Q1051)</f>
        <v>7</v>
      </c>
      <c r="S1051" s="33"/>
      <c r="T1051" s="33"/>
      <c r="U1051" s="33"/>
      <c r="V1051" s="33"/>
      <c r="W1051" s="33"/>
      <c r="X1051" s="33"/>
      <c r="Y1051" s="33"/>
      <c r="Z1051" s="33"/>
      <c r="AA1051" s="33"/>
      <c r="AB1051" s="33"/>
      <c r="AC1051" s="33"/>
      <c r="AD1051" s="5" t="s">
        <v>1393</v>
      </c>
      <c r="AE1051" s="33"/>
      <c r="AF1051" s="59" t="str">
        <f t="shared" si="49"/>
        <v>Không</v>
      </c>
      <c r="AG1051" s="59" t="str">
        <f t="shared" si="50"/>
        <v>Không</v>
      </c>
      <c r="AH1051" s="29" t="str">
        <f t="shared" ca="1" si="48"/>
        <v>Có</v>
      </c>
      <c r="AI1051" s="29" t="str">
        <f ca="1">IF((R1051)&gt;=6,"Có","Không")</f>
        <v>Có</v>
      </c>
      <c r="AJ1051" s="29" t="str">
        <f>IF(OR(J1051&gt;=140,K1051&gt;=90),"Có","Không")</f>
        <v>Không</v>
      </c>
      <c r="AK1051" s="5" t="s">
        <v>51</v>
      </c>
      <c r="AL1051" s="35">
        <v>46173</v>
      </c>
      <c r="AM1051" s="29" t="str">
        <f>"Tháng "&amp;MONTH(AL1051)</f>
        <v>Tháng 5</v>
      </c>
      <c r="AN1051" s="69" t="s">
        <v>1376</v>
      </c>
    </row>
    <row r="1052" spans="1:40" x14ac:dyDescent="0.25">
      <c r="A1052" s="52" t="s">
        <v>1217</v>
      </c>
      <c r="B1052" s="21" t="s">
        <v>30</v>
      </c>
      <c r="C1052" s="35">
        <v>25569</v>
      </c>
      <c r="D1052" s="29">
        <f ca="1">DATEDIF(C1052,TODAY(),"Y")</f>
        <v>56</v>
      </c>
      <c r="E1052" s="5" t="s">
        <v>26</v>
      </c>
      <c r="F1052" s="30">
        <v>158</v>
      </c>
      <c r="G1052" s="30">
        <v>34</v>
      </c>
      <c r="H1052" s="31">
        <f>G1052/((F1052/100)*(F1052/100))</f>
        <v>13.619612241627943</v>
      </c>
      <c r="I1052" s="5">
        <v>72</v>
      </c>
      <c r="J1052" s="30">
        <v>120</v>
      </c>
      <c r="K1052" s="30">
        <v>80</v>
      </c>
      <c r="L1052" s="29">
        <f>IF(B1052="Nữ",0,2)</f>
        <v>2</v>
      </c>
      <c r="M1052" s="29">
        <f ca="1">IF(D1052&lt;45,0,IF(D1052&lt;=49,1,2))</f>
        <v>2</v>
      </c>
      <c r="N1052" s="29">
        <f>IF(E1052="Có",4,0)</f>
        <v>0</v>
      </c>
      <c r="O1052" s="29">
        <f>IF(H1052&lt;23,0,IF(H1052&lt;27.5,3,5))</f>
        <v>0</v>
      </c>
      <c r="P1052" s="29">
        <f>IF(OR(AND(B1052="Nam",I1052&gt;=90),AND(B1052="Nữ",I1052&gt;=80)),2,0)</f>
        <v>0</v>
      </c>
      <c r="Q1052" s="29">
        <f>IF(OR(J1052&gt;=140,K1052&gt;=90),2,0)</f>
        <v>0</v>
      </c>
      <c r="R1052" s="29">
        <f ca="1">SUM(L1052:Q1052)</f>
        <v>4</v>
      </c>
      <c r="S1052" s="33"/>
      <c r="T1052" s="33"/>
      <c r="U1052" s="33"/>
      <c r="V1052" s="33"/>
      <c r="W1052" s="33"/>
      <c r="X1052" s="33"/>
      <c r="Y1052" s="33"/>
      <c r="Z1052" s="33"/>
      <c r="AA1052" s="33"/>
      <c r="AB1052" s="33"/>
      <c r="AC1052" s="33"/>
      <c r="AD1052" s="5" t="s">
        <v>1393</v>
      </c>
      <c r="AE1052" s="33"/>
      <c r="AF1052" s="59" t="str">
        <f t="shared" si="49"/>
        <v>Không</v>
      </c>
      <c r="AG1052" s="59" t="str">
        <f t="shared" si="50"/>
        <v>Không</v>
      </c>
      <c r="AH1052" s="29" t="str">
        <f t="shared" ca="1" si="48"/>
        <v>Không</v>
      </c>
      <c r="AI1052" s="29" t="str">
        <f ca="1">IF((R1052)&gt;=6,"Có","Không")</f>
        <v>Không</v>
      </c>
      <c r="AJ1052" s="29" t="str">
        <f>IF(OR(J1052&gt;=140,K1052&gt;=90),"Có","Không")</f>
        <v>Không</v>
      </c>
      <c r="AK1052" s="5" t="s">
        <v>51</v>
      </c>
      <c r="AL1052" s="35">
        <v>46173</v>
      </c>
      <c r="AM1052" s="29" t="str">
        <f>"Tháng "&amp;MONTH(AL1052)</f>
        <v>Tháng 5</v>
      </c>
      <c r="AN1052" s="69" t="s">
        <v>1376</v>
      </c>
    </row>
    <row r="1053" spans="1:40" x14ac:dyDescent="0.25">
      <c r="A1053" s="52" t="s">
        <v>1218</v>
      </c>
      <c r="B1053" s="21" t="s">
        <v>23</v>
      </c>
      <c r="C1053" s="35">
        <v>24473</v>
      </c>
      <c r="D1053" s="29">
        <f ca="1">DATEDIF(C1053,TODAY(),"Y")</f>
        <v>59</v>
      </c>
      <c r="E1053" s="5" t="s">
        <v>26</v>
      </c>
      <c r="F1053" s="30">
        <v>160</v>
      </c>
      <c r="G1053" s="30">
        <v>55</v>
      </c>
      <c r="H1053" s="31">
        <f>G1053/((F1053/100)*(F1053/100))</f>
        <v>21.484374999999996</v>
      </c>
      <c r="I1053" s="5">
        <v>65</v>
      </c>
      <c r="J1053" s="30">
        <v>120</v>
      </c>
      <c r="K1053" s="30">
        <v>80</v>
      </c>
      <c r="L1053" s="29">
        <f>IF(B1053="Nữ",0,2)</f>
        <v>0</v>
      </c>
      <c r="M1053" s="29">
        <f ca="1">IF(D1053&lt;45,0,IF(D1053&lt;=49,1,2))</f>
        <v>2</v>
      </c>
      <c r="N1053" s="29">
        <f>IF(E1053="Có",4,0)</f>
        <v>0</v>
      </c>
      <c r="O1053" s="29">
        <f>IF(H1053&lt;23,0,IF(H1053&lt;27.5,3,5))</f>
        <v>0</v>
      </c>
      <c r="P1053" s="29">
        <f>IF(OR(AND(B1053="Nam",I1053&gt;=90),AND(B1053="Nữ",I1053&gt;=80)),2,0)</f>
        <v>0</v>
      </c>
      <c r="Q1053" s="29">
        <f>IF(OR(J1053&gt;=140,K1053&gt;=90),2,0)</f>
        <v>0</v>
      </c>
      <c r="R1053" s="29">
        <f ca="1">SUM(L1053:Q1053)</f>
        <v>2</v>
      </c>
      <c r="S1053" s="33"/>
      <c r="T1053" s="33"/>
      <c r="U1053" s="33"/>
      <c r="V1053" s="33"/>
      <c r="W1053" s="33"/>
      <c r="X1053" s="33"/>
      <c r="Y1053" s="33"/>
      <c r="Z1053" s="33"/>
      <c r="AA1053" s="33"/>
      <c r="AB1053" s="33"/>
      <c r="AC1053" s="33"/>
      <c r="AD1053" s="5" t="s">
        <v>1393</v>
      </c>
      <c r="AE1053" s="33"/>
      <c r="AF1053" s="59" t="str">
        <f t="shared" si="49"/>
        <v>Không</v>
      </c>
      <c r="AG1053" s="59" t="str">
        <f t="shared" si="50"/>
        <v>Không</v>
      </c>
      <c r="AH1053" s="29" t="str">
        <f t="shared" ca="1" si="48"/>
        <v>Không</v>
      </c>
      <c r="AI1053" s="29" t="str">
        <f ca="1">IF((R1053)&gt;=6,"Có","Không")</f>
        <v>Không</v>
      </c>
      <c r="AJ1053" s="29" t="str">
        <f>IF(OR(J1053&gt;=140,K1053&gt;=90),"Có","Không")</f>
        <v>Không</v>
      </c>
      <c r="AK1053" s="5" t="s">
        <v>51</v>
      </c>
      <c r="AL1053" s="35">
        <v>46173</v>
      </c>
      <c r="AM1053" s="29" t="str">
        <f>"Tháng "&amp;MONTH(AL1053)</f>
        <v>Tháng 5</v>
      </c>
      <c r="AN1053" s="69" t="s">
        <v>1376</v>
      </c>
    </row>
    <row r="1054" spans="1:40" x14ac:dyDescent="0.25">
      <c r="A1054" s="52" t="s">
        <v>1219</v>
      </c>
      <c r="B1054" s="21" t="s">
        <v>23</v>
      </c>
      <c r="C1054" s="35">
        <v>27030</v>
      </c>
      <c r="D1054" s="29">
        <f ca="1">DATEDIF(C1054,TODAY(),"Y")</f>
        <v>52</v>
      </c>
      <c r="E1054" s="5" t="s">
        <v>26</v>
      </c>
      <c r="F1054" s="30">
        <v>158</v>
      </c>
      <c r="G1054" s="30">
        <v>58</v>
      </c>
      <c r="H1054" s="31">
        <f>G1054/((F1054/100)*(F1054/100))</f>
        <v>23.233456176894723</v>
      </c>
      <c r="I1054" s="5">
        <v>72</v>
      </c>
      <c r="J1054" s="30">
        <v>120</v>
      </c>
      <c r="K1054" s="30">
        <v>80</v>
      </c>
      <c r="L1054" s="29">
        <f>IF(B1054="Nữ",0,2)</f>
        <v>0</v>
      </c>
      <c r="M1054" s="29">
        <f ca="1">IF(D1054&lt;45,0,IF(D1054&lt;=49,1,2))</f>
        <v>2</v>
      </c>
      <c r="N1054" s="29">
        <f>IF(E1054="Có",4,0)</f>
        <v>0</v>
      </c>
      <c r="O1054" s="29">
        <f>IF(H1054&lt;23,0,IF(H1054&lt;27.5,3,5))</f>
        <v>3</v>
      </c>
      <c r="P1054" s="29">
        <f>IF(OR(AND(B1054="Nam",I1054&gt;=90),AND(B1054="Nữ",I1054&gt;=80)),2,0)</f>
        <v>0</v>
      </c>
      <c r="Q1054" s="29">
        <f>IF(OR(J1054&gt;=140,K1054&gt;=90),2,0)</f>
        <v>0</v>
      </c>
      <c r="R1054" s="29">
        <f ca="1">SUM(L1054:Q1054)</f>
        <v>5</v>
      </c>
      <c r="S1054" s="33"/>
      <c r="T1054" s="33"/>
      <c r="U1054" s="33"/>
      <c r="V1054" s="33"/>
      <c r="W1054" s="33"/>
      <c r="X1054" s="33"/>
      <c r="Y1054" s="33"/>
      <c r="Z1054" s="33"/>
      <c r="AA1054" s="33"/>
      <c r="AB1054" s="33"/>
      <c r="AC1054" s="33"/>
      <c r="AD1054" s="5" t="s">
        <v>1393</v>
      </c>
      <c r="AE1054" s="33"/>
      <c r="AF1054" s="59" t="str">
        <f t="shared" si="49"/>
        <v>Không</v>
      </c>
      <c r="AG1054" s="59" t="str">
        <f t="shared" si="50"/>
        <v>Không</v>
      </c>
      <c r="AH1054" s="29" t="str">
        <f t="shared" ca="1" si="48"/>
        <v>Không</v>
      </c>
      <c r="AI1054" s="29" t="str">
        <f ca="1">IF((R1054)&gt;=6,"Có","Không")</f>
        <v>Không</v>
      </c>
      <c r="AJ1054" s="29" t="str">
        <f>IF(OR(J1054&gt;=140,K1054&gt;=90),"Có","Không")</f>
        <v>Không</v>
      </c>
      <c r="AK1054" s="5" t="s">
        <v>51</v>
      </c>
      <c r="AL1054" s="35">
        <v>46173</v>
      </c>
      <c r="AM1054" s="29" t="str">
        <f>"Tháng "&amp;MONTH(AL1054)</f>
        <v>Tháng 5</v>
      </c>
      <c r="AN1054" s="69" t="s">
        <v>1376</v>
      </c>
    </row>
    <row r="1055" spans="1:40" x14ac:dyDescent="0.25">
      <c r="A1055" s="52" t="s">
        <v>1220</v>
      </c>
      <c r="B1055" s="21" t="s">
        <v>30</v>
      </c>
      <c r="C1055" s="35">
        <v>20455</v>
      </c>
      <c r="D1055" s="29">
        <f ca="1">DATEDIF(C1055,TODAY(),"Y")</f>
        <v>70</v>
      </c>
      <c r="E1055" s="5" t="s">
        <v>26</v>
      </c>
      <c r="F1055" s="30">
        <v>169</v>
      </c>
      <c r="G1055" s="30">
        <v>68</v>
      </c>
      <c r="H1055" s="31">
        <f>G1055/((F1055/100)*(F1055/100))</f>
        <v>23.808690171912751</v>
      </c>
      <c r="I1055" s="5">
        <v>76</v>
      </c>
      <c r="J1055" s="30">
        <v>120</v>
      </c>
      <c r="K1055" s="30">
        <v>80</v>
      </c>
      <c r="L1055" s="29">
        <f>IF(B1055="Nữ",0,2)</f>
        <v>2</v>
      </c>
      <c r="M1055" s="29">
        <f ca="1">IF(D1055&lt;45,0,IF(D1055&lt;=49,1,2))</f>
        <v>2</v>
      </c>
      <c r="N1055" s="29">
        <f>IF(E1055="Có",4,0)</f>
        <v>0</v>
      </c>
      <c r="O1055" s="29">
        <f>IF(H1055&lt;23,0,IF(H1055&lt;27.5,3,5))</f>
        <v>3</v>
      </c>
      <c r="P1055" s="29">
        <f>IF(OR(AND(B1055="Nam",I1055&gt;=90),AND(B1055="Nữ",I1055&gt;=80)),2,0)</f>
        <v>0</v>
      </c>
      <c r="Q1055" s="29">
        <f>IF(OR(J1055&gt;=140,K1055&gt;=90),2,0)</f>
        <v>0</v>
      </c>
      <c r="R1055" s="29">
        <f ca="1">SUM(L1055:Q1055)</f>
        <v>7</v>
      </c>
      <c r="S1055" s="33"/>
      <c r="T1055" s="33"/>
      <c r="U1055" s="33"/>
      <c r="V1055" s="33"/>
      <c r="W1055" s="33"/>
      <c r="X1055" s="33"/>
      <c r="Y1055" s="33"/>
      <c r="Z1055" s="33"/>
      <c r="AA1055" s="33"/>
      <c r="AB1055" s="33"/>
      <c r="AC1055" s="33"/>
      <c r="AD1055" s="5" t="s">
        <v>1393</v>
      </c>
      <c r="AE1055" s="33"/>
      <c r="AF1055" s="59" t="str">
        <f t="shared" si="49"/>
        <v>Không</v>
      </c>
      <c r="AG1055" s="59" t="str">
        <f t="shared" si="50"/>
        <v>Không</v>
      </c>
      <c r="AH1055" s="29" t="str">
        <f t="shared" ca="1" si="48"/>
        <v>Có</v>
      </c>
      <c r="AI1055" s="29" t="str">
        <f ca="1">IF((R1055)&gt;=6,"Có","Không")</f>
        <v>Có</v>
      </c>
      <c r="AJ1055" s="29" t="str">
        <f>IF(OR(J1055&gt;=140,K1055&gt;=90),"Có","Không")</f>
        <v>Không</v>
      </c>
      <c r="AK1055" s="5" t="s">
        <v>51</v>
      </c>
      <c r="AL1055" s="35">
        <v>46173</v>
      </c>
      <c r="AM1055" s="29" t="str">
        <f>"Tháng "&amp;MONTH(AL1055)</f>
        <v>Tháng 5</v>
      </c>
      <c r="AN1055" s="69" t="s">
        <v>1376</v>
      </c>
    </row>
    <row r="1056" spans="1:40" x14ac:dyDescent="0.25">
      <c r="A1056" s="52" t="s">
        <v>1221</v>
      </c>
      <c r="B1056" s="21" t="s">
        <v>30</v>
      </c>
      <c r="C1056" s="35">
        <v>22647</v>
      </c>
      <c r="D1056" s="29">
        <f ca="1">DATEDIF(C1056,TODAY(),"Y")</f>
        <v>64</v>
      </c>
      <c r="E1056" s="5" t="s">
        <v>26</v>
      </c>
      <c r="F1056" s="30">
        <v>158</v>
      </c>
      <c r="G1056" s="30">
        <v>58</v>
      </c>
      <c r="H1056" s="31">
        <f>G1056/((F1056/100)*(F1056/100))</f>
        <v>23.233456176894723</v>
      </c>
      <c r="I1056" s="5">
        <v>96</v>
      </c>
      <c r="J1056" s="30">
        <v>120</v>
      </c>
      <c r="K1056" s="30">
        <v>80</v>
      </c>
      <c r="L1056" s="29">
        <f>IF(B1056="Nữ",0,2)</f>
        <v>2</v>
      </c>
      <c r="M1056" s="29">
        <f ca="1">IF(D1056&lt;45,0,IF(D1056&lt;=49,1,2))</f>
        <v>2</v>
      </c>
      <c r="N1056" s="29">
        <f>IF(E1056="Có",4,0)</f>
        <v>0</v>
      </c>
      <c r="O1056" s="29">
        <f>IF(H1056&lt;23,0,IF(H1056&lt;27.5,3,5))</f>
        <v>3</v>
      </c>
      <c r="P1056" s="29">
        <f>IF(OR(AND(B1056="Nam",I1056&gt;=90),AND(B1056="Nữ",I1056&gt;=80)),2,0)</f>
        <v>2</v>
      </c>
      <c r="Q1056" s="29">
        <f>IF(OR(J1056&gt;=140,K1056&gt;=90),2,0)</f>
        <v>0</v>
      </c>
      <c r="R1056" s="29">
        <f ca="1">SUM(L1056:Q1056)</f>
        <v>9</v>
      </c>
      <c r="S1056" s="33"/>
      <c r="T1056" s="33"/>
      <c r="U1056" s="33"/>
      <c r="V1056" s="33"/>
      <c r="W1056" s="33"/>
      <c r="X1056" s="33"/>
      <c r="Y1056" s="33"/>
      <c r="Z1056" s="33"/>
      <c r="AA1056" s="33"/>
      <c r="AB1056" s="33"/>
      <c r="AC1056" s="33"/>
      <c r="AD1056" s="5" t="s">
        <v>1393</v>
      </c>
      <c r="AE1056" s="33"/>
      <c r="AF1056" s="59" t="str">
        <f t="shared" si="49"/>
        <v>Không</v>
      </c>
      <c r="AG1056" s="59" t="str">
        <f t="shared" si="50"/>
        <v>Không</v>
      </c>
      <c r="AH1056" s="29" t="str">
        <f t="shared" ca="1" si="48"/>
        <v>Có</v>
      </c>
      <c r="AI1056" s="29" t="str">
        <f ca="1">IF((R1056)&gt;=6,"Có","Không")</f>
        <v>Có</v>
      </c>
      <c r="AJ1056" s="29" t="str">
        <f>IF(OR(J1056&gt;=140,K1056&gt;=90),"Có","Không")</f>
        <v>Không</v>
      </c>
      <c r="AK1056" s="5" t="s">
        <v>51</v>
      </c>
      <c r="AL1056" s="35">
        <v>46173</v>
      </c>
      <c r="AM1056" s="29" t="str">
        <f>"Tháng "&amp;MONTH(AL1056)</f>
        <v>Tháng 5</v>
      </c>
      <c r="AN1056" s="69" t="s">
        <v>1376</v>
      </c>
    </row>
    <row r="1057" spans="1:40" x14ac:dyDescent="0.25">
      <c r="A1057" s="52" t="s">
        <v>1222</v>
      </c>
      <c r="B1057" s="21" t="s">
        <v>23</v>
      </c>
      <c r="C1057" s="35">
        <v>17533</v>
      </c>
      <c r="D1057" s="29">
        <f ca="1">DATEDIF(C1057,TODAY(),"Y")</f>
        <v>78</v>
      </c>
      <c r="E1057" s="5" t="s">
        <v>25</v>
      </c>
      <c r="F1057" s="30">
        <v>169</v>
      </c>
      <c r="G1057" s="30">
        <v>68</v>
      </c>
      <c r="H1057" s="31">
        <f>G1057/((F1057/100)*(F1057/100))</f>
        <v>23.808690171912751</v>
      </c>
      <c r="I1057" s="5">
        <v>69</v>
      </c>
      <c r="J1057" s="30">
        <v>120</v>
      </c>
      <c r="K1057" s="30">
        <v>80</v>
      </c>
      <c r="L1057" s="29">
        <f>IF(B1057="Nữ",0,2)</f>
        <v>0</v>
      </c>
      <c r="M1057" s="29">
        <f ca="1">IF(D1057&lt;45,0,IF(D1057&lt;=49,1,2))</f>
        <v>2</v>
      </c>
      <c r="N1057" s="29">
        <f>IF(E1057="Có",4,0)</f>
        <v>4</v>
      </c>
      <c r="O1057" s="29">
        <f>IF(H1057&lt;23,0,IF(H1057&lt;27.5,3,5))</f>
        <v>3</v>
      </c>
      <c r="P1057" s="29">
        <f>IF(OR(AND(B1057="Nam",I1057&gt;=90),AND(B1057="Nữ",I1057&gt;=80)),2,0)</f>
        <v>0</v>
      </c>
      <c r="Q1057" s="29">
        <f>IF(OR(J1057&gt;=140,K1057&gt;=90),2,0)</f>
        <v>0</v>
      </c>
      <c r="R1057" s="29">
        <f ca="1">SUM(L1057:Q1057)</f>
        <v>9</v>
      </c>
      <c r="S1057" s="33"/>
      <c r="T1057" s="33"/>
      <c r="U1057" s="33"/>
      <c r="V1057" s="33"/>
      <c r="W1057" s="33"/>
      <c r="X1057" s="33"/>
      <c r="Y1057" s="33"/>
      <c r="Z1057" s="33"/>
      <c r="AA1057" s="33"/>
      <c r="AB1057" s="33"/>
      <c r="AC1057" s="33"/>
      <c r="AD1057" s="5" t="s">
        <v>1393</v>
      </c>
      <c r="AE1057" s="33"/>
      <c r="AF1057" s="59" t="str">
        <f t="shared" si="49"/>
        <v>Không</v>
      </c>
      <c r="AG1057" s="59" t="str">
        <f t="shared" si="50"/>
        <v>Không</v>
      </c>
      <c r="AH1057" s="29" t="str">
        <f t="shared" ca="1" si="48"/>
        <v>Có</v>
      </c>
      <c r="AI1057" s="29" t="str">
        <f ca="1">IF((R1057)&gt;=6,"Có","Không")</f>
        <v>Có</v>
      </c>
      <c r="AJ1057" s="29" t="str">
        <f>IF(OR(J1057&gt;=140,K1057&gt;=90),"Có","Không")</f>
        <v>Không</v>
      </c>
      <c r="AK1057" s="5" t="s">
        <v>51</v>
      </c>
      <c r="AL1057" s="35">
        <v>46173</v>
      </c>
      <c r="AM1057" s="29" t="str">
        <f>"Tháng "&amp;MONTH(AL1057)</f>
        <v>Tháng 5</v>
      </c>
      <c r="AN1057" s="69" t="s">
        <v>1376</v>
      </c>
    </row>
    <row r="1058" spans="1:40" x14ac:dyDescent="0.25">
      <c r="A1058" s="52" t="s">
        <v>313</v>
      </c>
      <c r="B1058" s="21" t="s">
        <v>23</v>
      </c>
      <c r="C1058" s="35">
        <v>18629</v>
      </c>
      <c r="D1058" s="29">
        <f ca="1">DATEDIF(C1058,TODAY(),"Y")</f>
        <v>75</v>
      </c>
      <c r="E1058" s="5" t="s">
        <v>26</v>
      </c>
      <c r="F1058" s="30">
        <v>170</v>
      </c>
      <c r="G1058" s="30">
        <v>70</v>
      </c>
      <c r="H1058" s="31">
        <f>G1058/((F1058/100)*(F1058/100))</f>
        <v>24.221453287197235</v>
      </c>
      <c r="I1058" s="5">
        <v>80</v>
      </c>
      <c r="J1058" s="30">
        <v>140</v>
      </c>
      <c r="K1058" s="30">
        <v>80</v>
      </c>
      <c r="L1058" s="29">
        <f>IF(B1058="Nữ",0,2)</f>
        <v>0</v>
      </c>
      <c r="M1058" s="29">
        <f ca="1">IF(D1058&lt;45,0,IF(D1058&lt;=49,1,2))</f>
        <v>2</v>
      </c>
      <c r="N1058" s="29">
        <f>IF(E1058="Có",4,0)</f>
        <v>0</v>
      </c>
      <c r="O1058" s="29">
        <f>IF(H1058&lt;23,0,IF(H1058&lt;27.5,3,5))</f>
        <v>3</v>
      </c>
      <c r="P1058" s="29">
        <f>IF(OR(AND(B1058="Nam",I1058&gt;=90),AND(B1058="Nữ",I1058&gt;=80)),2,0)</f>
        <v>2</v>
      </c>
      <c r="Q1058" s="29">
        <f>IF(OR(J1058&gt;=140,K1058&gt;=90),2,0)</f>
        <v>2</v>
      </c>
      <c r="R1058" s="29">
        <f ca="1">SUM(L1058:Q1058)</f>
        <v>9</v>
      </c>
      <c r="S1058" s="33"/>
      <c r="T1058" s="33"/>
      <c r="U1058" s="33"/>
      <c r="V1058" s="33"/>
      <c r="W1058" s="33"/>
      <c r="X1058" s="33"/>
      <c r="Y1058" s="33"/>
      <c r="Z1058" s="33"/>
      <c r="AA1058" s="33"/>
      <c r="AB1058" s="33"/>
      <c r="AC1058" s="33"/>
      <c r="AD1058" s="5" t="s">
        <v>1393</v>
      </c>
      <c r="AE1058" s="33"/>
      <c r="AF1058" s="59" t="str">
        <f t="shared" si="49"/>
        <v>Không</v>
      </c>
      <c r="AG1058" s="59" t="str">
        <f t="shared" si="50"/>
        <v>Không</v>
      </c>
      <c r="AH1058" s="29" t="str">
        <f t="shared" ca="1" si="48"/>
        <v>Có</v>
      </c>
      <c r="AI1058" s="29" t="str">
        <f ca="1">IF((R1058)&gt;=6,"Có","Không")</f>
        <v>Có</v>
      </c>
      <c r="AJ1058" s="29" t="str">
        <f>IF(OR(J1058&gt;=140,K1058&gt;=90),"Có","Không")</f>
        <v>Có</v>
      </c>
      <c r="AK1058" s="5" t="s">
        <v>51</v>
      </c>
      <c r="AL1058" s="35">
        <v>46173</v>
      </c>
      <c r="AM1058" s="29" t="str">
        <f>"Tháng "&amp;MONTH(AL1058)</f>
        <v>Tháng 5</v>
      </c>
      <c r="AN1058" s="69" t="s">
        <v>1376</v>
      </c>
    </row>
    <row r="1059" spans="1:40" x14ac:dyDescent="0.25">
      <c r="A1059" s="52" t="s">
        <v>1224</v>
      </c>
      <c r="B1059" s="20" t="s">
        <v>30</v>
      </c>
      <c r="C1059" s="35">
        <v>23377</v>
      </c>
      <c r="D1059" s="29">
        <f ca="1">DATEDIF(C1059,TODAY(),"Y")</f>
        <v>62</v>
      </c>
      <c r="E1059" s="5" t="s">
        <v>26</v>
      </c>
      <c r="F1059" s="30">
        <v>158</v>
      </c>
      <c r="G1059" s="30">
        <v>58</v>
      </c>
      <c r="H1059" s="31">
        <f>G1059/((F1059/100)*(F1059/100))</f>
        <v>23.233456176894723</v>
      </c>
      <c r="I1059" s="5">
        <v>76</v>
      </c>
      <c r="J1059" s="30">
        <v>120</v>
      </c>
      <c r="K1059" s="30">
        <v>80</v>
      </c>
      <c r="L1059" s="29">
        <f>IF(B1059="Nữ",0,2)</f>
        <v>2</v>
      </c>
      <c r="M1059" s="29">
        <f ca="1">IF(D1059&lt;45,0,IF(D1059&lt;=49,1,2))</f>
        <v>2</v>
      </c>
      <c r="N1059" s="29">
        <f>IF(E1059="Có",4,0)</f>
        <v>0</v>
      </c>
      <c r="O1059" s="29">
        <f>IF(H1059&lt;23,0,IF(H1059&lt;27.5,3,5))</f>
        <v>3</v>
      </c>
      <c r="P1059" s="29">
        <f>IF(OR(AND(B1059="Nam",I1059&gt;=90),AND(B1059="Nữ",I1059&gt;=80)),2,0)</f>
        <v>0</v>
      </c>
      <c r="Q1059" s="29">
        <f>IF(OR(J1059&gt;=140,K1059&gt;=90),2,0)</f>
        <v>0</v>
      </c>
      <c r="R1059" s="29">
        <f ca="1">SUM(L1059:Q1059)</f>
        <v>7</v>
      </c>
      <c r="S1059" s="33"/>
      <c r="T1059" s="33"/>
      <c r="U1059" s="33"/>
      <c r="V1059" s="33"/>
      <c r="W1059" s="33"/>
      <c r="X1059" s="33"/>
      <c r="Y1059" s="33"/>
      <c r="Z1059" s="33"/>
      <c r="AA1059" s="33"/>
      <c r="AB1059" s="33"/>
      <c r="AC1059" s="33"/>
      <c r="AD1059" s="5" t="s">
        <v>1393</v>
      </c>
      <c r="AE1059" s="33"/>
      <c r="AF1059" s="59" t="str">
        <f t="shared" si="49"/>
        <v>Không</v>
      </c>
      <c r="AG1059" s="59" t="str">
        <f t="shared" si="50"/>
        <v>Không</v>
      </c>
      <c r="AH1059" s="29" t="str">
        <f t="shared" ca="1" si="48"/>
        <v>Có</v>
      </c>
      <c r="AI1059" s="29" t="str">
        <f ca="1">IF((R1059)&gt;=6,"Có","Không")</f>
        <v>Có</v>
      </c>
      <c r="AJ1059" s="29" t="str">
        <f>IF(OR(J1059&gt;=140,K1059&gt;=90),"Có","Không")</f>
        <v>Không</v>
      </c>
      <c r="AK1059" s="5" t="s">
        <v>51</v>
      </c>
      <c r="AL1059" s="35">
        <v>46173</v>
      </c>
      <c r="AM1059" s="29" t="str">
        <f>"Tháng "&amp;MONTH(AL1059)</f>
        <v>Tháng 5</v>
      </c>
      <c r="AN1059" s="69" t="s">
        <v>1376</v>
      </c>
    </row>
    <row r="1060" spans="1:40" x14ac:dyDescent="0.25">
      <c r="A1060" s="52" t="s">
        <v>1227</v>
      </c>
      <c r="B1060" s="20" t="s">
        <v>30</v>
      </c>
      <c r="C1060" s="35">
        <v>17533</v>
      </c>
      <c r="D1060" s="29">
        <f ca="1">DATEDIF(C1060,TODAY(),"Y")</f>
        <v>78</v>
      </c>
      <c r="E1060" s="5" t="s">
        <v>25</v>
      </c>
      <c r="F1060" s="30">
        <v>169</v>
      </c>
      <c r="G1060" s="30">
        <v>68</v>
      </c>
      <c r="H1060" s="31">
        <f>G1060/((F1060/100)*(F1060/100))</f>
        <v>23.808690171912751</v>
      </c>
      <c r="I1060" s="5">
        <v>74</v>
      </c>
      <c r="J1060" s="30">
        <v>150</v>
      </c>
      <c r="K1060" s="30">
        <v>90</v>
      </c>
      <c r="L1060" s="29">
        <f>IF(B1060="Nữ",0,2)</f>
        <v>2</v>
      </c>
      <c r="M1060" s="29">
        <f ca="1">IF(D1060&lt;45,0,IF(D1060&lt;=49,1,2))</f>
        <v>2</v>
      </c>
      <c r="N1060" s="29">
        <f>IF(E1060="Có",4,0)</f>
        <v>4</v>
      </c>
      <c r="O1060" s="29">
        <f>IF(H1060&lt;23,0,IF(H1060&lt;27.5,3,5))</f>
        <v>3</v>
      </c>
      <c r="P1060" s="29">
        <f>IF(OR(AND(B1060="Nam",I1060&gt;=90),AND(B1060="Nữ",I1060&gt;=80)),2,0)</f>
        <v>0</v>
      </c>
      <c r="Q1060" s="29">
        <f>IF(OR(J1060&gt;=140,K1060&gt;=90),2,0)</f>
        <v>2</v>
      </c>
      <c r="R1060" s="29">
        <f ca="1">SUM(L1060:Q1060)</f>
        <v>13</v>
      </c>
      <c r="S1060" s="33"/>
      <c r="T1060" s="33"/>
      <c r="U1060" s="33"/>
      <c r="V1060" s="33"/>
      <c r="W1060" s="33"/>
      <c r="X1060" s="33"/>
      <c r="Y1060" s="33"/>
      <c r="Z1060" s="33"/>
      <c r="AA1060" s="33"/>
      <c r="AB1060" s="33"/>
      <c r="AC1060" s="33"/>
      <c r="AD1060" s="5" t="s">
        <v>1393</v>
      </c>
      <c r="AE1060" s="33"/>
      <c r="AF1060" s="59" t="str">
        <f t="shared" si="49"/>
        <v>Không</v>
      </c>
      <c r="AG1060" s="59" t="str">
        <f t="shared" si="50"/>
        <v>Không</v>
      </c>
      <c r="AH1060" s="29" t="str">
        <f t="shared" ca="1" si="48"/>
        <v>Có</v>
      </c>
      <c r="AI1060" s="29" t="str">
        <f ca="1">IF((R1060)&gt;=6,"Có","Không")</f>
        <v>Có</v>
      </c>
      <c r="AJ1060" s="29" t="str">
        <f>IF(OR(J1060&gt;=140,K1060&gt;=90),"Có","Không")</f>
        <v>Có</v>
      </c>
      <c r="AK1060" s="5" t="s">
        <v>51</v>
      </c>
      <c r="AL1060" s="35">
        <v>46173</v>
      </c>
      <c r="AM1060" s="29" t="str">
        <f>"Tháng "&amp;MONTH(AL1060)</f>
        <v>Tháng 5</v>
      </c>
      <c r="AN1060" s="69" t="s">
        <v>1376</v>
      </c>
    </row>
    <row r="1061" spans="1:40" x14ac:dyDescent="0.25">
      <c r="A1061" s="52" t="s">
        <v>1228</v>
      </c>
      <c r="B1061" s="21" t="s">
        <v>23</v>
      </c>
      <c r="C1061" s="35">
        <v>20455</v>
      </c>
      <c r="D1061" s="29">
        <f ca="1">DATEDIF(C1061,TODAY(),"Y")</f>
        <v>70</v>
      </c>
      <c r="E1061" s="5" t="s">
        <v>25</v>
      </c>
      <c r="F1061" s="30">
        <v>158</v>
      </c>
      <c r="G1061" s="30">
        <v>58</v>
      </c>
      <c r="H1061" s="31">
        <f>G1061/((F1061/100)*(F1061/100))</f>
        <v>23.233456176894723</v>
      </c>
      <c r="I1061" s="5">
        <v>90</v>
      </c>
      <c r="J1061" s="30">
        <v>130</v>
      </c>
      <c r="K1061" s="30">
        <v>80</v>
      </c>
      <c r="L1061" s="29">
        <f>IF(B1061="Nữ",0,2)</f>
        <v>0</v>
      </c>
      <c r="M1061" s="29">
        <f ca="1">IF(D1061&lt;45,0,IF(D1061&lt;=49,1,2))</f>
        <v>2</v>
      </c>
      <c r="N1061" s="29">
        <f>IF(E1061="Có",4,0)</f>
        <v>4</v>
      </c>
      <c r="O1061" s="29">
        <f>IF(H1061&lt;23,0,IF(H1061&lt;27.5,3,5))</f>
        <v>3</v>
      </c>
      <c r="P1061" s="29">
        <f>IF(OR(AND(B1061="Nam",I1061&gt;=90),AND(B1061="Nữ",I1061&gt;=80)),2,0)</f>
        <v>2</v>
      </c>
      <c r="Q1061" s="29">
        <f>IF(OR(J1061&gt;=140,K1061&gt;=90),2,0)</f>
        <v>0</v>
      </c>
      <c r="R1061" s="29">
        <f ca="1">SUM(L1061:Q1061)</f>
        <v>11</v>
      </c>
      <c r="S1061" s="33"/>
      <c r="T1061" s="33"/>
      <c r="U1061" s="33"/>
      <c r="V1061" s="33"/>
      <c r="W1061" s="33"/>
      <c r="X1061" s="33"/>
      <c r="Y1061" s="33"/>
      <c r="Z1061" s="33"/>
      <c r="AA1061" s="33"/>
      <c r="AB1061" s="33"/>
      <c r="AC1061" s="33"/>
      <c r="AD1061" s="5" t="s">
        <v>1393</v>
      </c>
      <c r="AE1061" s="33"/>
      <c r="AF1061" s="59" t="str">
        <f t="shared" si="49"/>
        <v>Không</v>
      </c>
      <c r="AG1061" s="59" t="str">
        <f t="shared" si="50"/>
        <v>Không</v>
      </c>
      <c r="AH1061" s="29" t="str">
        <f t="shared" ca="1" si="48"/>
        <v>Có</v>
      </c>
      <c r="AI1061" s="29" t="str">
        <f ca="1">IF((R1061)&gt;=6,"Có","Không")</f>
        <v>Có</v>
      </c>
      <c r="AJ1061" s="29" t="str">
        <f>IF(OR(J1061&gt;=140,K1061&gt;=90),"Có","Không")</f>
        <v>Không</v>
      </c>
      <c r="AK1061" s="5" t="s">
        <v>51</v>
      </c>
      <c r="AL1061" s="35">
        <v>46173</v>
      </c>
      <c r="AM1061" s="29" t="str">
        <f>"Tháng "&amp;MONTH(AL1061)</f>
        <v>Tháng 5</v>
      </c>
      <c r="AN1061" s="69" t="s">
        <v>1376</v>
      </c>
    </row>
    <row r="1062" spans="1:40" x14ac:dyDescent="0.25">
      <c r="A1062" s="52" t="s">
        <v>1230</v>
      </c>
      <c r="B1062" s="20" t="s">
        <v>23</v>
      </c>
      <c r="C1062" s="35">
        <v>16803</v>
      </c>
      <c r="D1062" s="29">
        <f ca="1">DATEDIF(C1062,TODAY(),"Y")</f>
        <v>80</v>
      </c>
      <c r="E1062" s="5" t="s">
        <v>26</v>
      </c>
      <c r="F1062" s="30">
        <v>165</v>
      </c>
      <c r="G1062" s="30">
        <v>55</v>
      </c>
      <c r="H1062" s="31">
        <f>G1062/((F1062/100)*(F1062/100))</f>
        <v>20.202020202020204</v>
      </c>
      <c r="I1062" s="5">
        <v>85</v>
      </c>
      <c r="J1062" s="30">
        <v>130</v>
      </c>
      <c r="K1062" s="30">
        <v>80</v>
      </c>
      <c r="L1062" s="29">
        <f>IF(B1062="Nữ",0,2)</f>
        <v>0</v>
      </c>
      <c r="M1062" s="29">
        <f ca="1">IF(D1062&lt;45,0,IF(D1062&lt;=49,1,2))</f>
        <v>2</v>
      </c>
      <c r="N1062" s="29">
        <f>IF(E1062="Có",4,0)</f>
        <v>0</v>
      </c>
      <c r="O1062" s="29">
        <f>IF(H1062&lt;23,0,IF(H1062&lt;27.5,3,5))</f>
        <v>0</v>
      </c>
      <c r="P1062" s="29">
        <f>IF(OR(AND(B1062="Nam",I1062&gt;=90),AND(B1062="Nữ",I1062&gt;=80)),2,0)</f>
        <v>2</v>
      </c>
      <c r="Q1062" s="29">
        <f>IF(OR(J1062&gt;=140,K1062&gt;=90),2,0)</f>
        <v>0</v>
      </c>
      <c r="R1062" s="29">
        <f ca="1">SUM(L1062:Q1062)</f>
        <v>4</v>
      </c>
      <c r="S1062" s="33"/>
      <c r="T1062" s="33"/>
      <c r="U1062" s="33"/>
      <c r="V1062" s="33"/>
      <c r="W1062" s="33"/>
      <c r="X1062" s="33"/>
      <c r="Y1062" s="33"/>
      <c r="Z1062" s="33"/>
      <c r="AA1062" s="33"/>
      <c r="AB1062" s="33"/>
      <c r="AC1062" s="33"/>
      <c r="AD1062" s="5" t="s">
        <v>1393</v>
      </c>
      <c r="AE1062" s="33"/>
      <c r="AF1062" s="59" t="str">
        <f t="shared" si="49"/>
        <v>Không</v>
      </c>
      <c r="AG1062" s="59" t="str">
        <f t="shared" si="50"/>
        <v>Không</v>
      </c>
      <c r="AH1062" s="29" t="str">
        <f t="shared" ca="1" si="48"/>
        <v>Không</v>
      </c>
      <c r="AI1062" s="29" t="str">
        <f ca="1">IF((R1062)&gt;=6,"Có","Không")</f>
        <v>Không</v>
      </c>
      <c r="AJ1062" s="29" t="str">
        <f>IF(OR(J1062&gt;=140,K1062&gt;=90),"Có","Không")</f>
        <v>Không</v>
      </c>
      <c r="AK1062" s="5" t="s">
        <v>51</v>
      </c>
      <c r="AL1062" s="35">
        <v>46173</v>
      </c>
      <c r="AM1062" s="29" t="str">
        <f>"Tháng "&amp;MONTH(AL1062)</f>
        <v>Tháng 5</v>
      </c>
      <c r="AN1062" s="69" t="s">
        <v>1376</v>
      </c>
    </row>
    <row r="1063" spans="1:40" x14ac:dyDescent="0.25">
      <c r="A1063" s="52" t="s">
        <v>1232</v>
      </c>
      <c r="B1063" s="20" t="s">
        <v>23</v>
      </c>
      <c r="C1063" s="35">
        <v>19725</v>
      </c>
      <c r="D1063" s="29">
        <f ca="1">DATEDIF(C1063,TODAY(),"Y")</f>
        <v>72</v>
      </c>
      <c r="E1063" s="5" t="s">
        <v>26</v>
      </c>
      <c r="F1063" s="30">
        <v>158</v>
      </c>
      <c r="G1063" s="30">
        <v>58</v>
      </c>
      <c r="H1063" s="31">
        <f>G1063/((F1063/100)*(F1063/100))</f>
        <v>23.233456176894723</v>
      </c>
      <c r="I1063" s="5">
        <v>91</v>
      </c>
      <c r="J1063" s="30">
        <v>120</v>
      </c>
      <c r="K1063" s="30">
        <v>80</v>
      </c>
      <c r="L1063" s="29">
        <f>IF(B1063="Nữ",0,2)</f>
        <v>0</v>
      </c>
      <c r="M1063" s="29">
        <f ca="1">IF(D1063&lt;45,0,IF(D1063&lt;=49,1,2))</f>
        <v>2</v>
      </c>
      <c r="N1063" s="29">
        <f>IF(E1063="Có",4,0)</f>
        <v>0</v>
      </c>
      <c r="O1063" s="29">
        <f>IF(H1063&lt;23,0,IF(H1063&lt;27.5,3,5))</f>
        <v>3</v>
      </c>
      <c r="P1063" s="29">
        <f>IF(OR(AND(B1063="Nam",I1063&gt;=90),AND(B1063="Nữ",I1063&gt;=80)),2,0)</f>
        <v>2</v>
      </c>
      <c r="Q1063" s="29">
        <f>IF(OR(J1063&gt;=140,K1063&gt;=90),2,0)</f>
        <v>0</v>
      </c>
      <c r="R1063" s="29">
        <f ca="1">SUM(L1063:Q1063)</f>
        <v>7</v>
      </c>
      <c r="S1063" s="33"/>
      <c r="T1063" s="33"/>
      <c r="U1063" s="33"/>
      <c r="V1063" s="33"/>
      <c r="W1063" s="33"/>
      <c r="X1063" s="33"/>
      <c r="Y1063" s="33"/>
      <c r="Z1063" s="33"/>
      <c r="AA1063" s="33"/>
      <c r="AB1063" s="33"/>
      <c r="AC1063" s="33"/>
      <c r="AD1063" s="5" t="s">
        <v>1393</v>
      </c>
      <c r="AE1063" s="33"/>
      <c r="AF1063" s="59" t="str">
        <f t="shared" si="49"/>
        <v>Không</v>
      </c>
      <c r="AG1063" s="59" t="str">
        <f t="shared" si="50"/>
        <v>Không</v>
      </c>
      <c r="AH1063" s="29" t="str">
        <f t="shared" ca="1" si="48"/>
        <v>Có</v>
      </c>
      <c r="AI1063" s="29" t="str">
        <f ca="1">IF((R1063)&gt;=6,"Có","Không")</f>
        <v>Có</v>
      </c>
      <c r="AJ1063" s="29" t="str">
        <f>IF(OR(J1063&gt;=140,K1063&gt;=90),"Có","Không")</f>
        <v>Không</v>
      </c>
      <c r="AK1063" s="5" t="s">
        <v>51</v>
      </c>
      <c r="AL1063" s="35">
        <v>46173</v>
      </c>
      <c r="AM1063" s="29" t="str">
        <f>"Tháng "&amp;MONTH(AL1063)</f>
        <v>Tháng 5</v>
      </c>
      <c r="AN1063" s="69" t="s">
        <v>1376</v>
      </c>
    </row>
    <row r="1064" spans="1:40" x14ac:dyDescent="0.25">
      <c r="A1064" s="52" t="s">
        <v>75</v>
      </c>
      <c r="B1064" s="21" t="s">
        <v>30</v>
      </c>
      <c r="C1064" s="35">
        <v>21916</v>
      </c>
      <c r="D1064" s="29">
        <f ca="1">DATEDIF(C1064,TODAY(),"Y")</f>
        <v>66</v>
      </c>
      <c r="E1064" s="5" t="s">
        <v>26</v>
      </c>
      <c r="F1064" s="30">
        <v>165</v>
      </c>
      <c r="G1064" s="30">
        <v>64</v>
      </c>
      <c r="H1064" s="31">
        <f>G1064/((F1064/100)*(F1064/100))</f>
        <v>23.507805325987146</v>
      </c>
      <c r="I1064" s="5">
        <v>78</v>
      </c>
      <c r="J1064" s="30">
        <v>120</v>
      </c>
      <c r="K1064" s="30">
        <v>70</v>
      </c>
      <c r="L1064" s="29">
        <f>IF(B1064="Nữ",0,2)</f>
        <v>2</v>
      </c>
      <c r="M1064" s="29">
        <f ca="1">IF(D1064&lt;45,0,IF(D1064&lt;=49,1,2))</f>
        <v>2</v>
      </c>
      <c r="N1064" s="29">
        <f>IF(E1064="Có",4,0)</f>
        <v>0</v>
      </c>
      <c r="O1064" s="29">
        <f>IF(H1064&lt;23,0,IF(H1064&lt;27.5,3,5))</f>
        <v>3</v>
      </c>
      <c r="P1064" s="29">
        <f>IF(OR(AND(B1064="Nam",I1064&gt;=90),AND(B1064="Nữ",I1064&gt;=80)),2,0)</f>
        <v>0</v>
      </c>
      <c r="Q1064" s="29">
        <f>IF(OR(J1064&gt;=140,K1064&gt;=90),2,0)</f>
        <v>0</v>
      </c>
      <c r="R1064" s="29">
        <f ca="1">SUM(L1064:Q1064)</f>
        <v>7</v>
      </c>
      <c r="S1064" s="33"/>
      <c r="T1064" s="33"/>
      <c r="U1064" s="33"/>
      <c r="V1064" s="33"/>
      <c r="W1064" s="33"/>
      <c r="X1064" s="33"/>
      <c r="Y1064" s="33"/>
      <c r="Z1064" s="33"/>
      <c r="AA1064" s="33"/>
      <c r="AB1064" s="33"/>
      <c r="AC1064" s="33"/>
      <c r="AD1064" s="5" t="s">
        <v>1393</v>
      </c>
      <c r="AE1064" s="33"/>
      <c r="AF1064" s="59" t="str">
        <f t="shared" si="49"/>
        <v>Không</v>
      </c>
      <c r="AG1064" s="59" t="str">
        <f t="shared" si="50"/>
        <v>Không</v>
      </c>
      <c r="AH1064" s="29" t="str">
        <f t="shared" ca="1" si="48"/>
        <v>Có</v>
      </c>
      <c r="AI1064" s="29" t="str">
        <f ca="1">IF((R1064)&gt;=6,"Có","Không")</f>
        <v>Có</v>
      </c>
      <c r="AJ1064" s="29" t="str">
        <f>IF(OR(J1064&gt;=140,K1064&gt;=90),"Có","Không")</f>
        <v>Không</v>
      </c>
      <c r="AK1064" s="5" t="s">
        <v>51</v>
      </c>
      <c r="AL1064" s="35">
        <v>46173</v>
      </c>
      <c r="AM1064" s="29" t="str">
        <f>"Tháng "&amp;MONTH(AL1064)</f>
        <v>Tháng 5</v>
      </c>
      <c r="AN1064" s="69" t="s">
        <v>1376</v>
      </c>
    </row>
    <row r="1065" spans="1:40" x14ac:dyDescent="0.25">
      <c r="A1065" s="52" t="s">
        <v>1233</v>
      </c>
      <c r="B1065" s="20" t="s">
        <v>23</v>
      </c>
      <c r="C1065" s="35">
        <v>19725</v>
      </c>
      <c r="D1065" s="29">
        <f ca="1">DATEDIF(C1065,TODAY(),"Y")</f>
        <v>72</v>
      </c>
      <c r="E1065" s="5" t="s">
        <v>26</v>
      </c>
      <c r="F1065" s="30">
        <v>160</v>
      </c>
      <c r="G1065" s="30">
        <v>56</v>
      </c>
      <c r="H1065" s="31">
        <f>G1065/((F1065/100)*(F1065/100))</f>
        <v>21.874999999999996</v>
      </c>
      <c r="I1065" s="5">
        <v>85</v>
      </c>
      <c r="J1065" s="30">
        <v>120</v>
      </c>
      <c r="K1065" s="30">
        <v>80</v>
      </c>
      <c r="L1065" s="29">
        <f>IF(B1065="Nữ",0,2)</f>
        <v>0</v>
      </c>
      <c r="M1065" s="29">
        <f ca="1">IF(D1065&lt;45,0,IF(D1065&lt;=49,1,2))</f>
        <v>2</v>
      </c>
      <c r="N1065" s="29">
        <f>IF(E1065="Có",4,0)</f>
        <v>0</v>
      </c>
      <c r="O1065" s="29">
        <f>IF(H1065&lt;23,0,IF(H1065&lt;27.5,3,5))</f>
        <v>0</v>
      </c>
      <c r="P1065" s="29">
        <f>IF(OR(AND(B1065="Nam",I1065&gt;=90),AND(B1065="Nữ",I1065&gt;=80)),2,0)</f>
        <v>2</v>
      </c>
      <c r="Q1065" s="29">
        <f>IF(OR(J1065&gt;=140,K1065&gt;=90),2,0)</f>
        <v>0</v>
      </c>
      <c r="R1065" s="29">
        <f ca="1">SUM(L1065:Q1065)</f>
        <v>4</v>
      </c>
      <c r="S1065" s="33"/>
      <c r="T1065" s="33"/>
      <c r="U1065" s="33"/>
      <c r="V1065" s="33"/>
      <c r="W1065" s="33"/>
      <c r="X1065" s="33"/>
      <c r="Y1065" s="33"/>
      <c r="Z1065" s="33"/>
      <c r="AA1065" s="33"/>
      <c r="AB1065" s="33"/>
      <c r="AC1065" s="33"/>
      <c r="AD1065" s="5" t="s">
        <v>1393</v>
      </c>
      <c r="AE1065" s="33"/>
      <c r="AF1065" s="59" t="str">
        <f t="shared" si="49"/>
        <v>Không</v>
      </c>
      <c r="AG1065" s="59" t="str">
        <f t="shared" si="50"/>
        <v>Không</v>
      </c>
      <c r="AH1065" s="29" t="str">
        <f t="shared" ca="1" si="48"/>
        <v>Không</v>
      </c>
      <c r="AI1065" s="29" t="str">
        <f ca="1">IF((R1065)&gt;=6,"Có","Không")</f>
        <v>Không</v>
      </c>
      <c r="AJ1065" s="29" t="str">
        <f>IF(OR(J1065&gt;=140,K1065&gt;=90),"Có","Không")</f>
        <v>Không</v>
      </c>
      <c r="AK1065" s="5" t="s">
        <v>51</v>
      </c>
      <c r="AL1065" s="35">
        <v>46173</v>
      </c>
      <c r="AM1065" s="29" t="str">
        <f>"Tháng "&amp;MONTH(AL1065)</f>
        <v>Tháng 5</v>
      </c>
      <c r="AN1065" s="69" t="s">
        <v>1376</v>
      </c>
    </row>
    <row r="1066" spans="1:40" x14ac:dyDescent="0.25">
      <c r="A1066" s="52" t="s">
        <v>1234</v>
      </c>
      <c r="B1066" s="21" t="s">
        <v>30</v>
      </c>
      <c r="C1066" s="35">
        <v>15342</v>
      </c>
      <c r="D1066" s="29">
        <f ca="1">DATEDIF(C1066,TODAY(),"Y")</f>
        <v>84</v>
      </c>
      <c r="E1066" s="5" t="s">
        <v>26</v>
      </c>
      <c r="F1066" s="30">
        <v>169</v>
      </c>
      <c r="G1066" s="30">
        <v>69</v>
      </c>
      <c r="H1066" s="31">
        <f>G1066/((F1066/100)*(F1066/100))</f>
        <v>24.158817968558527</v>
      </c>
      <c r="I1066" s="5">
        <v>67</v>
      </c>
      <c r="J1066" s="30">
        <v>150</v>
      </c>
      <c r="K1066" s="30">
        <v>80</v>
      </c>
      <c r="L1066" s="29">
        <f>IF(B1066="Nữ",0,2)</f>
        <v>2</v>
      </c>
      <c r="M1066" s="29">
        <f ca="1">IF(D1066&lt;45,0,IF(D1066&lt;=49,1,2))</f>
        <v>2</v>
      </c>
      <c r="N1066" s="29">
        <f>IF(E1066="Có",4,0)</f>
        <v>0</v>
      </c>
      <c r="O1066" s="29">
        <f>IF(H1066&lt;23,0,IF(H1066&lt;27.5,3,5))</f>
        <v>3</v>
      </c>
      <c r="P1066" s="29">
        <f>IF(OR(AND(B1066="Nam",I1066&gt;=90),AND(B1066="Nữ",I1066&gt;=80)),2,0)</f>
        <v>0</v>
      </c>
      <c r="Q1066" s="29">
        <f>IF(OR(J1066&gt;=140,K1066&gt;=90),2,0)</f>
        <v>2</v>
      </c>
      <c r="R1066" s="29">
        <f ca="1">SUM(L1066:Q1066)</f>
        <v>9</v>
      </c>
      <c r="S1066" s="33"/>
      <c r="T1066" s="33"/>
      <c r="U1066" s="33"/>
      <c r="V1066" s="33"/>
      <c r="W1066" s="33"/>
      <c r="X1066" s="33"/>
      <c r="Y1066" s="33"/>
      <c r="Z1066" s="33"/>
      <c r="AA1066" s="33"/>
      <c r="AB1066" s="33"/>
      <c r="AC1066" s="33"/>
      <c r="AD1066" s="5" t="s">
        <v>1393</v>
      </c>
      <c r="AE1066" s="33"/>
      <c r="AF1066" s="59" t="str">
        <f t="shared" si="49"/>
        <v>Không</v>
      </c>
      <c r="AG1066" s="59" t="str">
        <f t="shared" si="50"/>
        <v>Không</v>
      </c>
      <c r="AH1066" s="29" t="str">
        <f t="shared" ca="1" si="48"/>
        <v>Có</v>
      </c>
      <c r="AI1066" s="29" t="str">
        <f ca="1">IF((R1066)&gt;=6,"Có","Không")</f>
        <v>Có</v>
      </c>
      <c r="AJ1066" s="29" t="str">
        <f>IF(OR(J1066&gt;=140,K1066&gt;=90),"Có","Không")</f>
        <v>Có</v>
      </c>
      <c r="AK1066" s="5" t="s">
        <v>51</v>
      </c>
      <c r="AL1066" s="35">
        <v>46173</v>
      </c>
      <c r="AM1066" s="29" t="str">
        <f>"Tháng "&amp;MONTH(AL1066)</f>
        <v>Tháng 5</v>
      </c>
      <c r="AN1066" s="69" t="s">
        <v>1376</v>
      </c>
    </row>
    <row r="1067" spans="1:40" x14ac:dyDescent="0.25">
      <c r="A1067" s="52" t="s">
        <v>1235</v>
      </c>
      <c r="B1067" s="21" t="s">
        <v>30</v>
      </c>
      <c r="C1067" s="35">
        <v>17168</v>
      </c>
      <c r="D1067" s="29">
        <f ca="1">DATEDIF(C1067,TODAY(),"Y")</f>
        <v>79</v>
      </c>
      <c r="E1067" s="5" t="s">
        <v>26</v>
      </c>
      <c r="F1067" s="30">
        <v>170</v>
      </c>
      <c r="G1067" s="30">
        <v>58</v>
      </c>
      <c r="H1067" s="31">
        <f>G1067/((F1067/100)*(F1067/100))</f>
        <v>20.069204152249139</v>
      </c>
      <c r="I1067" s="5">
        <v>84</v>
      </c>
      <c r="J1067" s="30">
        <v>120</v>
      </c>
      <c r="K1067" s="30">
        <v>70</v>
      </c>
      <c r="L1067" s="29">
        <f>IF(B1067="Nữ",0,2)</f>
        <v>2</v>
      </c>
      <c r="M1067" s="29">
        <f ca="1">IF(D1067&lt;45,0,IF(D1067&lt;=49,1,2))</f>
        <v>2</v>
      </c>
      <c r="N1067" s="29">
        <f>IF(E1067="Có",4,0)</f>
        <v>0</v>
      </c>
      <c r="O1067" s="29">
        <f>IF(H1067&lt;23,0,IF(H1067&lt;27.5,3,5))</f>
        <v>0</v>
      </c>
      <c r="P1067" s="29">
        <f>IF(OR(AND(B1067="Nam",I1067&gt;=90),AND(B1067="Nữ",I1067&gt;=80)),2,0)</f>
        <v>0</v>
      </c>
      <c r="Q1067" s="29">
        <f>IF(OR(J1067&gt;=140,K1067&gt;=90),2,0)</f>
        <v>0</v>
      </c>
      <c r="R1067" s="29">
        <f ca="1">SUM(L1067:Q1067)</f>
        <v>4</v>
      </c>
      <c r="S1067" s="33"/>
      <c r="T1067" s="33"/>
      <c r="U1067" s="33"/>
      <c r="V1067" s="33"/>
      <c r="W1067" s="33"/>
      <c r="X1067" s="33"/>
      <c r="Y1067" s="33"/>
      <c r="Z1067" s="33"/>
      <c r="AA1067" s="33"/>
      <c r="AB1067" s="33"/>
      <c r="AC1067" s="33"/>
      <c r="AD1067" s="5" t="s">
        <v>1393</v>
      </c>
      <c r="AE1067" s="33"/>
      <c r="AF1067" s="59" t="str">
        <f t="shared" si="49"/>
        <v>Không</v>
      </c>
      <c r="AG1067" s="59" t="str">
        <f t="shared" si="50"/>
        <v>Không</v>
      </c>
      <c r="AH1067" s="29" t="str">
        <f t="shared" ca="1" si="48"/>
        <v>Không</v>
      </c>
      <c r="AI1067" s="29" t="str">
        <f ca="1">IF((R1067)&gt;=6,"Có","Không")</f>
        <v>Không</v>
      </c>
      <c r="AJ1067" s="29" t="str">
        <f>IF(OR(J1067&gt;=140,K1067&gt;=90),"Có","Không")</f>
        <v>Không</v>
      </c>
      <c r="AK1067" s="5" t="s">
        <v>51</v>
      </c>
      <c r="AL1067" s="35">
        <v>46173</v>
      </c>
      <c r="AM1067" s="29" t="str">
        <f>"Tháng "&amp;MONTH(AL1067)</f>
        <v>Tháng 5</v>
      </c>
      <c r="AN1067" s="69" t="s">
        <v>1376</v>
      </c>
    </row>
    <row r="1068" spans="1:40" x14ac:dyDescent="0.25">
      <c r="A1068" s="52" t="s">
        <v>1236</v>
      </c>
      <c r="B1068" s="20" t="s">
        <v>23</v>
      </c>
      <c r="C1068" s="35">
        <v>15707</v>
      </c>
      <c r="D1068" s="29">
        <f ca="1">DATEDIF(C1068,TODAY(),"Y")</f>
        <v>83</v>
      </c>
      <c r="E1068" s="5" t="s">
        <v>26</v>
      </c>
      <c r="F1068" s="30">
        <v>169</v>
      </c>
      <c r="G1068" s="30">
        <v>68</v>
      </c>
      <c r="H1068" s="31">
        <f>G1068/((F1068/100)*(F1068/100))</f>
        <v>23.808690171912751</v>
      </c>
      <c r="I1068" s="5">
        <v>82</v>
      </c>
      <c r="J1068" s="30">
        <v>120</v>
      </c>
      <c r="K1068" s="30">
        <v>80</v>
      </c>
      <c r="L1068" s="29">
        <f>IF(B1068="Nữ",0,2)</f>
        <v>0</v>
      </c>
      <c r="M1068" s="29">
        <f ca="1">IF(D1068&lt;45,0,IF(D1068&lt;=49,1,2))</f>
        <v>2</v>
      </c>
      <c r="N1068" s="29">
        <f>IF(E1068="Có",4,0)</f>
        <v>0</v>
      </c>
      <c r="O1068" s="29">
        <f>IF(H1068&lt;23,0,IF(H1068&lt;27.5,3,5))</f>
        <v>3</v>
      </c>
      <c r="P1068" s="29">
        <f>IF(OR(AND(B1068="Nam",I1068&gt;=90),AND(B1068="Nữ",I1068&gt;=80)),2,0)</f>
        <v>2</v>
      </c>
      <c r="Q1068" s="29">
        <f>IF(OR(J1068&gt;=140,K1068&gt;=90),2,0)</f>
        <v>0</v>
      </c>
      <c r="R1068" s="29">
        <f ca="1">SUM(L1068:Q1068)</f>
        <v>7</v>
      </c>
      <c r="S1068" s="33"/>
      <c r="T1068" s="33"/>
      <c r="U1068" s="33"/>
      <c r="V1068" s="33"/>
      <c r="W1068" s="33"/>
      <c r="X1068" s="33"/>
      <c r="Y1068" s="33"/>
      <c r="Z1068" s="33"/>
      <c r="AA1068" s="33"/>
      <c r="AB1068" s="33"/>
      <c r="AC1068" s="33"/>
      <c r="AD1068" s="5" t="s">
        <v>1393</v>
      </c>
      <c r="AE1068" s="33"/>
      <c r="AF1068" s="59" t="str">
        <f t="shared" si="49"/>
        <v>Không</v>
      </c>
      <c r="AG1068" s="59" t="str">
        <f t="shared" si="50"/>
        <v>Không</v>
      </c>
      <c r="AH1068" s="29" t="str">
        <f t="shared" ca="1" si="48"/>
        <v>Có</v>
      </c>
      <c r="AI1068" s="29" t="str">
        <f ca="1">IF((R1068)&gt;=6,"Có","Không")</f>
        <v>Có</v>
      </c>
      <c r="AJ1068" s="29" t="str">
        <f>IF(OR(J1068&gt;=140,K1068&gt;=90),"Có","Không")</f>
        <v>Không</v>
      </c>
      <c r="AK1068" s="5" t="s">
        <v>51</v>
      </c>
      <c r="AL1068" s="35">
        <v>46173</v>
      </c>
      <c r="AM1068" s="29" t="str">
        <f>"Tháng "&amp;MONTH(AL1068)</f>
        <v>Tháng 5</v>
      </c>
      <c r="AN1068" s="69" t="s">
        <v>1376</v>
      </c>
    </row>
    <row r="1069" spans="1:40" x14ac:dyDescent="0.25">
      <c r="A1069" s="52" t="s">
        <v>1237</v>
      </c>
      <c r="B1069" s="21" t="s">
        <v>30</v>
      </c>
      <c r="C1069" s="35">
        <v>24838</v>
      </c>
      <c r="D1069" s="29">
        <f ca="1">DATEDIF(C1069,TODAY(),"Y")</f>
        <v>58</v>
      </c>
      <c r="E1069" s="5" t="s">
        <v>26</v>
      </c>
      <c r="F1069" s="30">
        <v>160</v>
      </c>
      <c r="G1069" s="30">
        <v>64</v>
      </c>
      <c r="H1069" s="31">
        <f>G1069/((F1069/100)*(F1069/100))</f>
        <v>24.999999999999996</v>
      </c>
      <c r="I1069" s="5">
        <v>88</v>
      </c>
      <c r="J1069" s="30">
        <v>140</v>
      </c>
      <c r="K1069" s="30">
        <v>80</v>
      </c>
      <c r="L1069" s="29">
        <f>IF(B1069="Nữ",0,2)</f>
        <v>2</v>
      </c>
      <c r="M1069" s="29">
        <f ca="1">IF(D1069&lt;45,0,IF(D1069&lt;=49,1,2))</f>
        <v>2</v>
      </c>
      <c r="N1069" s="29">
        <f>IF(E1069="Có",4,0)</f>
        <v>0</v>
      </c>
      <c r="O1069" s="29">
        <f>IF(H1069&lt;23,0,IF(H1069&lt;27.5,3,5))</f>
        <v>3</v>
      </c>
      <c r="P1069" s="29">
        <f>IF(OR(AND(B1069="Nam",I1069&gt;=90),AND(B1069="Nữ",I1069&gt;=80)),2,0)</f>
        <v>0</v>
      </c>
      <c r="Q1069" s="29">
        <f>IF(OR(J1069&gt;=140,K1069&gt;=90),2,0)</f>
        <v>2</v>
      </c>
      <c r="R1069" s="29">
        <f ca="1">SUM(L1069:Q1069)</f>
        <v>9</v>
      </c>
      <c r="S1069" s="33"/>
      <c r="T1069" s="33"/>
      <c r="U1069" s="33"/>
      <c r="V1069" s="33"/>
      <c r="W1069" s="33"/>
      <c r="X1069" s="33"/>
      <c r="Y1069" s="33"/>
      <c r="Z1069" s="33"/>
      <c r="AA1069" s="33"/>
      <c r="AB1069" s="33"/>
      <c r="AC1069" s="33"/>
      <c r="AD1069" s="5" t="s">
        <v>1393</v>
      </c>
      <c r="AE1069" s="33"/>
      <c r="AF1069" s="59" t="str">
        <f t="shared" si="49"/>
        <v>Không</v>
      </c>
      <c r="AG1069" s="59" t="str">
        <f t="shared" si="50"/>
        <v>Không</v>
      </c>
      <c r="AH1069" s="29" t="str">
        <f t="shared" ca="1" si="48"/>
        <v>Có</v>
      </c>
      <c r="AI1069" s="29" t="str">
        <f ca="1">IF((R1069)&gt;=6,"Có","Không")</f>
        <v>Có</v>
      </c>
      <c r="AJ1069" s="29" t="str">
        <f>IF(OR(J1069&gt;=140,K1069&gt;=90),"Có","Không")</f>
        <v>Có</v>
      </c>
      <c r="AK1069" s="5" t="s">
        <v>51</v>
      </c>
      <c r="AL1069" s="35">
        <v>46173</v>
      </c>
      <c r="AM1069" s="29" t="str">
        <f>"Tháng "&amp;MONTH(AL1069)</f>
        <v>Tháng 5</v>
      </c>
      <c r="AN1069" s="69" t="s">
        <v>1376</v>
      </c>
    </row>
    <row r="1070" spans="1:40" x14ac:dyDescent="0.25">
      <c r="A1070" s="52" t="s">
        <v>1238</v>
      </c>
      <c r="B1070" s="20" t="s">
        <v>23</v>
      </c>
      <c r="C1070" s="35">
        <v>22282</v>
      </c>
      <c r="D1070" s="29">
        <f ca="1">DATEDIF(C1070,TODAY(),"Y")</f>
        <v>65</v>
      </c>
      <c r="E1070" s="5" t="s">
        <v>26</v>
      </c>
      <c r="F1070" s="30">
        <v>159</v>
      </c>
      <c r="G1070" s="30">
        <v>70</v>
      </c>
      <c r="H1070" s="31">
        <f>G1070/((F1070/100)*(F1070/100))</f>
        <v>27.688778133776353</v>
      </c>
      <c r="I1070" s="5">
        <v>88</v>
      </c>
      <c r="J1070" s="30">
        <v>130</v>
      </c>
      <c r="K1070" s="30">
        <v>80</v>
      </c>
      <c r="L1070" s="29">
        <f>IF(B1070="Nữ",0,2)</f>
        <v>0</v>
      </c>
      <c r="M1070" s="29">
        <f ca="1">IF(D1070&lt;45,0,IF(D1070&lt;=49,1,2))</f>
        <v>2</v>
      </c>
      <c r="N1070" s="29">
        <f>IF(E1070="Có",4,0)</f>
        <v>0</v>
      </c>
      <c r="O1070" s="29">
        <f>IF(H1070&lt;23,0,IF(H1070&lt;27.5,3,5))</f>
        <v>5</v>
      </c>
      <c r="P1070" s="29">
        <f>IF(OR(AND(B1070="Nam",I1070&gt;=90),AND(B1070="Nữ",I1070&gt;=80)),2,0)</f>
        <v>2</v>
      </c>
      <c r="Q1070" s="29">
        <f>IF(OR(J1070&gt;=140,K1070&gt;=90),2,0)</f>
        <v>0</v>
      </c>
      <c r="R1070" s="29">
        <f ca="1">SUM(L1070:Q1070)</f>
        <v>9</v>
      </c>
      <c r="S1070" s="33"/>
      <c r="T1070" s="33"/>
      <c r="U1070" s="33"/>
      <c r="V1070" s="33"/>
      <c r="W1070" s="33"/>
      <c r="X1070" s="33"/>
      <c r="Y1070" s="33"/>
      <c r="Z1070" s="33"/>
      <c r="AA1070" s="33"/>
      <c r="AB1070" s="33"/>
      <c r="AC1070" s="33"/>
      <c r="AD1070" s="5" t="s">
        <v>1393</v>
      </c>
      <c r="AE1070" s="33"/>
      <c r="AF1070" s="59" t="str">
        <f t="shared" si="49"/>
        <v>Không</v>
      </c>
      <c r="AG1070" s="59" t="str">
        <f t="shared" si="50"/>
        <v>Không</v>
      </c>
      <c r="AH1070" s="29" t="str">
        <f t="shared" ca="1" si="48"/>
        <v>Có</v>
      </c>
      <c r="AI1070" s="29" t="str">
        <f ca="1">IF((R1070)&gt;=6,"Có","Không")</f>
        <v>Có</v>
      </c>
      <c r="AJ1070" s="29" t="str">
        <f>IF(OR(J1070&gt;=140,K1070&gt;=90),"Có","Không")</f>
        <v>Không</v>
      </c>
      <c r="AK1070" s="5" t="s">
        <v>51</v>
      </c>
      <c r="AL1070" s="35">
        <v>46173</v>
      </c>
      <c r="AM1070" s="29" t="str">
        <f>"Tháng "&amp;MONTH(AL1070)</f>
        <v>Tháng 5</v>
      </c>
      <c r="AN1070" s="69" t="s">
        <v>1376</v>
      </c>
    </row>
    <row r="1071" spans="1:40" x14ac:dyDescent="0.25">
      <c r="A1071" s="52" t="s">
        <v>1240</v>
      </c>
      <c r="B1071" s="21" t="s">
        <v>30</v>
      </c>
      <c r="C1071" s="35">
        <v>23743</v>
      </c>
      <c r="D1071" s="29">
        <f ca="1">DATEDIF(C1071,TODAY(),"Y")</f>
        <v>61</v>
      </c>
      <c r="E1071" s="5" t="s">
        <v>26</v>
      </c>
      <c r="F1071" s="30">
        <v>147</v>
      </c>
      <c r="G1071" s="30">
        <v>51</v>
      </c>
      <c r="H1071" s="31">
        <f>G1071/((F1071/100)*(F1071/100))</f>
        <v>23.601277245592115</v>
      </c>
      <c r="I1071" s="5">
        <v>88</v>
      </c>
      <c r="J1071" s="30">
        <v>120</v>
      </c>
      <c r="K1071" s="30">
        <v>70</v>
      </c>
      <c r="L1071" s="29">
        <f>IF(B1071="Nữ",0,2)</f>
        <v>2</v>
      </c>
      <c r="M1071" s="29">
        <f ca="1">IF(D1071&lt;45,0,IF(D1071&lt;=49,1,2))</f>
        <v>2</v>
      </c>
      <c r="N1071" s="29">
        <f>IF(E1071="Có",4,0)</f>
        <v>0</v>
      </c>
      <c r="O1071" s="29">
        <f>IF(H1071&lt;23,0,IF(H1071&lt;27.5,3,5))</f>
        <v>3</v>
      </c>
      <c r="P1071" s="29">
        <f>IF(OR(AND(B1071="Nam",I1071&gt;=90),AND(B1071="Nữ",I1071&gt;=80)),2,0)</f>
        <v>0</v>
      </c>
      <c r="Q1071" s="29">
        <f>IF(OR(J1071&gt;=140,K1071&gt;=90),2,0)</f>
        <v>0</v>
      </c>
      <c r="R1071" s="29">
        <f ca="1">SUM(L1071:Q1071)</f>
        <v>7</v>
      </c>
      <c r="S1071" s="33"/>
      <c r="T1071" s="33"/>
      <c r="U1071" s="33"/>
      <c r="V1071" s="33"/>
      <c r="W1071" s="33"/>
      <c r="X1071" s="33"/>
      <c r="Y1071" s="33"/>
      <c r="Z1071" s="33"/>
      <c r="AA1071" s="33"/>
      <c r="AB1071" s="33"/>
      <c r="AC1071" s="33"/>
      <c r="AD1071" s="5" t="s">
        <v>1393</v>
      </c>
      <c r="AE1071" s="33"/>
      <c r="AF1071" s="59" t="str">
        <f t="shared" si="49"/>
        <v>Không</v>
      </c>
      <c r="AG1071" s="59" t="str">
        <f t="shared" si="50"/>
        <v>Không</v>
      </c>
      <c r="AH1071" s="29" t="str">
        <f t="shared" ca="1" si="48"/>
        <v>Có</v>
      </c>
      <c r="AI1071" s="29" t="str">
        <f ca="1">IF((R1071)&gt;=6,"Có","Không")</f>
        <v>Có</v>
      </c>
      <c r="AJ1071" s="29" t="str">
        <f>IF(OR(J1071&gt;=140,K1071&gt;=90),"Có","Không")</f>
        <v>Không</v>
      </c>
      <c r="AK1071" s="5" t="s">
        <v>51</v>
      </c>
      <c r="AL1071" s="35">
        <v>46173</v>
      </c>
      <c r="AM1071" s="29" t="str">
        <f>"Tháng "&amp;MONTH(AL1071)</f>
        <v>Tháng 5</v>
      </c>
      <c r="AN1071" s="69" t="s">
        <v>1376</v>
      </c>
    </row>
    <row r="1072" spans="1:40" x14ac:dyDescent="0.25">
      <c r="A1072" s="52" t="s">
        <v>1241</v>
      </c>
      <c r="B1072" s="20" t="s">
        <v>23</v>
      </c>
      <c r="C1072" s="35">
        <v>22647</v>
      </c>
      <c r="D1072" s="29">
        <f ca="1">DATEDIF(C1072,TODAY(),"Y")</f>
        <v>64</v>
      </c>
      <c r="E1072" s="5" t="s">
        <v>26</v>
      </c>
      <c r="F1072" s="30">
        <v>160</v>
      </c>
      <c r="G1072" s="30">
        <v>50</v>
      </c>
      <c r="H1072" s="31">
        <f>G1072/((F1072/100)*(F1072/100))</f>
        <v>19.531249999999996</v>
      </c>
      <c r="I1072" s="5">
        <v>66</v>
      </c>
      <c r="J1072" s="30">
        <v>150</v>
      </c>
      <c r="K1072" s="30">
        <v>80</v>
      </c>
      <c r="L1072" s="29">
        <f>IF(B1072="Nữ",0,2)</f>
        <v>0</v>
      </c>
      <c r="M1072" s="29">
        <f ca="1">IF(D1072&lt;45,0,IF(D1072&lt;=49,1,2))</f>
        <v>2</v>
      </c>
      <c r="N1072" s="29">
        <f>IF(E1072="Có",4,0)</f>
        <v>0</v>
      </c>
      <c r="O1072" s="29">
        <f>IF(H1072&lt;23,0,IF(H1072&lt;27.5,3,5))</f>
        <v>0</v>
      </c>
      <c r="P1072" s="29">
        <f>IF(OR(AND(B1072="Nam",I1072&gt;=90),AND(B1072="Nữ",I1072&gt;=80)),2,0)</f>
        <v>0</v>
      </c>
      <c r="Q1072" s="29">
        <f>IF(OR(J1072&gt;=140,K1072&gt;=90),2,0)</f>
        <v>2</v>
      </c>
      <c r="R1072" s="29">
        <f ca="1">SUM(L1072:Q1072)</f>
        <v>4</v>
      </c>
      <c r="S1072" s="33"/>
      <c r="T1072" s="33"/>
      <c r="U1072" s="33"/>
      <c r="V1072" s="33"/>
      <c r="W1072" s="33"/>
      <c r="X1072" s="33"/>
      <c r="Y1072" s="33"/>
      <c r="Z1072" s="33"/>
      <c r="AA1072" s="33"/>
      <c r="AB1072" s="33"/>
      <c r="AC1072" s="33"/>
      <c r="AD1072" s="5" t="s">
        <v>1393</v>
      </c>
      <c r="AE1072" s="33"/>
      <c r="AF1072" s="59" t="str">
        <f t="shared" si="49"/>
        <v>Không</v>
      </c>
      <c r="AG1072" s="59" t="str">
        <f t="shared" si="50"/>
        <v>Không</v>
      </c>
      <c r="AH1072" s="29" t="str">
        <f t="shared" ca="1" si="48"/>
        <v>Không</v>
      </c>
      <c r="AI1072" s="29" t="str">
        <f ca="1">IF((R1072)&gt;=6,"Có","Không")</f>
        <v>Không</v>
      </c>
      <c r="AJ1072" s="29" t="str">
        <f>IF(OR(J1072&gt;=140,K1072&gt;=90),"Có","Không")</f>
        <v>Có</v>
      </c>
      <c r="AK1072" s="5" t="s">
        <v>51</v>
      </c>
      <c r="AL1072" s="35">
        <v>46173</v>
      </c>
      <c r="AM1072" s="29" t="str">
        <f>"Tháng "&amp;MONTH(AL1072)</f>
        <v>Tháng 5</v>
      </c>
      <c r="AN1072" s="69" t="s">
        <v>1376</v>
      </c>
    </row>
    <row r="1073" spans="1:40" x14ac:dyDescent="0.25">
      <c r="A1073" s="52" t="s">
        <v>1242</v>
      </c>
      <c r="B1073" s="20" t="s">
        <v>23</v>
      </c>
      <c r="C1073" s="35">
        <v>20455</v>
      </c>
      <c r="D1073" s="29">
        <f ca="1">DATEDIF(C1073,TODAY(),"Y")</f>
        <v>70</v>
      </c>
      <c r="E1073" s="5" t="s">
        <v>26</v>
      </c>
      <c r="F1073" s="30">
        <v>158</v>
      </c>
      <c r="G1073" s="30">
        <v>58</v>
      </c>
      <c r="H1073" s="31">
        <f>G1073/((F1073/100)*(F1073/100))</f>
        <v>23.233456176894723</v>
      </c>
      <c r="I1073" s="5">
        <v>96</v>
      </c>
      <c r="J1073" s="30">
        <v>150</v>
      </c>
      <c r="K1073" s="30">
        <v>80</v>
      </c>
      <c r="L1073" s="29">
        <f>IF(B1073="Nữ",0,2)</f>
        <v>0</v>
      </c>
      <c r="M1073" s="29">
        <f ca="1">IF(D1073&lt;45,0,IF(D1073&lt;=49,1,2))</f>
        <v>2</v>
      </c>
      <c r="N1073" s="29">
        <f>IF(E1073="Có",4,0)</f>
        <v>0</v>
      </c>
      <c r="O1073" s="29">
        <f>IF(H1073&lt;23,0,IF(H1073&lt;27.5,3,5))</f>
        <v>3</v>
      </c>
      <c r="P1073" s="29">
        <f>IF(OR(AND(B1073="Nam",I1073&gt;=90),AND(B1073="Nữ",I1073&gt;=80)),2,0)</f>
        <v>2</v>
      </c>
      <c r="Q1073" s="29">
        <f>IF(OR(J1073&gt;=140,K1073&gt;=90),2,0)</f>
        <v>2</v>
      </c>
      <c r="R1073" s="29">
        <f ca="1">SUM(L1073:Q1073)</f>
        <v>9</v>
      </c>
      <c r="S1073" s="33"/>
      <c r="T1073" s="33"/>
      <c r="U1073" s="33"/>
      <c r="V1073" s="33"/>
      <c r="W1073" s="33"/>
      <c r="X1073" s="33"/>
      <c r="Y1073" s="33"/>
      <c r="Z1073" s="33"/>
      <c r="AA1073" s="33"/>
      <c r="AB1073" s="33"/>
      <c r="AC1073" s="33"/>
      <c r="AD1073" s="5" t="s">
        <v>1393</v>
      </c>
      <c r="AE1073" s="33"/>
      <c r="AF1073" s="59" t="str">
        <f t="shared" si="49"/>
        <v>Không</v>
      </c>
      <c r="AG1073" s="59" t="str">
        <f t="shared" si="50"/>
        <v>Không</v>
      </c>
      <c r="AH1073" s="29" t="str">
        <f t="shared" ca="1" si="48"/>
        <v>Có</v>
      </c>
      <c r="AI1073" s="29" t="str">
        <f ca="1">IF((R1073)&gt;=6,"Có","Không")</f>
        <v>Có</v>
      </c>
      <c r="AJ1073" s="29" t="str">
        <f>IF(OR(J1073&gt;=140,K1073&gt;=90),"Có","Không")</f>
        <v>Có</v>
      </c>
      <c r="AK1073" s="5" t="s">
        <v>51</v>
      </c>
      <c r="AL1073" s="35">
        <v>46173</v>
      </c>
      <c r="AM1073" s="29" t="str">
        <f>"Tháng "&amp;MONTH(AL1073)</f>
        <v>Tháng 5</v>
      </c>
      <c r="AN1073" s="69" t="s">
        <v>1376</v>
      </c>
    </row>
    <row r="1074" spans="1:40" x14ac:dyDescent="0.25">
      <c r="A1074" s="52" t="s">
        <v>964</v>
      </c>
      <c r="B1074" s="20" t="s">
        <v>23</v>
      </c>
      <c r="C1074" s="35">
        <v>24473</v>
      </c>
      <c r="D1074" s="29">
        <f ca="1">DATEDIF(C1074,TODAY(),"Y")</f>
        <v>59</v>
      </c>
      <c r="E1074" s="5" t="s">
        <v>26</v>
      </c>
      <c r="F1074" s="30">
        <v>158</v>
      </c>
      <c r="G1074" s="30">
        <v>58</v>
      </c>
      <c r="H1074" s="31">
        <f>G1074/((F1074/100)*(F1074/100))</f>
        <v>23.233456176894723</v>
      </c>
      <c r="I1074" s="5">
        <v>72</v>
      </c>
      <c r="J1074" s="30">
        <v>120</v>
      </c>
      <c r="K1074" s="30">
        <v>80</v>
      </c>
      <c r="L1074" s="29">
        <f>IF(B1074="Nữ",0,2)</f>
        <v>0</v>
      </c>
      <c r="M1074" s="29">
        <f ca="1">IF(D1074&lt;45,0,IF(D1074&lt;=49,1,2))</f>
        <v>2</v>
      </c>
      <c r="N1074" s="29">
        <f>IF(E1074="Có",4,0)</f>
        <v>0</v>
      </c>
      <c r="O1074" s="29">
        <f>IF(H1074&lt;23,0,IF(H1074&lt;27.5,3,5))</f>
        <v>3</v>
      </c>
      <c r="P1074" s="29">
        <f>IF(OR(AND(B1074="Nam",I1074&gt;=90),AND(B1074="Nữ",I1074&gt;=80)),2,0)</f>
        <v>0</v>
      </c>
      <c r="Q1074" s="29">
        <f>IF(OR(J1074&gt;=140,K1074&gt;=90),2,0)</f>
        <v>0</v>
      </c>
      <c r="R1074" s="29">
        <f ca="1">SUM(L1074:Q1074)</f>
        <v>5</v>
      </c>
      <c r="S1074" s="33"/>
      <c r="T1074" s="33"/>
      <c r="U1074" s="33"/>
      <c r="V1074" s="33"/>
      <c r="W1074" s="33"/>
      <c r="X1074" s="33"/>
      <c r="Y1074" s="33"/>
      <c r="Z1074" s="33"/>
      <c r="AA1074" s="33"/>
      <c r="AB1074" s="33"/>
      <c r="AC1074" s="33"/>
      <c r="AD1074" s="5" t="s">
        <v>1393</v>
      </c>
      <c r="AE1074" s="33"/>
      <c r="AF1074" s="59" t="str">
        <f t="shared" si="49"/>
        <v>Không</v>
      </c>
      <c r="AG1074" s="59" t="str">
        <f t="shared" si="50"/>
        <v>Không</v>
      </c>
      <c r="AH1074" s="29" t="str">
        <f t="shared" ca="1" si="48"/>
        <v>Không</v>
      </c>
      <c r="AI1074" s="29" t="str">
        <f ca="1">IF((R1074)&gt;=6,"Có","Không")</f>
        <v>Không</v>
      </c>
      <c r="AJ1074" s="29" t="str">
        <f>IF(OR(J1074&gt;=140,K1074&gt;=90),"Có","Không")</f>
        <v>Không</v>
      </c>
      <c r="AK1074" s="5" t="s">
        <v>51</v>
      </c>
      <c r="AL1074" s="35">
        <v>46173</v>
      </c>
      <c r="AM1074" s="29" t="str">
        <f>"Tháng "&amp;MONTH(AL1074)</f>
        <v>Tháng 5</v>
      </c>
      <c r="AN1074" s="69" t="s">
        <v>1376</v>
      </c>
    </row>
    <row r="1075" spans="1:40" x14ac:dyDescent="0.25">
      <c r="A1075" s="52" t="s">
        <v>1243</v>
      </c>
      <c r="B1075" s="20" t="s">
        <v>23</v>
      </c>
      <c r="C1075" s="35">
        <v>22647</v>
      </c>
      <c r="D1075" s="29">
        <f ca="1">DATEDIF(C1075,TODAY(),"Y")</f>
        <v>64</v>
      </c>
      <c r="E1075" s="5" t="s">
        <v>26</v>
      </c>
      <c r="F1075" s="30">
        <v>169</v>
      </c>
      <c r="G1075" s="30">
        <v>68</v>
      </c>
      <c r="H1075" s="31">
        <f>G1075/((F1075/100)*(F1075/100))</f>
        <v>23.808690171912751</v>
      </c>
      <c r="I1075" s="5">
        <v>99</v>
      </c>
      <c r="J1075" s="30">
        <v>150</v>
      </c>
      <c r="K1075" s="30">
        <v>80</v>
      </c>
      <c r="L1075" s="29">
        <f>IF(B1075="Nữ",0,2)</f>
        <v>0</v>
      </c>
      <c r="M1075" s="29">
        <f ca="1">IF(D1075&lt;45,0,IF(D1075&lt;=49,1,2))</f>
        <v>2</v>
      </c>
      <c r="N1075" s="29">
        <f>IF(E1075="Có",4,0)</f>
        <v>0</v>
      </c>
      <c r="O1075" s="29">
        <f>IF(H1075&lt;23,0,IF(H1075&lt;27.5,3,5))</f>
        <v>3</v>
      </c>
      <c r="P1075" s="29">
        <f>IF(OR(AND(B1075="Nam",I1075&gt;=90),AND(B1075="Nữ",I1075&gt;=80)),2,0)</f>
        <v>2</v>
      </c>
      <c r="Q1075" s="29">
        <f>IF(OR(J1075&gt;=140,K1075&gt;=90),2,0)</f>
        <v>2</v>
      </c>
      <c r="R1075" s="29">
        <f ca="1">SUM(L1075:Q1075)</f>
        <v>9</v>
      </c>
      <c r="S1075" s="33"/>
      <c r="T1075" s="33"/>
      <c r="U1075" s="33"/>
      <c r="V1075" s="33"/>
      <c r="W1075" s="33"/>
      <c r="X1075" s="33"/>
      <c r="Y1075" s="33"/>
      <c r="Z1075" s="33"/>
      <c r="AA1075" s="33"/>
      <c r="AB1075" s="33"/>
      <c r="AC1075" s="33"/>
      <c r="AD1075" s="5" t="s">
        <v>1393</v>
      </c>
      <c r="AE1075" s="33"/>
      <c r="AF1075" s="59" t="str">
        <f t="shared" si="49"/>
        <v>Không</v>
      </c>
      <c r="AG1075" s="59" t="str">
        <f t="shared" si="50"/>
        <v>Không</v>
      </c>
      <c r="AH1075" s="29" t="str">
        <f t="shared" ca="1" si="48"/>
        <v>Có</v>
      </c>
      <c r="AI1075" s="29" t="str">
        <f ca="1">IF((R1075)&gt;=6,"Có","Không")</f>
        <v>Có</v>
      </c>
      <c r="AJ1075" s="29" t="str">
        <f>IF(OR(J1075&gt;=140,K1075&gt;=90),"Có","Không")</f>
        <v>Có</v>
      </c>
      <c r="AK1075" s="5" t="s">
        <v>51</v>
      </c>
      <c r="AL1075" s="35">
        <v>46173</v>
      </c>
      <c r="AM1075" s="29" t="str">
        <f>"Tháng "&amp;MONTH(AL1075)</f>
        <v>Tháng 5</v>
      </c>
      <c r="AN1075" s="69" t="s">
        <v>1376</v>
      </c>
    </row>
    <row r="1076" spans="1:40" x14ac:dyDescent="0.25">
      <c r="A1076" s="52" t="s">
        <v>1245</v>
      </c>
      <c r="B1076" s="21" t="s">
        <v>30</v>
      </c>
      <c r="C1076" s="35">
        <v>26665</v>
      </c>
      <c r="D1076" s="29">
        <f ca="1">DATEDIF(C1076,TODAY(),"Y")</f>
        <v>53</v>
      </c>
      <c r="E1076" s="5" t="s">
        <v>26</v>
      </c>
      <c r="F1076" s="30">
        <v>158</v>
      </c>
      <c r="G1076" s="30">
        <v>58</v>
      </c>
      <c r="H1076" s="31">
        <f>G1076/((F1076/100)*(F1076/100))</f>
        <v>23.233456176894723</v>
      </c>
      <c r="I1076" s="5">
        <v>84</v>
      </c>
      <c r="J1076" s="30">
        <v>120</v>
      </c>
      <c r="K1076" s="30">
        <v>80</v>
      </c>
      <c r="L1076" s="29">
        <f>IF(B1076="Nữ",0,2)</f>
        <v>2</v>
      </c>
      <c r="M1076" s="29">
        <f ca="1">IF(D1076&lt;45,0,IF(D1076&lt;=49,1,2))</f>
        <v>2</v>
      </c>
      <c r="N1076" s="29">
        <f>IF(E1076="Có",4,0)</f>
        <v>0</v>
      </c>
      <c r="O1076" s="29">
        <f>IF(H1076&lt;23,0,IF(H1076&lt;27.5,3,5))</f>
        <v>3</v>
      </c>
      <c r="P1076" s="29">
        <f>IF(OR(AND(B1076="Nam",I1076&gt;=90),AND(B1076="Nữ",I1076&gt;=80)),2,0)</f>
        <v>0</v>
      </c>
      <c r="Q1076" s="29">
        <f>IF(OR(J1076&gt;=140,K1076&gt;=90),2,0)</f>
        <v>0</v>
      </c>
      <c r="R1076" s="29">
        <f ca="1">SUM(L1076:Q1076)</f>
        <v>7</v>
      </c>
      <c r="S1076" s="33"/>
      <c r="T1076" s="33"/>
      <c r="U1076" s="33"/>
      <c r="V1076" s="33"/>
      <c r="W1076" s="33"/>
      <c r="X1076" s="33"/>
      <c r="Y1076" s="33"/>
      <c r="Z1076" s="33"/>
      <c r="AA1076" s="33"/>
      <c r="AB1076" s="33"/>
      <c r="AC1076" s="33"/>
      <c r="AD1076" s="5" t="s">
        <v>1393</v>
      </c>
      <c r="AE1076" s="33"/>
      <c r="AF1076" s="59" t="str">
        <f t="shared" si="49"/>
        <v>Không</v>
      </c>
      <c r="AG1076" s="59" t="str">
        <f t="shared" si="50"/>
        <v>Không</v>
      </c>
      <c r="AH1076" s="29" t="str">
        <f t="shared" ca="1" si="48"/>
        <v>Có</v>
      </c>
      <c r="AI1076" s="29" t="str">
        <f ca="1">IF((R1076)&gt;=6,"Có","Không")</f>
        <v>Có</v>
      </c>
      <c r="AJ1076" s="29" t="str">
        <f>IF(OR(J1076&gt;=140,K1076&gt;=90),"Có","Không")</f>
        <v>Không</v>
      </c>
      <c r="AK1076" s="5" t="s">
        <v>51</v>
      </c>
      <c r="AL1076" s="35">
        <v>46173</v>
      </c>
      <c r="AM1076" s="29" t="str">
        <f>"Tháng "&amp;MONTH(AL1076)</f>
        <v>Tháng 5</v>
      </c>
      <c r="AN1076" s="69" t="s">
        <v>1376</v>
      </c>
    </row>
    <row r="1077" spans="1:40" x14ac:dyDescent="0.25">
      <c r="A1077" s="52" t="s">
        <v>1246</v>
      </c>
      <c r="B1077" s="21" t="s">
        <v>30</v>
      </c>
      <c r="C1077" s="35">
        <v>22647</v>
      </c>
      <c r="D1077" s="29">
        <f ca="1">DATEDIF(C1077,TODAY(),"Y")</f>
        <v>64</v>
      </c>
      <c r="E1077" s="5" t="s">
        <v>26</v>
      </c>
      <c r="F1077" s="30">
        <v>154</v>
      </c>
      <c r="G1077" s="30">
        <v>47</v>
      </c>
      <c r="H1077" s="31">
        <f>G1077/((F1077/100)*(F1077/100))</f>
        <v>19.817844493169169</v>
      </c>
      <c r="I1077" s="5">
        <v>66</v>
      </c>
      <c r="J1077" s="30">
        <v>120</v>
      </c>
      <c r="K1077" s="30">
        <v>70</v>
      </c>
      <c r="L1077" s="29">
        <f>IF(B1077="Nữ",0,2)</f>
        <v>2</v>
      </c>
      <c r="M1077" s="29">
        <f ca="1">IF(D1077&lt;45,0,IF(D1077&lt;=49,1,2))</f>
        <v>2</v>
      </c>
      <c r="N1077" s="29">
        <f>IF(E1077="Có",4,0)</f>
        <v>0</v>
      </c>
      <c r="O1077" s="29">
        <f>IF(H1077&lt;23,0,IF(H1077&lt;27.5,3,5))</f>
        <v>0</v>
      </c>
      <c r="P1077" s="29">
        <f>IF(OR(AND(B1077="Nam",I1077&gt;=90),AND(B1077="Nữ",I1077&gt;=80)),2,0)</f>
        <v>0</v>
      </c>
      <c r="Q1077" s="29">
        <f>IF(OR(J1077&gt;=140,K1077&gt;=90),2,0)</f>
        <v>0</v>
      </c>
      <c r="R1077" s="29">
        <f ca="1">SUM(L1077:Q1077)</f>
        <v>4</v>
      </c>
      <c r="S1077" s="33"/>
      <c r="T1077" s="33"/>
      <c r="U1077" s="33"/>
      <c r="V1077" s="33"/>
      <c r="W1077" s="33"/>
      <c r="X1077" s="33"/>
      <c r="Y1077" s="33"/>
      <c r="Z1077" s="33"/>
      <c r="AA1077" s="33"/>
      <c r="AB1077" s="33"/>
      <c r="AC1077" s="33"/>
      <c r="AD1077" s="5" t="s">
        <v>1393</v>
      </c>
      <c r="AE1077" s="33"/>
      <c r="AF1077" s="59" t="str">
        <f t="shared" si="49"/>
        <v>Không</v>
      </c>
      <c r="AG1077" s="59" t="str">
        <f t="shared" si="50"/>
        <v>Không</v>
      </c>
      <c r="AH1077" s="29" t="str">
        <f t="shared" ca="1" si="48"/>
        <v>Không</v>
      </c>
      <c r="AI1077" s="29" t="str">
        <f ca="1">IF((R1077)&gt;=6,"Có","Không")</f>
        <v>Không</v>
      </c>
      <c r="AJ1077" s="29" t="str">
        <f>IF(OR(J1077&gt;=140,K1077&gt;=90),"Có","Không")</f>
        <v>Không</v>
      </c>
      <c r="AK1077" s="5" t="s">
        <v>51</v>
      </c>
      <c r="AL1077" s="35">
        <v>46173</v>
      </c>
      <c r="AM1077" s="29" t="str">
        <f>"Tháng "&amp;MONTH(AL1077)</f>
        <v>Tháng 5</v>
      </c>
      <c r="AN1077" s="69" t="s">
        <v>1376</v>
      </c>
    </row>
    <row r="1078" spans="1:40" x14ac:dyDescent="0.25">
      <c r="A1078" s="52" t="s">
        <v>1248</v>
      </c>
      <c r="B1078" s="21" t="s">
        <v>30</v>
      </c>
      <c r="C1078" s="35">
        <v>27395</v>
      </c>
      <c r="D1078" s="29">
        <f ca="1">DATEDIF(C1078,TODAY(),"Y")</f>
        <v>51</v>
      </c>
      <c r="E1078" s="5" t="s">
        <v>26</v>
      </c>
      <c r="F1078" s="30">
        <v>158</v>
      </c>
      <c r="G1078" s="30">
        <v>58</v>
      </c>
      <c r="H1078" s="31">
        <f>G1078/((F1078/100)*(F1078/100))</f>
        <v>23.233456176894723</v>
      </c>
      <c r="I1078" s="5">
        <v>93</v>
      </c>
      <c r="J1078" s="30">
        <v>120</v>
      </c>
      <c r="K1078" s="30">
        <v>80</v>
      </c>
      <c r="L1078" s="29">
        <f>IF(B1078="Nữ",0,2)</f>
        <v>2</v>
      </c>
      <c r="M1078" s="29">
        <f ca="1">IF(D1078&lt;45,0,IF(D1078&lt;=49,1,2))</f>
        <v>2</v>
      </c>
      <c r="N1078" s="29">
        <f>IF(E1078="Có",4,0)</f>
        <v>0</v>
      </c>
      <c r="O1078" s="29">
        <f>IF(H1078&lt;23,0,IF(H1078&lt;27.5,3,5))</f>
        <v>3</v>
      </c>
      <c r="P1078" s="29">
        <f>IF(OR(AND(B1078="Nam",I1078&gt;=90),AND(B1078="Nữ",I1078&gt;=80)),2,0)</f>
        <v>2</v>
      </c>
      <c r="Q1078" s="29">
        <f>IF(OR(J1078&gt;=140,K1078&gt;=90),2,0)</f>
        <v>0</v>
      </c>
      <c r="R1078" s="29">
        <f ca="1">SUM(L1078:Q1078)</f>
        <v>9</v>
      </c>
      <c r="S1078" s="33"/>
      <c r="T1078" s="33"/>
      <c r="U1078" s="33"/>
      <c r="V1078" s="33"/>
      <c r="W1078" s="33"/>
      <c r="X1078" s="33"/>
      <c r="Y1078" s="33"/>
      <c r="Z1078" s="33"/>
      <c r="AA1078" s="33"/>
      <c r="AB1078" s="33"/>
      <c r="AC1078" s="33"/>
      <c r="AD1078" s="5" t="s">
        <v>1393</v>
      </c>
      <c r="AE1078" s="33"/>
      <c r="AF1078" s="59" t="str">
        <f t="shared" si="49"/>
        <v>Không</v>
      </c>
      <c r="AG1078" s="59" t="str">
        <f t="shared" si="50"/>
        <v>Không</v>
      </c>
      <c r="AH1078" s="29" t="str">
        <f t="shared" ca="1" si="48"/>
        <v>Có</v>
      </c>
      <c r="AI1078" s="29" t="str">
        <f ca="1">IF((R1078)&gt;=6,"Có","Không")</f>
        <v>Có</v>
      </c>
      <c r="AJ1078" s="29" t="str">
        <f>IF(OR(J1078&gt;=140,K1078&gt;=90),"Có","Không")</f>
        <v>Không</v>
      </c>
      <c r="AK1078" s="5" t="s">
        <v>51</v>
      </c>
      <c r="AL1078" s="35">
        <v>46173</v>
      </c>
      <c r="AM1078" s="29" t="str">
        <f>"Tháng "&amp;MONTH(AL1078)</f>
        <v>Tháng 5</v>
      </c>
      <c r="AN1078" s="69" t="s">
        <v>1376</v>
      </c>
    </row>
    <row r="1079" spans="1:40" x14ac:dyDescent="0.25">
      <c r="A1079" s="52" t="s">
        <v>1249</v>
      </c>
      <c r="B1079" s="21" t="s">
        <v>30</v>
      </c>
      <c r="C1079" s="35">
        <v>21186</v>
      </c>
      <c r="D1079" s="29">
        <f ca="1">DATEDIF(C1079,TODAY(),"Y")</f>
        <v>68</v>
      </c>
      <c r="E1079" s="5" t="s">
        <v>25</v>
      </c>
      <c r="F1079" s="30">
        <v>169</v>
      </c>
      <c r="G1079" s="30">
        <v>58</v>
      </c>
      <c r="H1079" s="31">
        <f>G1079/((F1079/100)*(F1079/100))</f>
        <v>20.307412205454995</v>
      </c>
      <c r="I1079" s="5">
        <v>86</v>
      </c>
      <c r="J1079" s="30">
        <v>110</v>
      </c>
      <c r="K1079" s="30">
        <v>80</v>
      </c>
      <c r="L1079" s="29">
        <f>IF(B1079="Nữ",0,2)</f>
        <v>2</v>
      </c>
      <c r="M1079" s="29">
        <f ca="1">IF(D1079&lt;45,0,IF(D1079&lt;=49,1,2))</f>
        <v>2</v>
      </c>
      <c r="N1079" s="29">
        <f>IF(E1079="Có",4,0)</f>
        <v>4</v>
      </c>
      <c r="O1079" s="29">
        <f>IF(H1079&lt;23,0,IF(H1079&lt;27.5,3,5))</f>
        <v>0</v>
      </c>
      <c r="P1079" s="29">
        <f>IF(OR(AND(B1079="Nam",I1079&gt;=90),AND(B1079="Nữ",I1079&gt;=80)),2,0)</f>
        <v>0</v>
      </c>
      <c r="Q1079" s="29">
        <f>IF(OR(J1079&gt;=140,K1079&gt;=90),2,0)</f>
        <v>0</v>
      </c>
      <c r="R1079" s="29">
        <f ca="1">SUM(L1079:Q1079)</f>
        <v>8</v>
      </c>
      <c r="S1079" s="33"/>
      <c r="T1079" s="33"/>
      <c r="U1079" s="33"/>
      <c r="V1079" s="33"/>
      <c r="W1079" s="33"/>
      <c r="X1079" s="33"/>
      <c r="Y1079" s="33"/>
      <c r="Z1079" s="33"/>
      <c r="AA1079" s="33"/>
      <c r="AB1079" s="33"/>
      <c r="AC1079" s="33"/>
      <c r="AD1079" s="5" t="s">
        <v>1393</v>
      </c>
      <c r="AE1079" s="33"/>
      <c r="AF1079" s="59" t="str">
        <f t="shared" si="49"/>
        <v>Không</v>
      </c>
      <c r="AG1079" s="59" t="str">
        <f t="shared" si="50"/>
        <v>Không</v>
      </c>
      <c r="AH1079" s="29" t="str">
        <f t="shared" ca="1" si="48"/>
        <v>Có</v>
      </c>
      <c r="AI1079" s="29" t="str">
        <f ca="1">IF((R1079)&gt;=6,"Có","Không")</f>
        <v>Có</v>
      </c>
      <c r="AJ1079" s="29" t="str">
        <f>IF(OR(J1079&gt;=140,K1079&gt;=90),"Có","Không")</f>
        <v>Không</v>
      </c>
      <c r="AK1079" s="5" t="s">
        <v>51</v>
      </c>
      <c r="AL1079" s="35">
        <v>46173</v>
      </c>
      <c r="AM1079" s="29" t="str">
        <f>"Tháng "&amp;MONTH(AL1079)</f>
        <v>Tháng 5</v>
      </c>
      <c r="AN1079" s="69" t="s">
        <v>1376</v>
      </c>
    </row>
    <row r="1080" spans="1:40" x14ac:dyDescent="0.25">
      <c r="A1080" s="52" t="s">
        <v>1251</v>
      </c>
      <c r="B1080" s="21" t="s">
        <v>30</v>
      </c>
      <c r="C1080" s="35">
        <v>22647</v>
      </c>
      <c r="D1080" s="29">
        <f ca="1">DATEDIF(C1080,TODAY(),"Y")</f>
        <v>64</v>
      </c>
      <c r="E1080" s="5" t="s">
        <v>26</v>
      </c>
      <c r="F1080" s="30">
        <v>158</v>
      </c>
      <c r="G1080" s="30">
        <v>58</v>
      </c>
      <c r="H1080" s="31">
        <f>G1080/((F1080/100)*(F1080/100))</f>
        <v>23.233456176894723</v>
      </c>
      <c r="I1080" s="5">
        <v>80</v>
      </c>
      <c r="J1080" s="30">
        <v>150</v>
      </c>
      <c r="K1080" s="30">
        <v>80</v>
      </c>
      <c r="L1080" s="29">
        <f>IF(B1080="Nữ",0,2)</f>
        <v>2</v>
      </c>
      <c r="M1080" s="29">
        <f ca="1">IF(D1080&lt;45,0,IF(D1080&lt;=49,1,2))</f>
        <v>2</v>
      </c>
      <c r="N1080" s="29">
        <f>IF(E1080="Có",4,0)</f>
        <v>0</v>
      </c>
      <c r="O1080" s="29">
        <f>IF(H1080&lt;23,0,IF(H1080&lt;27.5,3,5))</f>
        <v>3</v>
      </c>
      <c r="P1080" s="29">
        <f>IF(OR(AND(B1080="Nam",I1080&gt;=90),AND(B1080="Nữ",I1080&gt;=80)),2,0)</f>
        <v>0</v>
      </c>
      <c r="Q1080" s="29">
        <f>IF(OR(J1080&gt;=140,K1080&gt;=90),2,0)</f>
        <v>2</v>
      </c>
      <c r="R1080" s="29">
        <f ca="1">SUM(L1080:Q1080)</f>
        <v>9</v>
      </c>
      <c r="S1080" s="33"/>
      <c r="T1080" s="33"/>
      <c r="U1080" s="33"/>
      <c r="V1080" s="33"/>
      <c r="W1080" s="33"/>
      <c r="X1080" s="33"/>
      <c r="Y1080" s="33"/>
      <c r="Z1080" s="33"/>
      <c r="AA1080" s="33"/>
      <c r="AB1080" s="33"/>
      <c r="AC1080" s="33"/>
      <c r="AD1080" s="5" t="s">
        <v>1393</v>
      </c>
      <c r="AE1080" s="33"/>
      <c r="AF1080" s="59" t="str">
        <f t="shared" si="49"/>
        <v>Không</v>
      </c>
      <c r="AG1080" s="59" t="str">
        <f t="shared" si="50"/>
        <v>Không</v>
      </c>
      <c r="AH1080" s="29" t="str">
        <f t="shared" ca="1" si="48"/>
        <v>Có</v>
      </c>
      <c r="AI1080" s="29" t="str">
        <f ca="1">IF((R1080)&gt;=6,"Có","Không")</f>
        <v>Có</v>
      </c>
      <c r="AJ1080" s="29" t="str">
        <f>IF(OR(J1080&gt;=140,K1080&gt;=90),"Có","Không")</f>
        <v>Có</v>
      </c>
      <c r="AK1080" s="5" t="s">
        <v>51</v>
      </c>
      <c r="AL1080" s="35">
        <v>46173</v>
      </c>
      <c r="AM1080" s="29" t="str">
        <f>"Tháng "&amp;MONTH(AL1080)</f>
        <v>Tháng 5</v>
      </c>
      <c r="AN1080" s="69" t="s">
        <v>1376</v>
      </c>
    </row>
    <row r="1081" spans="1:40" x14ac:dyDescent="0.25">
      <c r="A1081" s="52" t="s">
        <v>1252</v>
      </c>
      <c r="B1081" s="20" t="s">
        <v>23</v>
      </c>
      <c r="C1081" s="35">
        <v>25204</v>
      </c>
      <c r="D1081" s="29">
        <f ca="1">DATEDIF(C1081,TODAY(),"Y")</f>
        <v>57</v>
      </c>
      <c r="E1081" s="5" t="s">
        <v>26</v>
      </c>
      <c r="F1081" s="30">
        <v>169</v>
      </c>
      <c r="G1081" s="30">
        <v>58</v>
      </c>
      <c r="H1081" s="31">
        <f>G1081/((F1081/100)*(F1081/100))</f>
        <v>20.307412205454995</v>
      </c>
      <c r="I1081" s="5">
        <v>84</v>
      </c>
      <c r="J1081" s="30">
        <v>140</v>
      </c>
      <c r="K1081" s="30">
        <v>80</v>
      </c>
      <c r="L1081" s="29">
        <f>IF(B1081="Nữ",0,2)</f>
        <v>0</v>
      </c>
      <c r="M1081" s="29">
        <f ca="1">IF(D1081&lt;45,0,IF(D1081&lt;=49,1,2))</f>
        <v>2</v>
      </c>
      <c r="N1081" s="29">
        <f>IF(E1081="Có",4,0)</f>
        <v>0</v>
      </c>
      <c r="O1081" s="29">
        <f>IF(H1081&lt;23,0,IF(H1081&lt;27.5,3,5))</f>
        <v>0</v>
      </c>
      <c r="P1081" s="29">
        <f>IF(OR(AND(B1081="Nam",I1081&gt;=90),AND(B1081="Nữ",I1081&gt;=80)),2,0)</f>
        <v>2</v>
      </c>
      <c r="Q1081" s="29">
        <f>IF(OR(J1081&gt;=140,K1081&gt;=90),2,0)</f>
        <v>2</v>
      </c>
      <c r="R1081" s="29">
        <f ca="1">SUM(L1081:Q1081)</f>
        <v>6</v>
      </c>
      <c r="S1081" s="33"/>
      <c r="T1081" s="33"/>
      <c r="U1081" s="33"/>
      <c r="V1081" s="33"/>
      <c r="W1081" s="33"/>
      <c r="X1081" s="33"/>
      <c r="Y1081" s="33"/>
      <c r="Z1081" s="33"/>
      <c r="AA1081" s="33"/>
      <c r="AB1081" s="33"/>
      <c r="AC1081" s="33"/>
      <c r="AD1081" s="5" t="s">
        <v>1393</v>
      </c>
      <c r="AE1081" s="33"/>
      <c r="AF1081" s="59" t="str">
        <f t="shared" si="49"/>
        <v>Không</v>
      </c>
      <c r="AG1081" s="59" t="str">
        <f t="shared" si="50"/>
        <v>Không</v>
      </c>
      <c r="AH1081" s="29" t="str">
        <f t="shared" ca="1" si="48"/>
        <v>Có</v>
      </c>
      <c r="AI1081" s="29" t="str">
        <f ca="1">IF((R1081)&gt;=6,"Có","Không")</f>
        <v>Có</v>
      </c>
      <c r="AJ1081" s="29" t="str">
        <f>IF(OR(J1081&gt;=140,K1081&gt;=90),"Có","Không")</f>
        <v>Có</v>
      </c>
      <c r="AK1081" s="5" t="s">
        <v>51</v>
      </c>
      <c r="AL1081" s="35">
        <v>46173</v>
      </c>
      <c r="AM1081" s="29" t="str">
        <f>"Tháng "&amp;MONTH(AL1081)</f>
        <v>Tháng 5</v>
      </c>
      <c r="AN1081" s="69" t="s">
        <v>1376</v>
      </c>
    </row>
    <row r="1082" spans="1:40" x14ac:dyDescent="0.25">
      <c r="A1082" s="52" t="s">
        <v>1253</v>
      </c>
      <c r="B1082" s="21" t="s">
        <v>30</v>
      </c>
      <c r="C1082" s="35">
        <v>20821</v>
      </c>
      <c r="D1082" s="29">
        <f ca="1">DATEDIF(C1082,TODAY(),"Y")</f>
        <v>69</v>
      </c>
      <c r="E1082" s="5" t="s">
        <v>26</v>
      </c>
      <c r="F1082" s="30">
        <v>158</v>
      </c>
      <c r="G1082" s="30">
        <v>58</v>
      </c>
      <c r="H1082" s="31">
        <f>G1082/((F1082/100)*(F1082/100))</f>
        <v>23.233456176894723</v>
      </c>
      <c r="I1082" s="5">
        <v>77</v>
      </c>
      <c r="J1082" s="30">
        <v>130</v>
      </c>
      <c r="K1082" s="30">
        <v>80</v>
      </c>
      <c r="L1082" s="29">
        <f>IF(B1082="Nữ",0,2)</f>
        <v>2</v>
      </c>
      <c r="M1082" s="29">
        <f ca="1">IF(D1082&lt;45,0,IF(D1082&lt;=49,1,2))</f>
        <v>2</v>
      </c>
      <c r="N1082" s="29">
        <f>IF(E1082="Có",4,0)</f>
        <v>0</v>
      </c>
      <c r="O1082" s="29">
        <f>IF(H1082&lt;23,0,IF(H1082&lt;27.5,3,5))</f>
        <v>3</v>
      </c>
      <c r="P1082" s="29">
        <f>IF(OR(AND(B1082="Nam",I1082&gt;=90),AND(B1082="Nữ",I1082&gt;=80)),2,0)</f>
        <v>0</v>
      </c>
      <c r="Q1082" s="29">
        <f>IF(OR(J1082&gt;=140,K1082&gt;=90),2,0)</f>
        <v>0</v>
      </c>
      <c r="R1082" s="29">
        <f ca="1">SUM(L1082:Q1082)</f>
        <v>7</v>
      </c>
      <c r="S1082" s="33"/>
      <c r="T1082" s="33"/>
      <c r="U1082" s="33"/>
      <c r="V1082" s="33"/>
      <c r="W1082" s="33"/>
      <c r="X1082" s="33"/>
      <c r="Y1082" s="33"/>
      <c r="Z1082" s="33"/>
      <c r="AA1082" s="33"/>
      <c r="AB1082" s="33"/>
      <c r="AC1082" s="33"/>
      <c r="AD1082" s="5" t="s">
        <v>1393</v>
      </c>
      <c r="AE1082" s="33"/>
      <c r="AF1082" s="59" t="str">
        <f t="shared" si="49"/>
        <v>Không</v>
      </c>
      <c r="AG1082" s="59" t="str">
        <f t="shared" si="50"/>
        <v>Không</v>
      </c>
      <c r="AH1082" s="29" t="str">
        <f t="shared" ca="1" si="48"/>
        <v>Có</v>
      </c>
      <c r="AI1082" s="29" t="str">
        <f ca="1">IF((R1082)&gt;=6,"Có","Không")</f>
        <v>Có</v>
      </c>
      <c r="AJ1082" s="29" t="str">
        <f>IF(OR(J1082&gt;=140,K1082&gt;=90),"Có","Không")</f>
        <v>Không</v>
      </c>
      <c r="AK1082" s="5" t="s">
        <v>51</v>
      </c>
      <c r="AL1082" s="35">
        <v>46173</v>
      </c>
      <c r="AM1082" s="29" t="str">
        <f>"Tháng "&amp;MONTH(AL1082)</f>
        <v>Tháng 5</v>
      </c>
      <c r="AN1082" s="69" t="s">
        <v>1376</v>
      </c>
    </row>
    <row r="1083" spans="1:40" x14ac:dyDescent="0.25">
      <c r="A1083" s="52" t="s">
        <v>1254</v>
      </c>
      <c r="B1083" s="20" t="s">
        <v>23</v>
      </c>
      <c r="C1083" s="35">
        <v>26299</v>
      </c>
      <c r="D1083" s="29">
        <f ca="1">DATEDIF(C1083,TODAY(),"Y")</f>
        <v>54</v>
      </c>
      <c r="E1083" s="5" t="s">
        <v>25</v>
      </c>
      <c r="F1083" s="30">
        <v>158</v>
      </c>
      <c r="G1083" s="30">
        <v>58</v>
      </c>
      <c r="H1083" s="31">
        <f>G1083/((F1083/100)*(F1083/100))</f>
        <v>23.233456176894723</v>
      </c>
      <c r="I1083" s="5">
        <v>93</v>
      </c>
      <c r="J1083" s="30">
        <v>130</v>
      </c>
      <c r="K1083" s="30">
        <v>80</v>
      </c>
      <c r="L1083" s="29">
        <f>IF(B1083="Nữ",0,2)</f>
        <v>0</v>
      </c>
      <c r="M1083" s="29">
        <f ca="1">IF(D1083&lt;45,0,IF(D1083&lt;=49,1,2))</f>
        <v>2</v>
      </c>
      <c r="N1083" s="29">
        <f>IF(E1083="Có",4,0)</f>
        <v>4</v>
      </c>
      <c r="O1083" s="29">
        <f>IF(H1083&lt;23,0,IF(H1083&lt;27.5,3,5))</f>
        <v>3</v>
      </c>
      <c r="P1083" s="29">
        <f>IF(OR(AND(B1083="Nam",I1083&gt;=90),AND(B1083="Nữ",I1083&gt;=80)),2,0)</f>
        <v>2</v>
      </c>
      <c r="Q1083" s="29">
        <f>IF(OR(J1083&gt;=140,K1083&gt;=90),2,0)</f>
        <v>0</v>
      </c>
      <c r="R1083" s="29">
        <f ca="1">SUM(L1083:Q1083)</f>
        <v>11</v>
      </c>
      <c r="S1083" s="33"/>
      <c r="T1083" s="33"/>
      <c r="U1083" s="33"/>
      <c r="V1083" s="33"/>
      <c r="W1083" s="33"/>
      <c r="X1083" s="33"/>
      <c r="Y1083" s="33"/>
      <c r="Z1083" s="33"/>
      <c r="AA1083" s="33"/>
      <c r="AB1083" s="33"/>
      <c r="AC1083" s="33"/>
      <c r="AD1083" s="5" t="s">
        <v>1393</v>
      </c>
      <c r="AE1083" s="33"/>
      <c r="AF1083" s="59" t="str">
        <f t="shared" si="49"/>
        <v>Không</v>
      </c>
      <c r="AG1083" s="59" t="str">
        <f t="shared" si="50"/>
        <v>Không</v>
      </c>
      <c r="AH1083" s="29" t="str">
        <f t="shared" ca="1" si="48"/>
        <v>Có</v>
      </c>
      <c r="AI1083" s="29" t="str">
        <f ca="1">IF((R1083)&gt;=6,"Có","Không")</f>
        <v>Có</v>
      </c>
      <c r="AJ1083" s="29" t="str">
        <f>IF(OR(J1083&gt;=140,K1083&gt;=90),"Có","Không")</f>
        <v>Không</v>
      </c>
      <c r="AK1083" s="5" t="s">
        <v>51</v>
      </c>
      <c r="AL1083" s="35">
        <v>46173</v>
      </c>
      <c r="AM1083" s="29" t="str">
        <f>"Tháng "&amp;MONTH(AL1083)</f>
        <v>Tháng 5</v>
      </c>
      <c r="AN1083" s="69" t="s">
        <v>1376</v>
      </c>
    </row>
    <row r="1084" spans="1:40" x14ac:dyDescent="0.25">
      <c r="A1084" s="52" t="s">
        <v>1255</v>
      </c>
      <c r="B1084" s="21" t="s">
        <v>30</v>
      </c>
      <c r="C1084" s="35">
        <v>26299</v>
      </c>
      <c r="D1084" s="29">
        <f ca="1">DATEDIF(C1084,TODAY(),"Y")</f>
        <v>54</v>
      </c>
      <c r="E1084" s="5" t="s">
        <v>25</v>
      </c>
      <c r="F1084" s="30">
        <v>145</v>
      </c>
      <c r="G1084" s="30">
        <v>48</v>
      </c>
      <c r="H1084" s="31">
        <f>G1084/((F1084/100)*(F1084/100))</f>
        <v>22.829964328180736</v>
      </c>
      <c r="I1084" s="5">
        <v>78</v>
      </c>
      <c r="J1084" s="30">
        <v>120</v>
      </c>
      <c r="K1084" s="30">
        <v>80</v>
      </c>
      <c r="L1084" s="29">
        <f>IF(B1084="Nữ",0,2)</f>
        <v>2</v>
      </c>
      <c r="M1084" s="29">
        <f ca="1">IF(D1084&lt;45,0,IF(D1084&lt;=49,1,2))</f>
        <v>2</v>
      </c>
      <c r="N1084" s="29">
        <f>IF(E1084="Có",4,0)</f>
        <v>4</v>
      </c>
      <c r="O1084" s="29">
        <f>IF(H1084&lt;23,0,IF(H1084&lt;27.5,3,5))</f>
        <v>0</v>
      </c>
      <c r="P1084" s="29">
        <f>IF(OR(AND(B1084="Nam",I1084&gt;=90),AND(B1084="Nữ",I1084&gt;=80)),2,0)</f>
        <v>0</v>
      </c>
      <c r="Q1084" s="29">
        <f>IF(OR(J1084&gt;=140,K1084&gt;=90),2,0)</f>
        <v>0</v>
      </c>
      <c r="R1084" s="29">
        <f ca="1">SUM(L1084:Q1084)</f>
        <v>8</v>
      </c>
      <c r="S1084" s="33"/>
      <c r="T1084" s="33"/>
      <c r="U1084" s="33"/>
      <c r="V1084" s="33"/>
      <c r="W1084" s="33"/>
      <c r="X1084" s="33"/>
      <c r="Y1084" s="33"/>
      <c r="Z1084" s="33"/>
      <c r="AA1084" s="33"/>
      <c r="AB1084" s="33"/>
      <c r="AC1084" s="33"/>
      <c r="AD1084" s="5" t="s">
        <v>1393</v>
      </c>
      <c r="AE1084" s="33"/>
      <c r="AF1084" s="59" t="str">
        <f t="shared" si="49"/>
        <v>Không</v>
      </c>
      <c r="AG1084" s="59" t="str">
        <f t="shared" si="50"/>
        <v>Không</v>
      </c>
      <c r="AH1084" s="29" t="str">
        <f t="shared" ca="1" si="48"/>
        <v>Có</v>
      </c>
      <c r="AI1084" s="29" t="str">
        <f ca="1">IF((R1084)&gt;=6,"Có","Không")</f>
        <v>Có</v>
      </c>
      <c r="AJ1084" s="29" t="str">
        <f>IF(OR(J1084&gt;=140,K1084&gt;=90),"Có","Không")</f>
        <v>Không</v>
      </c>
      <c r="AK1084" s="5" t="s">
        <v>51</v>
      </c>
      <c r="AL1084" s="35">
        <v>46173</v>
      </c>
      <c r="AM1084" s="29" t="str">
        <f>"Tháng "&amp;MONTH(AL1084)</f>
        <v>Tháng 5</v>
      </c>
      <c r="AN1084" s="69" t="s">
        <v>1376</v>
      </c>
    </row>
    <row r="1085" spans="1:40" x14ac:dyDescent="0.25">
      <c r="A1085" s="52" t="s">
        <v>1256</v>
      </c>
      <c r="B1085" s="20" t="s">
        <v>23</v>
      </c>
      <c r="C1085" s="35">
        <v>20455</v>
      </c>
      <c r="D1085" s="29">
        <f ca="1">DATEDIF(C1085,TODAY(),"Y")</f>
        <v>70</v>
      </c>
      <c r="E1085" s="5" t="s">
        <v>25</v>
      </c>
      <c r="F1085" s="30">
        <v>170</v>
      </c>
      <c r="G1085" s="30">
        <v>66</v>
      </c>
      <c r="H1085" s="31">
        <f>G1085/((F1085/100)*(F1085/100))</f>
        <v>22.837370242214536</v>
      </c>
      <c r="I1085" s="5">
        <v>74</v>
      </c>
      <c r="J1085" s="30">
        <v>140</v>
      </c>
      <c r="K1085" s="30">
        <v>80</v>
      </c>
      <c r="L1085" s="29">
        <f>IF(B1085="Nữ",0,2)</f>
        <v>0</v>
      </c>
      <c r="M1085" s="29">
        <f ca="1">IF(D1085&lt;45,0,IF(D1085&lt;=49,1,2))</f>
        <v>2</v>
      </c>
      <c r="N1085" s="29">
        <f>IF(E1085="Có",4,0)</f>
        <v>4</v>
      </c>
      <c r="O1085" s="29">
        <f>IF(H1085&lt;23,0,IF(H1085&lt;27.5,3,5))</f>
        <v>0</v>
      </c>
      <c r="P1085" s="29">
        <f>IF(OR(AND(B1085="Nam",I1085&gt;=90),AND(B1085="Nữ",I1085&gt;=80)),2,0)</f>
        <v>0</v>
      </c>
      <c r="Q1085" s="29">
        <f>IF(OR(J1085&gt;=140,K1085&gt;=90),2,0)</f>
        <v>2</v>
      </c>
      <c r="R1085" s="29">
        <f ca="1">SUM(L1085:Q1085)</f>
        <v>8</v>
      </c>
      <c r="S1085" s="33"/>
      <c r="T1085" s="33"/>
      <c r="U1085" s="33"/>
      <c r="V1085" s="33"/>
      <c r="W1085" s="33"/>
      <c r="X1085" s="33"/>
      <c r="Y1085" s="33"/>
      <c r="Z1085" s="33"/>
      <c r="AA1085" s="33"/>
      <c r="AB1085" s="33"/>
      <c r="AC1085" s="33"/>
      <c r="AD1085" s="5" t="s">
        <v>1393</v>
      </c>
      <c r="AE1085" s="33"/>
      <c r="AF1085" s="59" t="str">
        <f t="shared" si="49"/>
        <v>Không</v>
      </c>
      <c r="AG1085" s="59" t="str">
        <f t="shared" si="50"/>
        <v>Không</v>
      </c>
      <c r="AH1085" s="29" t="str">
        <f t="shared" ca="1" si="48"/>
        <v>Có</v>
      </c>
      <c r="AI1085" s="29" t="str">
        <f ca="1">IF((R1085)&gt;=6,"Có","Không")</f>
        <v>Có</v>
      </c>
      <c r="AJ1085" s="29" t="str">
        <f>IF(OR(J1085&gt;=140,K1085&gt;=90),"Có","Không")</f>
        <v>Có</v>
      </c>
      <c r="AK1085" s="5" t="s">
        <v>51</v>
      </c>
      <c r="AL1085" s="35">
        <v>46173</v>
      </c>
      <c r="AM1085" s="29" t="str">
        <f>"Tháng "&amp;MONTH(AL1085)</f>
        <v>Tháng 5</v>
      </c>
      <c r="AN1085" s="69" t="s">
        <v>1376</v>
      </c>
    </row>
    <row r="1086" spans="1:40" x14ac:dyDescent="0.25">
      <c r="A1086" s="52" t="s">
        <v>1257</v>
      </c>
      <c r="B1086" s="20" t="s">
        <v>23</v>
      </c>
      <c r="C1086" s="35">
        <v>15342</v>
      </c>
      <c r="D1086" s="29">
        <f ca="1">DATEDIF(C1086,TODAY(),"Y")</f>
        <v>84</v>
      </c>
      <c r="E1086" s="5" t="s">
        <v>26</v>
      </c>
      <c r="F1086" s="30">
        <v>154</v>
      </c>
      <c r="G1086" s="30">
        <v>37</v>
      </c>
      <c r="H1086" s="31">
        <f>G1086/((F1086/100)*(F1086/100))</f>
        <v>15.60128183504807</v>
      </c>
      <c r="I1086" s="5">
        <v>65</v>
      </c>
      <c r="J1086" s="30">
        <v>140</v>
      </c>
      <c r="K1086" s="30">
        <v>80</v>
      </c>
      <c r="L1086" s="29">
        <f>IF(B1086="Nữ",0,2)</f>
        <v>0</v>
      </c>
      <c r="M1086" s="29">
        <f ca="1">IF(D1086&lt;45,0,IF(D1086&lt;=49,1,2))</f>
        <v>2</v>
      </c>
      <c r="N1086" s="29">
        <f>IF(E1086="Có",4,0)</f>
        <v>0</v>
      </c>
      <c r="O1086" s="29">
        <f>IF(H1086&lt;23,0,IF(H1086&lt;27.5,3,5))</f>
        <v>0</v>
      </c>
      <c r="P1086" s="29">
        <f>IF(OR(AND(B1086="Nam",I1086&gt;=90),AND(B1086="Nữ",I1086&gt;=80)),2,0)</f>
        <v>0</v>
      </c>
      <c r="Q1086" s="29">
        <f>IF(OR(J1086&gt;=140,K1086&gt;=90),2,0)</f>
        <v>2</v>
      </c>
      <c r="R1086" s="29">
        <f ca="1">SUM(L1086:Q1086)</f>
        <v>4</v>
      </c>
      <c r="S1086" s="33"/>
      <c r="T1086" s="33"/>
      <c r="U1086" s="33"/>
      <c r="V1086" s="33"/>
      <c r="W1086" s="33"/>
      <c r="X1086" s="33"/>
      <c r="Y1086" s="33"/>
      <c r="Z1086" s="33"/>
      <c r="AA1086" s="33"/>
      <c r="AB1086" s="33"/>
      <c r="AC1086" s="33"/>
      <c r="AD1086" s="5" t="s">
        <v>1393</v>
      </c>
      <c r="AE1086" s="33"/>
      <c r="AF1086" s="59" t="str">
        <f t="shared" si="49"/>
        <v>Không</v>
      </c>
      <c r="AG1086" s="59" t="str">
        <f t="shared" si="50"/>
        <v>Không</v>
      </c>
      <c r="AH1086" s="29" t="str">
        <f t="shared" ca="1" si="48"/>
        <v>Không</v>
      </c>
      <c r="AI1086" s="29" t="str">
        <f ca="1">IF((R1086)&gt;=6,"Có","Không")</f>
        <v>Không</v>
      </c>
      <c r="AJ1086" s="29" t="str">
        <f>IF(OR(J1086&gt;=140,K1086&gt;=90),"Có","Không")</f>
        <v>Có</v>
      </c>
      <c r="AK1086" s="5" t="s">
        <v>51</v>
      </c>
      <c r="AL1086" s="35">
        <v>46173</v>
      </c>
      <c r="AM1086" s="29" t="str">
        <f>"Tháng "&amp;MONTH(AL1086)</f>
        <v>Tháng 5</v>
      </c>
      <c r="AN1086" s="69" t="s">
        <v>1376</v>
      </c>
    </row>
    <row r="1087" spans="1:40" x14ac:dyDescent="0.25">
      <c r="A1087" s="52" t="s">
        <v>1258</v>
      </c>
      <c r="B1087" s="21" t="s">
        <v>30</v>
      </c>
      <c r="C1087" s="35">
        <v>21551</v>
      </c>
      <c r="D1087" s="29">
        <f ca="1">DATEDIF(C1087,TODAY(),"Y")</f>
        <v>67</v>
      </c>
      <c r="E1087" s="5" t="s">
        <v>26</v>
      </c>
      <c r="F1087" s="30">
        <v>169</v>
      </c>
      <c r="G1087" s="30">
        <v>68</v>
      </c>
      <c r="H1087" s="31">
        <f>G1087/((F1087/100)*(F1087/100))</f>
        <v>23.808690171912751</v>
      </c>
      <c r="I1087" s="5">
        <v>82</v>
      </c>
      <c r="J1087" s="30">
        <v>120</v>
      </c>
      <c r="K1087" s="30">
        <v>80</v>
      </c>
      <c r="L1087" s="29">
        <f>IF(B1087="Nữ",0,2)</f>
        <v>2</v>
      </c>
      <c r="M1087" s="29">
        <f ca="1">IF(D1087&lt;45,0,IF(D1087&lt;=49,1,2))</f>
        <v>2</v>
      </c>
      <c r="N1087" s="29">
        <f>IF(E1087="Có",4,0)</f>
        <v>0</v>
      </c>
      <c r="O1087" s="29">
        <f>IF(H1087&lt;23,0,IF(H1087&lt;27.5,3,5))</f>
        <v>3</v>
      </c>
      <c r="P1087" s="29">
        <f>IF(OR(AND(B1087="Nam",I1087&gt;=90),AND(B1087="Nữ",I1087&gt;=80)),2,0)</f>
        <v>0</v>
      </c>
      <c r="Q1087" s="29">
        <f>IF(OR(J1087&gt;=140,K1087&gt;=90),2,0)</f>
        <v>0</v>
      </c>
      <c r="R1087" s="29">
        <f ca="1">SUM(L1087:Q1087)</f>
        <v>7</v>
      </c>
      <c r="S1087" s="33"/>
      <c r="T1087" s="33"/>
      <c r="U1087" s="33"/>
      <c r="V1087" s="33"/>
      <c r="W1087" s="33"/>
      <c r="X1087" s="33"/>
      <c r="Y1087" s="33"/>
      <c r="Z1087" s="33"/>
      <c r="AA1087" s="33"/>
      <c r="AB1087" s="33"/>
      <c r="AC1087" s="33"/>
      <c r="AD1087" s="5" t="s">
        <v>1393</v>
      </c>
      <c r="AE1087" s="33"/>
      <c r="AF1087" s="59" t="str">
        <f t="shared" si="49"/>
        <v>Không</v>
      </c>
      <c r="AG1087" s="59" t="str">
        <f t="shared" si="50"/>
        <v>Không</v>
      </c>
      <c r="AH1087" s="29" t="str">
        <f t="shared" ca="1" si="48"/>
        <v>Có</v>
      </c>
      <c r="AI1087" s="29" t="str">
        <f ca="1">IF((R1087)&gt;=6,"Có","Không")</f>
        <v>Có</v>
      </c>
      <c r="AJ1087" s="29" t="str">
        <f>IF(OR(J1087&gt;=140,K1087&gt;=90),"Có","Không")</f>
        <v>Không</v>
      </c>
      <c r="AK1087" s="5" t="s">
        <v>51</v>
      </c>
      <c r="AL1087" s="35">
        <v>46173</v>
      </c>
      <c r="AM1087" s="29" t="str">
        <f>"Tháng "&amp;MONTH(AL1087)</f>
        <v>Tháng 5</v>
      </c>
      <c r="AN1087" s="69" t="s">
        <v>1376</v>
      </c>
    </row>
    <row r="1088" spans="1:40" x14ac:dyDescent="0.25">
      <c r="A1088" s="52" t="s">
        <v>1259</v>
      </c>
      <c r="B1088" s="20" t="s">
        <v>23</v>
      </c>
      <c r="C1088" s="35">
        <v>24838</v>
      </c>
      <c r="D1088" s="29">
        <f ca="1">DATEDIF(C1088,TODAY(),"Y")</f>
        <v>58</v>
      </c>
      <c r="E1088" s="5" t="s">
        <v>26</v>
      </c>
      <c r="F1088" s="30">
        <v>169</v>
      </c>
      <c r="G1088" s="30">
        <v>68</v>
      </c>
      <c r="H1088" s="31">
        <f>G1088/((F1088/100)*(F1088/100))</f>
        <v>23.808690171912751</v>
      </c>
      <c r="I1088" s="5">
        <v>85</v>
      </c>
      <c r="J1088" s="30">
        <v>150</v>
      </c>
      <c r="K1088" s="30">
        <v>80</v>
      </c>
      <c r="L1088" s="29">
        <f>IF(B1088="Nữ",0,2)</f>
        <v>0</v>
      </c>
      <c r="M1088" s="29">
        <f ca="1">IF(D1088&lt;45,0,IF(D1088&lt;=49,1,2))</f>
        <v>2</v>
      </c>
      <c r="N1088" s="29">
        <f>IF(E1088="Có",4,0)</f>
        <v>0</v>
      </c>
      <c r="O1088" s="29">
        <f>IF(H1088&lt;23,0,IF(H1088&lt;27.5,3,5))</f>
        <v>3</v>
      </c>
      <c r="P1088" s="29">
        <f>IF(OR(AND(B1088="Nam",I1088&gt;=90),AND(B1088="Nữ",I1088&gt;=80)),2,0)</f>
        <v>2</v>
      </c>
      <c r="Q1088" s="29">
        <f>IF(OR(J1088&gt;=140,K1088&gt;=90),2,0)</f>
        <v>2</v>
      </c>
      <c r="R1088" s="29">
        <f ca="1">SUM(L1088:Q1088)</f>
        <v>9</v>
      </c>
      <c r="S1088" s="33"/>
      <c r="T1088" s="33"/>
      <c r="U1088" s="33"/>
      <c r="V1088" s="33"/>
      <c r="W1088" s="33"/>
      <c r="X1088" s="33"/>
      <c r="Y1088" s="33"/>
      <c r="Z1088" s="33"/>
      <c r="AA1088" s="33"/>
      <c r="AB1088" s="33"/>
      <c r="AC1088" s="33"/>
      <c r="AD1088" s="5" t="s">
        <v>1393</v>
      </c>
      <c r="AE1088" s="33"/>
      <c r="AF1088" s="59" t="str">
        <f t="shared" si="49"/>
        <v>Không</v>
      </c>
      <c r="AG1088" s="59" t="str">
        <f t="shared" si="50"/>
        <v>Không</v>
      </c>
      <c r="AH1088" s="29" t="str">
        <f t="shared" ca="1" si="48"/>
        <v>Có</v>
      </c>
      <c r="AI1088" s="29" t="str">
        <f ca="1">IF((R1088)&gt;=6,"Có","Không")</f>
        <v>Có</v>
      </c>
      <c r="AJ1088" s="29" t="str">
        <f>IF(OR(J1088&gt;=140,K1088&gt;=90),"Có","Không")</f>
        <v>Có</v>
      </c>
      <c r="AK1088" s="5" t="s">
        <v>51</v>
      </c>
      <c r="AL1088" s="35">
        <v>46173</v>
      </c>
      <c r="AM1088" s="29" t="str">
        <f>"Tháng "&amp;MONTH(AL1088)</f>
        <v>Tháng 5</v>
      </c>
      <c r="AN1088" s="69" t="s">
        <v>1376</v>
      </c>
    </row>
    <row r="1089" spans="1:40" x14ac:dyDescent="0.25">
      <c r="A1089" s="52" t="s">
        <v>653</v>
      </c>
      <c r="B1089" s="20" t="s">
        <v>23</v>
      </c>
      <c r="C1089" s="35">
        <v>23012</v>
      </c>
      <c r="D1089" s="29">
        <f ca="1">DATEDIF(C1089,TODAY(),"Y")</f>
        <v>63</v>
      </c>
      <c r="E1089" s="5" t="s">
        <v>26</v>
      </c>
      <c r="F1089" s="30">
        <v>158</v>
      </c>
      <c r="G1089" s="30">
        <v>58</v>
      </c>
      <c r="H1089" s="31">
        <f>G1089/((F1089/100)*(F1089/100))</f>
        <v>23.233456176894723</v>
      </c>
      <c r="I1089" s="5">
        <v>72</v>
      </c>
      <c r="J1089" s="30">
        <v>130</v>
      </c>
      <c r="K1089" s="30">
        <v>80</v>
      </c>
      <c r="L1089" s="29">
        <f>IF(B1089="Nữ",0,2)</f>
        <v>0</v>
      </c>
      <c r="M1089" s="29">
        <f ca="1">IF(D1089&lt;45,0,IF(D1089&lt;=49,1,2))</f>
        <v>2</v>
      </c>
      <c r="N1089" s="29">
        <f>IF(E1089="Có",4,0)</f>
        <v>0</v>
      </c>
      <c r="O1089" s="29">
        <f>IF(H1089&lt;23,0,IF(H1089&lt;27.5,3,5))</f>
        <v>3</v>
      </c>
      <c r="P1089" s="29">
        <f>IF(OR(AND(B1089="Nam",I1089&gt;=90),AND(B1089="Nữ",I1089&gt;=80)),2,0)</f>
        <v>0</v>
      </c>
      <c r="Q1089" s="29">
        <f>IF(OR(J1089&gt;=140,K1089&gt;=90),2,0)</f>
        <v>0</v>
      </c>
      <c r="R1089" s="29">
        <f ca="1">SUM(L1089:Q1089)</f>
        <v>5</v>
      </c>
      <c r="S1089" s="33"/>
      <c r="T1089" s="33"/>
      <c r="U1089" s="33"/>
      <c r="V1089" s="33"/>
      <c r="W1089" s="33"/>
      <c r="X1089" s="33"/>
      <c r="Y1089" s="33"/>
      <c r="Z1089" s="33"/>
      <c r="AA1089" s="33"/>
      <c r="AB1089" s="33"/>
      <c r="AC1089" s="33"/>
      <c r="AD1089" s="5" t="s">
        <v>1393</v>
      </c>
      <c r="AE1089" s="33"/>
      <c r="AF1089" s="59" t="str">
        <f t="shared" si="49"/>
        <v>Không</v>
      </c>
      <c r="AG1089" s="59" t="str">
        <f t="shared" si="50"/>
        <v>Không</v>
      </c>
      <c r="AH1089" s="29" t="str">
        <f t="shared" ca="1" si="48"/>
        <v>Không</v>
      </c>
      <c r="AI1089" s="29" t="str">
        <f ca="1">IF((R1089)&gt;=6,"Có","Không")</f>
        <v>Không</v>
      </c>
      <c r="AJ1089" s="29" t="str">
        <f>IF(OR(J1089&gt;=140,K1089&gt;=90),"Có","Không")</f>
        <v>Không</v>
      </c>
      <c r="AK1089" s="5" t="s">
        <v>51</v>
      </c>
      <c r="AL1089" s="35">
        <v>46173</v>
      </c>
      <c r="AM1089" s="29" t="str">
        <f>"Tháng "&amp;MONTH(AL1089)</f>
        <v>Tháng 5</v>
      </c>
      <c r="AN1089" s="69" t="s">
        <v>1376</v>
      </c>
    </row>
    <row r="1090" spans="1:40" x14ac:dyDescent="0.25">
      <c r="A1090" s="52" t="s">
        <v>1260</v>
      </c>
      <c r="B1090" s="20" t="s">
        <v>23</v>
      </c>
      <c r="C1090" s="35">
        <v>20090</v>
      </c>
      <c r="D1090" s="29">
        <f ca="1">DATEDIF(C1090,TODAY(),"Y")</f>
        <v>71</v>
      </c>
      <c r="E1090" s="5" t="s">
        <v>26</v>
      </c>
      <c r="F1090" s="30">
        <v>169</v>
      </c>
      <c r="G1090" s="30">
        <v>68</v>
      </c>
      <c r="H1090" s="31">
        <f>G1090/((F1090/100)*(F1090/100))</f>
        <v>23.808690171912751</v>
      </c>
      <c r="I1090" s="5">
        <v>76</v>
      </c>
      <c r="J1090" s="30">
        <v>130</v>
      </c>
      <c r="K1090" s="30">
        <v>80</v>
      </c>
      <c r="L1090" s="29">
        <f>IF(B1090="Nữ",0,2)</f>
        <v>0</v>
      </c>
      <c r="M1090" s="29">
        <f ca="1">IF(D1090&lt;45,0,IF(D1090&lt;=49,1,2))</f>
        <v>2</v>
      </c>
      <c r="N1090" s="29">
        <f>IF(E1090="Có",4,0)</f>
        <v>0</v>
      </c>
      <c r="O1090" s="29">
        <f>IF(H1090&lt;23,0,IF(H1090&lt;27.5,3,5))</f>
        <v>3</v>
      </c>
      <c r="P1090" s="29">
        <f>IF(OR(AND(B1090="Nam",I1090&gt;=90),AND(B1090="Nữ",I1090&gt;=80)),2,0)</f>
        <v>0</v>
      </c>
      <c r="Q1090" s="29">
        <f>IF(OR(J1090&gt;=140,K1090&gt;=90),2,0)</f>
        <v>0</v>
      </c>
      <c r="R1090" s="29">
        <f ca="1">SUM(L1090:Q1090)</f>
        <v>5</v>
      </c>
      <c r="S1090" s="33"/>
      <c r="T1090" s="33"/>
      <c r="U1090" s="33"/>
      <c r="V1090" s="33"/>
      <c r="W1090" s="33"/>
      <c r="X1090" s="33"/>
      <c r="Y1090" s="33"/>
      <c r="Z1090" s="33"/>
      <c r="AA1090" s="33"/>
      <c r="AB1090" s="33"/>
      <c r="AC1090" s="33"/>
      <c r="AD1090" s="5" t="s">
        <v>1393</v>
      </c>
      <c r="AE1090" s="33"/>
      <c r="AF1090" s="59" t="str">
        <f t="shared" si="49"/>
        <v>Không</v>
      </c>
      <c r="AG1090" s="59" t="str">
        <f t="shared" si="50"/>
        <v>Không</v>
      </c>
      <c r="AH1090" s="29" t="str">
        <f t="shared" ca="1" si="48"/>
        <v>Không</v>
      </c>
      <c r="AI1090" s="29" t="str">
        <f ca="1">IF((R1090)&gt;=6,"Có","Không")</f>
        <v>Không</v>
      </c>
      <c r="AJ1090" s="29" t="str">
        <f>IF(OR(J1090&gt;=140,K1090&gt;=90),"Có","Không")</f>
        <v>Không</v>
      </c>
      <c r="AK1090" s="5" t="s">
        <v>51</v>
      </c>
      <c r="AL1090" s="35">
        <v>46173</v>
      </c>
      <c r="AM1090" s="29" t="str">
        <f>"Tháng "&amp;MONTH(AL1090)</f>
        <v>Tháng 5</v>
      </c>
      <c r="AN1090" s="69" t="s">
        <v>1376</v>
      </c>
    </row>
    <row r="1091" spans="1:40" x14ac:dyDescent="0.25">
      <c r="A1091" s="52" t="s">
        <v>1261</v>
      </c>
      <c r="B1091" s="20" t="s">
        <v>23</v>
      </c>
      <c r="C1091" s="35">
        <v>27395</v>
      </c>
      <c r="D1091" s="29">
        <f ca="1">DATEDIF(C1091,TODAY(),"Y")</f>
        <v>51</v>
      </c>
      <c r="E1091" s="5" t="s">
        <v>26</v>
      </c>
      <c r="F1091" s="30">
        <v>160</v>
      </c>
      <c r="G1091" s="30">
        <v>55</v>
      </c>
      <c r="H1091" s="31">
        <f>G1091/((F1091/100)*(F1091/100))</f>
        <v>21.484374999999996</v>
      </c>
      <c r="I1091" s="5">
        <v>94</v>
      </c>
      <c r="J1091" s="30">
        <v>120</v>
      </c>
      <c r="K1091" s="30">
        <v>70</v>
      </c>
      <c r="L1091" s="29">
        <f>IF(B1091="Nữ",0,2)</f>
        <v>0</v>
      </c>
      <c r="M1091" s="29">
        <f ca="1">IF(D1091&lt;45,0,IF(D1091&lt;=49,1,2))</f>
        <v>2</v>
      </c>
      <c r="N1091" s="29">
        <f>IF(E1091="Có",4,0)</f>
        <v>0</v>
      </c>
      <c r="O1091" s="29">
        <f>IF(H1091&lt;23,0,IF(H1091&lt;27.5,3,5))</f>
        <v>0</v>
      </c>
      <c r="P1091" s="29">
        <f>IF(OR(AND(B1091="Nam",I1091&gt;=90),AND(B1091="Nữ",I1091&gt;=80)),2,0)</f>
        <v>2</v>
      </c>
      <c r="Q1091" s="29">
        <f>IF(OR(J1091&gt;=140,K1091&gt;=90),2,0)</f>
        <v>0</v>
      </c>
      <c r="R1091" s="29">
        <f ca="1">SUM(L1091:Q1091)</f>
        <v>4</v>
      </c>
      <c r="S1091" s="33"/>
      <c r="T1091" s="33"/>
      <c r="U1091" s="33"/>
      <c r="V1091" s="33"/>
      <c r="W1091" s="33"/>
      <c r="X1091" s="33"/>
      <c r="Y1091" s="33"/>
      <c r="Z1091" s="33"/>
      <c r="AA1091" s="33"/>
      <c r="AB1091" s="33"/>
      <c r="AC1091" s="33"/>
      <c r="AD1091" s="5" t="s">
        <v>1393</v>
      </c>
      <c r="AE1091" s="33"/>
      <c r="AF1091" s="59" t="str">
        <f t="shared" si="49"/>
        <v>Không</v>
      </c>
      <c r="AG1091" s="59" t="str">
        <f t="shared" si="50"/>
        <v>Không</v>
      </c>
      <c r="AH1091" s="29" t="str">
        <f t="shared" ca="1" si="48"/>
        <v>Không</v>
      </c>
      <c r="AI1091" s="29" t="str">
        <f ca="1">IF((R1091)&gt;=6,"Có","Không")</f>
        <v>Không</v>
      </c>
      <c r="AJ1091" s="29" t="str">
        <f>IF(OR(J1091&gt;=140,K1091&gt;=90),"Có","Không")</f>
        <v>Không</v>
      </c>
      <c r="AK1091" s="5" t="s">
        <v>51</v>
      </c>
      <c r="AL1091" s="35">
        <v>46173</v>
      </c>
      <c r="AM1091" s="29" t="str">
        <f>"Tháng "&amp;MONTH(AL1091)</f>
        <v>Tháng 5</v>
      </c>
      <c r="AN1091" s="69" t="s">
        <v>1376</v>
      </c>
    </row>
    <row r="1092" spans="1:40" x14ac:dyDescent="0.25">
      <c r="A1092" s="52" t="s">
        <v>1262</v>
      </c>
      <c r="B1092" s="21" t="s">
        <v>30</v>
      </c>
      <c r="C1092" s="35">
        <v>27760</v>
      </c>
      <c r="D1092" s="29">
        <f ca="1">DATEDIF(C1092,TODAY(),"Y")</f>
        <v>50</v>
      </c>
      <c r="E1092" s="5" t="s">
        <v>26</v>
      </c>
      <c r="F1092" s="30">
        <v>158</v>
      </c>
      <c r="G1092" s="30">
        <v>58</v>
      </c>
      <c r="H1092" s="31">
        <f>G1092/((F1092/100)*(F1092/100))</f>
        <v>23.233456176894723</v>
      </c>
      <c r="I1092" s="5">
        <v>66</v>
      </c>
      <c r="J1092" s="30">
        <v>130</v>
      </c>
      <c r="K1092" s="30">
        <v>80</v>
      </c>
      <c r="L1092" s="29">
        <f>IF(B1092="Nữ",0,2)</f>
        <v>2</v>
      </c>
      <c r="M1092" s="29">
        <f ca="1">IF(D1092&lt;45,0,IF(D1092&lt;=49,1,2))</f>
        <v>2</v>
      </c>
      <c r="N1092" s="29">
        <f>IF(E1092="Có",4,0)</f>
        <v>0</v>
      </c>
      <c r="O1092" s="29">
        <f>IF(H1092&lt;23,0,IF(H1092&lt;27.5,3,5))</f>
        <v>3</v>
      </c>
      <c r="P1092" s="29">
        <f>IF(OR(AND(B1092="Nam",I1092&gt;=90),AND(B1092="Nữ",I1092&gt;=80)),2,0)</f>
        <v>0</v>
      </c>
      <c r="Q1092" s="29">
        <f>IF(OR(J1092&gt;=140,K1092&gt;=90),2,0)</f>
        <v>0</v>
      </c>
      <c r="R1092" s="29">
        <f ca="1">SUM(L1092:Q1092)</f>
        <v>7</v>
      </c>
      <c r="S1092" s="33"/>
      <c r="T1092" s="33"/>
      <c r="U1092" s="33"/>
      <c r="V1092" s="33"/>
      <c r="W1092" s="33"/>
      <c r="X1092" s="33"/>
      <c r="Y1092" s="33"/>
      <c r="Z1092" s="33"/>
      <c r="AA1092" s="33"/>
      <c r="AB1092" s="33"/>
      <c r="AC1092" s="33"/>
      <c r="AD1092" s="5" t="s">
        <v>1393</v>
      </c>
      <c r="AE1092" s="33"/>
      <c r="AF1092" s="59" t="str">
        <f t="shared" si="49"/>
        <v>Không</v>
      </c>
      <c r="AG1092" s="59" t="str">
        <f t="shared" si="50"/>
        <v>Không</v>
      </c>
      <c r="AH1092" s="29" t="str">
        <f t="shared" ref="AH1092:AH1155" ca="1" si="51">IF((R1092)&gt;=6,"Có","Không")</f>
        <v>Có</v>
      </c>
      <c r="AI1092" s="29" t="str">
        <f ca="1">IF((R1092)&gt;=6,"Có","Không")</f>
        <v>Có</v>
      </c>
      <c r="AJ1092" s="29" t="str">
        <f>IF(OR(J1092&gt;=140,K1092&gt;=90),"Có","Không")</f>
        <v>Không</v>
      </c>
      <c r="AK1092" s="5" t="s">
        <v>51</v>
      </c>
      <c r="AL1092" s="35">
        <v>46173</v>
      </c>
      <c r="AM1092" s="29" t="str">
        <f>"Tháng "&amp;MONTH(AL1092)</f>
        <v>Tháng 5</v>
      </c>
      <c r="AN1092" s="69" t="s">
        <v>1376</v>
      </c>
    </row>
    <row r="1093" spans="1:40" x14ac:dyDescent="0.25">
      <c r="A1093" s="52" t="s">
        <v>1263</v>
      </c>
      <c r="B1093" s="21" t="s">
        <v>30</v>
      </c>
      <c r="C1093" s="35">
        <v>22647</v>
      </c>
      <c r="D1093" s="29">
        <f ca="1">DATEDIF(C1093,TODAY(),"Y")</f>
        <v>64</v>
      </c>
      <c r="E1093" s="5" t="s">
        <v>26</v>
      </c>
      <c r="F1093" s="30">
        <v>158</v>
      </c>
      <c r="G1093" s="30">
        <v>56</v>
      </c>
      <c r="H1093" s="31">
        <f>G1093/((F1093/100)*(F1093/100))</f>
        <v>22.432302515622492</v>
      </c>
      <c r="I1093" s="5">
        <v>94</v>
      </c>
      <c r="J1093" s="30">
        <v>140</v>
      </c>
      <c r="K1093" s="30">
        <v>80</v>
      </c>
      <c r="L1093" s="29">
        <f>IF(B1093="Nữ",0,2)</f>
        <v>2</v>
      </c>
      <c r="M1093" s="29">
        <f ca="1">IF(D1093&lt;45,0,IF(D1093&lt;=49,1,2))</f>
        <v>2</v>
      </c>
      <c r="N1093" s="29">
        <f>IF(E1093="Có",4,0)</f>
        <v>0</v>
      </c>
      <c r="O1093" s="29">
        <f>IF(H1093&lt;23,0,IF(H1093&lt;27.5,3,5))</f>
        <v>0</v>
      </c>
      <c r="P1093" s="29">
        <f>IF(OR(AND(B1093="Nam",I1093&gt;=90),AND(B1093="Nữ",I1093&gt;=80)),2,0)</f>
        <v>2</v>
      </c>
      <c r="Q1093" s="29">
        <f>IF(OR(J1093&gt;=140,K1093&gt;=90),2,0)</f>
        <v>2</v>
      </c>
      <c r="R1093" s="29">
        <f ca="1">SUM(L1093:Q1093)</f>
        <v>8</v>
      </c>
      <c r="S1093" s="33"/>
      <c r="T1093" s="33"/>
      <c r="U1093" s="33"/>
      <c r="V1093" s="33"/>
      <c r="W1093" s="33"/>
      <c r="X1093" s="33"/>
      <c r="Y1093" s="33"/>
      <c r="Z1093" s="33"/>
      <c r="AA1093" s="33"/>
      <c r="AB1093" s="33"/>
      <c r="AC1093" s="33"/>
      <c r="AD1093" s="5" t="s">
        <v>1393</v>
      </c>
      <c r="AE1093" s="33"/>
      <c r="AF1093" s="59" t="str">
        <f t="shared" ref="AF1093:AF1156" si="52">IF(COUNTIF(S1093:Z1093,"X")&gt;=2,"Có","Không")</f>
        <v>Không</v>
      </c>
      <c r="AG1093" s="59" t="str">
        <f t="shared" ref="AG1093:AG1156" si="53">IF(COUNTIF(AA1093:AE1093,"X")&gt;=3,"Có","Không")</f>
        <v>Không</v>
      </c>
      <c r="AH1093" s="29" t="str">
        <f t="shared" ca="1" si="51"/>
        <v>Có</v>
      </c>
      <c r="AI1093" s="29" t="str">
        <f ca="1">IF((R1093)&gt;=6,"Có","Không")</f>
        <v>Có</v>
      </c>
      <c r="AJ1093" s="29" t="str">
        <f>IF(OR(J1093&gt;=140,K1093&gt;=90),"Có","Không")</f>
        <v>Có</v>
      </c>
      <c r="AK1093" s="5" t="s">
        <v>51</v>
      </c>
      <c r="AL1093" s="35">
        <v>46173</v>
      </c>
      <c r="AM1093" s="29" t="str">
        <f>"Tháng "&amp;MONTH(AL1093)</f>
        <v>Tháng 5</v>
      </c>
      <c r="AN1093" s="69" t="s">
        <v>1376</v>
      </c>
    </row>
    <row r="1094" spans="1:40" x14ac:dyDescent="0.25">
      <c r="A1094" s="52" t="s">
        <v>1265</v>
      </c>
      <c r="B1094" s="21" t="s">
        <v>30</v>
      </c>
      <c r="C1094" s="35">
        <v>27760</v>
      </c>
      <c r="D1094" s="29">
        <f ca="1">DATEDIF(C1094,TODAY(),"Y")</f>
        <v>50</v>
      </c>
      <c r="E1094" s="5" t="s">
        <v>26</v>
      </c>
      <c r="F1094" s="30">
        <v>171</v>
      </c>
      <c r="G1094" s="30">
        <v>75</v>
      </c>
      <c r="H1094" s="31">
        <f>G1094/((F1094/100)*(F1094/100))</f>
        <v>25.64891761567662</v>
      </c>
      <c r="I1094" s="5">
        <v>90</v>
      </c>
      <c r="J1094" s="30">
        <v>130</v>
      </c>
      <c r="K1094" s="30">
        <v>80</v>
      </c>
      <c r="L1094" s="29">
        <f>IF(B1094="Nữ",0,2)</f>
        <v>2</v>
      </c>
      <c r="M1094" s="29">
        <f ca="1">IF(D1094&lt;45,0,IF(D1094&lt;=49,1,2))</f>
        <v>2</v>
      </c>
      <c r="N1094" s="29">
        <f>IF(E1094="Có",4,0)</f>
        <v>0</v>
      </c>
      <c r="O1094" s="29">
        <f>IF(H1094&lt;23,0,IF(H1094&lt;27.5,3,5))</f>
        <v>3</v>
      </c>
      <c r="P1094" s="29">
        <f>IF(OR(AND(B1094="Nam",I1094&gt;=90),AND(B1094="Nữ",I1094&gt;=80)),2,0)</f>
        <v>2</v>
      </c>
      <c r="Q1094" s="29">
        <f>IF(OR(J1094&gt;=140,K1094&gt;=90),2,0)</f>
        <v>0</v>
      </c>
      <c r="R1094" s="29">
        <f ca="1">SUM(L1094:Q1094)</f>
        <v>9</v>
      </c>
      <c r="S1094" s="33"/>
      <c r="T1094" s="33"/>
      <c r="U1094" s="33"/>
      <c r="V1094" s="33"/>
      <c r="W1094" s="33"/>
      <c r="X1094" s="33"/>
      <c r="Y1094" s="33"/>
      <c r="Z1094" s="33"/>
      <c r="AA1094" s="33"/>
      <c r="AB1094" s="33"/>
      <c r="AC1094" s="33"/>
      <c r="AD1094" s="5" t="s">
        <v>1393</v>
      </c>
      <c r="AE1094" s="33"/>
      <c r="AF1094" s="59" t="str">
        <f t="shared" si="52"/>
        <v>Không</v>
      </c>
      <c r="AG1094" s="59" t="str">
        <f t="shared" si="53"/>
        <v>Không</v>
      </c>
      <c r="AH1094" s="29" t="str">
        <f t="shared" ca="1" si="51"/>
        <v>Có</v>
      </c>
      <c r="AI1094" s="29" t="str">
        <f ca="1">IF((R1094)&gt;=6,"Có","Không")</f>
        <v>Có</v>
      </c>
      <c r="AJ1094" s="29" t="str">
        <f>IF(OR(J1094&gt;=140,K1094&gt;=90),"Có","Không")</f>
        <v>Không</v>
      </c>
      <c r="AK1094" s="5" t="s">
        <v>51</v>
      </c>
      <c r="AL1094" s="35">
        <v>46173</v>
      </c>
      <c r="AM1094" s="29" t="str">
        <f>"Tháng "&amp;MONTH(AL1094)</f>
        <v>Tháng 5</v>
      </c>
      <c r="AN1094" s="69" t="s">
        <v>1376</v>
      </c>
    </row>
    <row r="1095" spans="1:40" x14ac:dyDescent="0.25">
      <c r="A1095" s="52" t="s">
        <v>1266</v>
      </c>
      <c r="B1095" s="21" t="s">
        <v>30</v>
      </c>
      <c r="C1095" s="35">
        <v>24838</v>
      </c>
      <c r="D1095" s="29">
        <f ca="1">DATEDIF(C1095,TODAY(),"Y")</f>
        <v>58</v>
      </c>
      <c r="E1095" s="5" t="s">
        <v>26</v>
      </c>
      <c r="F1095" s="30">
        <v>158</v>
      </c>
      <c r="G1095" s="30">
        <v>58</v>
      </c>
      <c r="H1095" s="31">
        <f>G1095/((F1095/100)*(F1095/100))</f>
        <v>23.233456176894723</v>
      </c>
      <c r="I1095" s="5">
        <v>76</v>
      </c>
      <c r="J1095" s="30">
        <v>140</v>
      </c>
      <c r="K1095" s="30">
        <v>80</v>
      </c>
      <c r="L1095" s="29">
        <f>IF(B1095="Nữ",0,2)</f>
        <v>2</v>
      </c>
      <c r="M1095" s="29">
        <f ca="1">IF(D1095&lt;45,0,IF(D1095&lt;=49,1,2))</f>
        <v>2</v>
      </c>
      <c r="N1095" s="29">
        <f>IF(E1095="Có",4,0)</f>
        <v>0</v>
      </c>
      <c r="O1095" s="29">
        <f>IF(H1095&lt;23,0,IF(H1095&lt;27.5,3,5))</f>
        <v>3</v>
      </c>
      <c r="P1095" s="29">
        <f>IF(OR(AND(B1095="Nam",I1095&gt;=90),AND(B1095="Nữ",I1095&gt;=80)),2,0)</f>
        <v>0</v>
      </c>
      <c r="Q1095" s="29">
        <f>IF(OR(J1095&gt;=140,K1095&gt;=90),2,0)</f>
        <v>2</v>
      </c>
      <c r="R1095" s="29">
        <f ca="1">SUM(L1095:Q1095)</f>
        <v>9</v>
      </c>
      <c r="S1095" s="33"/>
      <c r="T1095" s="33"/>
      <c r="U1095" s="33"/>
      <c r="V1095" s="33"/>
      <c r="W1095" s="33"/>
      <c r="X1095" s="33"/>
      <c r="Y1095" s="33"/>
      <c r="Z1095" s="33"/>
      <c r="AA1095" s="33"/>
      <c r="AB1095" s="33"/>
      <c r="AC1095" s="33"/>
      <c r="AD1095" s="5" t="s">
        <v>1393</v>
      </c>
      <c r="AE1095" s="33"/>
      <c r="AF1095" s="59" t="str">
        <f t="shared" si="52"/>
        <v>Không</v>
      </c>
      <c r="AG1095" s="59" t="str">
        <f t="shared" si="53"/>
        <v>Không</v>
      </c>
      <c r="AH1095" s="29" t="str">
        <f t="shared" ca="1" si="51"/>
        <v>Có</v>
      </c>
      <c r="AI1095" s="29" t="str">
        <f ca="1">IF((R1095)&gt;=6,"Có","Không")</f>
        <v>Có</v>
      </c>
      <c r="AJ1095" s="29" t="str">
        <f>IF(OR(J1095&gt;=140,K1095&gt;=90),"Có","Không")</f>
        <v>Có</v>
      </c>
      <c r="AK1095" s="5" t="s">
        <v>51</v>
      </c>
      <c r="AL1095" s="35">
        <v>46173</v>
      </c>
      <c r="AM1095" s="29" t="str">
        <f>"Tháng "&amp;MONTH(AL1095)</f>
        <v>Tháng 5</v>
      </c>
      <c r="AN1095" s="69" t="s">
        <v>1376</v>
      </c>
    </row>
    <row r="1096" spans="1:40" x14ac:dyDescent="0.25">
      <c r="A1096" s="52" t="s">
        <v>1267</v>
      </c>
      <c r="B1096" s="20" t="s">
        <v>23</v>
      </c>
      <c r="C1096" s="35">
        <v>21551</v>
      </c>
      <c r="D1096" s="29">
        <f ca="1">DATEDIF(C1096,TODAY(),"Y")</f>
        <v>67</v>
      </c>
      <c r="E1096" s="5" t="s">
        <v>25</v>
      </c>
      <c r="F1096" s="30">
        <v>165</v>
      </c>
      <c r="G1096" s="30">
        <v>65</v>
      </c>
      <c r="H1096" s="31">
        <f>G1096/((F1096/100)*(F1096/100))</f>
        <v>23.875114784205696</v>
      </c>
      <c r="I1096" s="5">
        <v>79</v>
      </c>
      <c r="J1096" s="30">
        <v>140</v>
      </c>
      <c r="K1096" s="30">
        <v>90</v>
      </c>
      <c r="L1096" s="29">
        <f>IF(B1096="Nữ",0,2)</f>
        <v>0</v>
      </c>
      <c r="M1096" s="29">
        <f ca="1">IF(D1096&lt;45,0,IF(D1096&lt;=49,1,2))</f>
        <v>2</v>
      </c>
      <c r="N1096" s="29">
        <f>IF(E1096="Có",4,0)</f>
        <v>4</v>
      </c>
      <c r="O1096" s="29">
        <f>IF(H1096&lt;23,0,IF(H1096&lt;27.5,3,5))</f>
        <v>3</v>
      </c>
      <c r="P1096" s="29">
        <f>IF(OR(AND(B1096="Nam",I1096&gt;=90),AND(B1096="Nữ",I1096&gt;=80)),2,0)</f>
        <v>0</v>
      </c>
      <c r="Q1096" s="29">
        <f>IF(OR(J1096&gt;=140,K1096&gt;=90),2,0)</f>
        <v>2</v>
      </c>
      <c r="R1096" s="29">
        <f ca="1">SUM(L1096:Q1096)</f>
        <v>11</v>
      </c>
      <c r="S1096" s="33"/>
      <c r="T1096" s="33"/>
      <c r="U1096" s="33"/>
      <c r="V1096" s="33"/>
      <c r="W1096" s="33"/>
      <c r="X1096" s="33"/>
      <c r="Y1096" s="33"/>
      <c r="Z1096" s="33"/>
      <c r="AA1096" s="33"/>
      <c r="AB1096" s="33"/>
      <c r="AC1096" s="33"/>
      <c r="AD1096" s="5" t="s">
        <v>1393</v>
      </c>
      <c r="AE1096" s="33"/>
      <c r="AF1096" s="59" t="str">
        <f t="shared" si="52"/>
        <v>Không</v>
      </c>
      <c r="AG1096" s="59" t="str">
        <f t="shared" si="53"/>
        <v>Không</v>
      </c>
      <c r="AH1096" s="29" t="str">
        <f t="shared" ca="1" si="51"/>
        <v>Có</v>
      </c>
      <c r="AI1096" s="29" t="str">
        <f ca="1">IF((R1096)&gt;=6,"Có","Không")</f>
        <v>Có</v>
      </c>
      <c r="AJ1096" s="29" t="str">
        <f>IF(OR(J1096&gt;=140,K1096&gt;=90),"Có","Không")</f>
        <v>Có</v>
      </c>
      <c r="AK1096" s="5" t="s">
        <v>51</v>
      </c>
      <c r="AL1096" s="35">
        <v>46173</v>
      </c>
      <c r="AM1096" s="29" t="str">
        <f>"Tháng "&amp;MONTH(AL1096)</f>
        <v>Tháng 5</v>
      </c>
      <c r="AN1096" s="69" t="s">
        <v>1376</v>
      </c>
    </row>
    <row r="1097" spans="1:40" x14ac:dyDescent="0.25">
      <c r="A1097" s="52" t="s">
        <v>1269</v>
      </c>
      <c r="B1097" s="21" t="s">
        <v>23</v>
      </c>
      <c r="C1097" s="35">
        <v>22647</v>
      </c>
      <c r="D1097" s="29">
        <f ca="1">DATEDIF(C1097,TODAY(),"Y")</f>
        <v>64</v>
      </c>
      <c r="E1097" s="5" t="s">
        <v>26</v>
      </c>
      <c r="F1097" s="30">
        <v>155</v>
      </c>
      <c r="G1097" s="30">
        <v>52</v>
      </c>
      <c r="H1097" s="31">
        <f>G1097/((F1097/100)*(F1097/100))</f>
        <v>21.644120707596251</v>
      </c>
      <c r="I1097" s="5">
        <v>75</v>
      </c>
      <c r="J1097" s="30">
        <v>120</v>
      </c>
      <c r="K1097" s="30">
        <v>80</v>
      </c>
      <c r="L1097" s="29">
        <f>IF(B1097="Nữ",0,2)</f>
        <v>0</v>
      </c>
      <c r="M1097" s="29">
        <f ca="1">IF(D1097&lt;45,0,IF(D1097&lt;=49,1,2))</f>
        <v>2</v>
      </c>
      <c r="N1097" s="29">
        <f>IF(E1097="Có",4,0)</f>
        <v>0</v>
      </c>
      <c r="O1097" s="29">
        <f>IF(H1097&lt;23,0,IF(H1097&lt;27.5,3,5))</f>
        <v>0</v>
      </c>
      <c r="P1097" s="29">
        <f>IF(OR(AND(B1097="Nam",I1097&gt;=90),AND(B1097="Nữ",I1097&gt;=80)),2,0)</f>
        <v>0</v>
      </c>
      <c r="Q1097" s="29">
        <f>IF(OR(J1097&gt;=140,K1097&gt;=90),2,0)</f>
        <v>0</v>
      </c>
      <c r="R1097" s="29">
        <f ca="1">SUM(L1097:Q1097)</f>
        <v>2</v>
      </c>
      <c r="S1097" s="33"/>
      <c r="T1097" s="33"/>
      <c r="U1097" s="33"/>
      <c r="V1097" s="33"/>
      <c r="W1097" s="33"/>
      <c r="X1097" s="33"/>
      <c r="Y1097" s="33"/>
      <c r="Z1097" s="33"/>
      <c r="AA1097" s="33"/>
      <c r="AB1097" s="33"/>
      <c r="AC1097" s="33"/>
      <c r="AD1097" s="5" t="s">
        <v>1393</v>
      </c>
      <c r="AE1097" s="33"/>
      <c r="AF1097" s="59" t="str">
        <f t="shared" si="52"/>
        <v>Không</v>
      </c>
      <c r="AG1097" s="59" t="str">
        <f t="shared" si="53"/>
        <v>Không</v>
      </c>
      <c r="AH1097" s="29" t="str">
        <f t="shared" ca="1" si="51"/>
        <v>Không</v>
      </c>
      <c r="AI1097" s="29" t="str">
        <f ca="1">IF((R1097)&gt;=6,"Có","Không")</f>
        <v>Không</v>
      </c>
      <c r="AJ1097" s="29" t="str">
        <f>IF(OR(J1097&gt;=140,K1097&gt;=90),"Có","Không")</f>
        <v>Không</v>
      </c>
      <c r="AK1097" s="5" t="s">
        <v>51</v>
      </c>
      <c r="AL1097" s="35">
        <v>46173</v>
      </c>
      <c r="AM1097" s="29" t="str">
        <f>"Tháng "&amp;MONTH(AL1097)</f>
        <v>Tháng 5</v>
      </c>
      <c r="AN1097" s="69" t="s">
        <v>1376</v>
      </c>
    </row>
    <row r="1098" spans="1:40" x14ac:dyDescent="0.25">
      <c r="A1098" s="52" t="s">
        <v>1273</v>
      </c>
      <c r="B1098" s="20" t="s">
        <v>30</v>
      </c>
      <c r="C1098" s="35">
        <v>22282</v>
      </c>
      <c r="D1098" s="29">
        <f ca="1">DATEDIF(C1098,TODAY(),"Y")</f>
        <v>65</v>
      </c>
      <c r="E1098" s="5" t="s">
        <v>26</v>
      </c>
      <c r="F1098" s="30">
        <v>170</v>
      </c>
      <c r="G1098" s="30">
        <v>70</v>
      </c>
      <c r="H1098" s="31">
        <f>G1098/((F1098/100)*(F1098/100))</f>
        <v>24.221453287197235</v>
      </c>
      <c r="I1098" s="5">
        <v>73</v>
      </c>
      <c r="J1098" s="30">
        <v>120</v>
      </c>
      <c r="K1098" s="30">
        <v>70</v>
      </c>
      <c r="L1098" s="29">
        <f>IF(B1098="Nữ",0,2)</f>
        <v>2</v>
      </c>
      <c r="M1098" s="29">
        <f ca="1">IF(D1098&lt;45,0,IF(D1098&lt;=49,1,2))</f>
        <v>2</v>
      </c>
      <c r="N1098" s="29">
        <f>IF(E1098="Có",4,0)</f>
        <v>0</v>
      </c>
      <c r="O1098" s="29">
        <f>IF(H1098&lt;23,0,IF(H1098&lt;27.5,3,5))</f>
        <v>3</v>
      </c>
      <c r="P1098" s="29">
        <f>IF(OR(AND(B1098="Nam",I1098&gt;=90),AND(B1098="Nữ",I1098&gt;=80)),2,0)</f>
        <v>0</v>
      </c>
      <c r="Q1098" s="29">
        <f>IF(OR(J1098&gt;=140,K1098&gt;=90),2,0)</f>
        <v>0</v>
      </c>
      <c r="R1098" s="29">
        <f ca="1">SUM(L1098:Q1098)</f>
        <v>7</v>
      </c>
      <c r="S1098" s="33"/>
      <c r="T1098" s="33"/>
      <c r="U1098" s="33"/>
      <c r="V1098" s="33"/>
      <c r="W1098" s="33"/>
      <c r="X1098" s="33"/>
      <c r="Y1098" s="33"/>
      <c r="Z1098" s="33"/>
      <c r="AA1098" s="33"/>
      <c r="AB1098" s="33"/>
      <c r="AC1098" s="33"/>
      <c r="AD1098" s="5" t="s">
        <v>1393</v>
      </c>
      <c r="AE1098" s="33"/>
      <c r="AF1098" s="59" t="str">
        <f t="shared" si="52"/>
        <v>Không</v>
      </c>
      <c r="AG1098" s="59" t="str">
        <f t="shared" si="53"/>
        <v>Không</v>
      </c>
      <c r="AH1098" s="29" t="str">
        <f t="shared" ca="1" si="51"/>
        <v>Có</v>
      </c>
      <c r="AI1098" s="29" t="str">
        <f ca="1">IF((R1098)&gt;=6,"Có","Không")</f>
        <v>Có</v>
      </c>
      <c r="AJ1098" s="29" t="str">
        <f>IF(OR(J1098&gt;=140,K1098&gt;=90),"Có","Không")</f>
        <v>Không</v>
      </c>
      <c r="AK1098" s="5" t="s">
        <v>51</v>
      </c>
      <c r="AL1098" s="35">
        <v>46173</v>
      </c>
      <c r="AM1098" s="29" t="str">
        <f>"Tháng "&amp;MONTH(AL1098)</f>
        <v>Tháng 5</v>
      </c>
      <c r="AN1098" s="69" t="s">
        <v>1376</v>
      </c>
    </row>
    <row r="1099" spans="1:40" x14ac:dyDescent="0.25">
      <c r="A1099" s="52" t="s">
        <v>1276</v>
      </c>
      <c r="B1099" s="20" t="s">
        <v>30</v>
      </c>
      <c r="C1099" s="35">
        <v>18264</v>
      </c>
      <c r="D1099" s="29">
        <f ca="1">DATEDIF(C1099,TODAY(),"Y")</f>
        <v>76</v>
      </c>
      <c r="E1099" s="5" t="s">
        <v>26</v>
      </c>
      <c r="F1099" s="30">
        <v>158</v>
      </c>
      <c r="G1099" s="30">
        <v>58</v>
      </c>
      <c r="H1099" s="31">
        <f>G1099/((F1099/100)*(F1099/100))</f>
        <v>23.233456176894723</v>
      </c>
      <c r="I1099" s="5">
        <v>96</v>
      </c>
      <c r="J1099" s="30">
        <v>120</v>
      </c>
      <c r="K1099" s="30">
        <v>80</v>
      </c>
      <c r="L1099" s="29">
        <f>IF(B1099="Nữ",0,2)</f>
        <v>2</v>
      </c>
      <c r="M1099" s="29">
        <f ca="1">IF(D1099&lt;45,0,IF(D1099&lt;=49,1,2))</f>
        <v>2</v>
      </c>
      <c r="N1099" s="29">
        <f>IF(E1099="Có",4,0)</f>
        <v>0</v>
      </c>
      <c r="O1099" s="29">
        <f>IF(H1099&lt;23,0,IF(H1099&lt;27.5,3,5))</f>
        <v>3</v>
      </c>
      <c r="P1099" s="29">
        <f>IF(OR(AND(B1099="Nam",I1099&gt;=90),AND(B1099="Nữ",I1099&gt;=80)),2,0)</f>
        <v>2</v>
      </c>
      <c r="Q1099" s="29">
        <f>IF(OR(J1099&gt;=140,K1099&gt;=90),2,0)</f>
        <v>0</v>
      </c>
      <c r="R1099" s="29">
        <f ca="1">SUM(L1099:Q1099)</f>
        <v>9</v>
      </c>
      <c r="S1099" s="33"/>
      <c r="T1099" s="33"/>
      <c r="U1099" s="33"/>
      <c r="V1099" s="33"/>
      <c r="W1099" s="33"/>
      <c r="X1099" s="33"/>
      <c r="Y1099" s="33"/>
      <c r="Z1099" s="33"/>
      <c r="AA1099" s="33"/>
      <c r="AB1099" s="33"/>
      <c r="AC1099" s="33"/>
      <c r="AD1099" s="5" t="s">
        <v>1393</v>
      </c>
      <c r="AE1099" s="33"/>
      <c r="AF1099" s="59" t="str">
        <f t="shared" si="52"/>
        <v>Không</v>
      </c>
      <c r="AG1099" s="59" t="str">
        <f t="shared" si="53"/>
        <v>Không</v>
      </c>
      <c r="AH1099" s="29" t="str">
        <f t="shared" ca="1" si="51"/>
        <v>Có</v>
      </c>
      <c r="AI1099" s="29" t="str">
        <f ca="1">IF((R1099)&gt;=6,"Có","Không")</f>
        <v>Có</v>
      </c>
      <c r="AJ1099" s="29" t="str">
        <f>IF(OR(J1099&gt;=140,K1099&gt;=90),"Có","Không")</f>
        <v>Không</v>
      </c>
      <c r="AK1099" s="5" t="s">
        <v>51</v>
      </c>
      <c r="AL1099" s="35">
        <v>46173</v>
      </c>
      <c r="AM1099" s="29" t="str">
        <f>"Tháng "&amp;MONTH(AL1099)</f>
        <v>Tháng 5</v>
      </c>
      <c r="AN1099" s="69" t="s">
        <v>1376</v>
      </c>
    </row>
    <row r="1100" spans="1:40" x14ac:dyDescent="0.25">
      <c r="A1100" s="52" t="s">
        <v>1277</v>
      </c>
      <c r="B1100" s="20" t="s">
        <v>30</v>
      </c>
      <c r="C1100" s="35">
        <v>27030</v>
      </c>
      <c r="D1100" s="29">
        <f ca="1">DATEDIF(C1100,TODAY(),"Y")</f>
        <v>52</v>
      </c>
      <c r="E1100" s="5" t="s">
        <v>26</v>
      </c>
      <c r="F1100" s="30">
        <v>158</v>
      </c>
      <c r="G1100" s="30">
        <v>58</v>
      </c>
      <c r="H1100" s="31">
        <f>G1100/((F1100/100)*(F1100/100))</f>
        <v>23.233456176894723</v>
      </c>
      <c r="I1100" s="5">
        <v>76</v>
      </c>
      <c r="J1100" s="30">
        <v>120</v>
      </c>
      <c r="K1100" s="30">
        <v>80</v>
      </c>
      <c r="L1100" s="29">
        <f>IF(B1100="Nữ",0,2)</f>
        <v>2</v>
      </c>
      <c r="M1100" s="29">
        <f ca="1">IF(D1100&lt;45,0,IF(D1100&lt;=49,1,2))</f>
        <v>2</v>
      </c>
      <c r="N1100" s="29">
        <f>IF(E1100="Có",4,0)</f>
        <v>0</v>
      </c>
      <c r="O1100" s="29">
        <f>IF(H1100&lt;23,0,IF(H1100&lt;27.5,3,5))</f>
        <v>3</v>
      </c>
      <c r="P1100" s="29">
        <f>IF(OR(AND(B1100="Nam",I1100&gt;=90),AND(B1100="Nữ",I1100&gt;=80)),2,0)</f>
        <v>0</v>
      </c>
      <c r="Q1100" s="29">
        <f>IF(OR(J1100&gt;=140,K1100&gt;=90),2,0)</f>
        <v>0</v>
      </c>
      <c r="R1100" s="29">
        <f ca="1">SUM(L1100:Q1100)</f>
        <v>7</v>
      </c>
      <c r="S1100" s="33"/>
      <c r="T1100" s="33"/>
      <c r="U1100" s="33"/>
      <c r="V1100" s="33"/>
      <c r="W1100" s="33"/>
      <c r="X1100" s="33"/>
      <c r="Y1100" s="33"/>
      <c r="Z1100" s="33"/>
      <c r="AA1100" s="33"/>
      <c r="AB1100" s="33"/>
      <c r="AC1100" s="33"/>
      <c r="AD1100" s="5" t="s">
        <v>1393</v>
      </c>
      <c r="AE1100" s="33"/>
      <c r="AF1100" s="59" t="str">
        <f t="shared" si="52"/>
        <v>Không</v>
      </c>
      <c r="AG1100" s="59" t="str">
        <f t="shared" si="53"/>
        <v>Không</v>
      </c>
      <c r="AH1100" s="29" t="str">
        <f t="shared" ca="1" si="51"/>
        <v>Có</v>
      </c>
      <c r="AI1100" s="29" t="str">
        <f ca="1">IF((R1100)&gt;=6,"Có","Không")</f>
        <v>Có</v>
      </c>
      <c r="AJ1100" s="29" t="str">
        <f>IF(OR(J1100&gt;=140,K1100&gt;=90),"Có","Không")</f>
        <v>Không</v>
      </c>
      <c r="AK1100" s="5" t="s">
        <v>51</v>
      </c>
      <c r="AL1100" s="35">
        <v>46173</v>
      </c>
      <c r="AM1100" s="29" t="str">
        <f>"Tháng "&amp;MONTH(AL1100)</f>
        <v>Tháng 5</v>
      </c>
      <c r="AN1100" s="69" t="s">
        <v>1376</v>
      </c>
    </row>
    <row r="1101" spans="1:40" x14ac:dyDescent="0.25">
      <c r="A1101" s="52" t="s">
        <v>1278</v>
      </c>
      <c r="B1101" s="20" t="s">
        <v>30</v>
      </c>
      <c r="C1101" s="35">
        <v>26665</v>
      </c>
      <c r="D1101" s="29">
        <f ca="1">DATEDIF(C1101,TODAY(),"Y")</f>
        <v>53</v>
      </c>
      <c r="E1101" s="5" t="s">
        <v>25</v>
      </c>
      <c r="F1101" s="30">
        <v>170</v>
      </c>
      <c r="G1101" s="30">
        <v>75</v>
      </c>
      <c r="H1101" s="31">
        <f>G1101/((F1101/100)*(F1101/100))</f>
        <v>25.95155709342561</v>
      </c>
      <c r="I1101" s="5">
        <v>68</v>
      </c>
      <c r="J1101" s="30">
        <v>120</v>
      </c>
      <c r="K1101" s="30">
        <v>80</v>
      </c>
      <c r="L1101" s="29">
        <f>IF(B1101="Nữ",0,2)</f>
        <v>2</v>
      </c>
      <c r="M1101" s="29">
        <f ca="1">IF(D1101&lt;45,0,IF(D1101&lt;=49,1,2))</f>
        <v>2</v>
      </c>
      <c r="N1101" s="29">
        <f>IF(E1101="Có",4,0)</f>
        <v>4</v>
      </c>
      <c r="O1101" s="29">
        <f>IF(H1101&lt;23,0,IF(H1101&lt;27.5,3,5))</f>
        <v>3</v>
      </c>
      <c r="P1101" s="29">
        <f>IF(OR(AND(B1101="Nam",I1101&gt;=90),AND(B1101="Nữ",I1101&gt;=80)),2,0)</f>
        <v>0</v>
      </c>
      <c r="Q1101" s="29">
        <f>IF(OR(J1101&gt;=140,K1101&gt;=90),2,0)</f>
        <v>0</v>
      </c>
      <c r="R1101" s="29">
        <f ca="1">SUM(L1101:Q1101)</f>
        <v>11</v>
      </c>
      <c r="S1101" s="33"/>
      <c r="T1101" s="33"/>
      <c r="U1101" s="33"/>
      <c r="V1101" s="33"/>
      <c r="W1101" s="33"/>
      <c r="X1101" s="33"/>
      <c r="Y1101" s="33"/>
      <c r="Z1101" s="33"/>
      <c r="AA1101" s="33"/>
      <c r="AB1101" s="33"/>
      <c r="AC1101" s="33"/>
      <c r="AD1101" s="5" t="s">
        <v>1393</v>
      </c>
      <c r="AE1101" s="33"/>
      <c r="AF1101" s="59" t="str">
        <f t="shared" si="52"/>
        <v>Không</v>
      </c>
      <c r="AG1101" s="59" t="str">
        <f t="shared" si="53"/>
        <v>Không</v>
      </c>
      <c r="AH1101" s="29" t="str">
        <f t="shared" ca="1" si="51"/>
        <v>Có</v>
      </c>
      <c r="AI1101" s="29" t="str">
        <f ca="1">IF((R1101)&gt;=6,"Có","Không")</f>
        <v>Có</v>
      </c>
      <c r="AJ1101" s="29" t="str">
        <f>IF(OR(J1101&gt;=140,K1101&gt;=90),"Có","Không")</f>
        <v>Không</v>
      </c>
      <c r="AK1101" s="5" t="s">
        <v>51</v>
      </c>
      <c r="AL1101" s="35">
        <v>46173</v>
      </c>
      <c r="AM1101" s="29" t="str">
        <f>"Tháng "&amp;MONTH(AL1101)</f>
        <v>Tháng 5</v>
      </c>
      <c r="AN1101" s="69" t="s">
        <v>1376</v>
      </c>
    </row>
    <row r="1102" spans="1:40" x14ac:dyDescent="0.25">
      <c r="A1102" s="52" t="s">
        <v>1279</v>
      </c>
      <c r="B1102" s="20" t="s">
        <v>30</v>
      </c>
      <c r="C1102" s="35">
        <v>17168</v>
      </c>
      <c r="D1102" s="29">
        <f ca="1">DATEDIF(C1102,TODAY(),"Y")</f>
        <v>79</v>
      </c>
      <c r="E1102" s="5" t="s">
        <v>25</v>
      </c>
      <c r="F1102" s="30">
        <v>150</v>
      </c>
      <c r="G1102" s="30">
        <v>50</v>
      </c>
      <c r="H1102" s="31">
        <f>G1102/((F1102/100)*(F1102/100))</f>
        <v>22.222222222222221</v>
      </c>
      <c r="I1102" s="5">
        <v>79</v>
      </c>
      <c r="J1102" s="30">
        <v>120</v>
      </c>
      <c r="K1102" s="30">
        <v>70</v>
      </c>
      <c r="L1102" s="29">
        <f>IF(B1102="Nữ",0,2)</f>
        <v>2</v>
      </c>
      <c r="M1102" s="29">
        <f ca="1">IF(D1102&lt;45,0,IF(D1102&lt;=49,1,2))</f>
        <v>2</v>
      </c>
      <c r="N1102" s="29">
        <f>IF(E1102="Có",4,0)</f>
        <v>4</v>
      </c>
      <c r="O1102" s="29">
        <f>IF(H1102&lt;23,0,IF(H1102&lt;27.5,3,5))</f>
        <v>0</v>
      </c>
      <c r="P1102" s="29">
        <f>IF(OR(AND(B1102="Nam",I1102&gt;=90),AND(B1102="Nữ",I1102&gt;=80)),2,0)</f>
        <v>0</v>
      </c>
      <c r="Q1102" s="29">
        <f>IF(OR(J1102&gt;=140,K1102&gt;=90),2,0)</f>
        <v>0</v>
      </c>
      <c r="R1102" s="29">
        <f ca="1">SUM(L1102:Q1102)</f>
        <v>8</v>
      </c>
      <c r="S1102" s="33"/>
      <c r="T1102" s="33"/>
      <c r="U1102" s="33"/>
      <c r="V1102" s="33"/>
      <c r="W1102" s="33"/>
      <c r="X1102" s="33"/>
      <c r="Y1102" s="33"/>
      <c r="Z1102" s="33"/>
      <c r="AA1102" s="33"/>
      <c r="AB1102" s="33"/>
      <c r="AC1102" s="33"/>
      <c r="AD1102" s="5" t="s">
        <v>1393</v>
      </c>
      <c r="AE1102" s="33"/>
      <c r="AF1102" s="59" t="str">
        <f t="shared" si="52"/>
        <v>Không</v>
      </c>
      <c r="AG1102" s="59" t="str">
        <f t="shared" si="53"/>
        <v>Không</v>
      </c>
      <c r="AH1102" s="29" t="str">
        <f t="shared" ca="1" si="51"/>
        <v>Có</v>
      </c>
      <c r="AI1102" s="29" t="str">
        <f ca="1">IF((R1102)&gt;=6,"Có","Không")</f>
        <v>Có</v>
      </c>
      <c r="AJ1102" s="29" t="str">
        <f>IF(OR(J1102&gt;=140,K1102&gt;=90),"Có","Không")</f>
        <v>Không</v>
      </c>
      <c r="AK1102" s="5" t="s">
        <v>51</v>
      </c>
      <c r="AL1102" s="35">
        <v>46173</v>
      </c>
      <c r="AM1102" s="29" t="str">
        <f>"Tháng "&amp;MONTH(AL1102)</f>
        <v>Tháng 5</v>
      </c>
      <c r="AN1102" s="69" t="s">
        <v>1376</v>
      </c>
    </row>
    <row r="1103" spans="1:40" x14ac:dyDescent="0.25">
      <c r="A1103" s="52" t="s">
        <v>1280</v>
      </c>
      <c r="B1103" s="20" t="s">
        <v>30</v>
      </c>
      <c r="C1103" s="35">
        <v>18629</v>
      </c>
      <c r="D1103" s="29">
        <f ca="1">DATEDIF(C1103,TODAY(),"Y")</f>
        <v>75</v>
      </c>
      <c r="E1103" s="5" t="s">
        <v>26</v>
      </c>
      <c r="F1103" s="30">
        <v>158</v>
      </c>
      <c r="G1103" s="30">
        <v>58</v>
      </c>
      <c r="H1103" s="31">
        <f>G1103/((F1103/100)*(F1103/100))</f>
        <v>23.233456176894723</v>
      </c>
      <c r="I1103" s="5">
        <v>65</v>
      </c>
      <c r="J1103" s="30">
        <v>120</v>
      </c>
      <c r="K1103" s="30">
        <v>80</v>
      </c>
      <c r="L1103" s="29">
        <f>IF(B1103="Nữ",0,2)</f>
        <v>2</v>
      </c>
      <c r="M1103" s="29">
        <f ca="1">IF(D1103&lt;45,0,IF(D1103&lt;=49,1,2))</f>
        <v>2</v>
      </c>
      <c r="N1103" s="29">
        <f>IF(E1103="Có",4,0)</f>
        <v>0</v>
      </c>
      <c r="O1103" s="29">
        <f>IF(H1103&lt;23,0,IF(H1103&lt;27.5,3,5))</f>
        <v>3</v>
      </c>
      <c r="P1103" s="29">
        <f>IF(OR(AND(B1103="Nam",I1103&gt;=90),AND(B1103="Nữ",I1103&gt;=80)),2,0)</f>
        <v>0</v>
      </c>
      <c r="Q1103" s="29">
        <f>IF(OR(J1103&gt;=140,K1103&gt;=90),2,0)</f>
        <v>0</v>
      </c>
      <c r="R1103" s="29">
        <f ca="1">SUM(L1103:Q1103)</f>
        <v>7</v>
      </c>
      <c r="S1103" s="33"/>
      <c r="T1103" s="33"/>
      <c r="U1103" s="33"/>
      <c r="V1103" s="33"/>
      <c r="W1103" s="33"/>
      <c r="X1103" s="33"/>
      <c r="Y1103" s="33"/>
      <c r="Z1103" s="33"/>
      <c r="AA1103" s="33"/>
      <c r="AB1103" s="33"/>
      <c r="AC1103" s="33"/>
      <c r="AD1103" s="5" t="s">
        <v>1393</v>
      </c>
      <c r="AE1103" s="33"/>
      <c r="AF1103" s="59" t="str">
        <f t="shared" si="52"/>
        <v>Không</v>
      </c>
      <c r="AG1103" s="59" t="str">
        <f t="shared" si="53"/>
        <v>Không</v>
      </c>
      <c r="AH1103" s="29" t="str">
        <f t="shared" ca="1" si="51"/>
        <v>Có</v>
      </c>
      <c r="AI1103" s="29" t="str">
        <f ca="1">IF((R1103)&gt;=6,"Có","Không")</f>
        <v>Có</v>
      </c>
      <c r="AJ1103" s="29" t="str">
        <f>IF(OR(J1103&gt;=140,K1103&gt;=90),"Có","Không")</f>
        <v>Không</v>
      </c>
      <c r="AK1103" s="5" t="s">
        <v>51</v>
      </c>
      <c r="AL1103" s="35">
        <v>46173</v>
      </c>
      <c r="AM1103" s="29" t="str">
        <f>"Tháng "&amp;MONTH(AL1103)</f>
        <v>Tháng 5</v>
      </c>
      <c r="AN1103" s="69" t="s">
        <v>1376</v>
      </c>
    </row>
    <row r="1104" spans="1:40" x14ac:dyDescent="0.25">
      <c r="A1104" s="52" t="s">
        <v>1281</v>
      </c>
      <c r="B1104" s="21" t="s">
        <v>23</v>
      </c>
      <c r="C1104" s="35">
        <v>18629</v>
      </c>
      <c r="D1104" s="29">
        <f ca="1">DATEDIF(C1104,TODAY(),"Y")</f>
        <v>75</v>
      </c>
      <c r="E1104" s="5" t="s">
        <v>26</v>
      </c>
      <c r="F1104" s="30">
        <v>169</v>
      </c>
      <c r="G1104" s="30">
        <v>68</v>
      </c>
      <c r="H1104" s="31">
        <f>G1104/((F1104/100)*(F1104/100))</f>
        <v>23.808690171912751</v>
      </c>
      <c r="I1104" s="5">
        <v>85</v>
      </c>
      <c r="J1104" s="30">
        <v>130</v>
      </c>
      <c r="K1104" s="30">
        <v>80</v>
      </c>
      <c r="L1104" s="29">
        <f>IF(B1104="Nữ",0,2)</f>
        <v>0</v>
      </c>
      <c r="M1104" s="29">
        <f ca="1">IF(D1104&lt;45,0,IF(D1104&lt;=49,1,2))</f>
        <v>2</v>
      </c>
      <c r="N1104" s="29">
        <f>IF(E1104="Có",4,0)</f>
        <v>0</v>
      </c>
      <c r="O1104" s="29">
        <f>IF(H1104&lt;23,0,IF(H1104&lt;27.5,3,5))</f>
        <v>3</v>
      </c>
      <c r="P1104" s="29">
        <f>IF(OR(AND(B1104="Nam",I1104&gt;=90),AND(B1104="Nữ",I1104&gt;=80)),2,0)</f>
        <v>2</v>
      </c>
      <c r="Q1104" s="29">
        <f>IF(OR(J1104&gt;=140,K1104&gt;=90),2,0)</f>
        <v>0</v>
      </c>
      <c r="R1104" s="29">
        <f ca="1">SUM(L1104:Q1104)</f>
        <v>7</v>
      </c>
      <c r="S1104" s="33"/>
      <c r="T1104" s="33"/>
      <c r="U1104" s="33"/>
      <c r="V1104" s="33"/>
      <c r="W1104" s="33"/>
      <c r="X1104" s="33"/>
      <c r="Y1104" s="33"/>
      <c r="Z1104" s="33"/>
      <c r="AA1104" s="33"/>
      <c r="AB1104" s="33"/>
      <c r="AC1104" s="33"/>
      <c r="AD1104" s="5" t="s">
        <v>1393</v>
      </c>
      <c r="AE1104" s="33"/>
      <c r="AF1104" s="59" t="str">
        <f t="shared" si="52"/>
        <v>Không</v>
      </c>
      <c r="AG1104" s="59" t="str">
        <f t="shared" si="53"/>
        <v>Không</v>
      </c>
      <c r="AH1104" s="29" t="str">
        <f t="shared" ca="1" si="51"/>
        <v>Có</v>
      </c>
      <c r="AI1104" s="29" t="str">
        <f ca="1">IF((R1104)&gt;=6,"Có","Không")</f>
        <v>Có</v>
      </c>
      <c r="AJ1104" s="29" t="str">
        <f>IF(OR(J1104&gt;=140,K1104&gt;=90),"Có","Không")</f>
        <v>Không</v>
      </c>
      <c r="AK1104" s="5" t="s">
        <v>51</v>
      </c>
      <c r="AL1104" s="35">
        <v>46173</v>
      </c>
      <c r="AM1104" s="29" t="str">
        <f>"Tháng "&amp;MONTH(AL1104)</f>
        <v>Tháng 5</v>
      </c>
      <c r="AN1104" s="69" t="s">
        <v>1376</v>
      </c>
    </row>
    <row r="1105" spans="1:40" x14ac:dyDescent="0.25">
      <c r="A1105" s="52" t="s">
        <v>1282</v>
      </c>
      <c r="B1105" s="20" t="s">
        <v>30</v>
      </c>
      <c r="C1105" s="35">
        <v>24473</v>
      </c>
      <c r="D1105" s="29">
        <f ca="1">DATEDIF(C1105,TODAY(),"Y")</f>
        <v>59</v>
      </c>
      <c r="E1105" s="5" t="s">
        <v>26</v>
      </c>
      <c r="F1105" s="30">
        <v>158</v>
      </c>
      <c r="G1105" s="30">
        <v>54</v>
      </c>
      <c r="H1105" s="31">
        <f>G1105/((F1105/100)*(F1105/100))</f>
        <v>21.631148854350261</v>
      </c>
      <c r="I1105" s="5">
        <v>71</v>
      </c>
      <c r="J1105" s="30">
        <v>130</v>
      </c>
      <c r="K1105" s="30">
        <v>80</v>
      </c>
      <c r="L1105" s="29">
        <f>IF(B1105="Nữ",0,2)</f>
        <v>2</v>
      </c>
      <c r="M1105" s="29">
        <f ca="1">IF(D1105&lt;45,0,IF(D1105&lt;=49,1,2))</f>
        <v>2</v>
      </c>
      <c r="N1105" s="29">
        <f>IF(E1105="Có",4,0)</f>
        <v>0</v>
      </c>
      <c r="O1105" s="29">
        <f>IF(H1105&lt;23,0,IF(H1105&lt;27.5,3,5))</f>
        <v>0</v>
      </c>
      <c r="P1105" s="29">
        <f>IF(OR(AND(B1105="Nam",I1105&gt;=90),AND(B1105="Nữ",I1105&gt;=80)),2,0)</f>
        <v>0</v>
      </c>
      <c r="Q1105" s="29">
        <f>IF(OR(J1105&gt;=140,K1105&gt;=90),2,0)</f>
        <v>0</v>
      </c>
      <c r="R1105" s="29">
        <f ca="1">SUM(L1105:Q1105)</f>
        <v>4</v>
      </c>
      <c r="S1105" s="33"/>
      <c r="T1105" s="33"/>
      <c r="U1105" s="33"/>
      <c r="V1105" s="33"/>
      <c r="W1105" s="33"/>
      <c r="X1105" s="33"/>
      <c r="Y1105" s="33"/>
      <c r="Z1105" s="33"/>
      <c r="AA1105" s="33"/>
      <c r="AB1105" s="33"/>
      <c r="AC1105" s="33"/>
      <c r="AD1105" s="5" t="s">
        <v>1393</v>
      </c>
      <c r="AE1105" s="33"/>
      <c r="AF1105" s="59" t="str">
        <f t="shared" si="52"/>
        <v>Không</v>
      </c>
      <c r="AG1105" s="59" t="str">
        <f t="shared" si="53"/>
        <v>Không</v>
      </c>
      <c r="AH1105" s="29" t="str">
        <f t="shared" ca="1" si="51"/>
        <v>Không</v>
      </c>
      <c r="AI1105" s="29" t="str">
        <f ca="1">IF((R1105)&gt;=6,"Có","Không")</f>
        <v>Không</v>
      </c>
      <c r="AJ1105" s="29" t="str">
        <f>IF(OR(J1105&gt;=140,K1105&gt;=90),"Có","Không")</f>
        <v>Không</v>
      </c>
      <c r="AK1105" s="5" t="s">
        <v>51</v>
      </c>
      <c r="AL1105" s="35">
        <v>46173</v>
      </c>
      <c r="AM1105" s="29" t="str">
        <f>"Tháng "&amp;MONTH(AL1105)</f>
        <v>Tháng 5</v>
      </c>
      <c r="AN1105" s="69" t="s">
        <v>1376</v>
      </c>
    </row>
    <row r="1106" spans="1:40" x14ac:dyDescent="0.25">
      <c r="A1106" s="52" t="s">
        <v>1285</v>
      </c>
      <c r="B1106" s="20" t="s">
        <v>30</v>
      </c>
      <c r="C1106" s="35">
        <v>21551</v>
      </c>
      <c r="D1106" s="29">
        <f ca="1">DATEDIF(C1106,TODAY(),"Y")</f>
        <v>67</v>
      </c>
      <c r="E1106" s="5" t="s">
        <v>25</v>
      </c>
      <c r="F1106" s="30">
        <v>158</v>
      </c>
      <c r="G1106" s="30">
        <v>58</v>
      </c>
      <c r="H1106" s="31">
        <f>G1106/((F1106/100)*(F1106/100))</f>
        <v>23.233456176894723</v>
      </c>
      <c r="I1106" s="5">
        <v>84</v>
      </c>
      <c r="J1106" s="30">
        <v>130</v>
      </c>
      <c r="K1106" s="30">
        <v>80</v>
      </c>
      <c r="L1106" s="29">
        <f>IF(B1106="Nữ",0,2)</f>
        <v>2</v>
      </c>
      <c r="M1106" s="29">
        <f ca="1">IF(D1106&lt;45,0,IF(D1106&lt;=49,1,2))</f>
        <v>2</v>
      </c>
      <c r="N1106" s="29">
        <f>IF(E1106="Có",4,0)</f>
        <v>4</v>
      </c>
      <c r="O1106" s="29">
        <f>IF(H1106&lt;23,0,IF(H1106&lt;27.5,3,5))</f>
        <v>3</v>
      </c>
      <c r="P1106" s="29">
        <f>IF(OR(AND(B1106="Nam",I1106&gt;=90),AND(B1106="Nữ",I1106&gt;=80)),2,0)</f>
        <v>0</v>
      </c>
      <c r="Q1106" s="29">
        <f>IF(OR(J1106&gt;=140,K1106&gt;=90),2,0)</f>
        <v>0</v>
      </c>
      <c r="R1106" s="29">
        <f ca="1">SUM(L1106:Q1106)</f>
        <v>11</v>
      </c>
      <c r="S1106" s="33"/>
      <c r="T1106" s="33"/>
      <c r="U1106" s="33"/>
      <c r="V1106" s="33"/>
      <c r="W1106" s="33"/>
      <c r="X1106" s="33"/>
      <c r="Y1106" s="33"/>
      <c r="Z1106" s="33"/>
      <c r="AA1106" s="33"/>
      <c r="AB1106" s="33"/>
      <c r="AC1106" s="33"/>
      <c r="AD1106" s="5" t="s">
        <v>1393</v>
      </c>
      <c r="AE1106" s="33"/>
      <c r="AF1106" s="59" t="str">
        <f t="shared" si="52"/>
        <v>Không</v>
      </c>
      <c r="AG1106" s="59" t="str">
        <f t="shared" si="53"/>
        <v>Không</v>
      </c>
      <c r="AH1106" s="29" t="str">
        <f t="shared" ca="1" si="51"/>
        <v>Có</v>
      </c>
      <c r="AI1106" s="29" t="str">
        <f ca="1">IF((R1106)&gt;=6,"Có","Không")</f>
        <v>Có</v>
      </c>
      <c r="AJ1106" s="29" t="str">
        <f>IF(OR(J1106&gt;=140,K1106&gt;=90),"Có","Không")</f>
        <v>Không</v>
      </c>
      <c r="AK1106" s="5" t="s">
        <v>51</v>
      </c>
      <c r="AL1106" s="35">
        <v>46173</v>
      </c>
      <c r="AM1106" s="29" t="str">
        <f>"Tháng "&amp;MONTH(AL1106)</f>
        <v>Tháng 5</v>
      </c>
      <c r="AN1106" s="69" t="s">
        <v>1376</v>
      </c>
    </row>
    <row r="1107" spans="1:40" x14ac:dyDescent="0.25">
      <c r="A1107" s="52" t="s">
        <v>1286</v>
      </c>
      <c r="B1107" s="21" t="s">
        <v>23</v>
      </c>
      <c r="C1107" s="35">
        <v>19360</v>
      </c>
      <c r="D1107" s="29">
        <f ca="1">DATEDIF(C1107,TODAY(),"Y")</f>
        <v>73</v>
      </c>
      <c r="E1107" s="5" t="s">
        <v>26</v>
      </c>
      <c r="F1107" s="30">
        <v>169</v>
      </c>
      <c r="G1107" s="30">
        <v>68</v>
      </c>
      <c r="H1107" s="31">
        <f>G1107/((F1107/100)*(F1107/100))</f>
        <v>23.808690171912751</v>
      </c>
      <c r="I1107" s="5">
        <v>91</v>
      </c>
      <c r="J1107" s="30">
        <v>120</v>
      </c>
      <c r="K1107" s="30">
        <v>70</v>
      </c>
      <c r="L1107" s="29">
        <f>IF(B1107="Nữ",0,2)</f>
        <v>0</v>
      </c>
      <c r="M1107" s="29">
        <f ca="1">IF(D1107&lt;45,0,IF(D1107&lt;=49,1,2))</f>
        <v>2</v>
      </c>
      <c r="N1107" s="29">
        <f>IF(E1107="Có",4,0)</f>
        <v>0</v>
      </c>
      <c r="O1107" s="29">
        <f>IF(H1107&lt;23,0,IF(H1107&lt;27.5,3,5))</f>
        <v>3</v>
      </c>
      <c r="P1107" s="29">
        <f>IF(OR(AND(B1107="Nam",I1107&gt;=90),AND(B1107="Nữ",I1107&gt;=80)),2,0)</f>
        <v>2</v>
      </c>
      <c r="Q1107" s="29">
        <f>IF(OR(J1107&gt;=140,K1107&gt;=90),2,0)</f>
        <v>0</v>
      </c>
      <c r="R1107" s="29">
        <f ca="1">SUM(L1107:Q1107)</f>
        <v>7</v>
      </c>
      <c r="S1107" s="33"/>
      <c r="T1107" s="33"/>
      <c r="U1107" s="33"/>
      <c r="V1107" s="33"/>
      <c r="W1107" s="33"/>
      <c r="X1107" s="33"/>
      <c r="Y1107" s="33"/>
      <c r="Z1107" s="33"/>
      <c r="AA1107" s="33"/>
      <c r="AB1107" s="33"/>
      <c r="AC1107" s="33"/>
      <c r="AD1107" s="5" t="s">
        <v>1393</v>
      </c>
      <c r="AE1107" s="33"/>
      <c r="AF1107" s="59" t="str">
        <f t="shared" si="52"/>
        <v>Không</v>
      </c>
      <c r="AG1107" s="59" t="str">
        <f t="shared" si="53"/>
        <v>Không</v>
      </c>
      <c r="AH1107" s="29" t="str">
        <f t="shared" ca="1" si="51"/>
        <v>Có</v>
      </c>
      <c r="AI1107" s="29" t="str">
        <f ca="1">IF((R1107)&gt;=6,"Có","Không")</f>
        <v>Có</v>
      </c>
      <c r="AJ1107" s="29" t="str">
        <f>IF(OR(J1107&gt;=140,K1107&gt;=90),"Có","Không")</f>
        <v>Không</v>
      </c>
      <c r="AK1107" s="5" t="s">
        <v>51</v>
      </c>
      <c r="AL1107" s="35">
        <v>46173</v>
      </c>
      <c r="AM1107" s="29" t="str">
        <f>"Tháng "&amp;MONTH(AL1107)</f>
        <v>Tháng 5</v>
      </c>
      <c r="AN1107" s="69" t="s">
        <v>1376</v>
      </c>
    </row>
    <row r="1108" spans="1:40" x14ac:dyDescent="0.25">
      <c r="A1108" s="52" t="s">
        <v>1287</v>
      </c>
      <c r="B1108" s="20" t="s">
        <v>30</v>
      </c>
      <c r="C1108" s="35">
        <v>24108</v>
      </c>
      <c r="D1108" s="29">
        <f ca="1">DATEDIF(C1108,TODAY(),"Y")</f>
        <v>60</v>
      </c>
      <c r="E1108" s="5" t="s">
        <v>26</v>
      </c>
      <c r="F1108" s="30">
        <v>158</v>
      </c>
      <c r="G1108" s="30">
        <v>58</v>
      </c>
      <c r="H1108" s="31">
        <f>G1108/((F1108/100)*(F1108/100))</f>
        <v>23.233456176894723</v>
      </c>
      <c r="I1108" s="5">
        <v>75</v>
      </c>
      <c r="J1108" s="30">
        <v>120</v>
      </c>
      <c r="K1108" s="30">
        <v>70</v>
      </c>
      <c r="L1108" s="29">
        <f>IF(B1108="Nữ",0,2)</f>
        <v>2</v>
      </c>
      <c r="M1108" s="29">
        <f ca="1">IF(D1108&lt;45,0,IF(D1108&lt;=49,1,2))</f>
        <v>2</v>
      </c>
      <c r="N1108" s="29">
        <f>IF(E1108="Có",4,0)</f>
        <v>0</v>
      </c>
      <c r="O1108" s="29">
        <f>IF(H1108&lt;23,0,IF(H1108&lt;27.5,3,5))</f>
        <v>3</v>
      </c>
      <c r="P1108" s="29">
        <f>IF(OR(AND(B1108="Nam",I1108&gt;=90),AND(B1108="Nữ",I1108&gt;=80)),2,0)</f>
        <v>0</v>
      </c>
      <c r="Q1108" s="29">
        <f>IF(OR(J1108&gt;=140,K1108&gt;=90),2,0)</f>
        <v>0</v>
      </c>
      <c r="R1108" s="29">
        <f ca="1">SUM(L1108:Q1108)</f>
        <v>7</v>
      </c>
      <c r="S1108" s="33"/>
      <c r="T1108" s="33"/>
      <c r="U1108" s="33"/>
      <c r="V1108" s="33"/>
      <c r="W1108" s="33"/>
      <c r="X1108" s="33"/>
      <c r="Y1108" s="33"/>
      <c r="Z1108" s="33"/>
      <c r="AA1108" s="33"/>
      <c r="AB1108" s="33"/>
      <c r="AC1108" s="33"/>
      <c r="AD1108" s="5" t="s">
        <v>1393</v>
      </c>
      <c r="AE1108" s="33"/>
      <c r="AF1108" s="59" t="str">
        <f t="shared" si="52"/>
        <v>Không</v>
      </c>
      <c r="AG1108" s="59" t="str">
        <f t="shared" si="53"/>
        <v>Không</v>
      </c>
      <c r="AH1108" s="29" t="str">
        <f t="shared" ca="1" si="51"/>
        <v>Có</v>
      </c>
      <c r="AI1108" s="29" t="str">
        <f ca="1">IF((R1108)&gt;=6,"Có","Không")</f>
        <v>Có</v>
      </c>
      <c r="AJ1108" s="29" t="str">
        <f>IF(OR(J1108&gt;=140,K1108&gt;=90),"Có","Không")</f>
        <v>Không</v>
      </c>
      <c r="AK1108" s="5" t="s">
        <v>51</v>
      </c>
      <c r="AL1108" s="35">
        <v>46173</v>
      </c>
      <c r="AM1108" s="29" t="str">
        <f>"Tháng "&amp;MONTH(AL1108)</f>
        <v>Tháng 5</v>
      </c>
      <c r="AN1108" s="69" t="s">
        <v>1376</v>
      </c>
    </row>
    <row r="1109" spans="1:40" x14ac:dyDescent="0.25">
      <c r="A1109" s="52" t="s">
        <v>1288</v>
      </c>
      <c r="B1109" s="21" t="s">
        <v>23</v>
      </c>
      <c r="C1109" s="35">
        <v>21186</v>
      </c>
      <c r="D1109" s="29">
        <f ca="1">DATEDIF(C1109,TODAY(),"Y")</f>
        <v>68</v>
      </c>
      <c r="E1109" s="5" t="s">
        <v>25</v>
      </c>
      <c r="F1109" s="30">
        <v>158</v>
      </c>
      <c r="G1109" s="30">
        <v>58</v>
      </c>
      <c r="H1109" s="31">
        <f>G1109/((F1109/100)*(F1109/100))</f>
        <v>23.233456176894723</v>
      </c>
      <c r="I1109" s="5">
        <v>97</v>
      </c>
      <c r="J1109" s="30">
        <v>130</v>
      </c>
      <c r="K1109" s="30">
        <v>80</v>
      </c>
      <c r="L1109" s="29">
        <f>IF(B1109="Nữ",0,2)</f>
        <v>0</v>
      </c>
      <c r="M1109" s="29">
        <f ca="1">IF(D1109&lt;45,0,IF(D1109&lt;=49,1,2))</f>
        <v>2</v>
      </c>
      <c r="N1109" s="29">
        <f>IF(E1109="Có",4,0)</f>
        <v>4</v>
      </c>
      <c r="O1109" s="29">
        <f>IF(H1109&lt;23,0,IF(H1109&lt;27.5,3,5))</f>
        <v>3</v>
      </c>
      <c r="P1109" s="29">
        <f>IF(OR(AND(B1109="Nam",I1109&gt;=90),AND(B1109="Nữ",I1109&gt;=80)),2,0)</f>
        <v>2</v>
      </c>
      <c r="Q1109" s="29">
        <f>IF(OR(J1109&gt;=140,K1109&gt;=90),2,0)</f>
        <v>0</v>
      </c>
      <c r="R1109" s="29">
        <f ca="1">SUM(L1109:Q1109)</f>
        <v>11</v>
      </c>
      <c r="S1109" s="33"/>
      <c r="T1109" s="33"/>
      <c r="U1109" s="33"/>
      <c r="V1109" s="33"/>
      <c r="W1109" s="33"/>
      <c r="X1109" s="33"/>
      <c r="Y1109" s="33"/>
      <c r="Z1109" s="33"/>
      <c r="AA1109" s="33"/>
      <c r="AB1109" s="33"/>
      <c r="AC1109" s="33"/>
      <c r="AD1109" s="5" t="s">
        <v>1393</v>
      </c>
      <c r="AE1109" s="33"/>
      <c r="AF1109" s="59" t="str">
        <f t="shared" si="52"/>
        <v>Không</v>
      </c>
      <c r="AG1109" s="59" t="str">
        <f t="shared" si="53"/>
        <v>Không</v>
      </c>
      <c r="AH1109" s="29" t="str">
        <f t="shared" ca="1" si="51"/>
        <v>Có</v>
      </c>
      <c r="AI1109" s="29" t="str">
        <f ca="1">IF((R1109)&gt;=6,"Có","Không")</f>
        <v>Có</v>
      </c>
      <c r="AJ1109" s="29" t="str">
        <f>IF(OR(J1109&gt;=140,K1109&gt;=90),"Có","Không")</f>
        <v>Không</v>
      </c>
      <c r="AK1109" s="5" t="s">
        <v>51</v>
      </c>
      <c r="AL1109" s="35">
        <v>46173</v>
      </c>
      <c r="AM1109" s="29" t="str">
        <f>"Tháng "&amp;MONTH(AL1109)</f>
        <v>Tháng 5</v>
      </c>
      <c r="AN1109" s="69" t="s">
        <v>1376</v>
      </c>
    </row>
    <row r="1110" spans="1:40" x14ac:dyDescent="0.25">
      <c r="A1110" s="52" t="s">
        <v>1290</v>
      </c>
      <c r="B1110" s="21" t="s">
        <v>23</v>
      </c>
      <c r="C1110" s="35">
        <v>22282</v>
      </c>
      <c r="D1110" s="29">
        <f ca="1">DATEDIF(C1110,TODAY(),"Y")</f>
        <v>65</v>
      </c>
      <c r="E1110" s="5" t="s">
        <v>25</v>
      </c>
      <c r="F1110" s="30">
        <v>169</v>
      </c>
      <c r="G1110" s="30">
        <v>68</v>
      </c>
      <c r="H1110" s="31">
        <f>G1110/((F1110/100)*(F1110/100))</f>
        <v>23.808690171912751</v>
      </c>
      <c r="I1110" s="5">
        <v>82</v>
      </c>
      <c r="J1110" s="30">
        <v>140</v>
      </c>
      <c r="K1110" s="30">
        <v>80</v>
      </c>
      <c r="L1110" s="29">
        <f>IF(B1110="Nữ",0,2)</f>
        <v>0</v>
      </c>
      <c r="M1110" s="29">
        <f ca="1">IF(D1110&lt;45,0,IF(D1110&lt;=49,1,2))</f>
        <v>2</v>
      </c>
      <c r="N1110" s="29">
        <f>IF(E1110="Có",4,0)</f>
        <v>4</v>
      </c>
      <c r="O1110" s="29">
        <f>IF(H1110&lt;23,0,IF(H1110&lt;27.5,3,5))</f>
        <v>3</v>
      </c>
      <c r="P1110" s="29">
        <f>IF(OR(AND(B1110="Nam",I1110&gt;=90),AND(B1110="Nữ",I1110&gt;=80)),2,0)</f>
        <v>2</v>
      </c>
      <c r="Q1110" s="29">
        <f>IF(OR(J1110&gt;=140,K1110&gt;=90),2,0)</f>
        <v>2</v>
      </c>
      <c r="R1110" s="29">
        <f ca="1">SUM(L1110:Q1110)</f>
        <v>13</v>
      </c>
      <c r="S1110" s="33"/>
      <c r="T1110" s="33"/>
      <c r="U1110" s="33"/>
      <c r="V1110" s="33"/>
      <c r="W1110" s="33"/>
      <c r="X1110" s="33"/>
      <c r="Y1110" s="33"/>
      <c r="Z1110" s="33"/>
      <c r="AA1110" s="33"/>
      <c r="AB1110" s="33"/>
      <c r="AC1110" s="33"/>
      <c r="AD1110" s="5" t="s">
        <v>1393</v>
      </c>
      <c r="AE1110" s="33"/>
      <c r="AF1110" s="59" t="str">
        <f t="shared" si="52"/>
        <v>Không</v>
      </c>
      <c r="AG1110" s="59" t="str">
        <f t="shared" si="53"/>
        <v>Không</v>
      </c>
      <c r="AH1110" s="29" t="str">
        <f t="shared" ca="1" si="51"/>
        <v>Có</v>
      </c>
      <c r="AI1110" s="29" t="str">
        <f ca="1">IF((R1110)&gt;=6,"Có","Không")</f>
        <v>Có</v>
      </c>
      <c r="AJ1110" s="29" t="str">
        <f>IF(OR(J1110&gt;=140,K1110&gt;=90),"Có","Không")</f>
        <v>Có</v>
      </c>
      <c r="AK1110" s="5" t="s">
        <v>51</v>
      </c>
      <c r="AL1110" s="35">
        <v>46173</v>
      </c>
      <c r="AM1110" s="29" t="str">
        <f>"Tháng "&amp;MONTH(AL1110)</f>
        <v>Tháng 5</v>
      </c>
      <c r="AN1110" s="69" t="s">
        <v>1376</v>
      </c>
    </row>
    <row r="1111" spans="1:40" x14ac:dyDescent="0.25">
      <c r="A1111" s="52" t="s">
        <v>671</v>
      </c>
      <c r="B1111" s="21" t="s">
        <v>23</v>
      </c>
      <c r="C1111" s="35">
        <v>21186</v>
      </c>
      <c r="D1111" s="29">
        <f ca="1">DATEDIF(C1111,TODAY(),"Y")</f>
        <v>68</v>
      </c>
      <c r="E1111" s="5" t="s">
        <v>26</v>
      </c>
      <c r="F1111" s="30">
        <v>170</v>
      </c>
      <c r="G1111" s="30">
        <v>92</v>
      </c>
      <c r="H1111" s="31">
        <f>G1111/((F1111/100)*(F1111/100))</f>
        <v>31.833910034602081</v>
      </c>
      <c r="I1111" s="5">
        <v>78</v>
      </c>
      <c r="J1111" s="30">
        <v>150</v>
      </c>
      <c r="K1111" s="30">
        <v>80</v>
      </c>
      <c r="L1111" s="29">
        <f>IF(B1111="Nữ",0,2)</f>
        <v>0</v>
      </c>
      <c r="M1111" s="29">
        <f ca="1">IF(D1111&lt;45,0,IF(D1111&lt;=49,1,2))</f>
        <v>2</v>
      </c>
      <c r="N1111" s="29">
        <f>IF(E1111="Có",4,0)</f>
        <v>0</v>
      </c>
      <c r="O1111" s="29">
        <f>IF(H1111&lt;23,0,IF(H1111&lt;27.5,3,5))</f>
        <v>5</v>
      </c>
      <c r="P1111" s="29">
        <f>IF(OR(AND(B1111="Nam",I1111&gt;=90),AND(B1111="Nữ",I1111&gt;=80)),2,0)</f>
        <v>0</v>
      </c>
      <c r="Q1111" s="29">
        <f>IF(OR(J1111&gt;=140,K1111&gt;=90),2,0)</f>
        <v>2</v>
      </c>
      <c r="R1111" s="29">
        <f ca="1">SUM(L1111:Q1111)</f>
        <v>9</v>
      </c>
      <c r="S1111" s="33"/>
      <c r="T1111" s="33"/>
      <c r="U1111" s="33"/>
      <c r="V1111" s="33"/>
      <c r="W1111" s="33"/>
      <c r="X1111" s="33"/>
      <c r="Y1111" s="33"/>
      <c r="Z1111" s="33"/>
      <c r="AA1111" s="33"/>
      <c r="AB1111" s="33"/>
      <c r="AC1111" s="33"/>
      <c r="AD1111" s="5" t="s">
        <v>1393</v>
      </c>
      <c r="AE1111" s="33"/>
      <c r="AF1111" s="59" t="str">
        <f t="shared" si="52"/>
        <v>Không</v>
      </c>
      <c r="AG1111" s="59" t="str">
        <f t="shared" si="53"/>
        <v>Không</v>
      </c>
      <c r="AH1111" s="29" t="str">
        <f t="shared" ca="1" si="51"/>
        <v>Có</v>
      </c>
      <c r="AI1111" s="29" t="str">
        <f ca="1">IF((R1111)&gt;=6,"Có","Không")</f>
        <v>Có</v>
      </c>
      <c r="AJ1111" s="29" t="str">
        <f>IF(OR(J1111&gt;=140,K1111&gt;=90),"Có","Không")</f>
        <v>Có</v>
      </c>
      <c r="AK1111" s="5" t="s">
        <v>51</v>
      </c>
      <c r="AL1111" s="35">
        <v>46173</v>
      </c>
      <c r="AM1111" s="29" t="str">
        <f>"Tháng "&amp;MONTH(AL1111)</f>
        <v>Tháng 5</v>
      </c>
      <c r="AN1111" s="69" t="s">
        <v>1376</v>
      </c>
    </row>
    <row r="1112" spans="1:40" x14ac:dyDescent="0.25">
      <c r="A1112" s="52" t="s">
        <v>1291</v>
      </c>
      <c r="B1112" s="20" t="s">
        <v>30</v>
      </c>
      <c r="C1112" s="35">
        <v>18994</v>
      </c>
      <c r="D1112" s="29">
        <f ca="1">DATEDIF(C1112,TODAY(),"Y")</f>
        <v>74</v>
      </c>
      <c r="E1112" s="5" t="s">
        <v>26</v>
      </c>
      <c r="F1112" s="30">
        <v>158</v>
      </c>
      <c r="G1112" s="30">
        <v>58</v>
      </c>
      <c r="H1112" s="31">
        <f>G1112/((F1112/100)*(F1112/100))</f>
        <v>23.233456176894723</v>
      </c>
      <c r="I1112" s="5">
        <v>73</v>
      </c>
      <c r="J1112" s="30">
        <v>120</v>
      </c>
      <c r="K1112" s="30">
        <v>80</v>
      </c>
      <c r="L1112" s="29">
        <f>IF(B1112="Nữ",0,2)</f>
        <v>2</v>
      </c>
      <c r="M1112" s="29">
        <f ca="1">IF(D1112&lt;45,0,IF(D1112&lt;=49,1,2))</f>
        <v>2</v>
      </c>
      <c r="N1112" s="29">
        <f>IF(E1112="Có",4,0)</f>
        <v>0</v>
      </c>
      <c r="O1112" s="29">
        <f>IF(H1112&lt;23,0,IF(H1112&lt;27.5,3,5))</f>
        <v>3</v>
      </c>
      <c r="P1112" s="29">
        <f>IF(OR(AND(B1112="Nam",I1112&gt;=90),AND(B1112="Nữ",I1112&gt;=80)),2,0)</f>
        <v>0</v>
      </c>
      <c r="Q1112" s="29">
        <f>IF(OR(J1112&gt;=140,K1112&gt;=90),2,0)</f>
        <v>0</v>
      </c>
      <c r="R1112" s="29">
        <f ca="1">SUM(L1112:Q1112)</f>
        <v>7</v>
      </c>
      <c r="S1112" s="33"/>
      <c r="T1112" s="33"/>
      <c r="U1112" s="33"/>
      <c r="V1112" s="33"/>
      <c r="W1112" s="33"/>
      <c r="X1112" s="33"/>
      <c r="Y1112" s="33"/>
      <c r="Z1112" s="33"/>
      <c r="AA1112" s="33"/>
      <c r="AB1112" s="33"/>
      <c r="AC1112" s="33"/>
      <c r="AD1112" s="5" t="s">
        <v>1393</v>
      </c>
      <c r="AE1112" s="33"/>
      <c r="AF1112" s="59" t="str">
        <f t="shared" si="52"/>
        <v>Không</v>
      </c>
      <c r="AG1112" s="59" t="str">
        <f t="shared" si="53"/>
        <v>Không</v>
      </c>
      <c r="AH1112" s="29" t="str">
        <f t="shared" ca="1" si="51"/>
        <v>Có</v>
      </c>
      <c r="AI1112" s="29" t="str">
        <f ca="1">IF((R1112)&gt;=6,"Có","Không")</f>
        <v>Có</v>
      </c>
      <c r="AJ1112" s="29" t="str">
        <f>IF(OR(J1112&gt;=140,K1112&gt;=90),"Có","Không")</f>
        <v>Không</v>
      </c>
      <c r="AK1112" s="5" t="s">
        <v>51</v>
      </c>
      <c r="AL1112" s="35">
        <v>46173</v>
      </c>
      <c r="AM1112" s="29" t="str">
        <f>"Tháng "&amp;MONTH(AL1112)</f>
        <v>Tháng 5</v>
      </c>
      <c r="AN1112" s="69" t="s">
        <v>1376</v>
      </c>
    </row>
    <row r="1113" spans="1:40" x14ac:dyDescent="0.25">
      <c r="A1113" s="52" t="s">
        <v>1292</v>
      </c>
      <c r="B1113" s="20" t="s">
        <v>30</v>
      </c>
      <c r="C1113" s="35">
        <v>21551</v>
      </c>
      <c r="D1113" s="29">
        <f ca="1">DATEDIF(C1113,TODAY(),"Y")</f>
        <v>67</v>
      </c>
      <c r="E1113" s="5" t="s">
        <v>25</v>
      </c>
      <c r="F1113" s="30">
        <v>169</v>
      </c>
      <c r="G1113" s="30">
        <v>68</v>
      </c>
      <c r="H1113" s="31">
        <f>G1113/((F1113/100)*(F1113/100))</f>
        <v>23.808690171912751</v>
      </c>
      <c r="I1113" s="5">
        <v>96</v>
      </c>
      <c r="J1113" s="30">
        <v>130</v>
      </c>
      <c r="K1113" s="30">
        <v>80</v>
      </c>
      <c r="L1113" s="29">
        <f>IF(B1113="Nữ",0,2)</f>
        <v>2</v>
      </c>
      <c r="M1113" s="29">
        <f ca="1">IF(D1113&lt;45,0,IF(D1113&lt;=49,1,2))</f>
        <v>2</v>
      </c>
      <c r="N1113" s="29">
        <f>IF(E1113="Có",4,0)</f>
        <v>4</v>
      </c>
      <c r="O1113" s="29">
        <f>IF(H1113&lt;23,0,IF(H1113&lt;27.5,3,5))</f>
        <v>3</v>
      </c>
      <c r="P1113" s="29">
        <f>IF(OR(AND(B1113="Nam",I1113&gt;=90),AND(B1113="Nữ",I1113&gt;=80)),2,0)</f>
        <v>2</v>
      </c>
      <c r="Q1113" s="29">
        <f>IF(OR(J1113&gt;=140,K1113&gt;=90),2,0)</f>
        <v>0</v>
      </c>
      <c r="R1113" s="29">
        <f ca="1">SUM(L1113:Q1113)</f>
        <v>13</v>
      </c>
      <c r="S1113" s="33"/>
      <c r="T1113" s="33"/>
      <c r="U1113" s="33"/>
      <c r="V1113" s="33"/>
      <c r="W1113" s="33"/>
      <c r="X1113" s="33"/>
      <c r="Y1113" s="33"/>
      <c r="Z1113" s="33"/>
      <c r="AA1113" s="33"/>
      <c r="AB1113" s="33"/>
      <c r="AC1113" s="33"/>
      <c r="AD1113" s="5" t="s">
        <v>1393</v>
      </c>
      <c r="AE1113" s="33"/>
      <c r="AF1113" s="59" t="str">
        <f t="shared" si="52"/>
        <v>Không</v>
      </c>
      <c r="AG1113" s="59" t="str">
        <f t="shared" si="53"/>
        <v>Không</v>
      </c>
      <c r="AH1113" s="29" t="str">
        <f t="shared" ca="1" si="51"/>
        <v>Có</v>
      </c>
      <c r="AI1113" s="29" t="str">
        <f ca="1">IF((R1113)&gt;=6,"Có","Không")</f>
        <v>Có</v>
      </c>
      <c r="AJ1113" s="29" t="str">
        <f>IF(OR(J1113&gt;=140,K1113&gt;=90),"Có","Không")</f>
        <v>Không</v>
      </c>
      <c r="AK1113" s="5" t="s">
        <v>51</v>
      </c>
      <c r="AL1113" s="35">
        <v>46173</v>
      </c>
      <c r="AM1113" s="29" t="str">
        <f>"Tháng "&amp;MONTH(AL1113)</f>
        <v>Tháng 5</v>
      </c>
      <c r="AN1113" s="69" t="s">
        <v>1376</v>
      </c>
    </row>
    <row r="1114" spans="1:40" x14ac:dyDescent="0.25">
      <c r="A1114" s="52" t="s">
        <v>1293</v>
      </c>
      <c r="B1114" s="20" t="s">
        <v>30</v>
      </c>
      <c r="C1114" s="35">
        <v>24108</v>
      </c>
      <c r="D1114" s="29">
        <f ca="1">DATEDIF(C1114,TODAY(),"Y")</f>
        <v>60</v>
      </c>
      <c r="E1114" s="5" t="s">
        <v>26</v>
      </c>
      <c r="F1114" s="30">
        <v>169</v>
      </c>
      <c r="G1114" s="30">
        <v>68</v>
      </c>
      <c r="H1114" s="31">
        <f>G1114/((F1114/100)*(F1114/100))</f>
        <v>23.808690171912751</v>
      </c>
      <c r="I1114" s="5">
        <v>75</v>
      </c>
      <c r="J1114" s="30">
        <v>150</v>
      </c>
      <c r="K1114" s="30">
        <v>80</v>
      </c>
      <c r="L1114" s="29">
        <f>IF(B1114="Nữ",0,2)</f>
        <v>2</v>
      </c>
      <c r="M1114" s="29">
        <f ca="1">IF(D1114&lt;45,0,IF(D1114&lt;=49,1,2))</f>
        <v>2</v>
      </c>
      <c r="N1114" s="29">
        <f>IF(E1114="Có",4,0)</f>
        <v>0</v>
      </c>
      <c r="O1114" s="29">
        <f>IF(H1114&lt;23,0,IF(H1114&lt;27.5,3,5))</f>
        <v>3</v>
      </c>
      <c r="P1114" s="29">
        <f>IF(OR(AND(B1114="Nam",I1114&gt;=90),AND(B1114="Nữ",I1114&gt;=80)),2,0)</f>
        <v>0</v>
      </c>
      <c r="Q1114" s="29">
        <f>IF(OR(J1114&gt;=140,K1114&gt;=90),2,0)</f>
        <v>2</v>
      </c>
      <c r="R1114" s="29">
        <f ca="1">SUM(L1114:Q1114)</f>
        <v>9</v>
      </c>
      <c r="S1114" s="33"/>
      <c r="T1114" s="33"/>
      <c r="U1114" s="33"/>
      <c r="V1114" s="33"/>
      <c r="W1114" s="33"/>
      <c r="X1114" s="33"/>
      <c r="Y1114" s="33"/>
      <c r="Z1114" s="33"/>
      <c r="AA1114" s="33"/>
      <c r="AB1114" s="33"/>
      <c r="AC1114" s="33"/>
      <c r="AD1114" s="5" t="s">
        <v>1393</v>
      </c>
      <c r="AE1114" s="33"/>
      <c r="AF1114" s="59" t="str">
        <f t="shared" si="52"/>
        <v>Không</v>
      </c>
      <c r="AG1114" s="59" t="str">
        <f t="shared" si="53"/>
        <v>Không</v>
      </c>
      <c r="AH1114" s="29" t="str">
        <f t="shared" ca="1" si="51"/>
        <v>Có</v>
      </c>
      <c r="AI1114" s="29" t="str">
        <f ca="1">IF((R1114)&gt;=6,"Có","Không")</f>
        <v>Có</v>
      </c>
      <c r="AJ1114" s="29" t="str">
        <f>IF(OR(J1114&gt;=140,K1114&gt;=90),"Có","Không")</f>
        <v>Có</v>
      </c>
      <c r="AK1114" s="5" t="s">
        <v>51</v>
      </c>
      <c r="AL1114" s="35">
        <v>46173</v>
      </c>
      <c r="AM1114" s="29" t="str">
        <f>"Tháng "&amp;MONTH(AL1114)</f>
        <v>Tháng 5</v>
      </c>
      <c r="AN1114" s="69" t="s">
        <v>1376</v>
      </c>
    </row>
    <row r="1115" spans="1:40" x14ac:dyDescent="0.25">
      <c r="A1115" s="52" t="s">
        <v>1294</v>
      </c>
      <c r="B1115" s="20" t="s">
        <v>30</v>
      </c>
      <c r="C1115" s="35">
        <v>16438</v>
      </c>
      <c r="D1115" s="29">
        <f ca="1">DATEDIF(C1115,TODAY(),"Y")</f>
        <v>81</v>
      </c>
      <c r="E1115" s="5" t="s">
        <v>26</v>
      </c>
      <c r="F1115" s="30">
        <v>169</v>
      </c>
      <c r="G1115" s="30">
        <v>68</v>
      </c>
      <c r="H1115" s="31">
        <f>G1115/((F1115/100)*(F1115/100))</f>
        <v>23.808690171912751</v>
      </c>
      <c r="I1115" s="5">
        <v>69</v>
      </c>
      <c r="J1115" s="30">
        <v>130</v>
      </c>
      <c r="K1115" s="30">
        <v>80</v>
      </c>
      <c r="L1115" s="29">
        <f>IF(B1115="Nữ",0,2)</f>
        <v>2</v>
      </c>
      <c r="M1115" s="29">
        <f ca="1">IF(D1115&lt;45,0,IF(D1115&lt;=49,1,2))</f>
        <v>2</v>
      </c>
      <c r="N1115" s="29">
        <f>IF(E1115="Có",4,0)</f>
        <v>0</v>
      </c>
      <c r="O1115" s="29">
        <f>IF(H1115&lt;23,0,IF(H1115&lt;27.5,3,5))</f>
        <v>3</v>
      </c>
      <c r="P1115" s="29">
        <f>IF(OR(AND(B1115="Nam",I1115&gt;=90),AND(B1115="Nữ",I1115&gt;=80)),2,0)</f>
        <v>0</v>
      </c>
      <c r="Q1115" s="29">
        <f>IF(OR(J1115&gt;=140,K1115&gt;=90),2,0)</f>
        <v>0</v>
      </c>
      <c r="R1115" s="29">
        <f ca="1">SUM(L1115:Q1115)</f>
        <v>7</v>
      </c>
      <c r="S1115" s="33"/>
      <c r="T1115" s="33"/>
      <c r="U1115" s="33"/>
      <c r="V1115" s="33"/>
      <c r="W1115" s="33"/>
      <c r="X1115" s="33"/>
      <c r="Y1115" s="33"/>
      <c r="Z1115" s="33"/>
      <c r="AA1115" s="33"/>
      <c r="AB1115" s="33"/>
      <c r="AC1115" s="33"/>
      <c r="AD1115" s="5" t="s">
        <v>1393</v>
      </c>
      <c r="AE1115" s="33"/>
      <c r="AF1115" s="59" t="str">
        <f t="shared" si="52"/>
        <v>Không</v>
      </c>
      <c r="AG1115" s="59" t="str">
        <f t="shared" si="53"/>
        <v>Không</v>
      </c>
      <c r="AH1115" s="29" t="str">
        <f t="shared" ca="1" si="51"/>
        <v>Có</v>
      </c>
      <c r="AI1115" s="29" t="str">
        <f ca="1">IF((R1115)&gt;=6,"Có","Không")</f>
        <v>Có</v>
      </c>
      <c r="AJ1115" s="29" t="str">
        <f>IF(OR(J1115&gt;=140,K1115&gt;=90),"Có","Không")</f>
        <v>Không</v>
      </c>
      <c r="AK1115" s="5" t="s">
        <v>51</v>
      </c>
      <c r="AL1115" s="35">
        <v>46173</v>
      </c>
      <c r="AM1115" s="29" t="str">
        <f>"Tháng "&amp;MONTH(AL1115)</f>
        <v>Tháng 5</v>
      </c>
      <c r="AN1115" s="69" t="s">
        <v>1376</v>
      </c>
    </row>
    <row r="1116" spans="1:40" x14ac:dyDescent="0.25">
      <c r="A1116" s="52" t="s">
        <v>1295</v>
      </c>
      <c r="B1116" s="21" t="s">
        <v>23</v>
      </c>
      <c r="C1116" s="35">
        <v>17899</v>
      </c>
      <c r="D1116" s="29">
        <f ca="1">DATEDIF(C1116,TODAY(),"Y")</f>
        <v>77</v>
      </c>
      <c r="E1116" s="5" t="s">
        <v>26</v>
      </c>
      <c r="F1116" s="30">
        <v>152</v>
      </c>
      <c r="G1116" s="30">
        <v>52</v>
      </c>
      <c r="H1116" s="31">
        <f>G1116/((F1116/100)*(F1116/100))</f>
        <v>22.506925207756233</v>
      </c>
      <c r="I1116" s="5">
        <v>85</v>
      </c>
      <c r="J1116" s="30">
        <v>140</v>
      </c>
      <c r="K1116" s="30">
        <v>80</v>
      </c>
      <c r="L1116" s="29">
        <f>IF(B1116="Nữ",0,2)</f>
        <v>0</v>
      </c>
      <c r="M1116" s="29">
        <f ca="1">IF(D1116&lt;45,0,IF(D1116&lt;=49,1,2))</f>
        <v>2</v>
      </c>
      <c r="N1116" s="29">
        <f>IF(E1116="Có",4,0)</f>
        <v>0</v>
      </c>
      <c r="O1116" s="29">
        <f>IF(H1116&lt;23,0,IF(H1116&lt;27.5,3,5))</f>
        <v>0</v>
      </c>
      <c r="P1116" s="29">
        <f>IF(OR(AND(B1116="Nam",I1116&gt;=90),AND(B1116="Nữ",I1116&gt;=80)),2,0)</f>
        <v>2</v>
      </c>
      <c r="Q1116" s="29">
        <f>IF(OR(J1116&gt;=140,K1116&gt;=90),2,0)</f>
        <v>2</v>
      </c>
      <c r="R1116" s="29">
        <f ca="1">SUM(L1116:Q1116)</f>
        <v>6</v>
      </c>
      <c r="S1116" s="33"/>
      <c r="T1116" s="33"/>
      <c r="U1116" s="33"/>
      <c r="V1116" s="33"/>
      <c r="W1116" s="33"/>
      <c r="X1116" s="33"/>
      <c r="Y1116" s="33"/>
      <c r="Z1116" s="33"/>
      <c r="AA1116" s="33"/>
      <c r="AB1116" s="33"/>
      <c r="AC1116" s="33"/>
      <c r="AD1116" s="5" t="s">
        <v>1393</v>
      </c>
      <c r="AE1116" s="33"/>
      <c r="AF1116" s="59" t="str">
        <f t="shared" si="52"/>
        <v>Không</v>
      </c>
      <c r="AG1116" s="59" t="str">
        <f t="shared" si="53"/>
        <v>Không</v>
      </c>
      <c r="AH1116" s="29" t="str">
        <f t="shared" ca="1" si="51"/>
        <v>Có</v>
      </c>
      <c r="AI1116" s="29" t="str">
        <f ca="1">IF((R1116)&gt;=6,"Có","Không")</f>
        <v>Có</v>
      </c>
      <c r="AJ1116" s="29" t="str">
        <f>IF(OR(J1116&gt;=140,K1116&gt;=90),"Có","Không")</f>
        <v>Có</v>
      </c>
      <c r="AK1116" s="5" t="s">
        <v>51</v>
      </c>
      <c r="AL1116" s="35">
        <v>46173</v>
      </c>
      <c r="AM1116" s="29" t="str">
        <f>"Tháng "&amp;MONTH(AL1116)</f>
        <v>Tháng 5</v>
      </c>
      <c r="AN1116" s="69" t="s">
        <v>1376</v>
      </c>
    </row>
    <row r="1117" spans="1:40" x14ac:dyDescent="0.25">
      <c r="A1117" s="52" t="s">
        <v>1296</v>
      </c>
      <c r="B1117" s="21" t="s">
        <v>23</v>
      </c>
      <c r="C1117" s="35">
        <v>20455</v>
      </c>
      <c r="D1117" s="29">
        <f ca="1">DATEDIF(C1117,TODAY(),"Y")</f>
        <v>70</v>
      </c>
      <c r="E1117" s="5" t="s">
        <v>25</v>
      </c>
      <c r="F1117" s="30">
        <v>158</v>
      </c>
      <c r="G1117" s="30">
        <v>53</v>
      </c>
      <c r="H1117" s="31">
        <f>G1117/((F1117/100)*(F1117/100))</f>
        <v>21.230572023714146</v>
      </c>
      <c r="I1117" s="5">
        <v>65</v>
      </c>
      <c r="J1117" s="30">
        <v>130</v>
      </c>
      <c r="K1117" s="30">
        <v>70</v>
      </c>
      <c r="L1117" s="29">
        <f>IF(B1117="Nữ",0,2)</f>
        <v>0</v>
      </c>
      <c r="M1117" s="29">
        <f ca="1">IF(D1117&lt;45,0,IF(D1117&lt;=49,1,2))</f>
        <v>2</v>
      </c>
      <c r="N1117" s="29">
        <f>IF(E1117="Có",4,0)</f>
        <v>4</v>
      </c>
      <c r="O1117" s="29">
        <f>IF(H1117&lt;23,0,IF(H1117&lt;27.5,3,5))</f>
        <v>0</v>
      </c>
      <c r="P1117" s="29">
        <f>IF(OR(AND(B1117="Nam",I1117&gt;=90),AND(B1117="Nữ",I1117&gt;=80)),2,0)</f>
        <v>0</v>
      </c>
      <c r="Q1117" s="29">
        <f>IF(OR(J1117&gt;=140,K1117&gt;=90),2,0)</f>
        <v>0</v>
      </c>
      <c r="R1117" s="29">
        <f ca="1">SUM(L1117:Q1117)</f>
        <v>6</v>
      </c>
      <c r="S1117" s="33"/>
      <c r="T1117" s="33"/>
      <c r="U1117" s="33"/>
      <c r="V1117" s="33"/>
      <c r="W1117" s="33"/>
      <c r="X1117" s="33"/>
      <c r="Y1117" s="33"/>
      <c r="Z1117" s="33"/>
      <c r="AA1117" s="33"/>
      <c r="AB1117" s="33"/>
      <c r="AC1117" s="33"/>
      <c r="AD1117" s="5" t="s">
        <v>1393</v>
      </c>
      <c r="AE1117" s="33"/>
      <c r="AF1117" s="59" t="str">
        <f t="shared" si="52"/>
        <v>Không</v>
      </c>
      <c r="AG1117" s="59" t="str">
        <f t="shared" si="53"/>
        <v>Không</v>
      </c>
      <c r="AH1117" s="29" t="str">
        <f t="shared" ca="1" si="51"/>
        <v>Có</v>
      </c>
      <c r="AI1117" s="29" t="str">
        <f ca="1">IF((R1117)&gt;=6,"Có","Không")</f>
        <v>Có</v>
      </c>
      <c r="AJ1117" s="29" t="str">
        <f>IF(OR(J1117&gt;=140,K1117&gt;=90),"Có","Không")</f>
        <v>Không</v>
      </c>
      <c r="AK1117" s="5" t="s">
        <v>51</v>
      </c>
      <c r="AL1117" s="35">
        <v>46173</v>
      </c>
      <c r="AM1117" s="29" t="str">
        <f>"Tháng "&amp;MONTH(AL1117)</f>
        <v>Tháng 5</v>
      </c>
      <c r="AN1117" s="69" t="s">
        <v>1376</v>
      </c>
    </row>
    <row r="1118" spans="1:40" x14ac:dyDescent="0.25">
      <c r="A1118" s="52" t="s">
        <v>1297</v>
      </c>
      <c r="B1118" s="21" t="s">
        <v>23</v>
      </c>
      <c r="C1118" s="35">
        <v>24108</v>
      </c>
      <c r="D1118" s="29">
        <f ca="1">DATEDIF(C1118,TODAY(),"Y")</f>
        <v>60</v>
      </c>
      <c r="E1118" s="5" t="s">
        <v>25</v>
      </c>
      <c r="F1118" s="30">
        <v>158</v>
      </c>
      <c r="G1118" s="30">
        <v>58</v>
      </c>
      <c r="H1118" s="31">
        <f>G1118/((F1118/100)*(F1118/100))</f>
        <v>23.233456176894723</v>
      </c>
      <c r="I1118" s="5">
        <v>85</v>
      </c>
      <c r="J1118" s="30">
        <v>120</v>
      </c>
      <c r="K1118" s="30">
        <v>80</v>
      </c>
      <c r="L1118" s="29">
        <f>IF(B1118="Nữ",0,2)</f>
        <v>0</v>
      </c>
      <c r="M1118" s="29">
        <f ca="1">IF(D1118&lt;45,0,IF(D1118&lt;=49,1,2))</f>
        <v>2</v>
      </c>
      <c r="N1118" s="29">
        <f>IF(E1118="Có",4,0)</f>
        <v>4</v>
      </c>
      <c r="O1118" s="29">
        <f>IF(H1118&lt;23,0,IF(H1118&lt;27.5,3,5))</f>
        <v>3</v>
      </c>
      <c r="P1118" s="29">
        <f>IF(OR(AND(B1118="Nam",I1118&gt;=90),AND(B1118="Nữ",I1118&gt;=80)),2,0)</f>
        <v>2</v>
      </c>
      <c r="Q1118" s="29">
        <f>IF(OR(J1118&gt;=140,K1118&gt;=90),2,0)</f>
        <v>0</v>
      </c>
      <c r="R1118" s="29">
        <f ca="1">SUM(L1118:Q1118)</f>
        <v>11</v>
      </c>
      <c r="S1118" s="33"/>
      <c r="T1118" s="33"/>
      <c r="U1118" s="33"/>
      <c r="V1118" s="33"/>
      <c r="W1118" s="33"/>
      <c r="X1118" s="33"/>
      <c r="Y1118" s="33"/>
      <c r="Z1118" s="33"/>
      <c r="AA1118" s="33"/>
      <c r="AB1118" s="33"/>
      <c r="AC1118" s="33"/>
      <c r="AD1118" s="5" t="s">
        <v>1393</v>
      </c>
      <c r="AE1118" s="33"/>
      <c r="AF1118" s="59" t="str">
        <f t="shared" si="52"/>
        <v>Không</v>
      </c>
      <c r="AG1118" s="59" t="str">
        <f t="shared" si="53"/>
        <v>Không</v>
      </c>
      <c r="AH1118" s="29" t="str">
        <f t="shared" ca="1" si="51"/>
        <v>Có</v>
      </c>
      <c r="AI1118" s="29" t="str">
        <f ca="1">IF((R1118)&gt;=6,"Có","Không")</f>
        <v>Có</v>
      </c>
      <c r="AJ1118" s="29" t="str">
        <f>IF(OR(J1118&gt;=140,K1118&gt;=90),"Có","Không")</f>
        <v>Không</v>
      </c>
      <c r="AK1118" s="5" t="s">
        <v>51</v>
      </c>
      <c r="AL1118" s="35">
        <v>46173</v>
      </c>
      <c r="AM1118" s="29" t="str">
        <f>"Tháng "&amp;MONTH(AL1118)</f>
        <v>Tháng 5</v>
      </c>
      <c r="AN1118" s="69" t="s">
        <v>1376</v>
      </c>
    </row>
    <row r="1119" spans="1:40" x14ac:dyDescent="0.25">
      <c r="A1119" s="52" t="s">
        <v>1298</v>
      </c>
      <c r="B1119" s="21" t="s">
        <v>23</v>
      </c>
      <c r="C1119" s="35">
        <v>27030</v>
      </c>
      <c r="D1119" s="29">
        <f ca="1">DATEDIF(C1119,TODAY(),"Y")</f>
        <v>52</v>
      </c>
      <c r="E1119" s="5" t="s">
        <v>26</v>
      </c>
      <c r="F1119" s="30">
        <v>169</v>
      </c>
      <c r="G1119" s="30">
        <v>68</v>
      </c>
      <c r="H1119" s="31">
        <f>G1119/((F1119/100)*(F1119/100))</f>
        <v>23.808690171912751</v>
      </c>
      <c r="I1119" s="5">
        <v>82</v>
      </c>
      <c r="J1119" s="30">
        <v>130</v>
      </c>
      <c r="K1119" s="30">
        <v>70</v>
      </c>
      <c r="L1119" s="29">
        <f>IF(B1119="Nữ",0,2)</f>
        <v>0</v>
      </c>
      <c r="M1119" s="29">
        <f ca="1">IF(D1119&lt;45,0,IF(D1119&lt;=49,1,2))</f>
        <v>2</v>
      </c>
      <c r="N1119" s="29">
        <f>IF(E1119="Có",4,0)</f>
        <v>0</v>
      </c>
      <c r="O1119" s="29">
        <f>IF(H1119&lt;23,0,IF(H1119&lt;27.5,3,5))</f>
        <v>3</v>
      </c>
      <c r="P1119" s="29">
        <f>IF(OR(AND(B1119="Nam",I1119&gt;=90),AND(B1119="Nữ",I1119&gt;=80)),2,0)</f>
        <v>2</v>
      </c>
      <c r="Q1119" s="29">
        <f>IF(OR(J1119&gt;=140,K1119&gt;=90),2,0)</f>
        <v>0</v>
      </c>
      <c r="R1119" s="29">
        <f ca="1">SUM(L1119:Q1119)</f>
        <v>7</v>
      </c>
      <c r="S1119" s="33"/>
      <c r="T1119" s="33"/>
      <c r="U1119" s="33"/>
      <c r="V1119" s="33"/>
      <c r="W1119" s="33"/>
      <c r="X1119" s="33"/>
      <c r="Y1119" s="33"/>
      <c r="Z1119" s="33"/>
      <c r="AA1119" s="33"/>
      <c r="AB1119" s="33"/>
      <c r="AC1119" s="33"/>
      <c r="AD1119" s="5" t="s">
        <v>1393</v>
      </c>
      <c r="AE1119" s="33"/>
      <c r="AF1119" s="59" t="str">
        <f t="shared" si="52"/>
        <v>Không</v>
      </c>
      <c r="AG1119" s="59" t="str">
        <f t="shared" si="53"/>
        <v>Không</v>
      </c>
      <c r="AH1119" s="29" t="str">
        <f t="shared" ca="1" si="51"/>
        <v>Có</v>
      </c>
      <c r="AI1119" s="29" t="str">
        <f ca="1">IF((R1119)&gt;=6,"Có","Không")</f>
        <v>Có</v>
      </c>
      <c r="AJ1119" s="29" t="str">
        <f>IF(OR(J1119&gt;=140,K1119&gt;=90),"Có","Không")</f>
        <v>Không</v>
      </c>
      <c r="AK1119" s="5" t="s">
        <v>51</v>
      </c>
      <c r="AL1119" s="35">
        <v>46173</v>
      </c>
      <c r="AM1119" s="29" t="str">
        <f>"Tháng "&amp;MONTH(AL1119)</f>
        <v>Tháng 5</v>
      </c>
      <c r="AN1119" s="69" t="s">
        <v>1376</v>
      </c>
    </row>
    <row r="1120" spans="1:40" x14ac:dyDescent="0.25">
      <c r="A1120" s="52" t="s">
        <v>1299</v>
      </c>
      <c r="B1120" s="21" t="s">
        <v>23</v>
      </c>
      <c r="C1120" s="35">
        <v>24838</v>
      </c>
      <c r="D1120" s="29">
        <f ca="1">DATEDIF(C1120,TODAY(),"Y")</f>
        <v>58</v>
      </c>
      <c r="E1120" s="5" t="s">
        <v>26</v>
      </c>
      <c r="F1120" s="30">
        <v>169</v>
      </c>
      <c r="G1120" s="30">
        <v>68</v>
      </c>
      <c r="H1120" s="31">
        <f>G1120/((F1120/100)*(F1120/100))</f>
        <v>23.808690171912751</v>
      </c>
      <c r="I1120" s="5">
        <v>84</v>
      </c>
      <c r="J1120" s="30">
        <v>120</v>
      </c>
      <c r="K1120" s="30">
        <v>80</v>
      </c>
      <c r="L1120" s="29">
        <f>IF(B1120="Nữ",0,2)</f>
        <v>0</v>
      </c>
      <c r="M1120" s="29">
        <f ca="1">IF(D1120&lt;45,0,IF(D1120&lt;=49,1,2))</f>
        <v>2</v>
      </c>
      <c r="N1120" s="29">
        <f>IF(E1120="Có",4,0)</f>
        <v>0</v>
      </c>
      <c r="O1120" s="29">
        <f>IF(H1120&lt;23,0,IF(H1120&lt;27.5,3,5))</f>
        <v>3</v>
      </c>
      <c r="P1120" s="29">
        <f>IF(OR(AND(B1120="Nam",I1120&gt;=90),AND(B1120="Nữ",I1120&gt;=80)),2,0)</f>
        <v>2</v>
      </c>
      <c r="Q1120" s="29">
        <f>IF(OR(J1120&gt;=140,K1120&gt;=90),2,0)</f>
        <v>0</v>
      </c>
      <c r="R1120" s="29">
        <f ca="1">SUM(L1120:Q1120)</f>
        <v>7</v>
      </c>
      <c r="S1120" s="33"/>
      <c r="T1120" s="33"/>
      <c r="U1120" s="33"/>
      <c r="V1120" s="33"/>
      <c r="W1120" s="33"/>
      <c r="X1120" s="33"/>
      <c r="Y1120" s="33"/>
      <c r="Z1120" s="33"/>
      <c r="AA1120" s="33"/>
      <c r="AB1120" s="33"/>
      <c r="AC1120" s="33"/>
      <c r="AD1120" s="5" t="s">
        <v>1393</v>
      </c>
      <c r="AE1120" s="33"/>
      <c r="AF1120" s="59" t="str">
        <f t="shared" si="52"/>
        <v>Không</v>
      </c>
      <c r="AG1120" s="59" t="str">
        <f t="shared" si="53"/>
        <v>Không</v>
      </c>
      <c r="AH1120" s="29" t="str">
        <f t="shared" ca="1" si="51"/>
        <v>Có</v>
      </c>
      <c r="AI1120" s="29" t="str">
        <f ca="1">IF((R1120)&gt;=6,"Có","Không")</f>
        <v>Có</v>
      </c>
      <c r="AJ1120" s="29" t="str">
        <f>IF(OR(J1120&gt;=140,K1120&gt;=90),"Có","Không")</f>
        <v>Không</v>
      </c>
      <c r="AK1120" s="5" t="s">
        <v>51</v>
      </c>
      <c r="AL1120" s="35">
        <v>46173</v>
      </c>
      <c r="AM1120" s="29" t="str">
        <f>"Tháng "&amp;MONTH(AL1120)</f>
        <v>Tháng 5</v>
      </c>
      <c r="AN1120" s="69" t="s">
        <v>1376</v>
      </c>
    </row>
    <row r="1121" spans="1:40" x14ac:dyDescent="0.25">
      <c r="A1121" s="52" t="s">
        <v>1300</v>
      </c>
      <c r="B1121" s="20" t="s">
        <v>30</v>
      </c>
      <c r="C1121" s="35">
        <v>21551</v>
      </c>
      <c r="D1121" s="29">
        <f ca="1">DATEDIF(C1121,TODAY(),"Y")</f>
        <v>67</v>
      </c>
      <c r="E1121" s="5" t="s">
        <v>25</v>
      </c>
      <c r="F1121" s="30">
        <v>169</v>
      </c>
      <c r="G1121" s="30">
        <v>68</v>
      </c>
      <c r="H1121" s="31">
        <f>G1121/((F1121/100)*(F1121/100))</f>
        <v>23.808690171912751</v>
      </c>
      <c r="I1121" s="5">
        <v>81</v>
      </c>
      <c r="J1121" s="30">
        <v>120</v>
      </c>
      <c r="K1121" s="30">
        <v>70</v>
      </c>
      <c r="L1121" s="29">
        <f>IF(B1121="Nữ",0,2)</f>
        <v>2</v>
      </c>
      <c r="M1121" s="29">
        <f ca="1">IF(D1121&lt;45,0,IF(D1121&lt;=49,1,2))</f>
        <v>2</v>
      </c>
      <c r="N1121" s="29">
        <f>IF(E1121="Có",4,0)</f>
        <v>4</v>
      </c>
      <c r="O1121" s="29">
        <f>IF(H1121&lt;23,0,IF(H1121&lt;27.5,3,5))</f>
        <v>3</v>
      </c>
      <c r="P1121" s="29">
        <f>IF(OR(AND(B1121="Nam",I1121&gt;=90),AND(B1121="Nữ",I1121&gt;=80)),2,0)</f>
        <v>0</v>
      </c>
      <c r="Q1121" s="29">
        <f>IF(OR(J1121&gt;=140,K1121&gt;=90),2,0)</f>
        <v>0</v>
      </c>
      <c r="R1121" s="29">
        <f ca="1">SUM(L1121:Q1121)</f>
        <v>11</v>
      </c>
      <c r="S1121" s="33"/>
      <c r="T1121" s="33"/>
      <c r="U1121" s="33"/>
      <c r="V1121" s="33"/>
      <c r="W1121" s="33"/>
      <c r="X1121" s="33"/>
      <c r="Y1121" s="33"/>
      <c r="Z1121" s="33"/>
      <c r="AA1121" s="33"/>
      <c r="AB1121" s="33"/>
      <c r="AC1121" s="33"/>
      <c r="AD1121" s="5" t="s">
        <v>1393</v>
      </c>
      <c r="AE1121" s="33"/>
      <c r="AF1121" s="59" t="str">
        <f t="shared" si="52"/>
        <v>Không</v>
      </c>
      <c r="AG1121" s="59" t="str">
        <f t="shared" si="53"/>
        <v>Không</v>
      </c>
      <c r="AH1121" s="29" t="str">
        <f t="shared" ca="1" si="51"/>
        <v>Có</v>
      </c>
      <c r="AI1121" s="29" t="str">
        <f ca="1">IF((R1121)&gt;=6,"Có","Không")</f>
        <v>Có</v>
      </c>
      <c r="AJ1121" s="29" t="str">
        <f>IF(OR(J1121&gt;=140,K1121&gt;=90),"Có","Không")</f>
        <v>Không</v>
      </c>
      <c r="AK1121" s="5" t="s">
        <v>51</v>
      </c>
      <c r="AL1121" s="35">
        <v>46173</v>
      </c>
      <c r="AM1121" s="29" t="str">
        <f>"Tháng "&amp;MONTH(AL1121)</f>
        <v>Tháng 5</v>
      </c>
      <c r="AN1121" s="69" t="s">
        <v>1376</v>
      </c>
    </row>
    <row r="1122" spans="1:40" x14ac:dyDescent="0.25">
      <c r="A1122" s="52" t="s">
        <v>1301</v>
      </c>
      <c r="B1122" s="21" t="s">
        <v>23</v>
      </c>
      <c r="C1122" s="35">
        <v>20455</v>
      </c>
      <c r="D1122" s="29">
        <f ca="1">DATEDIF(C1122,TODAY(),"Y")</f>
        <v>70</v>
      </c>
      <c r="E1122" s="5" t="s">
        <v>26</v>
      </c>
      <c r="F1122" s="30">
        <v>150</v>
      </c>
      <c r="G1122" s="30">
        <v>47</v>
      </c>
      <c r="H1122" s="31">
        <f>G1122/((F1122/100)*(F1122/100))</f>
        <v>20.888888888888889</v>
      </c>
      <c r="I1122" s="5">
        <v>92</v>
      </c>
      <c r="J1122" s="30">
        <v>170</v>
      </c>
      <c r="K1122" s="30">
        <v>80</v>
      </c>
      <c r="L1122" s="29">
        <f>IF(B1122="Nữ",0,2)</f>
        <v>0</v>
      </c>
      <c r="M1122" s="29">
        <f ca="1">IF(D1122&lt;45,0,IF(D1122&lt;=49,1,2))</f>
        <v>2</v>
      </c>
      <c r="N1122" s="29">
        <f>IF(E1122="Có",4,0)</f>
        <v>0</v>
      </c>
      <c r="O1122" s="29">
        <f>IF(H1122&lt;23,0,IF(H1122&lt;27.5,3,5))</f>
        <v>0</v>
      </c>
      <c r="P1122" s="29">
        <f>IF(OR(AND(B1122="Nam",I1122&gt;=90),AND(B1122="Nữ",I1122&gt;=80)),2,0)</f>
        <v>2</v>
      </c>
      <c r="Q1122" s="29">
        <f>IF(OR(J1122&gt;=140,K1122&gt;=90),2,0)</f>
        <v>2</v>
      </c>
      <c r="R1122" s="29">
        <f ca="1">SUM(L1122:Q1122)</f>
        <v>6</v>
      </c>
      <c r="S1122" s="33"/>
      <c r="T1122" s="33"/>
      <c r="U1122" s="33"/>
      <c r="V1122" s="33"/>
      <c r="W1122" s="33"/>
      <c r="X1122" s="33"/>
      <c r="Y1122" s="33"/>
      <c r="Z1122" s="33"/>
      <c r="AA1122" s="33"/>
      <c r="AB1122" s="33"/>
      <c r="AC1122" s="33"/>
      <c r="AD1122" s="5" t="s">
        <v>1393</v>
      </c>
      <c r="AE1122" s="33"/>
      <c r="AF1122" s="59" t="str">
        <f t="shared" si="52"/>
        <v>Không</v>
      </c>
      <c r="AG1122" s="59" t="str">
        <f t="shared" si="53"/>
        <v>Không</v>
      </c>
      <c r="AH1122" s="29" t="str">
        <f t="shared" ca="1" si="51"/>
        <v>Có</v>
      </c>
      <c r="AI1122" s="29" t="str">
        <f ca="1">IF((R1122)&gt;=6,"Có","Không")</f>
        <v>Có</v>
      </c>
      <c r="AJ1122" s="29" t="str">
        <f>IF(OR(J1122&gt;=140,K1122&gt;=90),"Có","Không")</f>
        <v>Có</v>
      </c>
      <c r="AK1122" s="5" t="s">
        <v>51</v>
      </c>
      <c r="AL1122" s="35">
        <v>46173</v>
      </c>
      <c r="AM1122" s="29" t="str">
        <f>"Tháng "&amp;MONTH(AL1122)</f>
        <v>Tháng 5</v>
      </c>
      <c r="AN1122" s="69" t="s">
        <v>1376</v>
      </c>
    </row>
    <row r="1123" spans="1:40" x14ac:dyDescent="0.25">
      <c r="A1123" s="52" t="s">
        <v>1302</v>
      </c>
      <c r="B1123" s="20" t="s">
        <v>30</v>
      </c>
      <c r="C1123" s="35">
        <v>21551</v>
      </c>
      <c r="D1123" s="29">
        <f ca="1">DATEDIF(C1123,TODAY(),"Y")</f>
        <v>67</v>
      </c>
      <c r="E1123" s="5" t="s">
        <v>26</v>
      </c>
      <c r="F1123" s="30">
        <v>182</v>
      </c>
      <c r="G1123" s="30">
        <v>69</v>
      </c>
      <c r="H1123" s="31">
        <f>G1123/((F1123/100)*(F1123/100))</f>
        <v>20.830817534114235</v>
      </c>
      <c r="I1123" s="5">
        <v>82</v>
      </c>
      <c r="J1123" s="30">
        <v>120</v>
      </c>
      <c r="K1123" s="30">
        <v>80</v>
      </c>
      <c r="L1123" s="29">
        <f>IF(B1123="Nữ",0,2)</f>
        <v>2</v>
      </c>
      <c r="M1123" s="29">
        <f ca="1">IF(D1123&lt;45,0,IF(D1123&lt;=49,1,2))</f>
        <v>2</v>
      </c>
      <c r="N1123" s="29">
        <f>IF(E1123="Có",4,0)</f>
        <v>0</v>
      </c>
      <c r="O1123" s="29">
        <f>IF(H1123&lt;23,0,IF(H1123&lt;27.5,3,5))</f>
        <v>0</v>
      </c>
      <c r="P1123" s="29">
        <f>IF(OR(AND(B1123="Nam",I1123&gt;=90),AND(B1123="Nữ",I1123&gt;=80)),2,0)</f>
        <v>0</v>
      </c>
      <c r="Q1123" s="29">
        <f>IF(OR(J1123&gt;=140,K1123&gt;=90),2,0)</f>
        <v>0</v>
      </c>
      <c r="R1123" s="29">
        <f ca="1">SUM(L1123:Q1123)</f>
        <v>4</v>
      </c>
      <c r="S1123" s="33"/>
      <c r="T1123" s="33"/>
      <c r="U1123" s="33"/>
      <c r="V1123" s="33"/>
      <c r="W1123" s="33"/>
      <c r="X1123" s="33"/>
      <c r="Y1123" s="33"/>
      <c r="Z1123" s="33"/>
      <c r="AA1123" s="33"/>
      <c r="AB1123" s="33"/>
      <c r="AC1123" s="33"/>
      <c r="AD1123" s="5" t="s">
        <v>1393</v>
      </c>
      <c r="AE1123" s="33"/>
      <c r="AF1123" s="59" t="str">
        <f t="shared" si="52"/>
        <v>Không</v>
      </c>
      <c r="AG1123" s="59" t="str">
        <f t="shared" si="53"/>
        <v>Không</v>
      </c>
      <c r="AH1123" s="29" t="str">
        <f t="shared" ca="1" si="51"/>
        <v>Không</v>
      </c>
      <c r="AI1123" s="29" t="str">
        <f ca="1">IF((R1123)&gt;=6,"Có","Không")</f>
        <v>Không</v>
      </c>
      <c r="AJ1123" s="29" t="str">
        <f>IF(OR(J1123&gt;=140,K1123&gt;=90),"Có","Không")</f>
        <v>Không</v>
      </c>
      <c r="AK1123" s="5" t="s">
        <v>51</v>
      </c>
      <c r="AL1123" s="35">
        <v>46173</v>
      </c>
      <c r="AM1123" s="29" t="str">
        <f>"Tháng "&amp;MONTH(AL1123)</f>
        <v>Tháng 5</v>
      </c>
      <c r="AN1123" s="69" t="s">
        <v>1376</v>
      </c>
    </row>
    <row r="1124" spans="1:40" x14ac:dyDescent="0.25">
      <c r="A1124" s="52" t="s">
        <v>1303</v>
      </c>
      <c r="B1124" s="21" t="s">
        <v>23</v>
      </c>
      <c r="C1124" s="35">
        <v>23377</v>
      </c>
      <c r="D1124" s="29">
        <f ca="1">DATEDIF(C1124,TODAY(),"Y")</f>
        <v>62</v>
      </c>
      <c r="E1124" s="5" t="s">
        <v>26</v>
      </c>
      <c r="F1124" s="30">
        <v>157</v>
      </c>
      <c r="G1124" s="30">
        <v>56</v>
      </c>
      <c r="H1124" s="31">
        <f>G1124/((F1124/100)*(F1124/100))</f>
        <v>22.718974400584202</v>
      </c>
      <c r="I1124" s="5">
        <v>85</v>
      </c>
      <c r="J1124" s="30">
        <v>120</v>
      </c>
      <c r="K1124" s="30">
        <v>80</v>
      </c>
      <c r="L1124" s="29">
        <f>IF(B1124="Nữ",0,2)</f>
        <v>0</v>
      </c>
      <c r="M1124" s="29">
        <f ca="1">IF(D1124&lt;45,0,IF(D1124&lt;=49,1,2))</f>
        <v>2</v>
      </c>
      <c r="N1124" s="29">
        <f>IF(E1124="Có",4,0)</f>
        <v>0</v>
      </c>
      <c r="O1124" s="29">
        <f>IF(H1124&lt;23,0,IF(H1124&lt;27.5,3,5))</f>
        <v>0</v>
      </c>
      <c r="P1124" s="29">
        <f>IF(OR(AND(B1124="Nam",I1124&gt;=90),AND(B1124="Nữ",I1124&gt;=80)),2,0)</f>
        <v>2</v>
      </c>
      <c r="Q1124" s="29">
        <f>IF(OR(J1124&gt;=140,K1124&gt;=90),2,0)</f>
        <v>0</v>
      </c>
      <c r="R1124" s="29">
        <f ca="1">SUM(L1124:Q1124)</f>
        <v>4</v>
      </c>
      <c r="S1124" s="33"/>
      <c r="T1124" s="33"/>
      <c r="U1124" s="33"/>
      <c r="V1124" s="33"/>
      <c r="W1124" s="33"/>
      <c r="X1124" s="33"/>
      <c r="Y1124" s="33"/>
      <c r="Z1124" s="33"/>
      <c r="AA1124" s="33"/>
      <c r="AB1124" s="33"/>
      <c r="AC1124" s="33"/>
      <c r="AD1124" s="5" t="s">
        <v>1393</v>
      </c>
      <c r="AE1124" s="33"/>
      <c r="AF1124" s="59" t="str">
        <f t="shared" si="52"/>
        <v>Không</v>
      </c>
      <c r="AG1124" s="59" t="str">
        <f t="shared" si="53"/>
        <v>Không</v>
      </c>
      <c r="AH1124" s="29" t="str">
        <f t="shared" ca="1" si="51"/>
        <v>Không</v>
      </c>
      <c r="AI1124" s="29" t="str">
        <f ca="1">IF((R1124)&gt;=6,"Có","Không")</f>
        <v>Không</v>
      </c>
      <c r="AJ1124" s="29" t="str">
        <f>IF(OR(J1124&gt;=140,K1124&gt;=90),"Có","Không")</f>
        <v>Không</v>
      </c>
      <c r="AK1124" s="5" t="s">
        <v>51</v>
      </c>
      <c r="AL1124" s="35">
        <v>46173</v>
      </c>
      <c r="AM1124" s="29" t="str">
        <f>"Tháng "&amp;MONTH(AL1124)</f>
        <v>Tháng 5</v>
      </c>
      <c r="AN1124" s="69" t="s">
        <v>1376</v>
      </c>
    </row>
    <row r="1125" spans="1:40" x14ac:dyDescent="0.25">
      <c r="A1125" s="52" t="s">
        <v>1304</v>
      </c>
      <c r="B1125" s="20" t="s">
        <v>30</v>
      </c>
      <c r="C1125" s="35">
        <v>26299</v>
      </c>
      <c r="D1125" s="29">
        <f ca="1">DATEDIF(C1125,TODAY(),"Y")</f>
        <v>54</v>
      </c>
      <c r="E1125" s="5" t="s">
        <v>26</v>
      </c>
      <c r="F1125" s="30">
        <v>155</v>
      </c>
      <c r="G1125" s="30">
        <v>55</v>
      </c>
      <c r="H1125" s="31">
        <f>G1125/((F1125/100)*(F1125/100))</f>
        <v>22.892819979188342</v>
      </c>
      <c r="I1125" s="5">
        <v>76</v>
      </c>
      <c r="J1125" s="30">
        <v>140</v>
      </c>
      <c r="K1125" s="30">
        <v>80</v>
      </c>
      <c r="L1125" s="29">
        <f>IF(B1125="Nữ",0,2)</f>
        <v>2</v>
      </c>
      <c r="M1125" s="29">
        <f ca="1">IF(D1125&lt;45,0,IF(D1125&lt;=49,1,2))</f>
        <v>2</v>
      </c>
      <c r="N1125" s="29">
        <f>IF(E1125="Có",4,0)</f>
        <v>0</v>
      </c>
      <c r="O1125" s="29">
        <f>IF(H1125&lt;23,0,IF(H1125&lt;27.5,3,5))</f>
        <v>0</v>
      </c>
      <c r="P1125" s="29">
        <f>IF(OR(AND(B1125="Nam",I1125&gt;=90),AND(B1125="Nữ",I1125&gt;=80)),2,0)</f>
        <v>0</v>
      </c>
      <c r="Q1125" s="29">
        <f>IF(OR(J1125&gt;=140,K1125&gt;=90),2,0)</f>
        <v>2</v>
      </c>
      <c r="R1125" s="29">
        <f ca="1">SUM(L1125:Q1125)</f>
        <v>6</v>
      </c>
      <c r="S1125" s="33"/>
      <c r="T1125" s="33"/>
      <c r="U1125" s="33"/>
      <c r="V1125" s="33"/>
      <c r="W1125" s="33"/>
      <c r="X1125" s="33"/>
      <c r="Y1125" s="33"/>
      <c r="Z1125" s="33"/>
      <c r="AA1125" s="33"/>
      <c r="AB1125" s="33"/>
      <c r="AC1125" s="33"/>
      <c r="AD1125" s="5" t="s">
        <v>1393</v>
      </c>
      <c r="AE1125" s="33"/>
      <c r="AF1125" s="59" t="str">
        <f t="shared" si="52"/>
        <v>Không</v>
      </c>
      <c r="AG1125" s="59" t="str">
        <f t="shared" si="53"/>
        <v>Không</v>
      </c>
      <c r="AH1125" s="29" t="str">
        <f t="shared" ca="1" si="51"/>
        <v>Có</v>
      </c>
      <c r="AI1125" s="29" t="str">
        <f ca="1">IF((R1125)&gt;=6,"Có","Không")</f>
        <v>Có</v>
      </c>
      <c r="AJ1125" s="29" t="str">
        <f>IF(OR(J1125&gt;=140,K1125&gt;=90),"Có","Không")</f>
        <v>Có</v>
      </c>
      <c r="AK1125" s="5" t="s">
        <v>51</v>
      </c>
      <c r="AL1125" s="35">
        <v>46173</v>
      </c>
      <c r="AM1125" s="29" t="str">
        <f>"Tháng "&amp;MONTH(AL1125)</f>
        <v>Tháng 5</v>
      </c>
      <c r="AN1125" s="69" t="s">
        <v>1376</v>
      </c>
    </row>
    <row r="1126" spans="1:40" x14ac:dyDescent="0.25">
      <c r="A1126" s="52" t="s">
        <v>1305</v>
      </c>
      <c r="B1126" s="20" t="s">
        <v>30</v>
      </c>
      <c r="C1126" s="35">
        <v>23012</v>
      </c>
      <c r="D1126" s="29">
        <f ca="1">DATEDIF(C1126,TODAY(),"Y")</f>
        <v>63</v>
      </c>
      <c r="E1126" s="5" t="s">
        <v>25</v>
      </c>
      <c r="F1126" s="30">
        <v>155</v>
      </c>
      <c r="G1126" s="30">
        <v>62</v>
      </c>
      <c r="H1126" s="31">
        <f>G1126/((F1126/100)*(F1126/100))</f>
        <v>25.806451612903224</v>
      </c>
      <c r="I1126" s="5">
        <v>69</v>
      </c>
      <c r="J1126" s="30">
        <v>120</v>
      </c>
      <c r="K1126" s="30">
        <v>80</v>
      </c>
      <c r="L1126" s="29">
        <f>IF(B1126="Nữ",0,2)</f>
        <v>2</v>
      </c>
      <c r="M1126" s="29">
        <f ca="1">IF(D1126&lt;45,0,IF(D1126&lt;=49,1,2))</f>
        <v>2</v>
      </c>
      <c r="N1126" s="29">
        <f>IF(E1126="Có",4,0)</f>
        <v>4</v>
      </c>
      <c r="O1126" s="29">
        <f>IF(H1126&lt;23,0,IF(H1126&lt;27.5,3,5))</f>
        <v>3</v>
      </c>
      <c r="P1126" s="29">
        <f>IF(OR(AND(B1126="Nam",I1126&gt;=90),AND(B1126="Nữ",I1126&gt;=80)),2,0)</f>
        <v>0</v>
      </c>
      <c r="Q1126" s="29">
        <f>IF(OR(J1126&gt;=140,K1126&gt;=90),2,0)</f>
        <v>0</v>
      </c>
      <c r="R1126" s="29">
        <f ca="1">SUM(L1126:Q1126)</f>
        <v>11</v>
      </c>
      <c r="S1126" s="33"/>
      <c r="T1126" s="33"/>
      <c r="U1126" s="33"/>
      <c r="V1126" s="33"/>
      <c r="W1126" s="33"/>
      <c r="X1126" s="33"/>
      <c r="Y1126" s="33"/>
      <c r="Z1126" s="33"/>
      <c r="AA1126" s="33"/>
      <c r="AB1126" s="33"/>
      <c r="AC1126" s="33"/>
      <c r="AD1126" s="5" t="s">
        <v>1393</v>
      </c>
      <c r="AE1126" s="33"/>
      <c r="AF1126" s="59" t="str">
        <f t="shared" si="52"/>
        <v>Không</v>
      </c>
      <c r="AG1126" s="59" t="str">
        <f t="shared" si="53"/>
        <v>Không</v>
      </c>
      <c r="AH1126" s="29" t="str">
        <f t="shared" ca="1" si="51"/>
        <v>Có</v>
      </c>
      <c r="AI1126" s="29" t="str">
        <f ca="1">IF((R1126)&gt;=6,"Có","Không")</f>
        <v>Có</v>
      </c>
      <c r="AJ1126" s="29" t="str">
        <f>IF(OR(J1126&gt;=140,K1126&gt;=90),"Có","Không")</f>
        <v>Không</v>
      </c>
      <c r="AK1126" s="5" t="s">
        <v>51</v>
      </c>
      <c r="AL1126" s="35">
        <v>46173</v>
      </c>
      <c r="AM1126" s="29" t="str">
        <f>"Tháng "&amp;MONTH(AL1126)</f>
        <v>Tháng 5</v>
      </c>
      <c r="AN1126" s="69" t="s">
        <v>1376</v>
      </c>
    </row>
    <row r="1127" spans="1:40" x14ac:dyDescent="0.25">
      <c r="A1127" s="52" t="s">
        <v>1306</v>
      </c>
      <c r="B1127" s="20" t="s">
        <v>30</v>
      </c>
      <c r="C1127" s="35">
        <v>23377</v>
      </c>
      <c r="D1127" s="29">
        <f ca="1">DATEDIF(C1127,TODAY(),"Y")</f>
        <v>62</v>
      </c>
      <c r="E1127" s="5" t="s">
        <v>26</v>
      </c>
      <c r="F1127" s="30">
        <v>170</v>
      </c>
      <c r="G1127" s="30">
        <v>65</v>
      </c>
      <c r="H1127" s="31">
        <f>G1127/((F1127/100)*(F1127/100))</f>
        <v>22.491349480968861</v>
      </c>
      <c r="I1127" s="5">
        <v>87</v>
      </c>
      <c r="J1127" s="30">
        <v>120</v>
      </c>
      <c r="K1127" s="30">
        <v>80</v>
      </c>
      <c r="L1127" s="29">
        <f>IF(B1127="Nữ",0,2)</f>
        <v>2</v>
      </c>
      <c r="M1127" s="29">
        <f ca="1">IF(D1127&lt;45,0,IF(D1127&lt;=49,1,2))</f>
        <v>2</v>
      </c>
      <c r="N1127" s="29">
        <f>IF(E1127="Có",4,0)</f>
        <v>0</v>
      </c>
      <c r="O1127" s="29">
        <f>IF(H1127&lt;23,0,IF(H1127&lt;27.5,3,5))</f>
        <v>0</v>
      </c>
      <c r="P1127" s="29">
        <f>IF(OR(AND(B1127="Nam",I1127&gt;=90),AND(B1127="Nữ",I1127&gt;=80)),2,0)</f>
        <v>0</v>
      </c>
      <c r="Q1127" s="29">
        <f>IF(OR(J1127&gt;=140,K1127&gt;=90),2,0)</f>
        <v>0</v>
      </c>
      <c r="R1127" s="29">
        <f ca="1">SUM(L1127:Q1127)</f>
        <v>4</v>
      </c>
      <c r="S1127" s="33"/>
      <c r="T1127" s="33"/>
      <c r="U1127" s="33"/>
      <c r="V1127" s="33"/>
      <c r="W1127" s="33"/>
      <c r="X1127" s="33"/>
      <c r="Y1127" s="33"/>
      <c r="Z1127" s="33"/>
      <c r="AA1127" s="33"/>
      <c r="AB1127" s="33"/>
      <c r="AC1127" s="33"/>
      <c r="AD1127" s="5" t="s">
        <v>1393</v>
      </c>
      <c r="AE1127" s="33"/>
      <c r="AF1127" s="59" t="str">
        <f t="shared" si="52"/>
        <v>Không</v>
      </c>
      <c r="AG1127" s="59" t="str">
        <f t="shared" si="53"/>
        <v>Không</v>
      </c>
      <c r="AH1127" s="29" t="str">
        <f t="shared" ca="1" si="51"/>
        <v>Không</v>
      </c>
      <c r="AI1127" s="29" t="str">
        <f ca="1">IF((R1127)&gt;=6,"Có","Không")</f>
        <v>Không</v>
      </c>
      <c r="AJ1127" s="29" t="str">
        <f>IF(OR(J1127&gt;=140,K1127&gt;=90),"Có","Không")</f>
        <v>Không</v>
      </c>
      <c r="AK1127" s="5" t="s">
        <v>51</v>
      </c>
      <c r="AL1127" s="35">
        <v>46173</v>
      </c>
      <c r="AM1127" s="29" t="str">
        <f>"Tháng "&amp;MONTH(AL1127)</f>
        <v>Tháng 5</v>
      </c>
      <c r="AN1127" s="69" t="s">
        <v>1376</v>
      </c>
    </row>
    <row r="1128" spans="1:40" x14ac:dyDescent="0.25">
      <c r="A1128" s="51" t="s">
        <v>1307</v>
      </c>
      <c r="B1128" s="21" t="s">
        <v>23</v>
      </c>
      <c r="C1128" s="35">
        <v>23377</v>
      </c>
      <c r="D1128" s="29">
        <f ca="1">DATEDIF(C1128,TODAY(),"Y")</f>
        <v>62</v>
      </c>
      <c r="E1128" s="5" t="s">
        <v>26</v>
      </c>
      <c r="F1128" s="30">
        <v>169</v>
      </c>
      <c r="G1128" s="30">
        <v>69</v>
      </c>
      <c r="H1128" s="31">
        <f>G1128/((F1128/100)*(F1128/100))</f>
        <v>24.158817968558527</v>
      </c>
      <c r="I1128" s="5">
        <v>86</v>
      </c>
      <c r="J1128" s="30">
        <v>140</v>
      </c>
      <c r="K1128" s="30">
        <v>80</v>
      </c>
      <c r="L1128" s="29">
        <f>IF(B1128="Nữ",0,2)</f>
        <v>0</v>
      </c>
      <c r="M1128" s="29">
        <f ca="1">IF(D1128&lt;45,0,IF(D1128&lt;=49,1,2))</f>
        <v>2</v>
      </c>
      <c r="N1128" s="29">
        <f>IF(E1128="Có",4,0)</f>
        <v>0</v>
      </c>
      <c r="O1128" s="29">
        <f>IF(H1128&lt;23,0,IF(H1128&lt;27.5,3,5))</f>
        <v>3</v>
      </c>
      <c r="P1128" s="29">
        <f>IF(OR(AND(B1128="Nam",I1128&gt;=90),AND(B1128="Nữ",I1128&gt;=80)),2,0)</f>
        <v>2</v>
      </c>
      <c r="Q1128" s="29">
        <f>IF(OR(J1128&gt;=140,K1128&gt;=90),2,0)</f>
        <v>2</v>
      </c>
      <c r="R1128" s="29">
        <f ca="1">SUM(L1128:Q1128)</f>
        <v>9</v>
      </c>
      <c r="S1128" s="33"/>
      <c r="T1128" s="33"/>
      <c r="U1128" s="33"/>
      <c r="V1128" s="33"/>
      <c r="W1128" s="33"/>
      <c r="X1128" s="33"/>
      <c r="Y1128" s="33"/>
      <c r="Z1128" s="33"/>
      <c r="AA1128" s="33"/>
      <c r="AB1128" s="33"/>
      <c r="AC1128" s="33"/>
      <c r="AD1128" s="5" t="s">
        <v>1393</v>
      </c>
      <c r="AE1128" s="33"/>
      <c r="AF1128" s="59" t="str">
        <f t="shared" si="52"/>
        <v>Không</v>
      </c>
      <c r="AG1128" s="59" t="str">
        <f t="shared" si="53"/>
        <v>Không</v>
      </c>
      <c r="AH1128" s="29" t="str">
        <f t="shared" ca="1" si="51"/>
        <v>Có</v>
      </c>
      <c r="AI1128" s="29" t="str">
        <f ca="1">IF((R1128)&gt;=6,"Có","Không")</f>
        <v>Có</v>
      </c>
      <c r="AJ1128" s="29" t="str">
        <f>IF(OR(J1128&gt;=140,K1128&gt;=90),"Có","Không")</f>
        <v>Có</v>
      </c>
      <c r="AK1128" s="5" t="s">
        <v>51</v>
      </c>
      <c r="AL1128" s="35">
        <v>46173</v>
      </c>
      <c r="AM1128" s="29" t="str">
        <f>"Tháng "&amp;MONTH(AL1128)</f>
        <v>Tháng 5</v>
      </c>
      <c r="AN1128" s="69" t="s">
        <v>1376</v>
      </c>
    </row>
    <row r="1129" spans="1:40" x14ac:dyDescent="0.25">
      <c r="A1129" s="51" t="s">
        <v>879</v>
      </c>
      <c r="B1129" s="20" t="s">
        <v>30</v>
      </c>
      <c r="C1129" s="35">
        <v>24473</v>
      </c>
      <c r="D1129" s="29">
        <f ca="1">DATEDIF(C1129,TODAY(),"Y")</f>
        <v>59</v>
      </c>
      <c r="E1129" s="5" t="s">
        <v>26</v>
      </c>
      <c r="F1129" s="30">
        <v>158</v>
      </c>
      <c r="G1129" s="30">
        <v>58</v>
      </c>
      <c r="H1129" s="31">
        <f>G1129/((F1129/100)*(F1129/100))</f>
        <v>23.233456176894723</v>
      </c>
      <c r="I1129" s="5">
        <v>72</v>
      </c>
      <c r="J1129" s="30">
        <v>120</v>
      </c>
      <c r="K1129" s="30">
        <v>80</v>
      </c>
      <c r="L1129" s="29">
        <f>IF(B1129="Nữ",0,2)</f>
        <v>2</v>
      </c>
      <c r="M1129" s="29">
        <f ca="1">IF(D1129&lt;45,0,IF(D1129&lt;=49,1,2))</f>
        <v>2</v>
      </c>
      <c r="N1129" s="29">
        <f>IF(E1129="Có",4,0)</f>
        <v>0</v>
      </c>
      <c r="O1129" s="29">
        <f>IF(H1129&lt;23,0,IF(H1129&lt;27.5,3,5))</f>
        <v>3</v>
      </c>
      <c r="P1129" s="29">
        <f>IF(OR(AND(B1129="Nam",I1129&gt;=90),AND(B1129="Nữ",I1129&gt;=80)),2,0)</f>
        <v>0</v>
      </c>
      <c r="Q1129" s="29">
        <f>IF(OR(J1129&gt;=140,K1129&gt;=90),2,0)</f>
        <v>0</v>
      </c>
      <c r="R1129" s="29">
        <f ca="1">SUM(L1129:Q1129)</f>
        <v>7</v>
      </c>
      <c r="S1129" s="33"/>
      <c r="T1129" s="33"/>
      <c r="U1129" s="33"/>
      <c r="V1129" s="33"/>
      <c r="W1129" s="33"/>
      <c r="X1129" s="33"/>
      <c r="Y1129" s="33"/>
      <c r="Z1129" s="33"/>
      <c r="AA1129" s="33"/>
      <c r="AB1129" s="33"/>
      <c r="AC1129" s="33"/>
      <c r="AD1129" s="5" t="s">
        <v>1393</v>
      </c>
      <c r="AE1129" s="33"/>
      <c r="AF1129" s="59" t="str">
        <f t="shared" si="52"/>
        <v>Không</v>
      </c>
      <c r="AG1129" s="59" t="str">
        <f t="shared" si="53"/>
        <v>Không</v>
      </c>
      <c r="AH1129" s="29" t="str">
        <f t="shared" ca="1" si="51"/>
        <v>Có</v>
      </c>
      <c r="AI1129" s="29" t="str">
        <f ca="1">IF((R1129)&gt;=6,"Có","Không")</f>
        <v>Có</v>
      </c>
      <c r="AJ1129" s="29" t="str">
        <f>IF(OR(J1129&gt;=140,K1129&gt;=90),"Có","Không")</f>
        <v>Không</v>
      </c>
      <c r="AK1129" s="5" t="s">
        <v>51</v>
      </c>
      <c r="AL1129" s="35">
        <v>46173</v>
      </c>
      <c r="AM1129" s="29" t="str">
        <f>"Tháng "&amp;MONTH(AL1129)</f>
        <v>Tháng 5</v>
      </c>
      <c r="AN1129" s="69" t="s">
        <v>1376</v>
      </c>
    </row>
    <row r="1130" spans="1:40" x14ac:dyDescent="0.25">
      <c r="A1130" s="51" t="s">
        <v>385</v>
      </c>
      <c r="B1130" s="20" t="s">
        <v>23</v>
      </c>
      <c r="C1130" s="35">
        <v>23377</v>
      </c>
      <c r="D1130" s="29">
        <f ca="1">DATEDIF(C1130,TODAY(),"Y")</f>
        <v>62</v>
      </c>
      <c r="E1130" s="5" t="s">
        <v>26</v>
      </c>
      <c r="F1130" s="30">
        <v>158</v>
      </c>
      <c r="G1130" s="30">
        <v>58</v>
      </c>
      <c r="H1130" s="31">
        <f>G1130/((F1130/100)*(F1130/100))</f>
        <v>23.233456176894723</v>
      </c>
      <c r="I1130" s="5">
        <v>67</v>
      </c>
      <c r="J1130" s="30">
        <v>140</v>
      </c>
      <c r="K1130" s="30">
        <v>80</v>
      </c>
      <c r="L1130" s="29">
        <f>IF(B1130="Nữ",0,2)</f>
        <v>0</v>
      </c>
      <c r="M1130" s="29">
        <f ca="1">IF(D1130&lt;45,0,IF(D1130&lt;=49,1,2))</f>
        <v>2</v>
      </c>
      <c r="N1130" s="29">
        <f>IF(E1130="Có",4,0)</f>
        <v>0</v>
      </c>
      <c r="O1130" s="29">
        <f>IF(H1130&lt;23,0,IF(H1130&lt;27.5,3,5))</f>
        <v>3</v>
      </c>
      <c r="P1130" s="29">
        <f>IF(OR(AND(B1130="Nam",I1130&gt;=90),AND(B1130="Nữ",I1130&gt;=80)),2,0)</f>
        <v>0</v>
      </c>
      <c r="Q1130" s="29">
        <f>IF(OR(J1130&gt;=140,K1130&gt;=90),2,0)</f>
        <v>2</v>
      </c>
      <c r="R1130" s="29">
        <f ca="1">SUM(L1130:Q1130)</f>
        <v>7</v>
      </c>
      <c r="S1130" s="33"/>
      <c r="T1130" s="33"/>
      <c r="U1130" s="33"/>
      <c r="V1130" s="33"/>
      <c r="W1130" s="33"/>
      <c r="X1130" s="33"/>
      <c r="Y1130" s="33"/>
      <c r="Z1130" s="33"/>
      <c r="AA1130" s="33"/>
      <c r="AB1130" s="33"/>
      <c r="AC1130" s="33"/>
      <c r="AD1130" s="5" t="s">
        <v>1393</v>
      </c>
      <c r="AE1130" s="33"/>
      <c r="AF1130" s="59" t="str">
        <f t="shared" si="52"/>
        <v>Không</v>
      </c>
      <c r="AG1130" s="59" t="str">
        <f t="shared" si="53"/>
        <v>Không</v>
      </c>
      <c r="AH1130" s="29" t="str">
        <f t="shared" ca="1" si="51"/>
        <v>Có</v>
      </c>
      <c r="AI1130" s="29" t="str">
        <f ca="1">IF((R1130)&gt;=6,"Có","Không")</f>
        <v>Có</v>
      </c>
      <c r="AJ1130" s="29" t="str">
        <f>IF(OR(J1130&gt;=140,K1130&gt;=90),"Có","Không")</f>
        <v>Có</v>
      </c>
      <c r="AK1130" s="5" t="s">
        <v>51</v>
      </c>
      <c r="AL1130" s="35">
        <v>46173</v>
      </c>
      <c r="AM1130" s="29" t="str">
        <f>"Tháng "&amp;MONTH(AL1130)</f>
        <v>Tháng 5</v>
      </c>
      <c r="AN1130" s="69" t="s">
        <v>1376</v>
      </c>
    </row>
    <row r="1131" spans="1:40" x14ac:dyDescent="0.25">
      <c r="A1131" s="51" t="s">
        <v>124</v>
      </c>
      <c r="B1131" s="20" t="s">
        <v>30</v>
      </c>
      <c r="C1131" s="35">
        <v>23377</v>
      </c>
      <c r="D1131" s="29">
        <f ca="1">DATEDIF(C1131,TODAY(),"Y")</f>
        <v>62</v>
      </c>
      <c r="E1131" s="5" t="s">
        <v>26</v>
      </c>
      <c r="F1131" s="30">
        <v>167</v>
      </c>
      <c r="G1131" s="30">
        <v>60</v>
      </c>
      <c r="H1131" s="31">
        <f>G1131/((F1131/100)*(F1131/100))</f>
        <v>21.513858510523864</v>
      </c>
      <c r="I1131" s="5">
        <v>94</v>
      </c>
      <c r="J1131" s="30">
        <v>120</v>
      </c>
      <c r="K1131" s="30">
        <v>80</v>
      </c>
      <c r="L1131" s="29">
        <f>IF(B1131="Nữ",0,2)</f>
        <v>2</v>
      </c>
      <c r="M1131" s="29">
        <f ca="1">IF(D1131&lt;45,0,IF(D1131&lt;=49,1,2))</f>
        <v>2</v>
      </c>
      <c r="N1131" s="29">
        <f>IF(E1131="Có",4,0)</f>
        <v>0</v>
      </c>
      <c r="O1131" s="29">
        <f>IF(H1131&lt;23,0,IF(H1131&lt;27.5,3,5))</f>
        <v>0</v>
      </c>
      <c r="P1131" s="29">
        <f>IF(OR(AND(B1131="Nam",I1131&gt;=90),AND(B1131="Nữ",I1131&gt;=80)),2,0)</f>
        <v>2</v>
      </c>
      <c r="Q1131" s="29">
        <f>IF(OR(J1131&gt;=140,K1131&gt;=90),2,0)</f>
        <v>0</v>
      </c>
      <c r="R1131" s="29">
        <f ca="1">SUM(L1131:Q1131)</f>
        <v>6</v>
      </c>
      <c r="S1131" s="33"/>
      <c r="T1131" s="33"/>
      <c r="U1131" s="33"/>
      <c r="V1131" s="33"/>
      <c r="W1131" s="33"/>
      <c r="X1131" s="33"/>
      <c r="Y1131" s="33"/>
      <c r="Z1131" s="33"/>
      <c r="AA1131" s="33"/>
      <c r="AB1131" s="33"/>
      <c r="AC1131" s="33"/>
      <c r="AD1131" s="5" t="s">
        <v>1393</v>
      </c>
      <c r="AE1131" s="33"/>
      <c r="AF1131" s="59" t="str">
        <f t="shared" si="52"/>
        <v>Không</v>
      </c>
      <c r="AG1131" s="59" t="str">
        <f t="shared" si="53"/>
        <v>Không</v>
      </c>
      <c r="AH1131" s="29" t="str">
        <f t="shared" ca="1" si="51"/>
        <v>Có</v>
      </c>
      <c r="AI1131" s="29" t="str">
        <f ca="1">IF((R1131)&gt;=6,"Có","Không")</f>
        <v>Có</v>
      </c>
      <c r="AJ1131" s="29" t="str">
        <f>IF(OR(J1131&gt;=140,K1131&gt;=90),"Có","Không")</f>
        <v>Không</v>
      </c>
      <c r="AK1131" s="5" t="s">
        <v>51</v>
      </c>
      <c r="AL1131" s="35">
        <v>46173</v>
      </c>
      <c r="AM1131" s="29" t="str">
        <f>"Tháng "&amp;MONTH(AL1131)</f>
        <v>Tháng 5</v>
      </c>
      <c r="AN1131" s="69" t="s">
        <v>1376</v>
      </c>
    </row>
    <row r="1132" spans="1:40" x14ac:dyDescent="0.25">
      <c r="A1132" s="51" t="s">
        <v>466</v>
      </c>
      <c r="B1132" s="20" t="s">
        <v>23</v>
      </c>
      <c r="C1132" s="35">
        <v>27030</v>
      </c>
      <c r="D1132" s="29">
        <f ca="1">DATEDIF(C1132,TODAY(),"Y")</f>
        <v>52</v>
      </c>
      <c r="E1132" s="5" t="s">
        <v>26</v>
      </c>
      <c r="F1132" s="30">
        <v>158</v>
      </c>
      <c r="G1132" s="30">
        <v>58</v>
      </c>
      <c r="H1132" s="31">
        <f>G1132/((F1132/100)*(F1132/100))</f>
        <v>23.233456176894723</v>
      </c>
      <c r="I1132" s="5">
        <v>68</v>
      </c>
      <c r="J1132" s="30">
        <v>150</v>
      </c>
      <c r="K1132" s="30">
        <v>80</v>
      </c>
      <c r="L1132" s="29">
        <f>IF(B1132="Nữ",0,2)</f>
        <v>0</v>
      </c>
      <c r="M1132" s="29">
        <f ca="1">IF(D1132&lt;45,0,IF(D1132&lt;=49,1,2))</f>
        <v>2</v>
      </c>
      <c r="N1132" s="29">
        <f>IF(E1132="Có",4,0)</f>
        <v>0</v>
      </c>
      <c r="O1132" s="29">
        <f>IF(H1132&lt;23,0,IF(H1132&lt;27.5,3,5))</f>
        <v>3</v>
      </c>
      <c r="P1132" s="29">
        <f>IF(OR(AND(B1132="Nam",I1132&gt;=90),AND(B1132="Nữ",I1132&gt;=80)),2,0)</f>
        <v>0</v>
      </c>
      <c r="Q1132" s="29">
        <f>IF(OR(J1132&gt;=140,K1132&gt;=90),2,0)</f>
        <v>2</v>
      </c>
      <c r="R1132" s="29">
        <f ca="1">SUM(L1132:Q1132)</f>
        <v>7</v>
      </c>
      <c r="S1132" s="33"/>
      <c r="T1132" s="33"/>
      <c r="U1132" s="33"/>
      <c r="V1132" s="33"/>
      <c r="W1132" s="33"/>
      <c r="X1132" s="33"/>
      <c r="Y1132" s="33"/>
      <c r="Z1132" s="33"/>
      <c r="AA1132" s="33"/>
      <c r="AB1132" s="33"/>
      <c r="AC1132" s="33"/>
      <c r="AD1132" s="5" t="s">
        <v>1393</v>
      </c>
      <c r="AE1132" s="33"/>
      <c r="AF1132" s="59" t="str">
        <f t="shared" si="52"/>
        <v>Không</v>
      </c>
      <c r="AG1132" s="59" t="str">
        <f t="shared" si="53"/>
        <v>Không</v>
      </c>
      <c r="AH1132" s="29" t="str">
        <f t="shared" ca="1" si="51"/>
        <v>Có</v>
      </c>
      <c r="AI1132" s="29" t="str">
        <f ca="1">IF((R1132)&gt;=6,"Có","Không")</f>
        <v>Có</v>
      </c>
      <c r="AJ1132" s="29" t="str">
        <f>IF(OR(J1132&gt;=140,K1132&gt;=90),"Có","Không")</f>
        <v>Có</v>
      </c>
      <c r="AK1132" s="5" t="s">
        <v>51</v>
      </c>
      <c r="AL1132" s="35">
        <v>46173</v>
      </c>
      <c r="AM1132" s="29" t="str">
        <f>"Tháng "&amp;MONTH(AL1132)</f>
        <v>Tháng 5</v>
      </c>
      <c r="AN1132" s="69" t="s">
        <v>1376</v>
      </c>
    </row>
    <row r="1133" spans="1:40" x14ac:dyDescent="0.25">
      <c r="A1133" s="51" t="s">
        <v>1309</v>
      </c>
      <c r="B1133" s="20" t="s">
        <v>30</v>
      </c>
      <c r="C1133" s="35">
        <v>25934</v>
      </c>
      <c r="D1133" s="29">
        <f ca="1">DATEDIF(C1133,TODAY(),"Y")</f>
        <v>55</v>
      </c>
      <c r="E1133" s="5" t="s">
        <v>26</v>
      </c>
      <c r="F1133" s="30">
        <v>169</v>
      </c>
      <c r="G1133" s="30">
        <v>69</v>
      </c>
      <c r="H1133" s="31">
        <f>G1133/((F1133/100)*(F1133/100))</f>
        <v>24.158817968558527</v>
      </c>
      <c r="I1133" s="5">
        <v>75</v>
      </c>
      <c r="J1133" s="30">
        <v>160</v>
      </c>
      <c r="K1133" s="30">
        <v>80</v>
      </c>
      <c r="L1133" s="29">
        <f>IF(B1133="Nữ",0,2)</f>
        <v>2</v>
      </c>
      <c r="M1133" s="29">
        <f ca="1">IF(D1133&lt;45,0,IF(D1133&lt;=49,1,2))</f>
        <v>2</v>
      </c>
      <c r="N1133" s="29">
        <f>IF(E1133="Có",4,0)</f>
        <v>0</v>
      </c>
      <c r="O1133" s="29">
        <f>IF(H1133&lt;23,0,IF(H1133&lt;27.5,3,5))</f>
        <v>3</v>
      </c>
      <c r="P1133" s="29">
        <f>IF(OR(AND(B1133="Nam",I1133&gt;=90),AND(B1133="Nữ",I1133&gt;=80)),2,0)</f>
        <v>0</v>
      </c>
      <c r="Q1133" s="29">
        <f>IF(OR(J1133&gt;=140,K1133&gt;=90),2,0)</f>
        <v>2</v>
      </c>
      <c r="R1133" s="29">
        <f ca="1">SUM(L1133:Q1133)</f>
        <v>9</v>
      </c>
      <c r="S1133" s="33"/>
      <c r="T1133" s="33"/>
      <c r="U1133" s="33"/>
      <c r="V1133" s="33"/>
      <c r="W1133" s="33"/>
      <c r="X1133" s="33"/>
      <c r="Y1133" s="33"/>
      <c r="Z1133" s="33"/>
      <c r="AA1133" s="33"/>
      <c r="AB1133" s="33"/>
      <c r="AC1133" s="33"/>
      <c r="AD1133" s="5" t="s">
        <v>1393</v>
      </c>
      <c r="AE1133" s="33"/>
      <c r="AF1133" s="59" t="str">
        <f t="shared" si="52"/>
        <v>Không</v>
      </c>
      <c r="AG1133" s="59" t="str">
        <f t="shared" si="53"/>
        <v>Không</v>
      </c>
      <c r="AH1133" s="29" t="str">
        <f t="shared" ca="1" si="51"/>
        <v>Có</v>
      </c>
      <c r="AI1133" s="29" t="str">
        <f ca="1">IF((R1133)&gt;=6,"Có","Không")</f>
        <v>Có</v>
      </c>
      <c r="AJ1133" s="29" t="str">
        <f>IF(OR(J1133&gt;=140,K1133&gt;=90),"Có","Không")</f>
        <v>Có</v>
      </c>
      <c r="AK1133" s="5" t="s">
        <v>51</v>
      </c>
      <c r="AL1133" s="35">
        <v>46173</v>
      </c>
      <c r="AM1133" s="29" t="str">
        <f>"Tháng "&amp;MONTH(AL1133)</f>
        <v>Tháng 5</v>
      </c>
      <c r="AN1133" s="69" t="s">
        <v>1376</v>
      </c>
    </row>
    <row r="1134" spans="1:40" x14ac:dyDescent="0.25">
      <c r="A1134" s="51" t="s">
        <v>1310</v>
      </c>
      <c r="B1134" s="20" t="s">
        <v>23</v>
      </c>
      <c r="C1134" s="35">
        <v>22647</v>
      </c>
      <c r="D1134" s="29">
        <f ca="1">DATEDIF(C1134,TODAY(),"Y")</f>
        <v>64</v>
      </c>
      <c r="E1134" s="5" t="s">
        <v>26</v>
      </c>
      <c r="F1134" s="30">
        <v>182</v>
      </c>
      <c r="G1134" s="30">
        <v>85</v>
      </c>
      <c r="H1134" s="31">
        <f>G1134/((F1134/100)*(F1134/100))</f>
        <v>25.661152034778407</v>
      </c>
      <c r="I1134" s="5">
        <v>82</v>
      </c>
      <c r="J1134" s="30">
        <v>120</v>
      </c>
      <c r="K1134" s="30">
        <v>70</v>
      </c>
      <c r="L1134" s="29">
        <f>IF(B1134="Nữ",0,2)</f>
        <v>0</v>
      </c>
      <c r="M1134" s="29">
        <f ca="1">IF(D1134&lt;45,0,IF(D1134&lt;=49,1,2))</f>
        <v>2</v>
      </c>
      <c r="N1134" s="29">
        <f>IF(E1134="Có",4,0)</f>
        <v>0</v>
      </c>
      <c r="O1134" s="29">
        <f>IF(H1134&lt;23,0,IF(H1134&lt;27.5,3,5))</f>
        <v>3</v>
      </c>
      <c r="P1134" s="29">
        <f>IF(OR(AND(B1134="Nam",I1134&gt;=90),AND(B1134="Nữ",I1134&gt;=80)),2,0)</f>
        <v>2</v>
      </c>
      <c r="Q1134" s="29">
        <f>IF(OR(J1134&gt;=140,K1134&gt;=90),2,0)</f>
        <v>0</v>
      </c>
      <c r="R1134" s="29">
        <f ca="1">SUM(L1134:Q1134)</f>
        <v>7</v>
      </c>
      <c r="S1134" s="33"/>
      <c r="T1134" s="33"/>
      <c r="U1134" s="33"/>
      <c r="V1134" s="33"/>
      <c r="W1134" s="33"/>
      <c r="X1134" s="33"/>
      <c r="Y1134" s="33"/>
      <c r="Z1134" s="33"/>
      <c r="AA1134" s="33"/>
      <c r="AB1134" s="33"/>
      <c r="AC1134" s="33"/>
      <c r="AD1134" s="5" t="s">
        <v>1393</v>
      </c>
      <c r="AE1134" s="33"/>
      <c r="AF1134" s="59" t="str">
        <f t="shared" si="52"/>
        <v>Không</v>
      </c>
      <c r="AG1134" s="59" t="str">
        <f t="shared" si="53"/>
        <v>Không</v>
      </c>
      <c r="AH1134" s="29" t="str">
        <f t="shared" ca="1" si="51"/>
        <v>Có</v>
      </c>
      <c r="AI1134" s="29" t="str">
        <f ca="1">IF((R1134)&gt;=6,"Có","Không")</f>
        <v>Có</v>
      </c>
      <c r="AJ1134" s="29" t="str">
        <f>IF(OR(J1134&gt;=140,K1134&gt;=90),"Có","Không")</f>
        <v>Không</v>
      </c>
      <c r="AK1134" s="5" t="s">
        <v>51</v>
      </c>
      <c r="AL1134" s="35">
        <v>46173</v>
      </c>
      <c r="AM1134" s="29" t="str">
        <f>"Tháng "&amp;MONTH(AL1134)</f>
        <v>Tháng 5</v>
      </c>
      <c r="AN1134" s="69" t="s">
        <v>1376</v>
      </c>
    </row>
    <row r="1135" spans="1:40" x14ac:dyDescent="0.25">
      <c r="A1135" s="51" t="s">
        <v>586</v>
      </c>
      <c r="B1135" s="20" t="s">
        <v>23</v>
      </c>
      <c r="C1135" s="35">
        <v>22647</v>
      </c>
      <c r="D1135" s="29">
        <f ca="1">DATEDIF(C1135,TODAY(),"Y")</f>
        <v>64</v>
      </c>
      <c r="E1135" s="5" t="s">
        <v>26</v>
      </c>
      <c r="F1135" s="30">
        <v>160</v>
      </c>
      <c r="G1135" s="30">
        <v>70</v>
      </c>
      <c r="H1135" s="31">
        <f>G1135/((F1135/100)*(F1135/100))</f>
        <v>27.343749999999996</v>
      </c>
      <c r="I1135" s="5">
        <v>86</v>
      </c>
      <c r="J1135" s="30">
        <v>140</v>
      </c>
      <c r="K1135" s="30">
        <v>80</v>
      </c>
      <c r="L1135" s="29">
        <f>IF(B1135="Nữ",0,2)</f>
        <v>0</v>
      </c>
      <c r="M1135" s="29">
        <f ca="1">IF(D1135&lt;45,0,IF(D1135&lt;=49,1,2))</f>
        <v>2</v>
      </c>
      <c r="N1135" s="29">
        <f>IF(E1135="Có",4,0)</f>
        <v>0</v>
      </c>
      <c r="O1135" s="29">
        <f>IF(H1135&lt;23,0,IF(H1135&lt;27.5,3,5))</f>
        <v>3</v>
      </c>
      <c r="P1135" s="29">
        <f>IF(OR(AND(B1135="Nam",I1135&gt;=90),AND(B1135="Nữ",I1135&gt;=80)),2,0)</f>
        <v>2</v>
      </c>
      <c r="Q1135" s="29">
        <f>IF(OR(J1135&gt;=140,K1135&gt;=90),2,0)</f>
        <v>2</v>
      </c>
      <c r="R1135" s="29">
        <f ca="1">SUM(L1135:Q1135)</f>
        <v>9</v>
      </c>
      <c r="S1135" s="33"/>
      <c r="T1135" s="33"/>
      <c r="U1135" s="33"/>
      <c r="V1135" s="33"/>
      <c r="W1135" s="33"/>
      <c r="X1135" s="33"/>
      <c r="Y1135" s="33"/>
      <c r="Z1135" s="33"/>
      <c r="AA1135" s="33"/>
      <c r="AB1135" s="33"/>
      <c r="AC1135" s="33"/>
      <c r="AD1135" s="5" t="s">
        <v>1393</v>
      </c>
      <c r="AE1135" s="33"/>
      <c r="AF1135" s="59" t="str">
        <f t="shared" si="52"/>
        <v>Không</v>
      </c>
      <c r="AG1135" s="59" t="str">
        <f t="shared" si="53"/>
        <v>Không</v>
      </c>
      <c r="AH1135" s="29" t="str">
        <f t="shared" ca="1" si="51"/>
        <v>Có</v>
      </c>
      <c r="AI1135" s="29" t="str">
        <f ca="1">IF((R1135)&gt;=6,"Có","Không")</f>
        <v>Có</v>
      </c>
      <c r="AJ1135" s="29" t="str">
        <f>IF(OR(J1135&gt;=140,K1135&gt;=90),"Có","Không")</f>
        <v>Có</v>
      </c>
      <c r="AK1135" s="5" t="s">
        <v>51</v>
      </c>
      <c r="AL1135" s="35">
        <v>46173</v>
      </c>
      <c r="AM1135" s="29" t="str">
        <f>"Tháng "&amp;MONTH(AL1135)</f>
        <v>Tháng 5</v>
      </c>
      <c r="AN1135" s="69" t="s">
        <v>1376</v>
      </c>
    </row>
    <row r="1136" spans="1:40" x14ac:dyDescent="0.25">
      <c r="A1136" s="51" t="s">
        <v>1311</v>
      </c>
      <c r="B1136" s="20" t="s">
        <v>23</v>
      </c>
      <c r="C1136" s="35">
        <v>23377</v>
      </c>
      <c r="D1136" s="29">
        <f ca="1">DATEDIF(C1136,TODAY(),"Y")</f>
        <v>62</v>
      </c>
      <c r="E1136" s="5" t="s">
        <v>26</v>
      </c>
      <c r="F1136" s="30">
        <v>158</v>
      </c>
      <c r="G1136" s="30">
        <v>58</v>
      </c>
      <c r="H1136" s="31">
        <f>G1136/((F1136/100)*(F1136/100))</f>
        <v>23.233456176894723</v>
      </c>
      <c r="I1136" s="5">
        <v>80</v>
      </c>
      <c r="J1136" s="30">
        <v>120</v>
      </c>
      <c r="K1136" s="30">
        <v>70</v>
      </c>
      <c r="L1136" s="29">
        <f>IF(B1136="Nữ",0,2)</f>
        <v>0</v>
      </c>
      <c r="M1136" s="29">
        <f ca="1">IF(D1136&lt;45,0,IF(D1136&lt;=49,1,2))</f>
        <v>2</v>
      </c>
      <c r="N1136" s="29">
        <f>IF(E1136="Có",4,0)</f>
        <v>0</v>
      </c>
      <c r="O1136" s="29">
        <f>IF(H1136&lt;23,0,IF(H1136&lt;27.5,3,5))</f>
        <v>3</v>
      </c>
      <c r="P1136" s="29">
        <f>IF(OR(AND(B1136="Nam",I1136&gt;=90),AND(B1136="Nữ",I1136&gt;=80)),2,0)</f>
        <v>2</v>
      </c>
      <c r="Q1136" s="29">
        <f>IF(OR(J1136&gt;=140,K1136&gt;=90),2,0)</f>
        <v>0</v>
      </c>
      <c r="R1136" s="29">
        <f ca="1">SUM(L1136:Q1136)</f>
        <v>7</v>
      </c>
      <c r="S1136" s="33"/>
      <c r="T1136" s="33"/>
      <c r="U1136" s="33"/>
      <c r="V1136" s="33"/>
      <c r="W1136" s="33"/>
      <c r="X1136" s="33"/>
      <c r="Y1136" s="33"/>
      <c r="Z1136" s="33"/>
      <c r="AA1136" s="33"/>
      <c r="AB1136" s="33"/>
      <c r="AC1136" s="33"/>
      <c r="AD1136" s="5" t="s">
        <v>1393</v>
      </c>
      <c r="AE1136" s="33"/>
      <c r="AF1136" s="59" t="str">
        <f t="shared" si="52"/>
        <v>Không</v>
      </c>
      <c r="AG1136" s="59" t="str">
        <f t="shared" si="53"/>
        <v>Không</v>
      </c>
      <c r="AH1136" s="29" t="str">
        <f t="shared" ca="1" si="51"/>
        <v>Có</v>
      </c>
      <c r="AI1136" s="29" t="str">
        <f ca="1">IF((R1136)&gt;=6,"Có","Không")</f>
        <v>Có</v>
      </c>
      <c r="AJ1136" s="29" t="str">
        <f>IF(OR(J1136&gt;=140,K1136&gt;=90),"Có","Không")</f>
        <v>Không</v>
      </c>
      <c r="AK1136" s="5" t="s">
        <v>51</v>
      </c>
      <c r="AL1136" s="35">
        <v>46173</v>
      </c>
      <c r="AM1136" s="29" t="str">
        <f>"Tháng "&amp;MONTH(AL1136)</f>
        <v>Tháng 5</v>
      </c>
      <c r="AN1136" s="69" t="s">
        <v>1376</v>
      </c>
    </row>
    <row r="1137" spans="1:40" x14ac:dyDescent="0.25">
      <c r="A1137" s="51" t="s">
        <v>634</v>
      </c>
      <c r="B1137" s="20" t="s">
        <v>23</v>
      </c>
      <c r="C1137" s="35">
        <v>25569</v>
      </c>
      <c r="D1137" s="29">
        <f ca="1">DATEDIF(C1137,TODAY(),"Y")</f>
        <v>56</v>
      </c>
      <c r="E1137" s="5" t="s">
        <v>26</v>
      </c>
      <c r="F1137" s="30">
        <v>158</v>
      </c>
      <c r="G1137" s="30">
        <v>58</v>
      </c>
      <c r="H1137" s="31">
        <f>G1137/((F1137/100)*(F1137/100))</f>
        <v>23.233456176894723</v>
      </c>
      <c r="I1137" s="5">
        <v>100</v>
      </c>
      <c r="J1137" s="30">
        <v>120</v>
      </c>
      <c r="K1137" s="30">
        <v>70</v>
      </c>
      <c r="L1137" s="29">
        <f>IF(B1137="Nữ",0,2)</f>
        <v>0</v>
      </c>
      <c r="M1137" s="29">
        <f ca="1">IF(D1137&lt;45,0,IF(D1137&lt;=49,1,2))</f>
        <v>2</v>
      </c>
      <c r="N1137" s="29">
        <f>IF(E1137="Có",4,0)</f>
        <v>0</v>
      </c>
      <c r="O1137" s="29">
        <f>IF(H1137&lt;23,0,IF(H1137&lt;27.5,3,5))</f>
        <v>3</v>
      </c>
      <c r="P1137" s="29">
        <f>IF(OR(AND(B1137="Nam",I1137&gt;=90),AND(B1137="Nữ",I1137&gt;=80)),2,0)</f>
        <v>2</v>
      </c>
      <c r="Q1137" s="29">
        <f>IF(OR(J1137&gt;=140,K1137&gt;=90),2,0)</f>
        <v>0</v>
      </c>
      <c r="R1137" s="29">
        <f ca="1">SUM(L1137:Q1137)</f>
        <v>7</v>
      </c>
      <c r="S1137" s="33"/>
      <c r="T1137" s="33"/>
      <c r="U1137" s="33"/>
      <c r="V1137" s="33"/>
      <c r="W1137" s="33"/>
      <c r="X1137" s="33"/>
      <c r="Y1137" s="33"/>
      <c r="Z1137" s="33"/>
      <c r="AA1137" s="33"/>
      <c r="AB1137" s="33"/>
      <c r="AC1137" s="33"/>
      <c r="AD1137" s="5" t="s">
        <v>1393</v>
      </c>
      <c r="AE1137" s="33"/>
      <c r="AF1137" s="59" t="str">
        <f t="shared" si="52"/>
        <v>Không</v>
      </c>
      <c r="AG1137" s="59" t="str">
        <f t="shared" si="53"/>
        <v>Không</v>
      </c>
      <c r="AH1137" s="29" t="str">
        <f t="shared" ca="1" si="51"/>
        <v>Có</v>
      </c>
      <c r="AI1137" s="29" t="str">
        <f ca="1">IF((R1137)&gt;=6,"Có","Không")</f>
        <v>Có</v>
      </c>
      <c r="AJ1137" s="29" t="str">
        <f>IF(OR(J1137&gt;=140,K1137&gt;=90),"Có","Không")</f>
        <v>Không</v>
      </c>
      <c r="AK1137" s="5" t="s">
        <v>51</v>
      </c>
      <c r="AL1137" s="35">
        <v>46173</v>
      </c>
      <c r="AM1137" s="29" t="str">
        <f>"Tháng "&amp;MONTH(AL1137)</f>
        <v>Tháng 5</v>
      </c>
      <c r="AN1137" s="69" t="s">
        <v>1376</v>
      </c>
    </row>
    <row r="1138" spans="1:40" x14ac:dyDescent="0.25">
      <c r="A1138" s="51" t="s">
        <v>503</v>
      </c>
      <c r="B1138" s="20" t="s">
        <v>23</v>
      </c>
      <c r="C1138" s="35">
        <v>21186</v>
      </c>
      <c r="D1138" s="29">
        <f ca="1">DATEDIF(C1138,TODAY(),"Y")</f>
        <v>68</v>
      </c>
      <c r="E1138" s="5" t="s">
        <v>25</v>
      </c>
      <c r="F1138" s="30">
        <v>158</v>
      </c>
      <c r="G1138" s="30">
        <v>58</v>
      </c>
      <c r="H1138" s="31">
        <f>G1138/((F1138/100)*(F1138/100))</f>
        <v>23.233456176894723</v>
      </c>
      <c r="I1138" s="5">
        <v>65</v>
      </c>
      <c r="J1138" s="30">
        <v>160</v>
      </c>
      <c r="K1138" s="30">
        <v>80</v>
      </c>
      <c r="L1138" s="29">
        <f>IF(B1138="Nữ",0,2)</f>
        <v>0</v>
      </c>
      <c r="M1138" s="29">
        <f ca="1">IF(D1138&lt;45,0,IF(D1138&lt;=49,1,2))</f>
        <v>2</v>
      </c>
      <c r="N1138" s="29">
        <f>IF(E1138="Có",4,0)</f>
        <v>4</v>
      </c>
      <c r="O1138" s="29">
        <f>IF(H1138&lt;23,0,IF(H1138&lt;27.5,3,5))</f>
        <v>3</v>
      </c>
      <c r="P1138" s="29">
        <f>IF(OR(AND(B1138="Nam",I1138&gt;=90),AND(B1138="Nữ",I1138&gt;=80)),2,0)</f>
        <v>0</v>
      </c>
      <c r="Q1138" s="29">
        <f>IF(OR(J1138&gt;=140,K1138&gt;=90),2,0)</f>
        <v>2</v>
      </c>
      <c r="R1138" s="29">
        <f ca="1">SUM(L1138:Q1138)</f>
        <v>11</v>
      </c>
      <c r="S1138" s="33"/>
      <c r="T1138" s="33"/>
      <c r="U1138" s="33"/>
      <c r="V1138" s="33"/>
      <c r="W1138" s="33"/>
      <c r="X1138" s="33"/>
      <c r="Y1138" s="33"/>
      <c r="Z1138" s="33"/>
      <c r="AA1138" s="33"/>
      <c r="AB1138" s="33"/>
      <c r="AC1138" s="33"/>
      <c r="AD1138" s="5" t="s">
        <v>1393</v>
      </c>
      <c r="AE1138" s="33"/>
      <c r="AF1138" s="59" t="str">
        <f t="shared" si="52"/>
        <v>Không</v>
      </c>
      <c r="AG1138" s="59" t="str">
        <f t="shared" si="53"/>
        <v>Không</v>
      </c>
      <c r="AH1138" s="29" t="str">
        <f t="shared" ca="1" si="51"/>
        <v>Có</v>
      </c>
      <c r="AI1138" s="29" t="str">
        <f ca="1">IF((R1138)&gt;=6,"Có","Không")</f>
        <v>Có</v>
      </c>
      <c r="AJ1138" s="29" t="str">
        <f>IF(OR(J1138&gt;=140,K1138&gt;=90),"Có","Không")</f>
        <v>Có</v>
      </c>
      <c r="AK1138" s="5" t="s">
        <v>51</v>
      </c>
      <c r="AL1138" s="35">
        <v>46173</v>
      </c>
      <c r="AM1138" s="29" t="str">
        <f>"Tháng "&amp;MONTH(AL1138)</f>
        <v>Tháng 5</v>
      </c>
      <c r="AN1138" s="69" t="s">
        <v>1376</v>
      </c>
    </row>
    <row r="1139" spans="1:40" x14ac:dyDescent="0.25">
      <c r="A1139" s="51" t="s">
        <v>1312</v>
      </c>
      <c r="B1139" s="20" t="s">
        <v>23</v>
      </c>
      <c r="C1139" s="35">
        <v>27760</v>
      </c>
      <c r="D1139" s="29">
        <f ca="1">DATEDIF(C1139,TODAY(),"Y")</f>
        <v>50</v>
      </c>
      <c r="E1139" s="5" t="s">
        <v>26</v>
      </c>
      <c r="F1139" s="30">
        <v>165</v>
      </c>
      <c r="G1139" s="30">
        <v>65</v>
      </c>
      <c r="H1139" s="31">
        <f>G1139/((F1139/100)*(F1139/100))</f>
        <v>23.875114784205696</v>
      </c>
      <c r="I1139" s="5">
        <v>86</v>
      </c>
      <c r="J1139" s="30">
        <v>130</v>
      </c>
      <c r="K1139" s="30">
        <v>80</v>
      </c>
      <c r="L1139" s="29">
        <f>IF(B1139="Nữ",0,2)</f>
        <v>0</v>
      </c>
      <c r="M1139" s="29">
        <f ca="1">IF(D1139&lt;45,0,IF(D1139&lt;=49,1,2))</f>
        <v>2</v>
      </c>
      <c r="N1139" s="29">
        <f>IF(E1139="Có",4,0)</f>
        <v>0</v>
      </c>
      <c r="O1139" s="29">
        <f>IF(H1139&lt;23,0,IF(H1139&lt;27.5,3,5))</f>
        <v>3</v>
      </c>
      <c r="P1139" s="29">
        <f>IF(OR(AND(B1139="Nam",I1139&gt;=90),AND(B1139="Nữ",I1139&gt;=80)),2,0)</f>
        <v>2</v>
      </c>
      <c r="Q1139" s="29">
        <f>IF(OR(J1139&gt;=140,K1139&gt;=90),2,0)</f>
        <v>0</v>
      </c>
      <c r="R1139" s="29">
        <f ca="1">SUM(L1139:Q1139)</f>
        <v>7</v>
      </c>
      <c r="S1139" s="33"/>
      <c r="T1139" s="33"/>
      <c r="U1139" s="33"/>
      <c r="V1139" s="33"/>
      <c r="W1139" s="33"/>
      <c r="X1139" s="33"/>
      <c r="Y1139" s="33"/>
      <c r="Z1139" s="33"/>
      <c r="AA1139" s="33"/>
      <c r="AB1139" s="33"/>
      <c r="AC1139" s="33"/>
      <c r="AD1139" s="5" t="s">
        <v>1393</v>
      </c>
      <c r="AE1139" s="33"/>
      <c r="AF1139" s="59" t="str">
        <f t="shared" si="52"/>
        <v>Không</v>
      </c>
      <c r="AG1139" s="59" t="str">
        <f t="shared" si="53"/>
        <v>Không</v>
      </c>
      <c r="AH1139" s="29" t="str">
        <f t="shared" ca="1" si="51"/>
        <v>Có</v>
      </c>
      <c r="AI1139" s="29" t="str">
        <f ca="1">IF((R1139)&gt;=6,"Có","Không")</f>
        <v>Có</v>
      </c>
      <c r="AJ1139" s="29" t="str">
        <f>IF(OR(J1139&gt;=140,K1139&gt;=90),"Có","Không")</f>
        <v>Không</v>
      </c>
      <c r="AK1139" s="5" t="s">
        <v>51</v>
      </c>
      <c r="AL1139" s="35">
        <v>46173</v>
      </c>
      <c r="AM1139" s="29" t="str">
        <f>"Tháng "&amp;MONTH(AL1139)</f>
        <v>Tháng 5</v>
      </c>
      <c r="AN1139" s="69" t="s">
        <v>1376</v>
      </c>
    </row>
    <row r="1140" spans="1:40" x14ac:dyDescent="0.25">
      <c r="A1140" s="51" t="s">
        <v>384</v>
      </c>
      <c r="B1140" s="20" t="s">
        <v>30</v>
      </c>
      <c r="C1140" s="35">
        <v>26665</v>
      </c>
      <c r="D1140" s="29">
        <f ca="1">DATEDIF(C1140,TODAY(),"Y")</f>
        <v>53</v>
      </c>
      <c r="E1140" s="5" t="s">
        <v>26</v>
      </c>
      <c r="F1140" s="30">
        <v>158</v>
      </c>
      <c r="G1140" s="30">
        <v>58</v>
      </c>
      <c r="H1140" s="31">
        <f>G1140/((F1140/100)*(F1140/100))</f>
        <v>23.233456176894723</v>
      </c>
      <c r="I1140" s="5">
        <v>73</v>
      </c>
      <c r="J1140" s="30">
        <v>140</v>
      </c>
      <c r="K1140" s="30">
        <v>80</v>
      </c>
      <c r="L1140" s="29">
        <f>IF(B1140="Nữ",0,2)</f>
        <v>2</v>
      </c>
      <c r="M1140" s="29">
        <f ca="1">IF(D1140&lt;45,0,IF(D1140&lt;=49,1,2))</f>
        <v>2</v>
      </c>
      <c r="N1140" s="29">
        <f>IF(E1140="Có",4,0)</f>
        <v>0</v>
      </c>
      <c r="O1140" s="29">
        <f>IF(H1140&lt;23,0,IF(H1140&lt;27.5,3,5))</f>
        <v>3</v>
      </c>
      <c r="P1140" s="29">
        <f>IF(OR(AND(B1140="Nam",I1140&gt;=90),AND(B1140="Nữ",I1140&gt;=80)),2,0)</f>
        <v>0</v>
      </c>
      <c r="Q1140" s="29">
        <f>IF(OR(J1140&gt;=140,K1140&gt;=90),2,0)</f>
        <v>2</v>
      </c>
      <c r="R1140" s="29">
        <f ca="1">SUM(L1140:Q1140)</f>
        <v>9</v>
      </c>
      <c r="S1140" s="33"/>
      <c r="T1140" s="33"/>
      <c r="U1140" s="33"/>
      <c r="V1140" s="33"/>
      <c r="W1140" s="33"/>
      <c r="X1140" s="33"/>
      <c r="Y1140" s="33"/>
      <c r="Z1140" s="33"/>
      <c r="AA1140" s="33"/>
      <c r="AB1140" s="33"/>
      <c r="AC1140" s="33"/>
      <c r="AD1140" s="5" t="s">
        <v>1393</v>
      </c>
      <c r="AE1140" s="33"/>
      <c r="AF1140" s="59" t="str">
        <f t="shared" si="52"/>
        <v>Không</v>
      </c>
      <c r="AG1140" s="59" t="str">
        <f t="shared" si="53"/>
        <v>Không</v>
      </c>
      <c r="AH1140" s="29" t="str">
        <f t="shared" ca="1" si="51"/>
        <v>Có</v>
      </c>
      <c r="AI1140" s="29" t="str">
        <f ca="1">IF((R1140)&gt;=6,"Có","Không")</f>
        <v>Có</v>
      </c>
      <c r="AJ1140" s="29" t="str">
        <f>IF(OR(J1140&gt;=140,K1140&gt;=90),"Có","Không")</f>
        <v>Có</v>
      </c>
      <c r="AK1140" s="5" t="s">
        <v>51</v>
      </c>
      <c r="AL1140" s="35">
        <v>46173</v>
      </c>
      <c r="AM1140" s="29" t="str">
        <f>"Tháng "&amp;MONTH(AL1140)</f>
        <v>Tháng 5</v>
      </c>
      <c r="AN1140" s="69" t="s">
        <v>1376</v>
      </c>
    </row>
    <row r="1141" spans="1:40" x14ac:dyDescent="0.25">
      <c r="A1141" s="51" t="s">
        <v>904</v>
      </c>
      <c r="B1141" s="20" t="s">
        <v>23</v>
      </c>
      <c r="C1141" s="35">
        <v>21186</v>
      </c>
      <c r="D1141" s="29">
        <f ca="1">DATEDIF(C1141,TODAY(),"Y")</f>
        <v>68</v>
      </c>
      <c r="E1141" s="5" t="s">
        <v>26</v>
      </c>
      <c r="F1141" s="30">
        <v>150</v>
      </c>
      <c r="G1141" s="30">
        <v>60</v>
      </c>
      <c r="H1141" s="31">
        <f>G1141/((F1141/100)*(F1141/100))</f>
        <v>26.666666666666668</v>
      </c>
      <c r="I1141" s="5">
        <v>73</v>
      </c>
      <c r="J1141" s="30">
        <v>130</v>
      </c>
      <c r="K1141" s="30">
        <v>80</v>
      </c>
      <c r="L1141" s="29">
        <f>IF(B1141="Nữ",0,2)</f>
        <v>0</v>
      </c>
      <c r="M1141" s="29">
        <f ca="1">IF(D1141&lt;45,0,IF(D1141&lt;=49,1,2))</f>
        <v>2</v>
      </c>
      <c r="N1141" s="29">
        <f>IF(E1141="Có",4,0)</f>
        <v>0</v>
      </c>
      <c r="O1141" s="29">
        <f>IF(H1141&lt;23,0,IF(H1141&lt;27.5,3,5))</f>
        <v>3</v>
      </c>
      <c r="P1141" s="29">
        <f>IF(OR(AND(B1141="Nam",I1141&gt;=90),AND(B1141="Nữ",I1141&gt;=80)),2,0)</f>
        <v>0</v>
      </c>
      <c r="Q1141" s="29">
        <f>IF(OR(J1141&gt;=140,K1141&gt;=90),2,0)</f>
        <v>0</v>
      </c>
      <c r="R1141" s="29">
        <f ca="1">SUM(L1141:Q1141)</f>
        <v>5</v>
      </c>
      <c r="S1141" s="33"/>
      <c r="T1141" s="33"/>
      <c r="U1141" s="33"/>
      <c r="V1141" s="33"/>
      <c r="W1141" s="33"/>
      <c r="X1141" s="33"/>
      <c r="Y1141" s="33"/>
      <c r="Z1141" s="33"/>
      <c r="AA1141" s="33"/>
      <c r="AB1141" s="33"/>
      <c r="AC1141" s="33"/>
      <c r="AD1141" s="5" t="s">
        <v>1393</v>
      </c>
      <c r="AE1141" s="33"/>
      <c r="AF1141" s="59" t="str">
        <f t="shared" si="52"/>
        <v>Không</v>
      </c>
      <c r="AG1141" s="59" t="str">
        <f t="shared" si="53"/>
        <v>Không</v>
      </c>
      <c r="AH1141" s="29" t="str">
        <f t="shared" ca="1" si="51"/>
        <v>Không</v>
      </c>
      <c r="AI1141" s="29" t="str">
        <f ca="1">IF((R1141)&gt;=6,"Có","Không")</f>
        <v>Không</v>
      </c>
      <c r="AJ1141" s="29" t="str">
        <f>IF(OR(J1141&gt;=140,K1141&gt;=90),"Có","Không")</f>
        <v>Không</v>
      </c>
      <c r="AK1141" s="5" t="s">
        <v>51</v>
      </c>
      <c r="AL1141" s="35">
        <v>46173</v>
      </c>
      <c r="AM1141" s="29" t="str">
        <f>"Tháng "&amp;MONTH(AL1141)</f>
        <v>Tháng 5</v>
      </c>
      <c r="AN1141" s="69" t="s">
        <v>1376</v>
      </c>
    </row>
    <row r="1142" spans="1:40" x14ac:dyDescent="0.25">
      <c r="A1142" s="51" t="s">
        <v>437</v>
      </c>
      <c r="B1142" s="20" t="s">
        <v>23</v>
      </c>
      <c r="C1142" s="35">
        <v>21551</v>
      </c>
      <c r="D1142" s="29">
        <f ca="1">DATEDIF(C1142,TODAY(),"Y")</f>
        <v>67</v>
      </c>
      <c r="E1142" s="5" t="s">
        <v>26</v>
      </c>
      <c r="F1142" s="30">
        <v>158</v>
      </c>
      <c r="G1142" s="30">
        <v>58</v>
      </c>
      <c r="H1142" s="31">
        <f>G1142/((F1142/100)*(F1142/100))</f>
        <v>23.233456176894723</v>
      </c>
      <c r="I1142" s="5">
        <v>79</v>
      </c>
      <c r="J1142" s="30">
        <v>150</v>
      </c>
      <c r="K1142" s="30">
        <v>80</v>
      </c>
      <c r="L1142" s="29">
        <f>IF(B1142="Nữ",0,2)</f>
        <v>0</v>
      </c>
      <c r="M1142" s="29">
        <f ca="1">IF(D1142&lt;45,0,IF(D1142&lt;=49,1,2))</f>
        <v>2</v>
      </c>
      <c r="N1142" s="29">
        <f>IF(E1142="Có",4,0)</f>
        <v>0</v>
      </c>
      <c r="O1142" s="29">
        <f>IF(H1142&lt;23,0,IF(H1142&lt;27.5,3,5))</f>
        <v>3</v>
      </c>
      <c r="P1142" s="29">
        <f>IF(OR(AND(B1142="Nam",I1142&gt;=90),AND(B1142="Nữ",I1142&gt;=80)),2,0)</f>
        <v>0</v>
      </c>
      <c r="Q1142" s="29">
        <f>IF(OR(J1142&gt;=140,K1142&gt;=90),2,0)</f>
        <v>2</v>
      </c>
      <c r="R1142" s="29">
        <f ca="1">SUM(L1142:Q1142)</f>
        <v>7</v>
      </c>
      <c r="S1142" s="33"/>
      <c r="T1142" s="33"/>
      <c r="U1142" s="33"/>
      <c r="V1142" s="33"/>
      <c r="W1142" s="33"/>
      <c r="X1142" s="33"/>
      <c r="Y1142" s="33"/>
      <c r="Z1142" s="33"/>
      <c r="AA1142" s="33"/>
      <c r="AB1142" s="33"/>
      <c r="AC1142" s="33"/>
      <c r="AD1142" s="5" t="s">
        <v>1393</v>
      </c>
      <c r="AE1142" s="33"/>
      <c r="AF1142" s="59" t="str">
        <f t="shared" si="52"/>
        <v>Không</v>
      </c>
      <c r="AG1142" s="59" t="str">
        <f t="shared" si="53"/>
        <v>Không</v>
      </c>
      <c r="AH1142" s="29" t="str">
        <f t="shared" ca="1" si="51"/>
        <v>Có</v>
      </c>
      <c r="AI1142" s="29" t="str">
        <f ca="1">IF((R1142)&gt;=6,"Có","Không")</f>
        <v>Có</v>
      </c>
      <c r="AJ1142" s="29" t="str">
        <f>IF(OR(J1142&gt;=140,K1142&gt;=90),"Có","Không")</f>
        <v>Có</v>
      </c>
      <c r="AK1142" s="5" t="s">
        <v>51</v>
      </c>
      <c r="AL1142" s="35">
        <v>46173</v>
      </c>
      <c r="AM1142" s="29" t="str">
        <f>"Tháng "&amp;MONTH(AL1142)</f>
        <v>Tháng 5</v>
      </c>
      <c r="AN1142" s="69" t="s">
        <v>1376</v>
      </c>
    </row>
    <row r="1143" spans="1:40" x14ac:dyDescent="0.25">
      <c r="A1143" s="51" t="s">
        <v>125</v>
      </c>
      <c r="B1143" s="20" t="s">
        <v>23</v>
      </c>
      <c r="C1143" s="35">
        <v>20821</v>
      </c>
      <c r="D1143" s="29">
        <f ca="1">DATEDIF(C1143,TODAY(),"Y")</f>
        <v>69</v>
      </c>
      <c r="E1143" s="5" t="s">
        <v>26</v>
      </c>
      <c r="F1143" s="30">
        <v>159</v>
      </c>
      <c r="G1143" s="30">
        <v>70</v>
      </c>
      <c r="H1143" s="31">
        <f>G1143/((F1143/100)*(F1143/100))</f>
        <v>27.688778133776353</v>
      </c>
      <c r="I1143" s="5">
        <v>81</v>
      </c>
      <c r="J1143" s="30">
        <v>110</v>
      </c>
      <c r="K1143" s="30">
        <v>80</v>
      </c>
      <c r="L1143" s="29">
        <f>IF(B1143="Nữ",0,2)</f>
        <v>0</v>
      </c>
      <c r="M1143" s="29">
        <f ca="1">IF(D1143&lt;45,0,IF(D1143&lt;=49,1,2))</f>
        <v>2</v>
      </c>
      <c r="N1143" s="29">
        <f>IF(E1143="Có",4,0)</f>
        <v>0</v>
      </c>
      <c r="O1143" s="29">
        <f>IF(H1143&lt;23,0,IF(H1143&lt;27.5,3,5))</f>
        <v>5</v>
      </c>
      <c r="P1143" s="29">
        <f>IF(OR(AND(B1143="Nam",I1143&gt;=90),AND(B1143="Nữ",I1143&gt;=80)),2,0)</f>
        <v>2</v>
      </c>
      <c r="Q1143" s="29">
        <f>IF(OR(J1143&gt;=140,K1143&gt;=90),2,0)</f>
        <v>0</v>
      </c>
      <c r="R1143" s="29">
        <f ca="1">SUM(L1143:Q1143)</f>
        <v>9</v>
      </c>
      <c r="S1143" s="33"/>
      <c r="T1143" s="33"/>
      <c r="U1143" s="33"/>
      <c r="V1143" s="33"/>
      <c r="W1143" s="33"/>
      <c r="X1143" s="33"/>
      <c r="Y1143" s="33"/>
      <c r="Z1143" s="33"/>
      <c r="AA1143" s="33"/>
      <c r="AB1143" s="33"/>
      <c r="AC1143" s="33"/>
      <c r="AD1143" s="5" t="s">
        <v>1393</v>
      </c>
      <c r="AE1143" s="33"/>
      <c r="AF1143" s="59" t="str">
        <f t="shared" si="52"/>
        <v>Không</v>
      </c>
      <c r="AG1143" s="59" t="str">
        <f t="shared" si="53"/>
        <v>Không</v>
      </c>
      <c r="AH1143" s="29" t="str">
        <f t="shared" ca="1" si="51"/>
        <v>Có</v>
      </c>
      <c r="AI1143" s="29" t="str">
        <f ca="1">IF((R1143)&gt;=6,"Có","Không")</f>
        <v>Có</v>
      </c>
      <c r="AJ1143" s="29" t="str">
        <f>IF(OR(J1143&gt;=140,K1143&gt;=90),"Có","Không")</f>
        <v>Không</v>
      </c>
      <c r="AK1143" s="5" t="s">
        <v>51</v>
      </c>
      <c r="AL1143" s="35">
        <v>46173</v>
      </c>
      <c r="AM1143" s="29" t="str">
        <f>"Tháng "&amp;MONTH(AL1143)</f>
        <v>Tháng 5</v>
      </c>
      <c r="AN1143" s="69" t="s">
        <v>1376</v>
      </c>
    </row>
    <row r="1144" spans="1:40" x14ac:dyDescent="0.25">
      <c r="A1144" s="51" t="s">
        <v>1313</v>
      </c>
      <c r="B1144" s="20" t="s">
        <v>23</v>
      </c>
      <c r="C1144" s="35">
        <v>24108</v>
      </c>
      <c r="D1144" s="29">
        <f ca="1">DATEDIF(C1144,TODAY(),"Y")</f>
        <v>60</v>
      </c>
      <c r="E1144" s="5" t="s">
        <v>25</v>
      </c>
      <c r="F1144" s="30">
        <v>158</v>
      </c>
      <c r="G1144" s="30">
        <v>58</v>
      </c>
      <c r="H1144" s="31">
        <f>G1144/((F1144/100)*(F1144/100))</f>
        <v>23.233456176894723</v>
      </c>
      <c r="I1144" s="5">
        <v>97</v>
      </c>
      <c r="J1144" s="30">
        <v>120</v>
      </c>
      <c r="K1144" s="30">
        <v>70</v>
      </c>
      <c r="L1144" s="29">
        <f>IF(B1144="Nữ",0,2)</f>
        <v>0</v>
      </c>
      <c r="M1144" s="29">
        <f ca="1">IF(D1144&lt;45,0,IF(D1144&lt;=49,1,2))</f>
        <v>2</v>
      </c>
      <c r="N1144" s="29">
        <f>IF(E1144="Có",4,0)</f>
        <v>4</v>
      </c>
      <c r="O1144" s="29">
        <f>IF(H1144&lt;23,0,IF(H1144&lt;27.5,3,5))</f>
        <v>3</v>
      </c>
      <c r="P1144" s="29">
        <f>IF(OR(AND(B1144="Nam",I1144&gt;=90),AND(B1144="Nữ",I1144&gt;=80)),2,0)</f>
        <v>2</v>
      </c>
      <c r="Q1144" s="29">
        <f>IF(OR(J1144&gt;=140,K1144&gt;=90),2,0)</f>
        <v>0</v>
      </c>
      <c r="R1144" s="29">
        <f ca="1">SUM(L1144:Q1144)</f>
        <v>11</v>
      </c>
      <c r="S1144" s="33"/>
      <c r="T1144" s="33"/>
      <c r="U1144" s="33"/>
      <c r="V1144" s="33"/>
      <c r="W1144" s="33"/>
      <c r="X1144" s="33"/>
      <c r="Y1144" s="33"/>
      <c r="Z1144" s="33"/>
      <c r="AA1144" s="33"/>
      <c r="AB1144" s="33"/>
      <c r="AC1144" s="33"/>
      <c r="AD1144" s="5" t="s">
        <v>1393</v>
      </c>
      <c r="AE1144" s="33"/>
      <c r="AF1144" s="59" t="str">
        <f t="shared" si="52"/>
        <v>Không</v>
      </c>
      <c r="AG1144" s="59" t="str">
        <f t="shared" si="53"/>
        <v>Không</v>
      </c>
      <c r="AH1144" s="29" t="str">
        <f t="shared" ca="1" si="51"/>
        <v>Có</v>
      </c>
      <c r="AI1144" s="29" t="str">
        <f ca="1">IF((R1144)&gt;=6,"Có","Không")</f>
        <v>Có</v>
      </c>
      <c r="AJ1144" s="29" t="str">
        <f>IF(OR(J1144&gt;=140,K1144&gt;=90),"Có","Không")</f>
        <v>Không</v>
      </c>
      <c r="AK1144" s="5" t="s">
        <v>51</v>
      </c>
      <c r="AL1144" s="35">
        <v>46173</v>
      </c>
      <c r="AM1144" s="29" t="str">
        <f>"Tháng "&amp;MONTH(AL1144)</f>
        <v>Tháng 5</v>
      </c>
      <c r="AN1144" s="69" t="s">
        <v>1376</v>
      </c>
    </row>
    <row r="1145" spans="1:40" x14ac:dyDescent="0.25">
      <c r="A1145" s="51" t="s">
        <v>275</v>
      </c>
      <c r="B1145" s="20" t="s">
        <v>23</v>
      </c>
      <c r="C1145" s="35">
        <v>26665</v>
      </c>
      <c r="D1145" s="29">
        <f ca="1">DATEDIF(C1145,TODAY(),"Y")</f>
        <v>53</v>
      </c>
      <c r="E1145" s="5" t="s">
        <v>26</v>
      </c>
      <c r="F1145" s="30">
        <v>158</v>
      </c>
      <c r="G1145" s="30">
        <v>58</v>
      </c>
      <c r="H1145" s="31">
        <f>G1145/((F1145/100)*(F1145/100))</f>
        <v>23.233456176894723</v>
      </c>
      <c r="I1145" s="5">
        <v>70</v>
      </c>
      <c r="J1145" s="30">
        <v>120</v>
      </c>
      <c r="K1145" s="30">
        <v>70</v>
      </c>
      <c r="L1145" s="29">
        <f>IF(B1145="Nữ",0,2)</f>
        <v>0</v>
      </c>
      <c r="M1145" s="29">
        <f ca="1">IF(D1145&lt;45,0,IF(D1145&lt;=49,1,2))</f>
        <v>2</v>
      </c>
      <c r="N1145" s="29">
        <f>IF(E1145="Có",4,0)</f>
        <v>0</v>
      </c>
      <c r="O1145" s="29">
        <f>IF(H1145&lt;23,0,IF(H1145&lt;27.5,3,5))</f>
        <v>3</v>
      </c>
      <c r="P1145" s="29">
        <f>IF(OR(AND(B1145="Nam",I1145&gt;=90),AND(B1145="Nữ",I1145&gt;=80)),2,0)</f>
        <v>0</v>
      </c>
      <c r="Q1145" s="29">
        <f>IF(OR(J1145&gt;=140,K1145&gt;=90),2,0)</f>
        <v>0</v>
      </c>
      <c r="R1145" s="29">
        <f ca="1">SUM(L1145:Q1145)</f>
        <v>5</v>
      </c>
      <c r="S1145" s="33"/>
      <c r="T1145" s="33"/>
      <c r="U1145" s="33"/>
      <c r="V1145" s="33"/>
      <c r="W1145" s="33"/>
      <c r="X1145" s="33"/>
      <c r="Y1145" s="33"/>
      <c r="Z1145" s="33"/>
      <c r="AA1145" s="33"/>
      <c r="AB1145" s="33"/>
      <c r="AC1145" s="33"/>
      <c r="AD1145" s="5" t="s">
        <v>1393</v>
      </c>
      <c r="AE1145" s="33"/>
      <c r="AF1145" s="59" t="str">
        <f t="shared" si="52"/>
        <v>Không</v>
      </c>
      <c r="AG1145" s="59" t="str">
        <f t="shared" si="53"/>
        <v>Không</v>
      </c>
      <c r="AH1145" s="29" t="str">
        <f t="shared" ca="1" si="51"/>
        <v>Không</v>
      </c>
      <c r="AI1145" s="29" t="str">
        <f ca="1">IF((R1145)&gt;=6,"Có","Không")</f>
        <v>Không</v>
      </c>
      <c r="AJ1145" s="29" t="str">
        <f>IF(OR(J1145&gt;=140,K1145&gt;=90),"Có","Không")</f>
        <v>Không</v>
      </c>
      <c r="AK1145" s="5" t="s">
        <v>51</v>
      </c>
      <c r="AL1145" s="35">
        <v>46173</v>
      </c>
      <c r="AM1145" s="29" t="str">
        <f>"Tháng "&amp;MONTH(AL1145)</f>
        <v>Tháng 5</v>
      </c>
      <c r="AN1145" s="69" t="s">
        <v>1376</v>
      </c>
    </row>
    <row r="1146" spans="1:40" x14ac:dyDescent="0.25">
      <c r="A1146" s="51" t="s">
        <v>219</v>
      </c>
      <c r="B1146" s="20" t="s">
        <v>23</v>
      </c>
      <c r="C1146" s="35">
        <v>22647</v>
      </c>
      <c r="D1146" s="29">
        <f ca="1">DATEDIF(C1146,TODAY(),"Y")</f>
        <v>64</v>
      </c>
      <c r="E1146" s="5" t="s">
        <v>25</v>
      </c>
      <c r="F1146" s="30">
        <v>157</v>
      </c>
      <c r="G1146" s="30">
        <v>85</v>
      </c>
      <c r="H1146" s="31">
        <f>G1146/((F1146/100)*(F1146/100))</f>
        <v>34.484157572315304</v>
      </c>
      <c r="I1146" s="5">
        <v>85</v>
      </c>
      <c r="J1146" s="30">
        <v>120</v>
      </c>
      <c r="K1146" s="30">
        <v>80</v>
      </c>
      <c r="L1146" s="29">
        <f>IF(B1146="Nữ",0,2)</f>
        <v>0</v>
      </c>
      <c r="M1146" s="29">
        <f ca="1">IF(D1146&lt;45,0,IF(D1146&lt;=49,1,2))</f>
        <v>2</v>
      </c>
      <c r="N1146" s="29">
        <f>IF(E1146="Có",4,0)</f>
        <v>4</v>
      </c>
      <c r="O1146" s="29">
        <f>IF(H1146&lt;23,0,IF(H1146&lt;27.5,3,5))</f>
        <v>5</v>
      </c>
      <c r="P1146" s="29">
        <f>IF(OR(AND(B1146="Nam",I1146&gt;=90),AND(B1146="Nữ",I1146&gt;=80)),2,0)</f>
        <v>2</v>
      </c>
      <c r="Q1146" s="29">
        <f>IF(OR(J1146&gt;=140,K1146&gt;=90),2,0)</f>
        <v>0</v>
      </c>
      <c r="R1146" s="29">
        <f ca="1">SUM(L1146:Q1146)</f>
        <v>13</v>
      </c>
      <c r="S1146" s="33"/>
      <c r="T1146" s="33"/>
      <c r="U1146" s="33"/>
      <c r="V1146" s="33"/>
      <c r="W1146" s="33"/>
      <c r="X1146" s="33"/>
      <c r="Y1146" s="33"/>
      <c r="Z1146" s="33"/>
      <c r="AA1146" s="33"/>
      <c r="AB1146" s="33"/>
      <c r="AC1146" s="33"/>
      <c r="AD1146" s="5" t="s">
        <v>1393</v>
      </c>
      <c r="AE1146" s="33"/>
      <c r="AF1146" s="59" t="str">
        <f t="shared" si="52"/>
        <v>Không</v>
      </c>
      <c r="AG1146" s="59" t="str">
        <f t="shared" si="53"/>
        <v>Không</v>
      </c>
      <c r="AH1146" s="29" t="str">
        <f t="shared" ca="1" si="51"/>
        <v>Có</v>
      </c>
      <c r="AI1146" s="29" t="str">
        <f ca="1">IF((R1146)&gt;=6,"Có","Không")</f>
        <v>Có</v>
      </c>
      <c r="AJ1146" s="29" t="str">
        <f>IF(OR(J1146&gt;=140,K1146&gt;=90),"Có","Không")</f>
        <v>Không</v>
      </c>
      <c r="AK1146" s="5" t="s">
        <v>51</v>
      </c>
      <c r="AL1146" s="35">
        <v>46173</v>
      </c>
      <c r="AM1146" s="29" t="str">
        <f>"Tháng "&amp;MONTH(AL1146)</f>
        <v>Tháng 5</v>
      </c>
      <c r="AN1146" s="69" t="s">
        <v>1376</v>
      </c>
    </row>
    <row r="1147" spans="1:40" x14ac:dyDescent="0.25">
      <c r="A1147" s="51" t="s">
        <v>1314</v>
      </c>
      <c r="B1147" s="20" t="s">
        <v>23</v>
      </c>
      <c r="C1147" s="35">
        <v>24838</v>
      </c>
      <c r="D1147" s="29">
        <f ca="1">DATEDIF(C1147,TODAY(),"Y")</f>
        <v>58</v>
      </c>
      <c r="E1147" s="5" t="s">
        <v>25</v>
      </c>
      <c r="F1147" s="30">
        <v>158</v>
      </c>
      <c r="G1147" s="30">
        <v>58</v>
      </c>
      <c r="H1147" s="31">
        <f>G1147/((F1147/100)*(F1147/100))</f>
        <v>23.233456176894723</v>
      </c>
      <c r="I1147" s="5">
        <v>77</v>
      </c>
      <c r="J1147" s="30">
        <v>140</v>
      </c>
      <c r="K1147" s="30">
        <v>90</v>
      </c>
      <c r="L1147" s="29">
        <f>IF(B1147="Nữ",0,2)</f>
        <v>0</v>
      </c>
      <c r="M1147" s="29">
        <f ca="1">IF(D1147&lt;45,0,IF(D1147&lt;=49,1,2))</f>
        <v>2</v>
      </c>
      <c r="N1147" s="29">
        <f>IF(E1147="Có",4,0)</f>
        <v>4</v>
      </c>
      <c r="O1147" s="29">
        <f>IF(H1147&lt;23,0,IF(H1147&lt;27.5,3,5))</f>
        <v>3</v>
      </c>
      <c r="P1147" s="29">
        <f>IF(OR(AND(B1147="Nam",I1147&gt;=90),AND(B1147="Nữ",I1147&gt;=80)),2,0)</f>
        <v>0</v>
      </c>
      <c r="Q1147" s="29">
        <f>IF(OR(J1147&gt;=140,K1147&gt;=90),2,0)</f>
        <v>2</v>
      </c>
      <c r="R1147" s="29">
        <f ca="1">SUM(L1147:Q1147)</f>
        <v>11</v>
      </c>
      <c r="S1147" s="33"/>
      <c r="T1147" s="33"/>
      <c r="U1147" s="33"/>
      <c r="V1147" s="33"/>
      <c r="W1147" s="33"/>
      <c r="X1147" s="33"/>
      <c r="Y1147" s="33"/>
      <c r="Z1147" s="33"/>
      <c r="AA1147" s="33"/>
      <c r="AB1147" s="33"/>
      <c r="AC1147" s="33"/>
      <c r="AD1147" s="5" t="s">
        <v>1393</v>
      </c>
      <c r="AE1147" s="33"/>
      <c r="AF1147" s="59" t="str">
        <f t="shared" si="52"/>
        <v>Không</v>
      </c>
      <c r="AG1147" s="59" t="str">
        <f t="shared" si="53"/>
        <v>Không</v>
      </c>
      <c r="AH1147" s="29" t="str">
        <f t="shared" ca="1" si="51"/>
        <v>Có</v>
      </c>
      <c r="AI1147" s="29" t="str">
        <f ca="1">IF((R1147)&gt;=6,"Có","Không")</f>
        <v>Có</v>
      </c>
      <c r="AJ1147" s="29" t="str">
        <f>IF(OR(J1147&gt;=140,K1147&gt;=90),"Có","Không")</f>
        <v>Có</v>
      </c>
      <c r="AK1147" s="5" t="s">
        <v>51</v>
      </c>
      <c r="AL1147" s="35">
        <v>46173</v>
      </c>
      <c r="AM1147" s="29" t="str">
        <f>"Tháng "&amp;MONTH(AL1147)</f>
        <v>Tháng 5</v>
      </c>
      <c r="AN1147" s="69" t="s">
        <v>1376</v>
      </c>
    </row>
    <row r="1148" spans="1:40" x14ac:dyDescent="0.25">
      <c r="A1148" s="51" t="s">
        <v>1315</v>
      </c>
      <c r="B1148" s="20" t="s">
        <v>23</v>
      </c>
      <c r="C1148" s="35">
        <v>26665</v>
      </c>
      <c r="D1148" s="29">
        <f ca="1">DATEDIF(C1148,TODAY(),"Y")</f>
        <v>53</v>
      </c>
      <c r="E1148" s="5" t="s">
        <v>26</v>
      </c>
      <c r="F1148" s="30">
        <v>158</v>
      </c>
      <c r="G1148" s="30">
        <v>58</v>
      </c>
      <c r="H1148" s="31">
        <f>G1148/((F1148/100)*(F1148/100))</f>
        <v>23.233456176894723</v>
      </c>
      <c r="I1148" s="5">
        <v>70</v>
      </c>
      <c r="J1148" s="30">
        <v>120</v>
      </c>
      <c r="K1148" s="30">
        <v>70</v>
      </c>
      <c r="L1148" s="29">
        <f>IF(B1148="Nữ",0,2)</f>
        <v>0</v>
      </c>
      <c r="M1148" s="29">
        <f ca="1">IF(D1148&lt;45,0,IF(D1148&lt;=49,1,2))</f>
        <v>2</v>
      </c>
      <c r="N1148" s="29">
        <f>IF(E1148="Có",4,0)</f>
        <v>0</v>
      </c>
      <c r="O1148" s="29">
        <f>IF(H1148&lt;23,0,IF(H1148&lt;27.5,3,5))</f>
        <v>3</v>
      </c>
      <c r="P1148" s="29">
        <f>IF(OR(AND(B1148="Nam",I1148&gt;=90),AND(B1148="Nữ",I1148&gt;=80)),2,0)</f>
        <v>0</v>
      </c>
      <c r="Q1148" s="29">
        <f>IF(OR(J1148&gt;=140,K1148&gt;=90),2,0)</f>
        <v>0</v>
      </c>
      <c r="R1148" s="29">
        <f ca="1">SUM(L1148:Q1148)</f>
        <v>5</v>
      </c>
      <c r="S1148" s="33"/>
      <c r="T1148" s="33"/>
      <c r="U1148" s="33"/>
      <c r="V1148" s="33"/>
      <c r="W1148" s="33"/>
      <c r="X1148" s="33"/>
      <c r="Y1148" s="33"/>
      <c r="Z1148" s="33"/>
      <c r="AA1148" s="33"/>
      <c r="AB1148" s="33"/>
      <c r="AC1148" s="33"/>
      <c r="AD1148" s="5" t="s">
        <v>1393</v>
      </c>
      <c r="AE1148" s="33"/>
      <c r="AF1148" s="59" t="str">
        <f t="shared" si="52"/>
        <v>Không</v>
      </c>
      <c r="AG1148" s="59" t="str">
        <f t="shared" si="53"/>
        <v>Không</v>
      </c>
      <c r="AH1148" s="29" t="str">
        <f t="shared" ca="1" si="51"/>
        <v>Không</v>
      </c>
      <c r="AI1148" s="29" t="str">
        <f ca="1">IF((R1148)&gt;=6,"Có","Không")</f>
        <v>Không</v>
      </c>
      <c r="AJ1148" s="29" t="str">
        <f>IF(OR(J1148&gt;=140,K1148&gt;=90),"Có","Không")</f>
        <v>Không</v>
      </c>
      <c r="AK1148" s="5" t="s">
        <v>51</v>
      </c>
      <c r="AL1148" s="35">
        <v>46173</v>
      </c>
      <c r="AM1148" s="29" t="str">
        <f>"Tháng "&amp;MONTH(AL1148)</f>
        <v>Tháng 5</v>
      </c>
      <c r="AN1148" s="69" t="s">
        <v>1376</v>
      </c>
    </row>
    <row r="1149" spans="1:40" x14ac:dyDescent="0.25">
      <c r="A1149" s="51" t="s">
        <v>244</v>
      </c>
      <c r="B1149" s="20" t="s">
        <v>30</v>
      </c>
      <c r="C1149" s="35">
        <v>21916</v>
      </c>
      <c r="D1149" s="29">
        <f ca="1">DATEDIF(C1149,TODAY(),"Y")</f>
        <v>66</v>
      </c>
      <c r="E1149" s="5" t="s">
        <v>26</v>
      </c>
      <c r="F1149" s="30">
        <v>169</v>
      </c>
      <c r="G1149" s="30">
        <v>68</v>
      </c>
      <c r="H1149" s="31">
        <f>G1149/((F1149/100)*(F1149/100))</f>
        <v>23.808690171912751</v>
      </c>
      <c r="I1149" s="5">
        <v>78</v>
      </c>
      <c r="J1149" s="30">
        <v>120</v>
      </c>
      <c r="K1149" s="30">
        <v>70</v>
      </c>
      <c r="L1149" s="29">
        <f>IF(B1149="Nữ",0,2)</f>
        <v>2</v>
      </c>
      <c r="M1149" s="29">
        <f ca="1">IF(D1149&lt;45,0,IF(D1149&lt;=49,1,2))</f>
        <v>2</v>
      </c>
      <c r="N1149" s="29">
        <f>IF(E1149="Có",4,0)</f>
        <v>0</v>
      </c>
      <c r="O1149" s="29">
        <f>IF(H1149&lt;23,0,IF(H1149&lt;27.5,3,5))</f>
        <v>3</v>
      </c>
      <c r="P1149" s="29">
        <f>IF(OR(AND(B1149="Nam",I1149&gt;=90),AND(B1149="Nữ",I1149&gt;=80)),2,0)</f>
        <v>0</v>
      </c>
      <c r="Q1149" s="29">
        <f>IF(OR(J1149&gt;=140,K1149&gt;=90),2,0)</f>
        <v>0</v>
      </c>
      <c r="R1149" s="29">
        <f ca="1">SUM(L1149:Q1149)</f>
        <v>7</v>
      </c>
      <c r="S1149" s="33"/>
      <c r="T1149" s="33"/>
      <c r="U1149" s="33"/>
      <c r="V1149" s="33"/>
      <c r="W1149" s="33"/>
      <c r="X1149" s="33"/>
      <c r="Y1149" s="33"/>
      <c r="Z1149" s="33"/>
      <c r="AA1149" s="33"/>
      <c r="AB1149" s="33"/>
      <c r="AC1149" s="33"/>
      <c r="AD1149" s="5" t="s">
        <v>1393</v>
      </c>
      <c r="AE1149" s="33"/>
      <c r="AF1149" s="59" t="str">
        <f t="shared" si="52"/>
        <v>Không</v>
      </c>
      <c r="AG1149" s="59" t="str">
        <f t="shared" si="53"/>
        <v>Không</v>
      </c>
      <c r="AH1149" s="29" t="str">
        <f t="shared" ca="1" si="51"/>
        <v>Có</v>
      </c>
      <c r="AI1149" s="29" t="str">
        <f ca="1">IF((R1149)&gt;=6,"Có","Không")</f>
        <v>Có</v>
      </c>
      <c r="AJ1149" s="29" t="str">
        <f>IF(OR(J1149&gt;=140,K1149&gt;=90),"Có","Không")</f>
        <v>Không</v>
      </c>
      <c r="AK1149" s="5" t="s">
        <v>51</v>
      </c>
      <c r="AL1149" s="35">
        <v>46173</v>
      </c>
      <c r="AM1149" s="29" t="str">
        <f>"Tháng "&amp;MONTH(AL1149)</f>
        <v>Tháng 5</v>
      </c>
      <c r="AN1149" s="69" t="s">
        <v>1376</v>
      </c>
    </row>
    <row r="1150" spans="1:40" x14ac:dyDescent="0.25">
      <c r="A1150" s="51" t="s">
        <v>1021</v>
      </c>
      <c r="B1150" s="20" t="s">
        <v>23</v>
      </c>
      <c r="C1150" s="35">
        <v>24108</v>
      </c>
      <c r="D1150" s="29">
        <f ca="1">DATEDIF(C1150,TODAY(),"Y")</f>
        <v>60</v>
      </c>
      <c r="E1150" s="5" t="s">
        <v>26</v>
      </c>
      <c r="F1150" s="30">
        <v>158</v>
      </c>
      <c r="G1150" s="30">
        <v>58</v>
      </c>
      <c r="H1150" s="31">
        <f>G1150/((F1150/100)*(F1150/100))</f>
        <v>23.233456176894723</v>
      </c>
      <c r="I1150" s="5">
        <v>89</v>
      </c>
      <c r="J1150" s="30">
        <v>120</v>
      </c>
      <c r="K1150" s="30">
        <v>70</v>
      </c>
      <c r="L1150" s="29">
        <f>IF(B1150="Nữ",0,2)</f>
        <v>0</v>
      </c>
      <c r="M1150" s="29">
        <f ca="1">IF(D1150&lt;45,0,IF(D1150&lt;=49,1,2))</f>
        <v>2</v>
      </c>
      <c r="N1150" s="29">
        <f>IF(E1150="Có",4,0)</f>
        <v>0</v>
      </c>
      <c r="O1150" s="29">
        <f>IF(H1150&lt;23,0,IF(H1150&lt;27.5,3,5))</f>
        <v>3</v>
      </c>
      <c r="P1150" s="29">
        <f>IF(OR(AND(B1150="Nam",I1150&gt;=90),AND(B1150="Nữ",I1150&gt;=80)),2,0)</f>
        <v>2</v>
      </c>
      <c r="Q1150" s="29">
        <f>IF(OR(J1150&gt;=140,K1150&gt;=90),2,0)</f>
        <v>0</v>
      </c>
      <c r="R1150" s="29">
        <f ca="1">SUM(L1150:Q1150)</f>
        <v>7</v>
      </c>
      <c r="S1150" s="33"/>
      <c r="T1150" s="33"/>
      <c r="U1150" s="33"/>
      <c r="V1150" s="33"/>
      <c r="W1150" s="33"/>
      <c r="X1150" s="33"/>
      <c r="Y1150" s="33"/>
      <c r="Z1150" s="33"/>
      <c r="AA1150" s="33"/>
      <c r="AB1150" s="33"/>
      <c r="AC1150" s="33"/>
      <c r="AD1150" s="5" t="s">
        <v>1393</v>
      </c>
      <c r="AE1150" s="33"/>
      <c r="AF1150" s="59" t="str">
        <f t="shared" si="52"/>
        <v>Không</v>
      </c>
      <c r="AG1150" s="59" t="str">
        <f t="shared" si="53"/>
        <v>Không</v>
      </c>
      <c r="AH1150" s="29" t="str">
        <f t="shared" ca="1" si="51"/>
        <v>Có</v>
      </c>
      <c r="AI1150" s="29" t="str">
        <f ca="1">IF((R1150)&gt;=6,"Có","Không")</f>
        <v>Có</v>
      </c>
      <c r="AJ1150" s="29" t="str">
        <f>IF(OR(J1150&gt;=140,K1150&gt;=90),"Có","Không")</f>
        <v>Không</v>
      </c>
      <c r="AK1150" s="5" t="s">
        <v>51</v>
      </c>
      <c r="AL1150" s="35">
        <v>46173</v>
      </c>
      <c r="AM1150" s="29" t="str">
        <f>"Tháng "&amp;MONTH(AL1150)</f>
        <v>Tháng 5</v>
      </c>
      <c r="AN1150" s="69" t="s">
        <v>1376</v>
      </c>
    </row>
    <row r="1151" spans="1:40" x14ac:dyDescent="0.25">
      <c r="A1151" s="51" t="s">
        <v>584</v>
      </c>
      <c r="B1151" s="20" t="s">
        <v>23</v>
      </c>
      <c r="C1151" s="35">
        <v>30317</v>
      </c>
      <c r="D1151" s="29">
        <f ca="1">DATEDIF(C1151,TODAY(),"Y")</f>
        <v>43</v>
      </c>
      <c r="E1151" s="5" t="s">
        <v>26</v>
      </c>
      <c r="F1151" s="30">
        <v>168</v>
      </c>
      <c r="G1151" s="30">
        <v>68</v>
      </c>
      <c r="H1151" s="31">
        <f>G1151/((F1151/100)*(F1151/100))</f>
        <v>24.092970521541954</v>
      </c>
      <c r="I1151" s="5">
        <v>77</v>
      </c>
      <c r="J1151" s="30">
        <v>120</v>
      </c>
      <c r="K1151" s="30">
        <v>70</v>
      </c>
      <c r="L1151" s="29">
        <f>IF(B1151="Nữ",0,2)</f>
        <v>0</v>
      </c>
      <c r="M1151" s="29">
        <f ca="1">IF(D1151&lt;45,0,IF(D1151&lt;=49,1,2))</f>
        <v>0</v>
      </c>
      <c r="N1151" s="29">
        <f>IF(E1151="Có",4,0)</f>
        <v>0</v>
      </c>
      <c r="O1151" s="29">
        <f>IF(H1151&lt;23,0,IF(H1151&lt;27.5,3,5))</f>
        <v>3</v>
      </c>
      <c r="P1151" s="29">
        <f>IF(OR(AND(B1151="Nam",I1151&gt;=90),AND(B1151="Nữ",I1151&gt;=80)),2,0)</f>
        <v>0</v>
      </c>
      <c r="Q1151" s="29">
        <f>IF(OR(J1151&gt;=140,K1151&gt;=90),2,0)</f>
        <v>0</v>
      </c>
      <c r="R1151" s="29">
        <f ca="1">SUM(L1151:Q1151)</f>
        <v>3</v>
      </c>
      <c r="S1151" s="33"/>
      <c r="T1151" s="33"/>
      <c r="U1151" s="33"/>
      <c r="V1151" s="33"/>
      <c r="W1151" s="33"/>
      <c r="X1151" s="33"/>
      <c r="Y1151" s="33"/>
      <c r="Z1151" s="33"/>
      <c r="AA1151" s="33"/>
      <c r="AB1151" s="33"/>
      <c r="AC1151" s="33"/>
      <c r="AD1151" s="5" t="s">
        <v>1393</v>
      </c>
      <c r="AE1151" s="33"/>
      <c r="AF1151" s="59" t="str">
        <f t="shared" si="52"/>
        <v>Không</v>
      </c>
      <c r="AG1151" s="59" t="str">
        <f t="shared" si="53"/>
        <v>Không</v>
      </c>
      <c r="AH1151" s="29" t="str">
        <f t="shared" ca="1" si="51"/>
        <v>Không</v>
      </c>
      <c r="AI1151" s="29" t="str">
        <f ca="1">IF((R1151)&gt;=6,"Có","Không")</f>
        <v>Không</v>
      </c>
      <c r="AJ1151" s="29" t="str">
        <f>IF(OR(J1151&gt;=140,K1151&gt;=90),"Có","Không")</f>
        <v>Không</v>
      </c>
      <c r="AK1151" s="5" t="s">
        <v>51</v>
      </c>
      <c r="AL1151" s="35">
        <v>46173</v>
      </c>
      <c r="AM1151" s="29" t="str">
        <f>"Tháng "&amp;MONTH(AL1151)</f>
        <v>Tháng 5</v>
      </c>
      <c r="AN1151" s="69" t="s">
        <v>1376</v>
      </c>
    </row>
    <row r="1152" spans="1:40" x14ac:dyDescent="0.25">
      <c r="A1152" s="51" t="s">
        <v>666</v>
      </c>
      <c r="B1152" s="20" t="s">
        <v>30</v>
      </c>
      <c r="C1152" s="35">
        <v>22282</v>
      </c>
      <c r="D1152" s="29">
        <f ca="1">DATEDIF(C1152,TODAY(),"Y")</f>
        <v>65</v>
      </c>
      <c r="E1152" s="5" t="s">
        <v>26</v>
      </c>
      <c r="F1152" s="30">
        <v>158</v>
      </c>
      <c r="G1152" s="30">
        <v>58</v>
      </c>
      <c r="H1152" s="31">
        <f>G1152/((F1152/100)*(F1152/100))</f>
        <v>23.233456176894723</v>
      </c>
      <c r="I1152" s="5">
        <v>90</v>
      </c>
      <c r="J1152" s="30">
        <v>130</v>
      </c>
      <c r="K1152" s="30">
        <v>80</v>
      </c>
      <c r="L1152" s="29">
        <f>IF(B1152="Nữ",0,2)</f>
        <v>2</v>
      </c>
      <c r="M1152" s="29">
        <f ca="1">IF(D1152&lt;45,0,IF(D1152&lt;=49,1,2))</f>
        <v>2</v>
      </c>
      <c r="N1152" s="29">
        <f>IF(E1152="Có",4,0)</f>
        <v>0</v>
      </c>
      <c r="O1152" s="29">
        <f>IF(H1152&lt;23,0,IF(H1152&lt;27.5,3,5))</f>
        <v>3</v>
      </c>
      <c r="P1152" s="29">
        <f>IF(OR(AND(B1152="Nam",I1152&gt;=90),AND(B1152="Nữ",I1152&gt;=80)),2,0)</f>
        <v>2</v>
      </c>
      <c r="Q1152" s="29">
        <f>IF(OR(J1152&gt;=140,K1152&gt;=90),2,0)</f>
        <v>0</v>
      </c>
      <c r="R1152" s="29">
        <f ca="1">SUM(L1152:Q1152)</f>
        <v>9</v>
      </c>
      <c r="S1152" s="33"/>
      <c r="T1152" s="33"/>
      <c r="U1152" s="33"/>
      <c r="V1152" s="33"/>
      <c r="W1152" s="33"/>
      <c r="X1152" s="33"/>
      <c r="Y1152" s="33"/>
      <c r="Z1152" s="33"/>
      <c r="AA1152" s="33"/>
      <c r="AB1152" s="33"/>
      <c r="AC1152" s="33"/>
      <c r="AD1152" s="5" t="s">
        <v>1393</v>
      </c>
      <c r="AE1152" s="33"/>
      <c r="AF1152" s="59" t="str">
        <f t="shared" si="52"/>
        <v>Không</v>
      </c>
      <c r="AG1152" s="59" t="str">
        <f t="shared" si="53"/>
        <v>Không</v>
      </c>
      <c r="AH1152" s="29" t="str">
        <f t="shared" ca="1" si="51"/>
        <v>Có</v>
      </c>
      <c r="AI1152" s="29" t="str">
        <f ca="1">IF((R1152)&gt;=6,"Có","Không")</f>
        <v>Có</v>
      </c>
      <c r="AJ1152" s="29" t="str">
        <f>IF(OR(J1152&gt;=140,K1152&gt;=90),"Có","Không")</f>
        <v>Không</v>
      </c>
      <c r="AK1152" s="5" t="s">
        <v>51</v>
      </c>
      <c r="AL1152" s="35">
        <v>46173</v>
      </c>
      <c r="AM1152" s="29" t="str">
        <f>"Tháng "&amp;MONTH(AL1152)</f>
        <v>Tháng 5</v>
      </c>
      <c r="AN1152" s="69" t="s">
        <v>1376</v>
      </c>
    </row>
    <row r="1153" spans="1:40" x14ac:dyDescent="0.25">
      <c r="A1153" s="51" t="s">
        <v>71</v>
      </c>
      <c r="B1153" s="20" t="s">
        <v>30</v>
      </c>
      <c r="C1153" s="35">
        <v>23377</v>
      </c>
      <c r="D1153" s="29">
        <f ca="1">DATEDIF(C1153,TODAY(),"Y")</f>
        <v>62</v>
      </c>
      <c r="E1153" s="5" t="s">
        <v>26</v>
      </c>
      <c r="F1153" s="30">
        <v>160</v>
      </c>
      <c r="G1153" s="30">
        <v>70</v>
      </c>
      <c r="H1153" s="31">
        <f>G1153/((F1153/100)*(F1153/100))</f>
        <v>27.343749999999996</v>
      </c>
      <c r="I1153" s="5">
        <v>79</v>
      </c>
      <c r="J1153" s="30">
        <v>120</v>
      </c>
      <c r="K1153" s="30">
        <v>80</v>
      </c>
      <c r="L1153" s="29">
        <f>IF(B1153="Nữ",0,2)</f>
        <v>2</v>
      </c>
      <c r="M1153" s="29">
        <f ca="1">IF(D1153&lt;45,0,IF(D1153&lt;=49,1,2))</f>
        <v>2</v>
      </c>
      <c r="N1153" s="29">
        <f>IF(E1153="Có",4,0)</f>
        <v>0</v>
      </c>
      <c r="O1153" s="29">
        <f>IF(H1153&lt;23,0,IF(H1153&lt;27.5,3,5))</f>
        <v>3</v>
      </c>
      <c r="P1153" s="29">
        <f>IF(OR(AND(B1153="Nam",I1153&gt;=90),AND(B1153="Nữ",I1153&gt;=80)),2,0)</f>
        <v>0</v>
      </c>
      <c r="Q1153" s="29">
        <f>IF(OR(J1153&gt;=140,K1153&gt;=90),2,0)</f>
        <v>0</v>
      </c>
      <c r="R1153" s="29">
        <f ca="1">SUM(L1153:Q1153)</f>
        <v>7</v>
      </c>
      <c r="S1153" s="33"/>
      <c r="T1153" s="33"/>
      <c r="U1153" s="33"/>
      <c r="V1153" s="33"/>
      <c r="W1153" s="33"/>
      <c r="X1153" s="33"/>
      <c r="Y1153" s="33"/>
      <c r="Z1153" s="33"/>
      <c r="AA1153" s="33"/>
      <c r="AB1153" s="33"/>
      <c r="AC1153" s="33"/>
      <c r="AD1153" s="5" t="s">
        <v>1393</v>
      </c>
      <c r="AE1153" s="33"/>
      <c r="AF1153" s="59" t="str">
        <f t="shared" si="52"/>
        <v>Không</v>
      </c>
      <c r="AG1153" s="59" t="str">
        <f t="shared" si="53"/>
        <v>Không</v>
      </c>
      <c r="AH1153" s="29" t="str">
        <f t="shared" ca="1" si="51"/>
        <v>Có</v>
      </c>
      <c r="AI1153" s="29" t="str">
        <f ca="1">IF((R1153)&gt;=6,"Có","Không")</f>
        <v>Có</v>
      </c>
      <c r="AJ1153" s="29" t="str">
        <f>IF(OR(J1153&gt;=140,K1153&gt;=90),"Có","Không")</f>
        <v>Không</v>
      </c>
      <c r="AK1153" s="5" t="s">
        <v>51</v>
      </c>
      <c r="AL1153" s="35">
        <v>46173</v>
      </c>
      <c r="AM1153" s="29" t="str">
        <f>"Tháng "&amp;MONTH(AL1153)</f>
        <v>Tháng 5</v>
      </c>
      <c r="AN1153" s="69" t="s">
        <v>1376</v>
      </c>
    </row>
    <row r="1154" spans="1:40" x14ac:dyDescent="0.25">
      <c r="A1154" s="51" t="s">
        <v>520</v>
      </c>
      <c r="B1154" s="20" t="s">
        <v>23</v>
      </c>
      <c r="C1154" s="35">
        <v>27395</v>
      </c>
      <c r="D1154" s="29">
        <f ca="1">DATEDIF(C1154,TODAY(),"Y")</f>
        <v>51</v>
      </c>
      <c r="E1154" s="5" t="s">
        <v>25</v>
      </c>
      <c r="F1154" s="30">
        <v>156</v>
      </c>
      <c r="G1154" s="30">
        <v>53</v>
      </c>
      <c r="H1154" s="31">
        <f>G1154/((F1154/100)*(F1154/100))</f>
        <v>21.7784352399737</v>
      </c>
      <c r="I1154" s="5">
        <v>74</v>
      </c>
      <c r="J1154" s="30">
        <v>120</v>
      </c>
      <c r="K1154" s="30">
        <v>80</v>
      </c>
      <c r="L1154" s="29">
        <f>IF(B1154="Nữ",0,2)</f>
        <v>0</v>
      </c>
      <c r="M1154" s="29">
        <f ca="1">IF(D1154&lt;45,0,IF(D1154&lt;=49,1,2))</f>
        <v>2</v>
      </c>
      <c r="N1154" s="29">
        <f>IF(E1154="Có",4,0)</f>
        <v>4</v>
      </c>
      <c r="O1154" s="29">
        <f>IF(H1154&lt;23,0,IF(H1154&lt;27.5,3,5))</f>
        <v>0</v>
      </c>
      <c r="P1154" s="29">
        <f>IF(OR(AND(B1154="Nam",I1154&gt;=90),AND(B1154="Nữ",I1154&gt;=80)),2,0)</f>
        <v>0</v>
      </c>
      <c r="Q1154" s="29">
        <f>IF(OR(J1154&gt;=140,K1154&gt;=90),2,0)</f>
        <v>0</v>
      </c>
      <c r="R1154" s="29">
        <f ca="1">SUM(L1154:Q1154)</f>
        <v>6</v>
      </c>
      <c r="S1154" s="33"/>
      <c r="T1154" s="33"/>
      <c r="U1154" s="33"/>
      <c r="V1154" s="33"/>
      <c r="W1154" s="33"/>
      <c r="X1154" s="33"/>
      <c r="Y1154" s="33"/>
      <c r="Z1154" s="33"/>
      <c r="AA1154" s="33"/>
      <c r="AB1154" s="33"/>
      <c r="AC1154" s="33"/>
      <c r="AD1154" s="5" t="s">
        <v>1393</v>
      </c>
      <c r="AE1154" s="33"/>
      <c r="AF1154" s="59" t="str">
        <f t="shared" si="52"/>
        <v>Không</v>
      </c>
      <c r="AG1154" s="59" t="str">
        <f t="shared" si="53"/>
        <v>Không</v>
      </c>
      <c r="AH1154" s="29" t="str">
        <f t="shared" ca="1" si="51"/>
        <v>Có</v>
      </c>
      <c r="AI1154" s="29" t="str">
        <f ca="1">IF((R1154)&gt;=6,"Có","Không")</f>
        <v>Có</v>
      </c>
      <c r="AJ1154" s="29" t="str">
        <f>IF(OR(J1154&gt;=140,K1154&gt;=90),"Có","Không")</f>
        <v>Không</v>
      </c>
      <c r="AK1154" s="5" t="s">
        <v>51</v>
      </c>
      <c r="AL1154" s="35">
        <v>46173</v>
      </c>
      <c r="AM1154" s="29" t="str">
        <f>"Tháng "&amp;MONTH(AL1154)</f>
        <v>Tháng 5</v>
      </c>
      <c r="AN1154" s="69" t="s">
        <v>1376</v>
      </c>
    </row>
    <row r="1155" spans="1:40" x14ac:dyDescent="0.25">
      <c r="A1155" s="51" t="s">
        <v>628</v>
      </c>
      <c r="B1155" s="20" t="s">
        <v>30</v>
      </c>
      <c r="C1155" s="35">
        <v>19725</v>
      </c>
      <c r="D1155" s="29">
        <f ca="1">DATEDIF(C1155,TODAY(),"Y")</f>
        <v>72</v>
      </c>
      <c r="E1155" s="5" t="s">
        <v>26</v>
      </c>
      <c r="F1155" s="30">
        <v>169</v>
      </c>
      <c r="G1155" s="30">
        <v>68</v>
      </c>
      <c r="H1155" s="31">
        <f>G1155/((F1155/100)*(F1155/100))</f>
        <v>23.808690171912751</v>
      </c>
      <c r="I1155" s="5">
        <v>75</v>
      </c>
      <c r="J1155" s="30">
        <v>120</v>
      </c>
      <c r="K1155" s="30" t="s">
        <v>27</v>
      </c>
      <c r="L1155" s="29">
        <f>IF(B1155="Nữ",0,2)</f>
        <v>2</v>
      </c>
      <c r="M1155" s="29">
        <f ca="1">IF(D1155&lt;45,0,IF(D1155&lt;=49,1,2))</f>
        <v>2</v>
      </c>
      <c r="N1155" s="29">
        <f>IF(E1155="Có",4,0)</f>
        <v>0</v>
      </c>
      <c r="O1155" s="29">
        <f>IF(H1155&lt;23,0,IF(H1155&lt;27.5,3,5))</f>
        <v>3</v>
      </c>
      <c r="P1155" s="29">
        <f>IF(OR(AND(B1155="Nam",I1155&gt;=90),AND(B1155="Nữ",I1155&gt;=80)),2,0)</f>
        <v>0</v>
      </c>
      <c r="Q1155" s="29">
        <f>IF(OR(J1155&gt;=140,K1155&gt;=90),2,0)</f>
        <v>2</v>
      </c>
      <c r="R1155" s="29">
        <f ca="1">SUM(L1155:Q1155)</f>
        <v>9</v>
      </c>
      <c r="S1155" s="33"/>
      <c r="T1155" s="33"/>
      <c r="U1155" s="33"/>
      <c r="V1155" s="33"/>
      <c r="W1155" s="33"/>
      <c r="X1155" s="33"/>
      <c r="Y1155" s="33"/>
      <c r="Z1155" s="33"/>
      <c r="AA1155" s="33"/>
      <c r="AB1155" s="33"/>
      <c r="AC1155" s="33"/>
      <c r="AD1155" s="5" t="s">
        <v>1393</v>
      </c>
      <c r="AE1155" s="33"/>
      <c r="AF1155" s="59" t="str">
        <f t="shared" si="52"/>
        <v>Không</v>
      </c>
      <c r="AG1155" s="59" t="str">
        <f t="shared" si="53"/>
        <v>Không</v>
      </c>
      <c r="AH1155" s="29" t="str">
        <f t="shared" ca="1" si="51"/>
        <v>Có</v>
      </c>
      <c r="AI1155" s="29" t="str">
        <f ca="1">IF((R1155)&gt;=6,"Có","Không")</f>
        <v>Có</v>
      </c>
      <c r="AJ1155" s="29" t="str">
        <f>IF(OR(J1155&gt;=140,K1155&gt;=90),"Có","Không")</f>
        <v>Có</v>
      </c>
      <c r="AK1155" s="5" t="s">
        <v>51</v>
      </c>
      <c r="AL1155" s="35">
        <v>46173</v>
      </c>
      <c r="AM1155" s="29" t="str">
        <f>"Tháng "&amp;MONTH(AL1155)</f>
        <v>Tháng 5</v>
      </c>
      <c r="AN1155" s="69" t="s">
        <v>1376</v>
      </c>
    </row>
    <row r="1156" spans="1:40" x14ac:dyDescent="0.25">
      <c r="A1156" s="51" t="s">
        <v>1316</v>
      </c>
      <c r="B1156" s="20" t="s">
        <v>23</v>
      </c>
      <c r="C1156" s="35">
        <v>22647</v>
      </c>
      <c r="D1156" s="29">
        <f ca="1">DATEDIF(C1156,TODAY(),"Y")</f>
        <v>64</v>
      </c>
      <c r="E1156" s="5" t="s">
        <v>26</v>
      </c>
      <c r="F1156" s="30">
        <v>160</v>
      </c>
      <c r="G1156" s="30">
        <v>48</v>
      </c>
      <c r="H1156" s="31">
        <f>G1156/((F1156/100)*(F1156/100))</f>
        <v>18.749999999999996</v>
      </c>
      <c r="I1156" s="5">
        <v>85</v>
      </c>
      <c r="J1156" s="30">
        <v>120</v>
      </c>
      <c r="K1156" s="30">
        <v>80</v>
      </c>
      <c r="L1156" s="29">
        <f>IF(B1156="Nữ",0,2)</f>
        <v>0</v>
      </c>
      <c r="M1156" s="29">
        <f ca="1">IF(D1156&lt;45,0,IF(D1156&lt;=49,1,2))</f>
        <v>2</v>
      </c>
      <c r="N1156" s="29">
        <f>IF(E1156="Có",4,0)</f>
        <v>0</v>
      </c>
      <c r="O1156" s="29">
        <f>IF(H1156&lt;23,0,IF(H1156&lt;27.5,3,5))</f>
        <v>0</v>
      </c>
      <c r="P1156" s="29">
        <f>IF(OR(AND(B1156="Nam",I1156&gt;=90),AND(B1156="Nữ",I1156&gt;=80)),2,0)</f>
        <v>2</v>
      </c>
      <c r="Q1156" s="29">
        <f>IF(OR(J1156&gt;=140,K1156&gt;=90),2,0)</f>
        <v>0</v>
      </c>
      <c r="R1156" s="29">
        <f ca="1">SUM(L1156:Q1156)</f>
        <v>4</v>
      </c>
      <c r="S1156" s="33"/>
      <c r="T1156" s="33"/>
      <c r="U1156" s="33"/>
      <c r="V1156" s="33"/>
      <c r="W1156" s="33"/>
      <c r="X1156" s="33"/>
      <c r="Y1156" s="33"/>
      <c r="Z1156" s="33"/>
      <c r="AA1156" s="33"/>
      <c r="AB1156" s="33"/>
      <c r="AC1156" s="33"/>
      <c r="AD1156" s="5" t="s">
        <v>1393</v>
      </c>
      <c r="AE1156" s="33"/>
      <c r="AF1156" s="59" t="str">
        <f t="shared" si="52"/>
        <v>Không</v>
      </c>
      <c r="AG1156" s="59" t="str">
        <f t="shared" si="53"/>
        <v>Không</v>
      </c>
      <c r="AH1156" s="29" t="str">
        <f t="shared" ref="AH1156:AH1219" ca="1" si="54">IF((R1156)&gt;=6,"Có","Không")</f>
        <v>Không</v>
      </c>
      <c r="AI1156" s="29" t="str">
        <f ca="1">IF((R1156)&gt;=6,"Có","Không")</f>
        <v>Không</v>
      </c>
      <c r="AJ1156" s="29" t="str">
        <f>IF(OR(J1156&gt;=140,K1156&gt;=90),"Có","Không")</f>
        <v>Không</v>
      </c>
      <c r="AK1156" s="5" t="s">
        <v>51</v>
      </c>
      <c r="AL1156" s="35">
        <v>46173</v>
      </c>
      <c r="AM1156" s="29" t="str">
        <f>"Tháng "&amp;MONTH(AL1156)</f>
        <v>Tháng 5</v>
      </c>
      <c r="AN1156" s="69" t="s">
        <v>1376</v>
      </c>
    </row>
    <row r="1157" spans="1:40" x14ac:dyDescent="0.25">
      <c r="A1157" s="51" t="s">
        <v>1317</v>
      </c>
      <c r="B1157" s="20" t="s">
        <v>30</v>
      </c>
      <c r="C1157" s="35">
        <v>19360</v>
      </c>
      <c r="D1157" s="29">
        <f ca="1">DATEDIF(C1157,TODAY(),"Y")</f>
        <v>73</v>
      </c>
      <c r="E1157" s="5" t="s">
        <v>26</v>
      </c>
      <c r="F1157" s="30">
        <v>169</v>
      </c>
      <c r="G1157" s="30">
        <v>68</v>
      </c>
      <c r="H1157" s="31">
        <f>G1157/((F1157/100)*(F1157/100))</f>
        <v>23.808690171912751</v>
      </c>
      <c r="I1157" s="5">
        <v>79</v>
      </c>
      <c r="J1157" s="30">
        <v>120</v>
      </c>
      <c r="K1157" s="30">
        <v>80</v>
      </c>
      <c r="L1157" s="29">
        <f>IF(B1157="Nữ",0,2)</f>
        <v>2</v>
      </c>
      <c r="M1157" s="29">
        <f ca="1">IF(D1157&lt;45,0,IF(D1157&lt;=49,1,2))</f>
        <v>2</v>
      </c>
      <c r="N1157" s="29">
        <f>IF(E1157="Có",4,0)</f>
        <v>0</v>
      </c>
      <c r="O1157" s="29">
        <f>IF(H1157&lt;23,0,IF(H1157&lt;27.5,3,5))</f>
        <v>3</v>
      </c>
      <c r="P1157" s="29">
        <f>IF(OR(AND(B1157="Nam",I1157&gt;=90),AND(B1157="Nữ",I1157&gt;=80)),2,0)</f>
        <v>0</v>
      </c>
      <c r="Q1157" s="29">
        <f>IF(OR(J1157&gt;=140,K1157&gt;=90),2,0)</f>
        <v>0</v>
      </c>
      <c r="R1157" s="29">
        <f ca="1">SUM(L1157:Q1157)</f>
        <v>7</v>
      </c>
      <c r="S1157" s="33"/>
      <c r="T1157" s="33"/>
      <c r="U1157" s="33"/>
      <c r="V1157" s="33"/>
      <c r="W1157" s="33"/>
      <c r="X1157" s="33"/>
      <c r="Y1157" s="33"/>
      <c r="Z1157" s="33"/>
      <c r="AA1157" s="33"/>
      <c r="AB1157" s="33"/>
      <c r="AC1157" s="33"/>
      <c r="AD1157" s="5" t="s">
        <v>1393</v>
      </c>
      <c r="AE1157" s="33"/>
      <c r="AF1157" s="59" t="str">
        <f t="shared" ref="AF1157:AF1220" si="55">IF(COUNTIF(S1157:Z1157,"X")&gt;=2,"Có","Không")</f>
        <v>Không</v>
      </c>
      <c r="AG1157" s="59" t="str">
        <f t="shared" ref="AG1157:AG1220" si="56">IF(COUNTIF(AA1157:AE1157,"X")&gt;=3,"Có","Không")</f>
        <v>Không</v>
      </c>
      <c r="AH1157" s="29" t="str">
        <f t="shared" ca="1" si="54"/>
        <v>Có</v>
      </c>
      <c r="AI1157" s="29" t="str">
        <f ca="1">IF((R1157)&gt;=6,"Có","Không")</f>
        <v>Có</v>
      </c>
      <c r="AJ1157" s="29" t="str">
        <f>IF(OR(J1157&gt;=140,K1157&gt;=90),"Có","Không")</f>
        <v>Không</v>
      </c>
      <c r="AK1157" s="5" t="s">
        <v>51</v>
      </c>
      <c r="AL1157" s="35">
        <v>46173</v>
      </c>
      <c r="AM1157" s="29" t="str">
        <f>"Tháng "&amp;MONTH(AL1157)</f>
        <v>Tháng 5</v>
      </c>
      <c r="AN1157" s="69" t="s">
        <v>1376</v>
      </c>
    </row>
    <row r="1158" spans="1:40" x14ac:dyDescent="0.25">
      <c r="A1158" s="51" t="s">
        <v>1318</v>
      </c>
      <c r="B1158" s="20" t="s">
        <v>30</v>
      </c>
      <c r="C1158" s="35">
        <v>23377</v>
      </c>
      <c r="D1158" s="29">
        <f ca="1">DATEDIF(C1158,TODAY(),"Y")</f>
        <v>62</v>
      </c>
      <c r="E1158" s="5" t="s">
        <v>26</v>
      </c>
      <c r="F1158" s="30">
        <v>169</v>
      </c>
      <c r="G1158" s="30">
        <v>68</v>
      </c>
      <c r="H1158" s="31">
        <f>G1158/((F1158/100)*(F1158/100))</f>
        <v>23.808690171912751</v>
      </c>
      <c r="I1158" s="5">
        <v>90</v>
      </c>
      <c r="J1158" s="30">
        <v>150</v>
      </c>
      <c r="K1158" s="30">
        <v>80</v>
      </c>
      <c r="L1158" s="29">
        <f>IF(B1158="Nữ",0,2)</f>
        <v>2</v>
      </c>
      <c r="M1158" s="29">
        <f ca="1">IF(D1158&lt;45,0,IF(D1158&lt;=49,1,2))</f>
        <v>2</v>
      </c>
      <c r="N1158" s="29">
        <f>IF(E1158="Có",4,0)</f>
        <v>0</v>
      </c>
      <c r="O1158" s="29">
        <f>IF(H1158&lt;23,0,IF(H1158&lt;27.5,3,5))</f>
        <v>3</v>
      </c>
      <c r="P1158" s="29">
        <f>IF(OR(AND(B1158="Nam",I1158&gt;=90),AND(B1158="Nữ",I1158&gt;=80)),2,0)</f>
        <v>2</v>
      </c>
      <c r="Q1158" s="29">
        <f>IF(OR(J1158&gt;=140,K1158&gt;=90),2,0)</f>
        <v>2</v>
      </c>
      <c r="R1158" s="29">
        <f ca="1">SUM(L1158:Q1158)</f>
        <v>11</v>
      </c>
      <c r="S1158" s="33"/>
      <c r="T1158" s="33"/>
      <c r="U1158" s="33"/>
      <c r="V1158" s="33"/>
      <c r="W1158" s="33"/>
      <c r="X1158" s="33"/>
      <c r="Y1158" s="33"/>
      <c r="Z1158" s="33"/>
      <c r="AA1158" s="33"/>
      <c r="AB1158" s="33"/>
      <c r="AC1158" s="33"/>
      <c r="AD1158" s="5" t="s">
        <v>1393</v>
      </c>
      <c r="AE1158" s="33"/>
      <c r="AF1158" s="59" t="str">
        <f t="shared" si="55"/>
        <v>Không</v>
      </c>
      <c r="AG1158" s="59" t="str">
        <f t="shared" si="56"/>
        <v>Không</v>
      </c>
      <c r="AH1158" s="29" t="str">
        <f t="shared" ca="1" si="54"/>
        <v>Có</v>
      </c>
      <c r="AI1158" s="29" t="str">
        <f ca="1">IF((R1158)&gt;=6,"Có","Không")</f>
        <v>Có</v>
      </c>
      <c r="AJ1158" s="29" t="str">
        <f>IF(OR(J1158&gt;=140,K1158&gt;=90),"Có","Không")</f>
        <v>Có</v>
      </c>
      <c r="AK1158" s="5" t="s">
        <v>51</v>
      </c>
      <c r="AL1158" s="35">
        <v>46173</v>
      </c>
      <c r="AM1158" s="29" t="str">
        <f>"Tháng "&amp;MONTH(AL1158)</f>
        <v>Tháng 5</v>
      </c>
      <c r="AN1158" s="69" t="s">
        <v>1376</v>
      </c>
    </row>
    <row r="1159" spans="1:40" x14ac:dyDescent="0.25">
      <c r="A1159" s="51" t="s">
        <v>955</v>
      </c>
      <c r="B1159" s="20" t="s">
        <v>23</v>
      </c>
      <c r="C1159" s="35">
        <v>19360</v>
      </c>
      <c r="D1159" s="29">
        <f ca="1">DATEDIF(C1159,TODAY(),"Y")</f>
        <v>73</v>
      </c>
      <c r="E1159" s="5" t="s">
        <v>26</v>
      </c>
      <c r="F1159" s="30">
        <v>169</v>
      </c>
      <c r="G1159" s="30">
        <v>68</v>
      </c>
      <c r="H1159" s="31">
        <f>G1159/((F1159/100)*(F1159/100))</f>
        <v>23.808690171912751</v>
      </c>
      <c r="I1159" s="5">
        <v>95</v>
      </c>
      <c r="J1159" s="30">
        <v>140</v>
      </c>
      <c r="K1159" s="30">
        <v>80</v>
      </c>
      <c r="L1159" s="29">
        <f>IF(B1159="Nữ",0,2)</f>
        <v>0</v>
      </c>
      <c r="M1159" s="29">
        <f ca="1">IF(D1159&lt;45,0,IF(D1159&lt;=49,1,2))</f>
        <v>2</v>
      </c>
      <c r="N1159" s="29">
        <f>IF(E1159="Có",4,0)</f>
        <v>0</v>
      </c>
      <c r="O1159" s="29">
        <f>IF(H1159&lt;23,0,IF(H1159&lt;27.5,3,5))</f>
        <v>3</v>
      </c>
      <c r="P1159" s="29">
        <f>IF(OR(AND(B1159="Nam",I1159&gt;=90),AND(B1159="Nữ",I1159&gt;=80)),2,0)</f>
        <v>2</v>
      </c>
      <c r="Q1159" s="29">
        <f>IF(OR(J1159&gt;=140,K1159&gt;=90),2,0)</f>
        <v>2</v>
      </c>
      <c r="R1159" s="29">
        <f ca="1">SUM(L1159:Q1159)</f>
        <v>9</v>
      </c>
      <c r="S1159" s="33"/>
      <c r="T1159" s="33"/>
      <c r="U1159" s="33"/>
      <c r="V1159" s="33"/>
      <c r="W1159" s="33"/>
      <c r="X1159" s="33"/>
      <c r="Y1159" s="33"/>
      <c r="Z1159" s="33"/>
      <c r="AA1159" s="33"/>
      <c r="AB1159" s="33"/>
      <c r="AC1159" s="33"/>
      <c r="AD1159" s="5" t="s">
        <v>1393</v>
      </c>
      <c r="AE1159" s="33"/>
      <c r="AF1159" s="59" t="str">
        <f t="shared" si="55"/>
        <v>Không</v>
      </c>
      <c r="AG1159" s="59" t="str">
        <f t="shared" si="56"/>
        <v>Không</v>
      </c>
      <c r="AH1159" s="29" t="str">
        <f t="shared" ca="1" si="54"/>
        <v>Có</v>
      </c>
      <c r="AI1159" s="29" t="str">
        <f ca="1">IF((R1159)&gt;=6,"Có","Không")</f>
        <v>Có</v>
      </c>
      <c r="AJ1159" s="29" t="str">
        <f>IF(OR(J1159&gt;=140,K1159&gt;=90),"Có","Không")</f>
        <v>Có</v>
      </c>
      <c r="AK1159" s="5" t="s">
        <v>51</v>
      </c>
      <c r="AL1159" s="35">
        <v>46173</v>
      </c>
      <c r="AM1159" s="29" t="str">
        <f>"Tháng "&amp;MONTH(AL1159)</f>
        <v>Tháng 5</v>
      </c>
      <c r="AN1159" s="69" t="s">
        <v>1376</v>
      </c>
    </row>
    <row r="1160" spans="1:40" x14ac:dyDescent="0.25">
      <c r="A1160" s="51" t="s">
        <v>1320</v>
      </c>
      <c r="B1160" s="20" t="s">
        <v>30</v>
      </c>
      <c r="C1160" s="35">
        <v>25204</v>
      </c>
      <c r="D1160" s="29">
        <f ca="1">DATEDIF(C1160,TODAY(),"Y")</f>
        <v>57</v>
      </c>
      <c r="E1160" s="5" t="s">
        <v>26</v>
      </c>
      <c r="F1160" s="30">
        <v>158</v>
      </c>
      <c r="G1160" s="30">
        <v>58</v>
      </c>
      <c r="H1160" s="31">
        <f>G1160/((F1160/100)*(F1160/100))</f>
        <v>23.233456176894723</v>
      </c>
      <c r="I1160" s="5">
        <v>81</v>
      </c>
      <c r="J1160" s="30">
        <v>120</v>
      </c>
      <c r="K1160" s="30">
        <v>80</v>
      </c>
      <c r="L1160" s="29">
        <f>IF(B1160="Nữ",0,2)</f>
        <v>2</v>
      </c>
      <c r="M1160" s="29">
        <f ca="1">IF(D1160&lt;45,0,IF(D1160&lt;=49,1,2))</f>
        <v>2</v>
      </c>
      <c r="N1160" s="29">
        <f>IF(E1160="Có",4,0)</f>
        <v>0</v>
      </c>
      <c r="O1160" s="29">
        <f>IF(H1160&lt;23,0,IF(H1160&lt;27.5,3,5))</f>
        <v>3</v>
      </c>
      <c r="P1160" s="29">
        <f>IF(OR(AND(B1160="Nam",I1160&gt;=90),AND(B1160="Nữ",I1160&gt;=80)),2,0)</f>
        <v>0</v>
      </c>
      <c r="Q1160" s="29">
        <f>IF(OR(J1160&gt;=140,K1160&gt;=90),2,0)</f>
        <v>0</v>
      </c>
      <c r="R1160" s="29">
        <f ca="1">SUM(L1160:Q1160)</f>
        <v>7</v>
      </c>
      <c r="S1160" s="33"/>
      <c r="T1160" s="33"/>
      <c r="U1160" s="33"/>
      <c r="V1160" s="33"/>
      <c r="W1160" s="33"/>
      <c r="X1160" s="33"/>
      <c r="Y1160" s="33"/>
      <c r="Z1160" s="33"/>
      <c r="AA1160" s="33"/>
      <c r="AB1160" s="33"/>
      <c r="AC1160" s="33"/>
      <c r="AD1160" s="5" t="s">
        <v>1393</v>
      </c>
      <c r="AE1160" s="33"/>
      <c r="AF1160" s="59" t="str">
        <f t="shared" si="55"/>
        <v>Không</v>
      </c>
      <c r="AG1160" s="59" t="str">
        <f t="shared" si="56"/>
        <v>Không</v>
      </c>
      <c r="AH1160" s="29" t="str">
        <f t="shared" ca="1" si="54"/>
        <v>Có</v>
      </c>
      <c r="AI1160" s="29" t="str">
        <f ca="1">IF((R1160)&gt;=6,"Có","Không")</f>
        <v>Có</v>
      </c>
      <c r="AJ1160" s="29" t="str">
        <f>IF(OR(J1160&gt;=140,K1160&gt;=90),"Có","Không")</f>
        <v>Không</v>
      </c>
      <c r="AK1160" s="5" t="s">
        <v>51</v>
      </c>
      <c r="AL1160" s="35">
        <v>46173</v>
      </c>
      <c r="AM1160" s="29" t="str">
        <f>"Tháng "&amp;MONTH(AL1160)</f>
        <v>Tháng 5</v>
      </c>
      <c r="AN1160" s="69" t="s">
        <v>1376</v>
      </c>
    </row>
    <row r="1161" spans="1:40" x14ac:dyDescent="0.25">
      <c r="A1161" s="51" t="s">
        <v>434</v>
      </c>
      <c r="B1161" s="20" t="s">
        <v>30</v>
      </c>
      <c r="C1161" s="35">
        <v>18264</v>
      </c>
      <c r="D1161" s="29">
        <f ca="1">DATEDIF(C1161,TODAY(),"Y")</f>
        <v>76</v>
      </c>
      <c r="E1161" s="5" t="s">
        <v>26</v>
      </c>
      <c r="F1161" s="30">
        <v>168</v>
      </c>
      <c r="G1161" s="30">
        <v>68</v>
      </c>
      <c r="H1161" s="31">
        <f>G1161/((F1161/100)*(F1161/100))</f>
        <v>24.092970521541954</v>
      </c>
      <c r="I1161" s="5">
        <v>84</v>
      </c>
      <c r="J1161" s="30">
        <v>120</v>
      </c>
      <c r="K1161" s="30">
        <v>80</v>
      </c>
      <c r="L1161" s="29">
        <f>IF(B1161="Nữ",0,2)</f>
        <v>2</v>
      </c>
      <c r="M1161" s="29">
        <f ca="1">IF(D1161&lt;45,0,IF(D1161&lt;=49,1,2))</f>
        <v>2</v>
      </c>
      <c r="N1161" s="29">
        <f>IF(E1161="Có",4,0)</f>
        <v>0</v>
      </c>
      <c r="O1161" s="29">
        <f>IF(H1161&lt;23,0,IF(H1161&lt;27.5,3,5))</f>
        <v>3</v>
      </c>
      <c r="P1161" s="29">
        <f>IF(OR(AND(B1161="Nam",I1161&gt;=90),AND(B1161="Nữ",I1161&gt;=80)),2,0)</f>
        <v>0</v>
      </c>
      <c r="Q1161" s="29">
        <f>IF(OR(J1161&gt;=140,K1161&gt;=90),2,0)</f>
        <v>0</v>
      </c>
      <c r="R1161" s="29">
        <f ca="1">SUM(L1161:Q1161)</f>
        <v>7</v>
      </c>
      <c r="S1161" s="33"/>
      <c r="T1161" s="33"/>
      <c r="U1161" s="33"/>
      <c r="V1161" s="33"/>
      <c r="W1161" s="33"/>
      <c r="X1161" s="33"/>
      <c r="Y1161" s="33"/>
      <c r="Z1161" s="33"/>
      <c r="AA1161" s="33"/>
      <c r="AB1161" s="33"/>
      <c r="AC1161" s="33"/>
      <c r="AD1161" s="5" t="s">
        <v>1393</v>
      </c>
      <c r="AE1161" s="33"/>
      <c r="AF1161" s="59" t="str">
        <f t="shared" si="55"/>
        <v>Không</v>
      </c>
      <c r="AG1161" s="59" t="str">
        <f t="shared" si="56"/>
        <v>Không</v>
      </c>
      <c r="AH1161" s="29" t="str">
        <f t="shared" ca="1" si="54"/>
        <v>Có</v>
      </c>
      <c r="AI1161" s="29" t="str">
        <f ca="1">IF((R1161)&gt;=6,"Có","Không")</f>
        <v>Có</v>
      </c>
      <c r="AJ1161" s="29" t="str">
        <f>IF(OR(J1161&gt;=140,K1161&gt;=90),"Có","Không")</f>
        <v>Không</v>
      </c>
      <c r="AK1161" s="5" t="s">
        <v>51</v>
      </c>
      <c r="AL1161" s="35">
        <v>46173</v>
      </c>
      <c r="AM1161" s="29" t="str">
        <f>"Tháng "&amp;MONTH(AL1161)</f>
        <v>Tháng 5</v>
      </c>
      <c r="AN1161" s="69" t="s">
        <v>1376</v>
      </c>
    </row>
    <row r="1162" spans="1:40" x14ac:dyDescent="0.25">
      <c r="A1162" s="51" t="s">
        <v>514</v>
      </c>
      <c r="B1162" s="20" t="s">
        <v>23</v>
      </c>
      <c r="C1162" s="35">
        <v>20090</v>
      </c>
      <c r="D1162" s="29">
        <f ca="1">DATEDIF(C1162,TODAY(),"Y")</f>
        <v>71</v>
      </c>
      <c r="E1162" s="5" t="s">
        <v>26</v>
      </c>
      <c r="F1162" s="30">
        <v>168</v>
      </c>
      <c r="G1162" s="30">
        <v>68</v>
      </c>
      <c r="H1162" s="31">
        <f>G1162/((F1162/100)*(F1162/100))</f>
        <v>24.092970521541954</v>
      </c>
      <c r="I1162" s="5">
        <v>91</v>
      </c>
      <c r="J1162" s="30">
        <v>120</v>
      </c>
      <c r="K1162" s="30">
        <v>80</v>
      </c>
      <c r="L1162" s="29">
        <f>IF(B1162="Nữ",0,2)</f>
        <v>0</v>
      </c>
      <c r="M1162" s="29">
        <f ca="1">IF(D1162&lt;45,0,IF(D1162&lt;=49,1,2))</f>
        <v>2</v>
      </c>
      <c r="N1162" s="29">
        <f>IF(E1162="Có",4,0)</f>
        <v>0</v>
      </c>
      <c r="O1162" s="29">
        <f>IF(H1162&lt;23,0,IF(H1162&lt;27.5,3,5))</f>
        <v>3</v>
      </c>
      <c r="P1162" s="29">
        <f>IF(OR(AND(B1162="Nam",I1162&gt;=90),AND(B1162="Nữ",I1162&gt;=80)),2,0)</f>
        <v>2</v>
      </c>
      <c r="Q1162" s="29">
        <f>IF(OR(J1162&gt;=140,K1162&gt;=90),2,0)</f>
        <v>0</v>
      </c>
      <c r="R1162" s="29">
        <f ca="1">SUM(L1162:Q1162)</f>
        <v>7</v>
      </c>
      <c r="S1162" s="33"/>
      <c r="T1162" s="33"/>
      <c r="U1162" s="33"/>
      <c r="V1162" s="33"/>
      <c r="W1162" s="33"/>
      <c r="X1162" s="33"/>
      <c r="Y1162" s="33"/>
      <c r="Z1162" s="33"/>
      <c r="AA1162" s="33"/>
      <c r="AB1162" s="33"/>
      <c r="AC1162" s="33"/>
      <c r="AD1162" s="5" t="s">
        <v>1393</v>
      </c>
      <c r="AE1162" s="33"/>
      <c r="AF1162" s="59" t="str">
        <f t="shared" si="55"/>
        <v>Không</v>
      </c>
      <c r="AG1162" s="59" t="str">
        <f t="shared" si="56"/>
        <v>Không</v>
      </c>
      <c r="AH1162" s="29" t="str">
        <f t="shared" ca="1" si="54"/>
        <v>Có</v>
      </c>
      <c r="AI1162" s="29" t="str">
        <f ca="1">IF((R1162)&gt;=6,"Có","Không")</f>
        <v>Có</v>
      </c>
      <c r="AJ1162" s="29" t="str">
        <f>IF(OR(J1162&gt;=140,K1162&gt;=90),"Có","Không")</f>
        <v>Không</v>
      </c>
      <c r="AK1162" s="5" t="s">
        <v>51</v>
      </c>
      <c r="AL1162" s="35">
        <v>46173</v>
      </c>
      <c r="AM1162" s="29" t="str">
        <f>"Tháng "&amp;MONTH(AL1162)</f>
        <v>Tháng 5</v>
      </c>
      <c r="AN1162" s="69" t="s">
        <v>1376</v>
      </c>
    </row>
    <row r="1163" spans="1:40" x14ac:dyDescent="0.25">
      <c r="A1163" s="51" t="s">
        <v>606</v>
      </c>
      <c r="B1163" s="20" t="s">
        <v>23</v>
      </c>
      <c r="C1163" s="35">
        <v>25569</v>
      </c>
      <c r="D1163" s="29">
        <f ca="1">DATEDIF(C1163,TODAY(),"Y")</f>
        <v>56</v>
      </c>
      <c r="E1163" s="5" t="s">
        <v>25</v>
      </c>
      <c r="F1163" s="30">
        <v>169</v>
      </c>
      <c r="G1163" s="30">
        <v>68</v>
      </c>
      <c r="H1163" s="31">
        <f>G1163/((F1163/100)*(F1163/100))</f>
        <v>23.808690171912751</v>
      </c>
      <c r="I1163" s="5">
        <v>71</v>
      </c>
      <c r="J1163" s="30">
        <v>140</v>
      </c>
      <c r="K1163" s="30">
        <v>80</v>
      </c>
      <c r="L1163" s="29">
        <f>IF(B1163="Nữ",0,2)</f>
        <v>0</v>
      </c>
      <c r="M1163" s="29">
        <f ca="1">IF(D1163&lt;45,0,IF(D1163&lt;=49,1,2))</f>
        <v>2</v>
      </c>
      <c r="N1163" s="29">
        <f>IF(E1163="Có",4,0)</f>
        <v>4</v>
      </c>
      <c r="O1163" s="29">
        <f>IF(H1163&lt;23,0,IF(H1163&lt;27.5,3,5))</f>
        <v>3</v>
      </c>
      <c r="P1163" s="29">
        <f>IF(OR(AND(B1163="Nam",I1163&gt;=90),AND(B1163="Nữ",I1163&gt;=80)),2,0)</f>
        <v>0</v>
      </c>
      <c r="Q1163" s="29">
        <f>IF(OR(J1163&gt;=140,K1163&gt;=90),2,0)</f>
        <v>2</v>
      </c>
      <c r="R1163" s="29">
        <f ca="1">SUM(L1163:Q1163)</f>
        <v>11</v>
      </c>
      <c r="S1163" s="33"/>
      <c r="T1163" s="33"/>
      <c r="U1163" s="33"/>
      <c r="V1163" s="33"/>
      <c r="W1163" s="33"/>
      <c r="X1163" s="33"/>
      <c r="Y1163" s="33"/>
      <c r="Z1163" s="33"/>
      <c r="AA1163" s="33"/>
      <c r="AB1163" s="33"/>
      <c r="AC1163" s="33"/>
      <c r="AD1163" s="5" t="s">
        <v>1393</v>
      </c>
      <c r="AE1163" s="33"/>
      <c r="AF1163" s="59" t="str">
        <f t="shared" si="55"/>
        <v>Không</v>
      </c>
      <c r="AG1163" s="59" t="str">
        <f t="shared" si="56"/>
        <v>Không</v>
      </c>
      <c r="AH1163" s="29" t="str">
        <f t="shared" ca="1" si="54"/>
        <v>Có</v>
      </c>
      <c r="AI1163" s="29" t="str">
        <f ca="1">IF((R1163)&gt;=6,"Có","Không")</f>
        <v>Có</v>
      </c>
      <c r="AJ1163" s="29" t="str">
        <f>IF(OR(J1163&gt;=140,K1163&gt;=90),"Có","Không")</f>
        <v>Có</v>
      </c>
      <c r="AK1163" s="5" t="s">
        <v>51</v>
      </c>
      <c r="AL1163" s="35">
        <v>46173</v>
      </c>
      <c r="AM1163" s="29" t="str">
        <f>"Tháng "&amp;MONTH(AL1163)</f>
        <v>Tháng 5</v>
      </c>
      <c r="AN1163" s="69" t="s">
        <v>1376</v>
      </c>
    </row>
    <row r="1164" spans="1:40" x14ac:dyDescent="0.25">
      <c r="A1164" s="51" t="s">
        <v>1321</v>
      </c>
      <c r="B1164" s="20" t="s">
        <v>23</v>
      </c>
      <c r="C1164" s="35">
        <v>21551</v>
      </c>
      <c r="D1164" s="29">
        <f ca="1">DATEDIF(C1164,TODAY(),"Y")</f>
        <v>67</v>
      </c>
      <c r="E1164" s="5" t="s">
        <v>25</v>
      </c>
      <c r="F1164" s="30">
        <v>170</v>
      </c>
      <c r="G1164" s="30">
        <v>60</v>
      </c>
      <c r="H1164" s="31">
        <f>G1164/((F1164/100)*(F1164/100))</f>
        <v>20.761245674740486</v>
      </c>
      <c r="I1164" s="5">
        <v>96</v>
      </c>
      <c r="J1164" s="30">
        <v>120</v>
      </c>
      <c r="K1164" s="30">
        <v>80</v>
      </c>
      <c r="L1164" s="29">
        <f>IF(B1164="Nữ",0,2)</f>
        <v>0</v>
      </c>
      <c r="M1164" s="29">
        <f ca="1">IF(D1164&lt;45,0,IF(D1164&lt;=49,1,2))</f>
        <v>2</v>
      </c>
      <c r="N1164" s="29">
        <f>IF(E1164="Có",4,0)</f>
        <v>4</v>
      </c>
      <c r="O1164" s="29">
        <f>IF(H1164&lt;23,0,IF(H1164&lt;27.5,3,5))</f>
        <v>0</v>
      </c>
      <c r="P1164" s="29">
        <f>IF(OR(AND(B1164="Nam",I1164&gt;=90),AND(B1164="Nữ",I1164&gt;=80)),2,0)</f>
        <v>2</v>
      </c>
      <c r="Q1164" s="29">
        <f>IF(OR(J1164&gt;=140,K1164&gt;=90),2,0)</f>
        <v>0</v>
      </c>
      <c r="R1164" s="29">
        <f ca="1">SUM(L1164:Q1164)</f>
        <v>8</v>
      </c>
      <c r="S1164" s="33"/>
      <c r="T1164" s="33"/>
      <c r="U1164" s="33"/>
      <c r="V1164" s="33"/>
      <c r="W1164" s="33"/>
      <c r="X1164" s="33"/>
      <c r="Y1164" s="33"/>
      <c r="Z1164" s="33"/>
      <c r="AA1164" s="33"/>
      <c r="AB1164" s="33"/>
      <c r="AC1164" s="33"/>
      <c r="AD1164" s="5" t="s">
        <v>1393</v>
      </c>
      <c r="AE1164" s="33"/>
      <c r="AF1164" s="59" t="str">
        <f t="shared" si="55"/>
        <v>Không</v>
      </c>
      <c r="AG1164" s="59" t="str">
        <f t="shared" si="56"/>
        <v>Không</v>
      </c>
      <c r="AH1164" s="29" t="str">
        <f t="shared" ca="1" si="54"/>
        <v>Có</v>
      </c>
      <c r="AI1164" s="29" t="str">
        <f ca="1">IF((R1164)&gt;=6,"Có","Không")</f>
        <v>Có</v>
      </c>
      <c r="AJ1164" s="29" t="str">
        <f>IF(OR(J1164&gt;=140,K1164&gt;=90),"Có","Không")</f>
        <v>Không</v>
      </c>
      <c r="AK1164" s="5" t="s">
        <v>51</v>
      </c>
      <c r="AL1164" s="35">
        <v>46173</v>
      </c>
      <c r="AM1164" s="29" t="str">
        <f>"Tháng "&amp;MONTH(AL1164)</f>
        <v>Tháng 5</v>
      </c>
      <c r="AN1164" s="69" t="s">
        <v>1376</v>
      </c>
    </row>
    <row r="1165" spans="1:40" x14ac:dyDescent="0.25">
      <c r="A1165" s="51" t="s">
        <v>58</v>
      </c>
      <c r="B1165" s="20" t="s">
        <v>23</v>
      </c>
      <c r="C1165" s="35">
        <v>19725</v>
      </c>
      <c r="D1165" s="29">
        <f ca="1">DATEDIF(C1165,TODAY(),"Y")</f>
        <v>72</v>
      </c>
      <c r="E1165" s="5" t="s">
        <v>26</v>
      </c>
      <c r="F1165" s="30">
        <v>158</v>
      </c>
      <c r="G1165" s="30">
        <v>58</v>
      </c>
      <c r="H1165" s="31">
        <f>G1165/((F1165/100)*(F1165/100))</f>
        <v>23.233456176894723</v>
      </c>
      <c r="I1165" s="5">
        <v>82</v>
      </c>
      <c r="J1165" s="30">
        <v>120</v>
      </c>
      <c r="K1165" s="30">
        <v>80</v>
      </c>
      <c r="L1165" s="29">
        <f>IF(B1165="Nữ",0,2)</f>
        <v>0</v>
      </c>
      <c r="M1165" s="29">
        <f ca="1">IF(D1165&lt;45,0,IF(D1165&lt;=49,1,2))</f>
        <v>2</v>
      </c>
      <c r="N1165" s="29">
        <f>IF(E1165="Có",4,0)</f>
        <v>0</v>
      </c>
      <c r="O1165" s="29">
        <f>IF(H1165&lt;23,0,IF(H1165&lt;27.5,3,5))</f>
        <v>3</v>
      </c>
      <c r="P1165" s="29">
        <f>IF(OR(AND(B1165="Nam",I1165&gt;=90),AND(B1165="Nữ",I1165&gt;=80)),2,0)</f>
        <v>2</v>
      </c>
      <c r="Q1165" s="29">
        <f>IF(OR(J1165&gt;=140,K1165&gt;=90),2,0)</f>
        <v>0</v>
      </c>
      <c r="R1165" s="29">
        <f ca="1">SUM(L1165:Q1165)</f>
        <v>7</v>
      </c>
      <c r="S1165" s="33"/>
      <c r="T1165" s="33"/>
      <c r="U1165" s="33"/>
      <c r="V1165" s="33"/>
      <c r="W1165" s="33"/>
      <c r="X1165" s="33"/>
      <c r="Y1165" s="33"/>
      <c r="Z1165" s="33"/>
      <c r="AA1165" s="33"/>
      <c r="AB1165" s="33"/>
      <c r="AC1165" s="33"/>
      <c r="AD1165" s="5" t="s">
        <v>1393</v>
      </c>
      <c r="AE1165" s="33"/>
      <c r="AF1165" s="59" t="str">
        <f t="shared" si="55"/>
        <v>Không</v>
      </c>
      <c r="AG1165" s="59" t="str">
        <f t="shared" si="56"/>
        <v>Không</v>
      </c>
      <c r="AH1165" s="29" t="str">
        <f t="shared" ca="1" si="54"/>
        <v>Có</v>
      </c>
      <c r="AI1165" s="29" t="str">
        <f ca="1">IF((R1165)&gt;=6,"Có","Không")</f>
        <v>Có</v>
      </c>
      <c r="AJ1165" s="29" t="str">
        <f>IF(OR(J1165&gt;=140,K1165&gt;=90),"Có","Không")</f>
        <v>Không</v>
      </c>
      <c r="AK1165" s="5" t="s">
        <v>51</v>
      </c>
      <c r="AL1165" s="35">
        <v>46173</v>
      </c>
      <c r="AM1165" s="29" t="str">
        <f>"Tháng "&amp;MONTH(AL1165)</f>
        <v>Tháng 5</v>
      </c>
      <c r="AN1165" s="69" t="s">
        <v>1376</v>
      </c>
    </row>
    <row r="1166" spans="1:40" x14ac:dyDescent="0.25">
      <c r="A1166" s="51" t="s">
        <v>894</v>
      </c>
      <c r="B1166" s="20" t="s">
        <v>23</v>
      </c>
      <c r="C1166" s="35">
        <v>17899</v>
      </c>
      <c r="D1166" s="29">
        <f ca="1">DATEDIF(C1166,TODAY(),"Y")</f>
        <v>77</v>
      </c>
      <c r="E1166" s="5" t="s">
        <v>26</v>
      </c>
      <c r="F1166" s="30">
        <v>160</v>
      </c>
      <c r="G1166" s="30">
        <v>52</v>
      </c>
      <c r="H1166" s="31">
        <f>G1166/((F1166/100)*(F1166/100))</f>
        <v>20.312499999999996</v>
      </c>
      <c r="I1166" s="5">
        <v>65</v>
      </c>
      <c r="J1166" s="30">
        <v>120</v>
      </c>
      <c r="K1166" s="30">
        <v>80</v>
      </c>
      <c r="L1166" s="29">
        <f>IF(B1166="Nữ",0,2)</f>
        <v>0</v>
      </c>
      <c r="M1166" s="29">
        <f ca="1">IF(D1166&lt;45,0,IF(D1166&lt;=49,1,2))</f>
        <v>2</v>
      </c>
      <c r="N1166" s="29">
        <f>IF(E1166="Có",4,0)</f>
        <v>0</v>
      </c>
      <c r="O1166" s="29">
        <f>IF(H1166&lt;23,0,IF(H1166&lt;27.5,3,5))</f>
        <v>0</v>
      </c>
      <c r="P1166" s="29">
        <f>IF(OR(AND(B1166="Nam",I1166&gt;=90),AND(B1166="Nữ",I1166&gt;=80)),2,0)</f>
        <v>0</v>
      </c>
      <c r="Q1166" s="29">
        <f>IF(OR(J1166&gt;=140,K1166&gt;=90),2,0)</f>
        <v>0</v>
      </c>
      <c r="R1166" s="29">
        <f ca="1">SUM(L1166:Q1166)</f>
        <v>2</v>
      </c>
      <c r="S1166" s="33"/>
      <c r="T1166" s="33"/>
      <c r="U1166" s="33"/>
      <c r="V1166" s="33"/>
      <c r="W1166" s="33"/>
      <c r="X1166" s="33"/>
      <c r="Y1166" s="33"/>
      <c r="Z1166" s="33"/>
      <c r="AA1166" s="33"/>
      <c r="AB1166" s="33"/>
      <c r="AC1166" s="33"/>
      <c r="AD1166" s="5" t="s">
        <v>1393</v>
      </c>
      <c r="AE1166" s="33"/>
      <c r="AF1166" s="59" t="str">
        <f t="shared" si="55"/>
        <v>Không</v>
      </c>
      <c r="AG1166" s="59" t="str">
        <f t="shared" si="56"/>
        <v>Không</v>
      </c>
      <c r="AH1166" s="29" t="str">
        <f t="shared" ca="1" si="54"/>
        <v>Không</v>
      </c>
      <c r="AI1166" s="29" t="str">
        <f ca="1">IF((R1166)&gt;=6,"Có","Không")</f>
        <v>Không</v>
      </c>
      <c r="AJ1166" s="29" t="str">
        <f>IF(OR(J1166&gt;=140,K1166&gt;=90),"Có","Không")</f>
        <v>Không</v>
      </c>
      <c r="AK1166" s="5" t="s">
        <v>51</v>
      </c>
      <c r="AL1166" s="35">
        <v>46173</v>
      </c>
      <c r="AM1166" s="29" t="str">
        <f>"Tháng "&amp;MONTH(AL1166)</f>
        <v>Tháng 5</v>
      </c>
      <c r="AN1166" s="69" t="s">
        <v>1376</v>
      </c>
    </row>
    <row r="1167" spans="1:40" x14ac:dyDescent="0.25">
      <c r="A1167" s="51" t="s">
        <v>310</v>
      </c>
      <c r="B1167" s="20" t="s">
        <v>23</v>
      </c>
      <c r="C1167" s="35">
        <v>20455</v>
      </c>
      <c r="D1167" s="29">
        <f ca="1">DATEDIF(C1167,TODAY(),"Y")</f>
        <v>70</v>
      </c>
      <c r="E1167" s="5" t="s">
        <v>26</v>
      </c>
      <c r="F1167" s="30">
        <v>158</v>
      </c>
      <c r="G1167" s="30">
        <v>58</v>
      </c>
      <c r="H1167" s="31">
        <f>G1167/((F1167/100)*(F1167/100))</f>
        <v>23.233456176894723</v>
      </c>
      <c r="I1167" s="5">
        <v>89</v>
      </c>
      <c r="J1167" s="30">
        <v>120</v>
      </c>
      <c r="K1167" s="30">
        <v>80</v>
      </c>
      <c r="L1167" s="29">
        <f>IF(B1167="Nữ",0,2)</f>
        <v>0</v>
      </c>
      <c r="M1167" s="29">
        <f ca="1">IF(D1167&lt;45,0,IF(D1167&lt;=49,1,2))</f>
        <v>2</v>
      </c>
      <c r="N1167" s="29">
        <f>IF(E1167="Có",4,0)</f>
        <v>0</v>
      </c>
      <c r="O1167" s="29">
        <f>IF(H1167&lt;23,0,IF(H1167&lt;27.5,3,5))</f>
        <v>3</v>
      </c>
      <c r="P1167" s="29">
        <f>IF(OR(AND(B1167="Nam",I1167&gt;=90),AND(B1167="Nữ",I1167&gt;=80)),2,0)</f>
        <v>2</v>
      </c>
      <c r="Q1167" s="29">
        <f>IF(OR(J1167&gt;=140,K1167&gt;=90),2,0)</f>
        <v>0</v>
      </c>
      <c r="R1167" s="29">
        <f ca="1">SUM(L1167:Q1167)</f>
        <v>7</v>
      </c>
      <c r="S1167" s="33"/>
      <c r="T1167" s="33"/>
      <c r="U1167" s="33"/>
      <c r="V1167" s="33"/>
      <c r="W1167" s="33"/>
      <c r="X1167" s="33"/>
      <c r="Y1167" s="33"/>
      <c r="Z1167" s="33"/>
      <c r="AA1167" s="33"/>
      <c r="AB1167" s="33"/>
      <c r="AC1167" s="33"/>
      <c r="AD1167" s="5" t="s">
        <v>1393</v>
      </c>
      <c r="AE1167" s="33"/>
      <c r="AF1167" s="59" t="str">
        <f t="shared" si="55"/>
        <v>Không</v>
      </c>
      <c r="AG1167" s="59" t="str">
        <f t="shared" si="56"/>
        <v>Không</v>
      </c>
      <c r="AH1167" s="29" t="str">
        <f t="shared" ca="1" si="54"/>
        <v>Có</v>
      </c>
      <c r="AI1167" s="29" t="str">
        <f ca="1">IF((R1167)&gt;=6,"Có","Không")</f>
        <v>Có</v>
      </c>
      <c r="AJ1167" s="29" t="str">
        <f>IF(OR(J1167&gt;=140,K1167&gt;=90),"Có","Không")</f>
        <v>Không</v>
      </c>
      <c r="AK1167" s="5" t="s">
        <v>51</v>
      </c>
      <c r="AL1167" s="35">
        <v>46173</v>
      </c>
      <c r="AM1167" s="29" t="str">
        <f>"Tháng "&amp;MONTH(AL1167)</f>
        <v>Tháng 5</v>
      </c>
      <c r="AN1167" s="69" t="s">
        <v>1376</v>
      </c>
    </row>
    <row r="1168" spans="1:40" x14ac:dyDescent="0.25">
      <c r="A1168" s="51" t="s">
        <v>379</v>
      </c>
      <c r="B1168" s="20" t="s">
        <v>23</v>
      </c>
      <c r="C1168" s="35">
        <v>25934</v>
      </c>
      <c r="D1168" s="29">
        <f ca="1">DATEDIF(C1168,TODAY(),"Y")</f>
        <v>55</v>
      </c>
      <c r="E1168" s="5" t="s">
        <v>26</v>
      </c>
      <c r="F1168" s="30">
        <v>158</v>
      </c>
      <c r="G1168" s="30">
        <v>60</v>
      </c>
      <c r="H1168" s="31">
        <f>G1168/((F1168/100)*(F1168/100))</f>
        <v>24.034609838166958</v>
      </c>
      <c r="I1168" s="5">
        <v>84</v>
      </c>
      <c r="J1168" s="30">
        <v>120</v>
      </c>
      <c r="K1168" s="30">
        <v>80</v>
      </c>
      <c r="L1168" s="29">
        <f>IF(B1168="Nữ",0,2)</f>
        <v>0</v>
      </c>
      <c r="M1168" s="29">
        <f ca="1">IF(D1168&lt;45,0,IF(D1168&lt;=49,1,2))</f>
        <v>2</v>
      </c>
      <c r="N1168" s="29">
        <f>IF(E1168="Có",4,0)</f>
        <v>0</v>
      </c>
      <c r="O1168" s="29">
        <f>IF(H1168&lt;23,0,IF(H1168&lt;27.5,3,5))</f>
        <v>3</v>
      </c>
      <c r="P1168" s="29">
        <f>IF(OR(AND(B1168="Nam",I1168&gt;=90),AND(B1168="Nữ",I1168&gt;=80)),2,0)</f>
        <v>2</v>
      </c>
      <c r="Q1168" s="29">
        <f>IF(OR(J1168&gt;=140,K1168&gt;=90),2,0)</f>
        <v>0</v>
      </c>
      <c r="R1168" s="29">
        <f ca="1">SUM(L1168:Q1168)</f>
        <v>7</v>
      </c>
      <c r="S1168" s="33"/>
      <c r="T1168" s="33"/>
      <c r="U1168" s="33"/>
      <c r="V1168" s="33"/>
      <c r="W1168" s="33"/>
      <c r="X1168" s="33"/>
      <c r="Y1168" s="33"/>
      <c r="Z1168" s="33"/>
      <c r="AA1168" s="33"/>
      <c r="AB1168" s="33"/>
      <c r="AC1168" s="33"/>
      <c r="AD1168" s="5" t="s">
        <v>1393</v>
      </c>
      <c r="AE1168" s="33"/>
      <c r="AF1168" s="59" t="str">
        <f t="shared" si="55"/>
        <v>Không</v>
      </c>
      <c r="AG1168" s="59" t="str">
        <f t="shared" si="56"/>
        <v>Không</v>
      </c>
      <c r="AH1168" s="29" t="str">
        <f t="shared" ca="1" si="54"/>
        <v>Có</v>
      </c>
      <c r="AI1168" s="29" t="str">
        <f ca="1">IF((R1168)&gt;=6,"Có","Không")</f>
        <v>Có</v>
      </c>
      <c r="AJ1168" s="29" t="str">
        <f>IF(OR(J1168&gt;=140,K1168&gt;=90),"Có","Không")</f>
        <v>Không</v>
      </c>
      <c r="AK1168" s="5" t="s">
        <v>51</v>
      </c>
      <c r="AL1168" s="35">
        <v>46173</v>
      </c>
      <c r="AM1168" s="29" t="str">
        <f>"Tháng "&amp;MONTH(AL1168)</f>
        <v>Tháng 5</v>
      </c>
      <c r="AN1168" s="69" t="s">
        <v>1376</v>
      </c>
    </row>
    <row r="1169" spans="1:40" x14ac:dyDescent="0.25">
      <c r="A1169" s="51" t="s">
        <v>83</v>
      </c>
      <c r="B1169" s="20" t="s">
        <v>23</v>
      </c>
      <c r="C1169" s="35">
        <v>21551</v>
      </c>
      <c r="D1169" s="29">
        <f ca="1">DATEDIF(C1169,TODAY(),"Y")</f>
        <v>67</v>
      </c>
      <c r="E1169" s="5" t="s">
        <v>26</v>
      </c>
      <c r="F1169" s="30">
        <v>169</v>
      </c>
      <c r="G1169" s="30">
        <v>68</v>
      </c>
      <c r="H1169" s="31">
        <f>G1169/((F1169/100)*(F1169/100))</f>
        <v>23.808690171912751</v>
      </c>
      <c r="I1169" s="5">
        <v>80</v>
      </c>
      <c r="J1169" s="30">
        <v>120</v>
      </c>
      <c r="K1169" s="30">
        <v>80</v>
      </c>
      <c r="L1169" s="29">
        <f>IF(B1169="Nữ",0,2)</f>
        <v>0</v>
      </c>
      <c r="M1169" s="29">
        <f ca="1">IF(D1169&lt;45,0,IF(D1169&lt;=49,1,2))</f>
        <v>2</v>
      </c>
      <c r="N1169" s="29">
        <f>IF(E1169="Có",4,0)</f>
        <v>0</v>
      </c>
      <c r="O1169" s="29">
        <f>IF(H1169&lt;23,0,IF(H1169&lt;27.5,3,5))</f>
        <v>3</v>
      </c>
      <c r="P1169" s="29">
        <f>IF(OR(AND(B1169="Nam",I1169&gt;=90),AND(B1169="Nữ",I1169&gt;=80)),2,0)</f>
        <v>2</v>
      </c>
      <c r="Q1169" s="29">
        <f>IF(OR(J1169&gt;=140,K1169&gt;=90),2,0)</f>
        <v>0</v>
      </c>
      <c r="R1169" s="29">
        <f ca="1">SUM(L1169:Q1169)</f>
        <v>7</v>
      </c>
      <c r="S1169" s="33"/>
      <c r="T1169" s="33"/>
      <c r="U1169" s="33"/>
      <c r="V1169" s="33"/>
      <c r="W1169" s="33"/>
      <c r="X1169" s="33"/>
      <c r="Y1169" s="33"/>
      <c r="Z1169" s="33"/>
      <c r="AA1169" s="33"/>
      <c r="AB1169" s="33"/>
      <c r="AC1169" s="33"/>
      <c r="AD1169" s="5" t="s">
        <v>1393</v>
      </c>
      <c r="AE1169" s="33"/>
      <c r="AF1169" s="59" t="str">
        <f t="shared" si="55"/>
        <v>Không</v>
      </c>
      <c r="AG1169" s="59" t="str">
        <f t="shared" si="56"/>
        <v>Không</v>
      </c>
      <c r="AH1169" s="29" t="str">
        <f t="shared" ca="1" si="54"/>
        <v>Có</v>
      </c>
      <c r="AI1169" s="29" t="str">
        <f ca="1">IF((R1169)&gt;=6,"Có","Không")</f>
        <v>Có</v>
      </c>
      <c r="AJ1169" s="29" t="str">
        <f>IF(OR(J1169&gt;=140,K1169&gt;=90),"Có","Không")</f>
        <v>Không</v>
      </c>
      <c r="AK1169" s="5" t="s">
        <v>51</v>
      </c>
      <c r="AL1169" s="35">
        <v>46173</v>
      </c>
      <c r="AM1169" s="29" t="str">
        <f>"Tháng "&amp;MONTH(AL1169)</f>
        <v>Tháng 5</v>
      </c>
      <c r="AN1169" s="69" t="s">
        <v>1376</v>
      </c>
    </row>
    <row r="1170" spans="1:40" x14ac:dyDescent="0.25">
      <c r="A1170" s="51" t="s">
        <v>328</v>
      </c>
      <c r="B1170" s="20" t="s">
        <v>23</v>
      </c>
      <c r="C1170" s="35">
        <v>17168</v>
      </c>
      <c r="D1170" s="29">
        <f ca="1">DATEDIF(C1170,TODAY(),"Y")</f>
        <v>79</v>
      </c>
      <c r="E1170" s="5" t="s">
        <v>26</v>
      </c>
      <c r="F1170" s="30">
        <v>158</v>
      </c>
      <c r="G1170" s="30">
        <v>58</v>
      </c>
      <c r="H1170" s="31">
        <f>G1170/((F1170/100)*(F1170/100))</f>
        <v>23.233456176894723</v>
      </c>
      <c r="I1170" s="5">
        <v>72</v>
      </c>
      <c r="J1170" s="30">
        <v>120</v>
      </c>
      <c r="K1170" s="30">
        <v>70</v>
      </c>
      <c r="L1170" s="29">
        <f>IF(B1170="Nữ",0,2)</f>
        <v>0</v>
      </c>
      <c r="M1170" s="29">
        <f ca="1">IF(D1170&lt;45,0,IF(D1170&lt;=49,1,2))</f>
        <v>2</v>
      </c>
      <c r="N1170" s="29">
        <f>IF(E1170="Có",4,0)</f>
        <v>0</v>
      </c>
      <c r="O1170" s="29">
        <f>IF(H1170&lt;23,0,IF(H1170&lt;27.5,3,5))</f>
        <v>3</v>
      </c>
      <c r="P1170" s="29">
        <f>IF(OR(AND(B1170="Nam",I1170&gt;=90),AND(B1170="Nữ",I1170&gt;=80)),2,0)</f>
        <v>0</v>
      </c>
      <c r="Q1170" s="29">
        <f>IF(OR(J1170&gt;=140,K1170&gt;=90),2,0)</f>
        <v>0</v>
      </c>
      <c r="R1170" s="29">
        <f ca="1">SUM(L1170:Q1170)</f>
        <v>5</v>
      </c>
      <c r="S1170" s="33"/>
      <c r="T1170" s="33"/>
      <c r="U1170" s="33"/>
      <c r="V1170" s="33"/>
      <c r="W1170" s="33"/>
      <c r="X1170" s="33"/>
      <c r="Y1170" s="33"/>
      <c r="Z1170" s="33"/>
      <c r="AA1170" s="33"/>
      <c r="AB1170" s="33"/>
      <c r="AC1170" s="33"/>
      <c r="AD1170" s="5" t="s">
        <v>1393</v>
      </c>
      <c r="AE1170" s="33"/>
      <c r="AF1170" s="59" t="str">
        <f t="shared" si="55"/>
        <v>Không</v>
      </c>
      <c r="AG1170" s="59" t="str">
        <f t="shared" si="56"/>
        <v>Không</v>
      </c>
      <c r="AH1170" s="29" t="str">
        <f t="shared" ca="1" si="54"/>
        <v>Không</v>
      </c>
      <c r="AI1170" s="29" t="str">
        <f ca="1">IF((R1170)&gt;=6,"Có","Không")</f>
        <v>Không</v>
      </c>
      <c r="AJ1170" s="29" t="str">
        <f>IF(OR(J1170&gt;=140,K1170&gt;=90),"Có","Không")</f>
        <v>Không</v>
      </c>
      <c r="AK1170" s="5" t="s">
        <v>51</v>
      </c>
      <c r="AL1170" s="35">
        <v>46173</v>
      </c>
      <c r="AM1170" s="29" t="str">
        <f>"Tháng "&amp;MONTH(AL1170)</f>
        <v>Tháng 5</v>
      </c>
      <c r="AN1170" s="69" t="s">
        <v>1376</v>
      </c>
    </row>
    <row r="1171" spans="1:40" x14ac:dyDescent="0.25">
      <c r="A1171" s="51" t="s">
        <v>259</v>
      </c>
      <c r="B1171" s="20" t="s">
        <v>23</v>
      </c>
      <c r="C1171" s="35">
        <v>21551</v>
      </c>
      <c r="D1171" s="29">
        <f ca="1">DATEDIF(C1171,TODAY(),"Y")</f>
        <v>67</v>
      </c>
      <c r="E1171" s="5" t="s">
        <v>26</v>
      </c>
      <c r="F1171" s="30">
        <v>158</v>
      </c>
      <c r="G1171" s="30">
        <v>58</v>
      </c>
      <c r="H1171" s="31">
        <f>G1171/((F1171/100)*(F1171/100))</f>
        <v>23.233456176894723</v>
      </c>
      <c r="I1171" s="5">
        <v>95</v>
      </c>
      <c r="J1171" s="30">
        <v>120</v>
      </c>
      <c r="K1171" s="30">
        <v>80</v>
      </c>
      <c r="L1171" s="29">
        <f>IF(B1171="Nữ",0,2)</f>
        <v>0</v>
      </c>
      <c r="M1171" s="29">
        <f ca="1">IF(D1171&lt;45,0,IF(D1171&lt;=49,1,2))</f>
        <v>2</v>
      </c>
      <c r="N1171" s="29">
        <f>IF(E1171="Có",4,0)</f>
        <v>0</v>
      </c>
      <c r="O1171" s="29">
        <f>IF(H1171&lt;23,0,IF(H1171&lt;27.5,3,5))</f>
        <v>3</v>
      </c>
      <c r="P1171" s="29">
        <f>IF(OR(AND(B1171="Nam",I1171&gt;=90),AND(B1171="Nữ",I1171&gt;=80)),2,0)</f>
        <v>2</v>
      </c>
      <c r="Q1171" s="29">
        <f>IF(OR(J1171&gt;=140,K1171&gt;=90),2,0)</f>
        <v>0</v>
      </c>
      <c r="R1171" s="29">
        <f ca="1">SUM(L1171:Q1171)</f>
        <v>7</v>
      </c>
      <c r="S1171" s="33"/>
      <c r="T1171" s="33"/>
      <c r="U1171" s="33"/>
      <c r="V1171" s="33"/>
      <c r="W1171" s="33"/>
      <c r="X1171" s="33"/>
      <c r="Y1171" s="33"/>
      <c r="Z1171" s="33"/>
      <c r="AA1171" s="33"/>
      <c r="AB1171" s="33"/>
      <c r="AC1171" s="33"/>
      <c r="AD1171" s="5" t="s">
        <v>1393</v>
      </c>
      <c r="AE1171" s="33"/>
      <c r="AF1171" s="59" t="str">
        <f t="shared" si="55"/>
        <v>Không</v>
      </c>
      <c r="AG1171" s="59" t="str">
        <f t="shared" si="56"/>
        <v>Không</v>
      </c>
      <c r="AH1171" s="29" t="str">
        <f t="shared" ca="1" si="54"/>
        <v>Có</v>
      </c>
      <c r="AI1171" s="29" t="str">
        <f ca="1">IF((R1171)&gt;=6,"Có","Không")</f>
        <v>Có</v>
      </c>
      <c r="AJ1171" s="29" t="str">
        <f>IF(OR(J1171&gt;=140,K1171&gt;=90),"Có","Không")</f>
        <v>Không</v>
      </c>
      <c r="AK1171" s="5" t="s">
        <v>51</v>
      </c>
      <c r="AL1171" s="35">
        <v>46173</v>
      </c>
      <c r="AM1171" s="29" t="str">
        <f>"Tháng "&amp;MONTH(AL1171)</f>
        <v>Tháng 5</v>
      </c>
      <c r="AN1171" s="69" t="s">
        <v>1376</v>
      </c>
    </row>
    <row r="1172" spans="1:40" x14ac:dyDescent="0.25">
      <c r="A1172" s="51" t="s">
        <v>959</v>
      </c>
      <c r="B1172" s="20" t="s">
        <v>30</v>
      </c>
      <c r="C1172" s="35">
        <v>23743</v>
      </c>
      <c r="D1172" s="29">
        <f ca="1">DATEDIF(C1172,TODAY(),"Y")</f>
        <v>61</v>
      </c>
      <c r="E1172" s="5" t="s">
        <v>26</v>
      </c>
      <c r="F1172" s="30">
        <v>160</v>
      </c>
      <c r="G1172" s="30">
        <v>80</v>
      </c>
      <c r="H1172" s="31">
        <f>G1172/((F1172/100)*(F1172/100))</f>
        <v>31.249999999999993</v>
      </c>
      <c r="I1172" s="5">
        <v>75</v>
      </c>
      <c r="J1172" s="30">
        <v>120</v>
      </c>
      <c r="K1172" s="30">
        <v>80</v>
      </c>
      <c r="L1172" s="29">
        <f>IF(B1172="Nữ",0,2)</f>
        <v>2</v>
      </c>
      <c r="M1172" s="29">
        <f ca="1">IF(D1172&lt;45,0,IF(D1172&lt;=49,1,2))</f>
        <v>2</v>
      </c>
      <c r="N1172" s="29">
        <f>IF(E1172="Có",4,0)</f>
        <v>0</v>
      </c>
      <c r="O1172" s="29">
        <f>IF(H1172&lt;23,0,IF(H1172&lt;27.5,3,5))</f>
        <v>5</v>
      </c>
      <c r="P1172" s="29">
        <f>IF(OR(AND(B1172="Nam",I1172&gt;=90),AND(B1172="Nữ",I1172&gt;=80)),2,0)</f>
        <v>0</v>
      </c>
      <c r="Q1172" s="29">
        <f>IF(OR(J1172&gt;=140,K1172&gt;=90),2,0)</f>
        <v>0</v>
      </c>
      <c r="R1172" s="29">
        <f ca="1">SUM(L1172:Q1172)</f>
        <v>9</v>
      </c>
      <c r="S1172" s="33"/>
      <c r="T1172" s="33"/>
      <c r="U1172" s="33"/>
      <c r="V1172" s="33"/>
      <c r="W1172" s="33"/>
      <c r="X1172" s="33"/>
      <c r="Y1172" s="33"/>
      <c r="Z1172" s="33"/>
      <c r="AA1172" s="33"/>
      <c r="AB1172" s="33"/>
      <c r="AC1172" s="33"/>
      <c r="AD1172" s="5" t="s">
        <v>1393</v>
      </c>
      <c r="AE1172" s="33"/>
      <c r="AF1172" s="59" t="str">
        <f t="shared" si="55"/>
        <v>Không</v>
      </c>
      <c r="AG1172" s="59" t="str">
        <f t="shared" si="56"/>
        <v>Không</v>
      </c>
      <c r="AH1172" s="29" t="str">
        <f t="shared" ca="1" si="54"/>
        <v>Có</v>
      </c>
      <c r="AI1172" s="29" t="str">
        <f ca="1">IF((R1172)&gt;=6,"Có","Không")</f>
        <v>Có</v>
      </c>
      <c r="AJ1172" s="29" t="str">
        <f>IF(OR(J1172&gt;=140,K1172&gt;=90),"Có","Không")</f>
        <v>Không</v>
      </c>
      <c r="AK1172" s="5" t="s">
        <v>51</v>
      </c>
      <c r="AL1172" s="35">
        <v>46173</v>
      </c>
      <c r="AM1172" s="29" t="str">
        <f>"Tháng "&amp;MONTH(AL1172)</f>
        <v>Tháng 5</v>
      </c>
      <c r="AN1172" s="69" t="s">
        <v>1376</v>
      </c>
    </row>
    <row r="1173" spans="1:40" x14ac:dyDescent="0.25">
      <c r="A1173" s="51" t="s">
        <v>1016</v>
      </c>
      <c r="B1173" s="20" t="s">
        <v>23</v>
      </c>
      <c r="C1173" s="35">
        <v>20455</v>
      </c>
      <c r="D1173" s="29">
        <f ca="1">DATEDIF(C1173,TODAY(),"Y")</f>
        <v>70</v>
      </c>
      <c r="E1173" s="5" t="s">
        <v>26</v>
      </c>
      <c r="F1173" s="30">
        <v>169</v>
      </c>
      <c r="G1173" s="30">
        <v>68</v>
      </c>
      <c r="H1173" s="31">
        <f>G1173/((F1173/100)*(F1173/100))</f>
        <v>23.808690171912751</v>
      </c>
      <c r="I1173" s="5">
        <v>79</v>
      </c>
      <c r="J1173" s="30">
        <v>140</v>
      </c>
      <c r="K1173" s="30">
        <v>80</v>
      </c>
      <c r="L1173" s="29">
        <f>IF(B1173="Nữ",0,2)</f>
        <v>0</v>
      </c>
      <c r="M1173" s="29">
        <f ca="1">IF(D1173&lt;45,0,IF(D1173&lt;=49,1,2))</f>
        <v>2</v>
      </c>
      <c r="N1173" s="29">
        <f>IF(E1173="Có",4,0)</f>
        <v>0</v>
      </c>
      <c r="O1173" s="29">
        <f>IF(H1173&lt;23,0,IF(H1173&lt;27.5,3,5))</f>
        <v>3</v>
      </c>
      <c r="P1173" s="29">
        <f>IF(OR(AND(B1173="Nam",I1173&gt;=90),AND(B1173="Nữ",I1173&gt;=80)),2,0)</f>
        <v>0</v>
      </c>
      <c r="Q1173" s="29">
        <f>IF(OR(J1173&gt;=140,K1173&gt;=90),2,0)</f>
        <v>2</v>
      </c>
      <c r="R1173" s="29">
        <f ca="1">SUM(L1173:Q1173)</f>
        <v>7</v>
      </c>
      <c r="S1173" s="33"/>
      <c r="T1173" s="33"/>
      <c r="U1173" s="33"/>
      <c r="V1173" s="33"/>
      <c r="W1173" s="33"/>
      <c r="X1173" s="33"/>
      <c r="Y1173" s="33"/>
      <c r="Z1173" s="33"/>
      <c r="AA1173" s="33"/>
      <c r="AB1173" s="33"/>
      <c r="AC1173" s="33"/>
      <c r="AD1173" s="5" t="s">
        <v>1393</v>
      </c>
      <c r="AE1173" s="33"/>
      <c r="AF1173" s="59" t="str">
        <f t="shared" si="55"/>
        <v>Không</v>
      </c>
      <c r="AG1173" s="59" t="str">
        <f t="shared" si="56"/>
        <v>Không</v>
      </c>
      <c r="AH1173" s="29" t="str">
        <f t="shared" ca="1" si="54"/>
        <v>Có</v>
      </c>
      <c r="AI1173" s="29" t="str">
        <f ca="1">IF((R1173)&gt;=6,"Có","Không")</f>
        <v>Có</v>
      </c>
      <c r="AJ1173" s="29" t="str">
        <f>IF(OR(J1173&gt;=140,K1173&gt;=90),"Có","Không")</f>
        <v>Có</v>
      </c>
      <c r="AK1173" s="5" t="s">
        <v>51</v>
      </c>
      <c r="AL1173" s="35">
        <v>46173</v>
      </c>
      <c r="AM1173" s="29" t="str">
        <f>"Tháng "&amp;MONTH(AL1173)</f>
        <v>Tháng 5</v>
      </c>
      <c r="AN1173" s="69" t="s">
        <v>1376</v>
      </c>
    </row>
    <row r="1174" spans="1:40" x14ac:dyDescent="0.25">
      <c r="A1174" s="51" t="s">
        <v>326</v>
      </c>
      <c r="B1174" s="20" t="s">
        <v>23</v>
      </c>
      <c r="C1174" s="35">
        <v>19725</v>
      </c>
      <c r="D1174" s="29">
        <f ca="1">DATEDIF(C1174,TODAY(),"Y")</f>
        <v>72</v>
      </c>
      <c r="E1174" s="5" t="s">
        <v>26</v>
      </c>
      <c r="F1174" s="30">
        <v>165</v>
      </c>
      <c r="G1174" s="30">
        <v>100</v>
      </c>
      <c r="H1174" s="31">
        <f>G1174/((F1174/100)*(F1174/100))</f>
        <v>36.730945821854917</v>
      </c>
      <c r="I1174" s="5">
        <v>88</v>
      </c>
      <c r="J1174" s="30">
        <v>140</v>
      </c>
      <c r="K1174" s="30">
        <v>80</v>
      </c>
      <c r="L1174" s="29">
        <f>IF(B1174="Nữ",0,2)</f>
        <v>0</v>
      </c>
      <c r="M1174" s="29">
        <f ca="1">IF(D1174&lt;45,0,IF(D1174&lt;=49,1,2))</f>
        <v>2</v>
      </c>
      <c r="N1174" s="29">
        <f>IF(E1174="Có",4,0)</f>
        <v>0</v>
      </c>
      <c r="O1174" s="29">
        <f>IF(H1174&lt;23,0,IF(H1174&lt;27.5,3,5))</f>
        <v>5</v>
      </c>
      <c r="P1174" s="29">
        <f>IF(OR(AND(B1174="Nam",I1174&gt;=90),AND(B1174="Nữ",I1174&gt;=80)),2,0)</f>
        <v>2</v>
      </c>
      <c r="Q1174" s="29">
        <f>IF(OR(J1174&gt;=140,K1174&gt;=90),2,0)</f>
        <v>2</v>
      </c>
      <c r="R1174" s="29">
        <f ca="1">SUM(L1174:Q1174)</f>
        <v>11</v>
      </c>
      <c r="S1174" s="33"/>
      <c r="T1174" s="33"/>
      <c r="U1174" s="33"/>
      <c r="V1174" s="33"/>
      <c r="W1174" s="33"/>
      <c r="X1174" s="33"/>
      <c r="Y1174" s="33"/>
      <c r="Z1174" s="33"/>
      <c r="AA1174" s="33"/>
      <c r="AB1174" s="33"/>
      <c r="AC1174" s="33"/>
      <c r="AD1174" s="5" t="s">
        <v>1393</v>
      </c>
      <c r="AE1174" s="33"/>
      <c r="AF1174" s="59" t="str">
        <f t="shared" si="55"/>
        <v>Không</v>
      </c>
      <c r="AG1174" s="59" t="str">
        <f t="shared" si="56"/>
        <v>Không</v>
      </c>
      <c r="AH1174" s="29" t="str">
        <f t="shared" ca="1" si="54"/>
        <v>Có</v>
      </c>
      <c r="AI1174" s="29" t="str">
        <f ca="1">IF((R1174)&gt;=6,"Có","Không")</f>
        <v>Có</v>
      </c>
      <c r="AJ1174" s="29" t="str">
        <f>IF(OR(J1174&gt;=140,K1174&gt;=90),"Có","Không")</f>
        <v>Có</v>
      </c>
      <c r="AK1174" s="5" t="s">
        <v>51</v>
      </c>
      <c r="AL1174" s="35">
        <v>46173</v>
      </c>
      <c r="AM1174" s="29" t="str">
        <f>"Tháng "&amp;MONTH(AL1174)</f>
        <v>Tháng 5</v>
      </c>
      <c r="AN1174" s="69" t="s">
        <v>1376</v>
      </c>
    </row>
    <row r="1175" spans="1:40" x14ac:dyDescent="0.25">
      <c r="A1175" s="51" t="s">
        <v>665</v>
      </c>
      <c r="B1175" s="20" t="s">
        <v>23</v>
      </c>
      <c r="C1175" s="35">
        <v>20090</v>
      </c>
      <c r="D1175" s="29">
        <f ca="1">DATEDIF(C1175,TODAY(),"Y")</f>
        <v>71</v>
      </c>
      <c r="E1175" s="5" t="s">
        <v>26</v>
      </c>
      <c r="F1175" s="30">
        <v>169</v>
      </c>
      <c r="G1175" s="30">
        <v>68</v>
      </c>
      <c r="H1175" s="31">
        <f>G1175/((F1175/100)*(F1175/100))</f>
        <v>23.808690171912751</v>
      </c>
      <c r="I1175" s="5">
        <v>82</v>
      </c>
      <c r="J1175" s="30">
        <v>100</v>
      </c>
      <c r="K1175" s="30">
        <v>80</v>
      </c>
      <c r="L1175" s="29">
        <f>IF(B1175="Nữ",0,2)</f>
        <v>0</v>
      </c>
      <c r="M1175" s="29">
        <f ca="1">IF(D1175&lt;45,0,IF(D1175&lt;=49,1,2))</f>
        <v>2</v>
      </c>
      <c r="N1175" s="29">
        <f>IF(E1175="Có",4,0)</f>
        <v>0</v>
      </c>
      <c r="O1175" s="29">
        <f>IF(H1175&lt;23,0,IF(H1175&lt;27.5,3,5))</f>
        <v>3</v>
      </c>
      <c r="P1175" s="29">
        <f>IF(OR(AND(B1175="Nam",I1175&gt;=90),AND(B1175="Nữ",I1175&gt;=80)),2,0)</f>
        <v>2</v>
      </c>
      <c r="Q1175" s="29">
        <f>IF(OR(J1175&gt;=140,K1175&gt;=90),2,0)</f>
        <v>0</v>
      </c>
      <c r="R1175" s="29">
        <f ca="1">SUM(L1175:Q1175)</f>
        <v>7</v>
      </c>
      <c r="S1175" s="33"/>
      <c r="T1175" s="33"/>
      <c r="U1175" s="33"/>
      <c r="V1175" s="33"/>
      <c r="W1175" s="33"/>
      <c r="X1175" s="33"/>
      <c r="Y1175" s="33"/>
      <c r="Z1175" s="33"/>
      <c r="AA1175" s="33"/>
      <c r="AB1175" s="33"/>
      <c r="AC1175" s="33"/>
      <c r="AD1175" s="5" t="s">
        <v>1393</v>
      </c>
      <c r="AE1175" s="33"/>
      <c r="AF1175" s="59" t="str">
        <f t="shared" si="55"/>
        <v>Không</v>
      </c>
      <c r="AG1175" s="59" t="str">
        <f t="shared" si="56"/>
        <v>Không</v>
      </c>
      <c r="AH1175" s="29" t="str">
        <f t="shared" ca="1" si="54"/>
        <v>Có</v>
      </c>
      <c r="AI1175" s="29" t="str">
        <f ca="1">IF((R1175)&gt;=6,"Có","Không")</f>
        <v>Có</v>
      </c>
      <c r="AJ1175" s="29" t="str">
        <f>IF(OR(J1175&gt;=140,K1175&gt;=90),"Có","Không")</f>
        <v>Không</v>
      </c>
      <c r="AK1175" s="5" t="s">
        <v>51</v>
      </c>
      <c r="AL1175" s="35">
        <v>46173</v>
      </c>
      <c r="AM1175" s="29" t="str">
        <f>"Tháng "&amp;MONTH(AL1175)</f>
        <v>Tháng 5</v>
      </c>
      <c r="AN1175" s="69" t="s">
        <v>1376</v>
      </c>
    </row>
    <row r="1176" spans="1:40" x14ac:dyDescent="0.25">
      <c r="A1176" s="51" t="s">
        <v>462</v>
      </c>
      <c r="B1176" s="20" t="s">
        <v>30</v>
      </c>
      <c r="C1176" s="35">
        <v>23377</v>
      </c>
      <c r="D1176" s="29">
        <f ca="1">DATEDIF(C1176,TODAY(),"Y")</f>
        <v>62</v>
      </c>
      <c r="E1176" s="5" t="s">
        <v>26</v>
      </c>
      <c r="F1176" s="30">
        <v>158</v>
      </c>
      <c r="G1176" s="30">
        <v>50</v>
      </c>
      <c r="H1176" s="31">
        <f>G1176/((F1176/100)*(F1176/100))</f>
        <v>20.028841531805796</v>
      </c>
      <c r="I1176" s="5">
        <v>73</v>
      </c>
      <c r="J1176" s="30">
        <v>140</v>
      </c>
      <c r="K1176" s="30">
        <v>80</v>
      </c>
      <c r="L1176" s="29">
        <f>IF(B1176="Nữ",0,2)</f>
        <v>2</v>
      </c>
      <c r="M1176" s="29">
        <f ca="1">IF(D1176&lt;45,0,IF(D1176&lt;=49,1,2))</f>
        <v>2</v>
      </c>
      <c r="N1176" s="29">
        <f>IF(E1176="Có",4,0)</f>
        <v>0</v>
      </c>
      <c r="O1176" s="29">
        <f>IF(H1176&lt;23,0,IF(H1176&lt;27.5,3,5))</f>
        <v>0</v>
      </c>
      <c r="P1176" s="29">
        <f>IF(OR(AND(B1176="Nam",I1176&gt;=90),AND(B1176="Nữ",I1176&gt;=80)),2,0)</f>
        <v>0</v>
      </c>
      <c r="Q1176" s="29">
        <f>IF(OR(J1176&gt;=140,K1176&gt;=90),2,0)</f>
        <v>2</v>
      </c>
      <c r="R1176" s="29">
        <f ca="1">SUM(L1176:Q1176)</f>
        <v>6</v>
      </c>
      <c r="S1176" s="33"/>
      <c r="T1176" s="33"/>
      <c r="U1176" s="33"/>
      <c r="V1176" s="33"/>
      <c r="W1176" s="33"/>
      <c r="X1176" s="33"/>
      <c r="Y1176" s="33"/>
      <c r="Z1176" s="33"/>
      <c r="AA1176" s="33"/>
      <c r="AB1176" s="33"/>
      <c r="AC1176" s="33"/>
      <c r="AD1176" s="5" t="s">
        <v>1393</v>
      </c>
      <c r="AE1176" s="33"/>
      <c r="AF1176" s="59" t="str">
        <f t="shared" si="55"/>
        <v>Không</v>
      </c>
      <c r="AG1176" s="59" t="str">
        <f t="shared" si="56"/>
        <v>Không</v>
      </c>
      <c r="AH1176" s="29" t="str">
        <f t="shared" ca="1" si="54"/>
        <v>Có</v>
      </c>
      <c r="AI1176" s="29" t="str">
        <f ca="1">IF((R1176)&gt;=6,"Có","Không")</f>
        <v>Có</v>
      </c>
      <c r="AJ1176" s="29" t="str">
        <f>IF(OR(J1176&gt;=140,K1176&gt;=90),"Có","Không")</f>
        <v>Có</v>
      </c>
      <c r="AK1176" s="5" t="s">
        <v>51</v>
      </c>
      <c r="AL1176" s="35">
        <v>46173</v>
      </c>
      <c r="AM1176" s="29" t="str">
        <f>"Tháng "&amp;MONTH(AL1176)</f>
        <v>Tháng 5</v>
      </c>
      <c r="AN1176" s="69" t="s">
        <v>1376</v>
      </c>
    </row>
    <row r="1177" spans="1:40" x14ac:dyDescent="0.25">
      <c r="A1177" s="51" t="s">
        <v>296</v>
      </c>
      <c r="B1177" s="20" t="s">
        <v>23</v>
      </c>
      <c r="C1177" s="35">
        <v>20090</v>
      </c>
      <c r="D1177" s="29">
        <f ca="1">DATEDIF(C1177,TODAY(),"Y")</f>
        <v>71</v>
      </c>
      <c r="E1177" s="5" t="s">
        <v>26</v>
      </c>
      <c r="F1177" s="30">
        <v>158</v>
      </c>
      <c r="G1177" s="30">
        <v>58</v>
      </c>
      <c r="H1177" s="31">
        <f>G1177/((F1177/100)*(F1177/100))</f>
        <v>23.233456176894723</v>
      </c>
      <c r="I1177" s="5">
        <v>89</v>
      </c>
      <c r="J1177" s="30">
        <v>120</v>
      </c>
      <c r="K1177" s="30">
        <v>80</v>
      </c>
      <c r="L1177" s="29">
        <f>IF(B1177="Nữ",0,2)</f>
        <v>0</v>
      </c>
      <c r="M1177" s="29">
        <f ca="1">IF(D1177&lt;45,0,IF(D1177&lt;=49,1,2))</f>
        <v>2</v>
      </c>
      <c r="N1177" s="29">
        <f>IF(E1177="Có",4,0)</f>
        <v>0</v>
      </c>
      <c r="O1177" s="29">
        <f>IF(H1177&lt;23,0,IF(H1177&lt;27.5,3,5))</f>
        <v>3</v>
      </c>
      <c r="P1177" s="29">
        <f>IF(OR(AND(B1177="Nam",I1177&gt;=90),AND(B1177="Nữ",I1177&gt;=80)),2,0)</f>
        <v>2</v>
      </c>
      <c r="Q1177" s="29">
        <f>IF(OR(J1177&gt;=140,K1177&gt;=90),2,0)</f>
        <v>0</v>
      </c>
      <c r="R1177" s="29">
        <f ca="1">SUM(L1177:Q1177)</f>
        <v>7</v>
      </c>
      <c r="S1177" s="33"/>
      <c r="T1177" s="33"/>
      <c r="U1177" s="33"/>
      <c r="V1177" s="33"/>
      <c r="W1177" s="33"/>
      <c r="X1177" s="33"/>
      <c r="Y1177" s="33"/>
      <c r="Z1177" s="33"/>
      <c r="AA1177" s="33"/>
      <c r="AB1177" s="33"/>
      <c r="AC1177" s="33"/>
      <c r="AD1177" s="5" t="s">
        <v>1393</v>
      </c>
      <c r="AE1177" s="33"/>
      <c r="AF1177" s="59" t="str">
        <f t="shared" si="55"/>
        <v>Không</v>
      </c>
      <c r="AG1177" s="59" t="str">
        <f t="shared" si="56"/>
        <v>Không</v>
      </c>
      <c r="AH1177" s="29" t="str">
        <f t="shared" ca="1" si="54"/>
        <v>Có</v>
      </c>
      <c r="AI1177" s="29" t="str">
        <f ca="1">IF((R1177)&gt;=6,"Có","Không")</f>
        <v>Có</v>
      </c>
      <c r="AJ1177" s="29" t="str">
        <f>IF(OR(J1177&gt;=140,K1177&gt;=90),"Có","Không")</f>
        <v>Không</v>
      </c>
      <c r="AK1177" s="5" t="s">
        <v>51</v>
      </c>
      <c r="AL1177" s="35">
        <v>46173</v>
      </c>
      <c r="AM1177" s="29" t="str">
        <f>"Tháng "&amp;MONTH(AL1177)</f>
        <v>Tháng 5</v>
      </c>
      <c r="AN1177" s="69" t="s">
        <v>1376</v>
      </c>
    </row>
    <row r="1178" spans="1:40" x14ac:dyDescent="0.25">
      <c r="A1178" s="51" t="s">
        <v>543</v>
      </c>
      <c r="B1178" s="20" t="s">
        <v>30</v>
      </c>
      <c r="C1178" s="35">
        <v>26665</v>
      </c>
      <c r="D1178" s="29">
        <f ca="1">DATEDIF(C1178,TODAY(),"Y")</f>
        <v>53</v>
      </c>
      <c r="E1178" s="5" t="s">
        <v>25</v>
      </c>
      <c r="F1178" s="30">
        <v>168</v>
      </c>
      <c r="G1178" s="30">
        <v>68</v>
      </c>
      <c r="H1178" s="31">
        <f>G1178/((F1178/100)*(F1178/100))</f>
        <v>24.092970521541954</v>
      </c>
      <c r="I1178" s="5">
        <v>81</v>
      </c>
      <c r="J1178" s="30">
        <v>120</v>
      </c>
      <c r="K1178" s="30">
        <v>80</v>
      </c>
      <c r="L1178" s="29">
        <f>IF(B1178="Nữ",0,2)</f>
        <v>2</v>
      </c>
      <c r="M1178" s="29">
        <f ca="1">IF(D1178&lt;45,0,IF(D1178&lt;=49,1,2))</f>
        <v>2</v>
      </c>
      <c r="N1178" s="29">
        <f>IF(E1178="Có",4,0)</f>
        <v>4</v>
      </c>
      <c r="O1178" s="29">
        <f>IF(H1178&lt;23,0,IF(H1178&lt;27.5,3,5))</f>
        <v>3</v>
      </c>
      <c r="P1178" s="29">
        <f>IF(OR(AND(B1178="Nam",I1178&gt;=90),AND(B1178="Nữ",I1178&gt;=80)),2,0)</f>
        <v>0</v>
      </c>
      <c r="Q1178" s="29">
        <f>IF(OR(J1178&gt;=140,K1178&gt;=90),2,0)</f>
        <v>0</v>
      </c>
      <c r="R1178" s="29">
        <f ca="1">SUM(L1178:Q1178)</f>
        <v>11</v>
      </c>
      <c r="S1178" s="33"/>
      <c r="T1178" s="33"/>
      <c r="U1178" s="33"/>
      <c r="V1178" s="33"/>
      <c r="W1178" s="33"/>
      <c r="X1178" s="33"/>
      <c r="Y1178" s="33"/>
      <c r="Z1178" s="33"/>
      <c r="AA1178" s="33"/>
      <c r="AB1178" s="33"/>
      <c r="AC1178" s="33"/>
      <c r="AD1178" s="5" t="s">
        <v>1393</v>
      </c>
      <c r="AE1178" s="33"/>
      <c r="AF1178" s="59" t="str">
        <f t="shared" si="55"/>
        <v>Không</v>
      </c>
      <c r="AG1178" s="59" t="str">
        <f t="shared" si="56"/>
        <v>Không</v>
      </c>
      <c r="AH1178" s="29" t="str">
        <f t="shared" ca="1" si="54"/>
        <v>Có</v>
      </c>
      <c r="AI1178" s="29" t="str">
        <f ca="1">IF((R1178)&gt;=6,"Có","Không")</f>
        <v>Có</v>
      </c>
      <c r="AJ1178" s="29" t="str">
        <f>IF(OR(J1178&gt;=140,K1178&gt;=90),"Có","Không")</f>
        <v>Không</v>
      </c>
      <c r="AK1178" s="5" t="s">
        <v>51</v>
      </c>
      <c r="AL1178" s="35">
        <v>46173</v>
      </c>
      <c r="AM1178" s="29" t="str">
        <f>"Tháng "&amp;MONTH(AL1178)</f>
        <v>Tháng 5</v>
      </c>
      <c r="AN1178" s="69" t="s">
        <v>1376</v>
      </c>
    </row>
    <row r="1179" spans="1:40" x14ac:dyDescent="0.25">
      <c r="A1179" s="51" t="s">
        <v>1323</v>
      </c>
      <c r="B1179" s="20" t="s">
        <v>23</v>
      </c>
      <c r="C1179" s="35">
        <v>23012</v>
      </c>
      <c r="D1179" s="29">
        <f ca="1">DATEDIF(C1179,TODAY(),"Y")</f>
        <v>63</v>
      </c>
      <c r="E1179" s="5" t="s">
        <v>25</v>
      </c>
      <c r="F1179" s="30">
        <v>169</v>
      </c>
      <c r="G1179" s="30">
        <v>68</v>
      </c>
      <c r="H1179" s="31">
        <f>G1179/((F1179/100)*(F1179/100))</f>
        <v>23.808690171912751</v>
      </c>
      <c r="I1179" s="5">
        <v>83</v>
      </c>
      <c r="J1179" s="30">
        <v>150</v>
      </c>
      <c r="K1179" s="30">
        <v>80</v>
      </c>
      <c r="L1179" s="29">
        <f>IF(B1179="Nữ",0,2)</f>
        <v>0</v>
      </c>
      <c r="M1179" s="29">
        <f ca="1">IF(D1179&lt;45,0,IF(D1179&lt;=49,1,2))</f>
        <v>2</v>
      </c>
      <c r="N1179" s="29">
        <f>IF(E1179="Có",4,0)</f>
        <v>4</v>
      </c>
      <c r="O1179" s="29">
        <f>IF(H1179&lt;23,0,IF(H1179&lt;27.5,3,5))</f>
        <v>3</v>
      </c>
      <c r="P1179" s="29">
        <f>IF(OR(AND(B1179="Nam",I1179&gt;=90),AND(B1179="Nữ",I1179&gt;=80)),2,0)</f>
        <v>2</v>
      </c>
      <c r="Q1179" s="29">
        <f>IF(OR(J1179&gt;=140,K1179&gt;=90),2,0)</f>
        <v>2</v>
      </c>
      <c r="R1179" s="29">
        <f ca="1">SUM(L1179:Q1179)</f>
        <v>13</v>
      </c>
      <c r="S1179" s="33"/>
      <c r="T1179" s="33"/>
      <c r="U1179" s="33"/>
      <c r="V1179" s="33"/>
      <c r="W1179" s="33"/>
      <c r="X1179" s="33"/>
      <c r="Y1179" s="33"/>
      <c r="Z1179" s="33"/>
      <c r="AA1179" s="33"/>
      <c r="AB1179" s="33"/>
      <c r="AC1179" s="33"/>
      <c r="AD1179" s="5" t="s">
        <v>1393</v>
      </c>
      <c r="AE1179" s="33"/>
      <c r="AF1179" s="59" t="str">
        <f t="shared" si="55"/>
        <v>Không</v>
      </c>
      <c r="AG1179" s="59" t="str">
        <f t="shared" si="56"/>
        <v>Không</v>
      </c>
      <c r="AH1179" s="29" t="str">
        <f t="shared" ca="1" si="54"/>
        <v>Có</v>
      </c>
      <c r="AI1179" s="29" t="str">
        <f ca="1">IF((R1179)&gt;=6,"Có","Không")</f>
        <v>Có</v>
      </c>
      <c r="AJ1179" s="29" t="str">
        <f>IF(OR(J1179&gt;=140,K1179&gt;=90),"Có","Không")</f>
        <v>Có</v>
      </c>
      <c r="AK1179" s="5" t="s">
        <v>51</v>
      </c>
      <c r="AL1179" s="35">
        <v>46173</v>
      </c>
      <c r="AM1179" s="29" t="str">
        <f>"Tháng "&amp;MONTH(AL1179)</f>
        <v>Tháng 5</v>
      </c>
      <c r="AN1179" s="69" t="s">
        <v>1376</v>
      </c>
    </row>
    <row r="1180" spans="1:40" x14ac:dyDescent="0.25">
      <c r="A1180" s="51" t="s">
        <v>36</v>
      </c>
      <c r="B1180" s="20" t="s">
        <v>30</v>
      </c>
      <c r="C1180" s="35">
        <v>19360</v>
      </c>
      <c r="D1180" s="29">
        <f ca="1">DATEDIF(C1180,TODAY(),"Y")</f>
        <v>73</v>
      </c>
      <c r="E1180" s="5" t="s">
        <v>26</v>
      </c>
      <c r="F1180" s="30">
        <v>160</v>
      </c>
      <c r="G1180" s="30">
        <v>57</v>
      </c>
      <c r="H1180" s="31">
        <f>G1180/((F1180/100)*(F1180/100))</f>
        <v>22.265624999999996</v>
      </c>
      <c r="I1180" s="5">
        <v>81</v>
      </c>
      <c r="J1180" s="30">
        <v>130</v>
      </c>
      <c r="K1180" s="30">
        <v>80</v>
      </c>
      <c r="L1180" s="29">
        <f>IF(B1180="Nữ",0,2)</f>
        <v>2</v>
      </c>
      <c r="M1180" s="29">
        <f ca="1">IF(D1180&lt;45,0,IF(D1180&lt;=49,1,2))</f>
        <v>2</v>
      </c>
      <c r="N1180" s="29">
        <f>IF(E1180="Có",4,0)</f>
        <v>0</v>
      </c>
      <c r="O1180" s="29">
        <f>IF(H1180&lt;23,0,IF(H1180&lt;27.5,3,5))</f>
        <v>0</v>
      </c>
      <c r="P1180" s="29">
        <f>IF(OR(AND(B1180="Nam",I1180&gt;=90),AND(B1180="Nữ",I1180&gt;=80)),2,0)</f>
        <v>0</v>
      </c>
      <c r="Q1180" s="29">
        <f>IF(OR(J1180&gt;=140,K1180&gt;=90),2,0)</f>
        <v>0</v>
      </c>
      <c r="R1180" s="29">
        <f ca="1">SUM(L1180:Q1180)</f>
        <v>4</v>
      </c>
      <c r="S1180" s="33"/>
      <c r="T1180" s="33"/>
      <c r="U1180" s="33"/>
      <c r="V1180" s="33"/>
      <c r="W1180" s="33"/>
      <c r="X1180" s="33"/>
      <c r="Y1180" s="33"/>
      <c r="Z1180" s="33"/>
      <c r="AA1180" s="33"/>
      <c r="AB1180" s="33"/>
      <c r="AC1180" s="33"/>
      <c r="AD1180" s="5" t="s">
        <v>1393</v>
      </c>
      <c r="AE1180" s="33"/>
      <c r="AF1180" s="59" t="str">
        <f t="shared" si="55"/>
        <v>Không</v>
      </c>
      <c r="AG1180" s="59" t="str">
        <f t="shared" si="56"/>
        <v>Không</v>
      </c>
      <c r="AH1180" s="29" t="str">
        <f t="shared" ca="1" si="54"/>
        <v>Không</v>
      </c>
      <c r="AI1180" s="29" t="str">
        <f ca="1">IF((R1180)&gt;=6,"Có","Không")</f>
        <v>Không</v>
      </c>
      <c r="AJ1180" s="29" t="str">
        <f>IF(OR(J1180&gt;=140,K1180&gt;=90),"Có","Không")</f>
        <v>Không</v>
      </c>
      <c r="AK1180" s="5" t="s">
        <v>51</v>
      </c>
      <c r="AL1180" s="35">
        <v>46173</v>
      </c>
      <c r="AM1180" s="29" t="str">
        <f>"Tháng "&amp;MONTH(AL1180)</f>
        <v>Tháng 5</v>
      </c>
      <c r="AN1180" s="69" t="s">
        <v>1376</v>
      </c>
    </row>
    <row r="1181" spans="1:40" x14ac:dyDescent="0.25">
      <c r="A1181" s="51" t="s">
        <v>1324</v>
      </c>
      <c r="B1181" s="20" t="s">
        <v>30</v>
      </c>
      <c r="C1181" s="35">
        <v>25569</v>
      </c>
      <c r="D1181" s="29">
        <f ca="1">DATEDIF(C1181,TODAY(),"Y")</f>
        <v>56</v>
      </c>
      <c r="E1181" s="5" t="s">
        <v>25</v>
      </c>
      <c r="F1181" s="30">
        <v>169</v>
      </c>
      <c r="G1181" s="30">
        <v>68</v>
      </c>
      <c r="H1181" s="31">
        <f>G1181/((F1181/100)*(F1181/100))</f>
        <v>23.808690171912751</v>
      </c>
      <c r="I1181" s="5">
        <v>80</v>
      </c>
      <c r="J1181" s="30">
        <v>150</v>
      </c>
      <c r="K1181" s="30">
        <v>80</v>
      </c>
      <c r="L1181" s="29">
        <f>IF(B1181="Nữ",0,2)</f>
        <v>2</v>
      </c>
      <c r="M1181" s="29">
        <f ca="1">IF(D1181&lt;45,0,IF(D1181&lt;=49,1,2))</f>
        <v>2</v>
      </c>
      <c r="N1181" s="29">
        <f>IF(E1181="Có",4,0)</f>
        <v>4</v>
      </c>
      <c r="O1181" s="29">
        <f>IF(H1181&lt;23,0,IF(H1181&lt;27.5,3,5))</f>
        <v>3</v>
      </c>
      <c r="P1181" s="29">
        <f>IF(OR(AND(B1181="Nam",I1181&gt;=90),AND(B1181="Nữ",I1181&gt;=80)),2,0)</f>
        <v>0</v>
      </c>
      <c r="Q1181" s="29">
        <f>IF(OR(J1181&gt;=140,K1181&gt;=90),2,0)</f>
        <v>2</v>
      </c>
      <c r="R1181" s="29">
        <f ca="1">SUM(L1181:Q1181)</f>
        <v>13</v>
      </c>
      <c r="S1181" s="33"/>
      <c r="T1181" s="33"/>
      <c r="U1181" s="33"/>
      <c r="V1181" s="33"/>
      <c r="W1181" s="33"/>
      <c r="X1181" s="33"/>
      <c r="Y1181" s="33"/>
      <c r="Z1181" s="33"/>
      <c r="AA1181" s="33"/>
      <c r="AB1181" s="33"/>
      <c r="AC1181" s="33"/>
      <c r="AD1181" s="5" t="s">
        <v>1393</v>
      </c>
      <c r="AE1181" s="33"/>
      <c r="AF1181" s="59" t="str">
        <f t="shared" si="55"/>
        <v>Không</v>
      </c>
      <c r="AG1181" s="59" t="str">
        <f t="shared" si="56"/>
        <v>Không</v>
      </c>
      <c r="AH1181" s="29" t="str">
        <f t="shared" ca="1" si="54"/>
        <v>Có</v>
      </c>
      <c r="AI1181" s="29" t="str">
        <f ca="1">IF((R1181)&gt;=6,"Có","Không")</f>
        <v>Có</v>
      </c>
      <c r="AJ1181" s="29" t="str">
        <f>IF(OR(J1181&gt;=140,K1181&gt;=90),"Có","Không")</f>
        <v>Có</v>
      </c>
      <c r="AK1181" s="5" t="s">
        <v>51</v>
      </c>
      <c r="AL1181" s="35">
        <v>46173</v>
      </c>
      <c r="AM1181" s="29" t="str">
        <f>"Tháng "&amp;MONTH(AL1181)</f>
        <v>Tháng 5</v>
      </c>
      <c r="AN1181" s="69" t="s">
        <v>1376</v>
      </c>
    </row>
    <row r="1182" spans="1:40" x14ac:dyDescent="0.25">
      <c r="A1182" s="51" t="s">
        <v>1325</v>
      </c>
      <c r="B1182" s="20" t="s">
        <v>23</v>
      </c>
      <c r="C1182" s="35">
        <v>20090</v>
      </c>
      <c r="D1182" s="29">
        <f ca="1">DATEDIF(C1182,TODAY(),"Y")</f>
        <v>71</v>
      </c>
      <c r="E1182" s="5" t="s">
        <v>26</v>
      </c>
      <c r="F1182" s="30">
        <v>170</v>
      </c>
      <c r="G1182" s="30">
        <v>59</v>
      </c>
      <c r="H1182" s="31">
        <f>G1182/((F1182/100)*(F1182/100))</f>
        <v>20.415224913494811</v>
      </c>
      <c r="I1182" s="5">
        <v>76</v>
      </c>
      <c r="J1182" s="30">
        <v>140</v>
      </c>
      <c r="K1182" s="30">
        <v>80</v>
      </c>
      <c r="L1182" s="29">
        <f>IF(B1182="Nữ",0,2)</f>
        <v>0</v>
      </c>
      <c r="M1182" s="29">
        <f ca="1">IF(D1182&lt;45,0,IF(D1182&lt;=49,1,2))</f>
        <v>2</v>
      </c>
      <c r="N1182" s="29">
        <f>IF(E1182="Có",4,0)</f>
        <v>0</v>
      </c>
      <c r="O1182" s="29">
        <f>IF(H1182&lt;23,0,IF(H1182&lt;27.5,3,5))</f>
        <v>0</v>
      </c>
      <c r="P1182" s="29">
        <f>IF(OR(AND(B1182="Nam",I1182&gt;=90),AND(B1182="Nữ",I1182&gt;=80)),2,0)</f>
        <v>0</v>
      </c>
      <c r="Q1182" s="29">
        <f>IF(OR(J1182&gt;=140,K1182&gt;=90),2,0)</f>
        <v>2</v>
      </c>
      <c r="R1182" s="29">
        <f ca="1">SUM(L1182:Q1182)</f>
        <v>4</v>
      </c>
      <c r="S1182" s="33"/>
      <c r="T1182" s="33"/>
      <c r="U1182" s="33"/>
      <c r="V1182" s="33"/>
      <c r="W1182" s="33"/>
      <c r="X1182" s="33"/>
      <c r="Y1182" s="33"/>
      <c r="Z1182" s="33"/>
      <c r="AA1182" s="33"/>
      <c r="AB1182" s="33"/>
      <c r="AC1182" s="33"/>
      <c r="AD1182" s="5" t="s">
        <v>1393</v>
      </c>
      <c r="AE1182" s="33"/>
      <c r="AF1182" s="59" t="str">
        <f t="shared" si="55"/>
        <v>Không</v>
      </c>
      <c r="AG1182" s="59" t="str">
        <f t="shared" si="56"/>
        <v>Không</v>
      </c>
      <c r="AH1182" s="29" t="str">
        <f t="shared" ca="1" si="54"/>
        <v>Không</v>
      </c>
      <c r="AI1182" s="29" t="str">
        <f ca="1">IF((R1182)&gt;=6,"Có","Không")</f>
        <v>Không</v>
      </c>
      <c r="AJ1182" s="29" t="str">
        <f>IF(OR(J1182&gt;=140,K1182&gt;=90),"Có","Không")</f>
        <v>Có</v>
      </c>
      <c r="AK1182" s="5" t="s">
        <v>51</v>
      </c>
      <c r="AL1182" s="35">
        <v>46173</v>
      </c>
      <c r="AM1182" s="29" t="str">
        <f>"Tháng "&amp;MONTH(AL1182)</f>
        <v>Tháng 5</v>
      </c>
      <c r="AN1182" s="69" t="s">
        <v>1376</v>
      </c>
    </row>
    <row r="1183" spans="1:40" x14ac:dyDescent="0.25">
      <c r="A1183" s="51" t="s">
        <v>832</v>
      </c>
      <c r="B1183" s="20" t="s">
        <v>30</v>
      </c>
      <c r="C1183" s="35">
        <v>21186</v>
      </c>
      <c r="D1183" s="29">
        <f ca="1">DATEDIF(C1183,TODAY(),"Y")</f>
        <v>68</v>
      </c>
      <c r="E1183" s="5" t="s">
        <v>26</v>
      </c>
      <c r="F1183" s="30">
        <v>158</v>
      </c>
      <c r="G1183" s="30">
        <v>58</v>
      </c>
      <c r="H1183" s="31">
        <f>G1183/((F1183/100)*(F1183/100))</f>
        <v>23.233456176894723</v>
      </c>
      <c r="I1183" s="5">
        <v>71</v>
      </c>
      <c r="J1183" s="30">
        <v>120</v>
      </c>
      <c r="K1183" s="30">
        <v>80</v>
      </c>
      <c r="L1183" s="29">
        <f>IF(B1183="Nữ",0,2)</f>
        <v>2</v>
      </c>
      <c r="M1183" s="29">
        <f ca="1">IF(D1183&lt;45,0,IF(D1183&lt;=49,1,2))</f>
        <v>2</v>
      </c>
      <c r="N1183" s="29">
        <f>IF(E1183="Có",4,0)</f>
        <v>0</v>
      </c>
      <c r="O1183" s="29">
        <f>IF(H1183&lt;23,0,IF(H1183&lt;27.5,3,5))</f>
        <v>3</v>
      </c>
      <c r="P1183" s="29">
        <f>IF(OR(AND(B1183="Nam",I1183&gt;=90),AND(B1183="Nữ",I1183&gt;=80)),2,0)</f>
        <v>0</v>
      </c>
      <c r="Q1183" s="29">
        <f>IF(OR(J1183&gt;=140,K1183&gt;=90),2,0)</f>
        <v>0</v>
      </c>
      <c r="R1183" s="29">
        <f ca="1">SUM(L1183:Q1183)</f>
        <v>7</v>
      </c>
      <c r="S1183" s="33"/>
      <c r="T1183" s="33"/>
      <c r="U1183" s="33"/>
      <c r="V1183" s="33"/>
      <c r="W1183" s="33"/>
      <c r="X1183" s="33"/>
      <c r="Y1183" s="33"/>
      <c r="Z1183" s="33"/>
      <c r="AA1183" s="33"/>
      <c r="AB1183" s="33"/>
      <c r="AC1183" s="33"/>
      <c r="AD1183" s="5" t="s">
        <v>1393</v>
      </c>
      <c r="AE1183" s="33"/>
      <c r="AF1183" s="59" t="str">
        <f t="shared" si="55"/>
        <v>Không</v>
      </c>
      <c r="AG1183" s="59" t="str">
        <f t="shared" si="56"/>
        <v>Không</v>
      </c>
      <c r="AH1183" s="29" t="str">
        <f t="shared" ca="1" si="54"/>
        <v>Có</v>
      </c>
      <c r="AI1183" s="29" t="str">
        <f ca="1">IF((R1183)&gt;=6,"Có","Không")</f>
        <v>Có</v>
      </c>
      <c r="AJ1183" s="29" t="str">
        <f>IF(OR(J1183&gt;=140,K1183&gt;=90),"Có","Không")</f>
        <v>Không</v>
      </c>
      <c r="AK1183" s="5" t="s">
        <v>51</v>
      </c>
      <c r="AL1183" s="35">
        <v>46173</v>
      </c>
      <c r="AM1183" s="29" t="str">
        <f>"Tháng "&amp;MONTH(AL1183)</f>
        <v>Tháng 5</v>
      </c>
      <c r="AN1183" s="69" t="s">
        <v>1376</v>
      </c>
    </row>
    <row r="1184" spans="1:40" x14ac:dyDescent="0.25">
      <c r="A1184" s="51" t="s">
        <v>677</v>
      </c>
      <c r="B1184" s="20" t="s">
        <v>30</v>
      </c>
      <c r="C1184" s="35">
        <v>21186</v>
      </c>
      <c r="D1184" s="29">
        <f ca="1">DATEDIF(C1184,TODAY(),"Y")</f>
        <v>68</v>
      </c>
      <c r="E1184" s="5" t="s">
        <v>26</v>
      </c>
      <c r="F1184" s="30">
        <v>169</v>
      </c>
      <c r="G1184" s="30">
        <v>69</v>
      </c>
      <c r="H1184" s="31">
        <f>G1184/((F1184/100)*(F1184/100))</f>
        <v>24.158817968558527</v>
      </c>
      <c r="I1184" s="5">
        <v>75</v>
      </c>
      <c r="J1184" s="30">
        <v>120</v>
      </c>
      <c r="K1184" s="30">
        <v>80</v>
      </c>
      <c r="L1184" s="29">
        <f>IF(B1184="Nữ",0,2)</f>
        <v>2</v>
      </c>
      <c r="M1184" s="29">
        <f ca="1">IF(D1184&lt;45,0,IF(D1184&lt;=49,1,2))</f>
        <v>2</v>
      </c>
      <c r="N1184" s="29">
        <f>IF(E1184="Có",4,0)</f>
        <v>0</v>
      </c>
      <c r="O1184" s="29">
        <f>IF(H1184&lt;23,0,IF(H1184&lt;27.5,3,5))</f>
        <v>3</v>
      </c>
      <c r="P1184" s="29">
        <f>IF(OR(AND(B1184="Nam",I1184&gt;=90),AND(B1184="Nữ",I1184&gt;=80)),2,0)</f>
        <v>0</v>
      </c>
      <c r="Q1184" s="29">
        <f>IF(OR(J1184&gt;=140,K1184&gt;=90),2,0)</f>
        <v>0</v>
      </c>
      <c r="R1184" s="29">
        <f ca="1">SUM(L1184:Q1184)</f>
        <v>7</v>
      </c>
      <c r="S1184" s="33"/>
      <c r="T1184" s="33"/>
      <c r="U1184" s="33"/>
      <c r="V1184" s="33"/>
      <c r="W1184" s="33"/>
      <c r="X1184" s="33"/>
      <c r="Y1184" s="33"/>
      <c r="Z1184" s="33"/>
      <c r="AA1184" s="33"/>
      <c r="AB1184" s="33"/>
      <c r="AC1184" s="33"/>
      <c r="AD1184" s="5" t="s">
        <v>1393</v>
      </c>
      <c r="AE1184" s="33"/>
      <c r="AF1184" s="59" t="str">
        <f t="shared" si="55"/>
        <v>Không</v>
      </c>
      <c r="AG1184" s="59" t="str">
        <f t="shared" si="56"/>
        <v>Không</v>
      </c>
      <c r="AH1184" s="29" t="str">
        <f t="shared" ca="1" si="54"/>
        <v>Có</v>
      </c>
      <c r="AI1184" s="29" t="str">
        <f ca="1">IF((R1184)&gt;=6,"Có","Không")</f>
        <v>Có</v>
      </c>
      <c r="AJ1184" s="29" t="str">
        <f>IF(OR(J1184&gt;=140,K1184&gt;=90),"Có","Không")</f>
        <v>Không</v>
      </c>
      <c r="AK1184" s="5" t="s">
        <v>51</v>
      </c>
      <c r="AL1184" s="35">
        <v>46173</v>
      </c>
      <c r="AM1184" s="29" t="str">
        <f>"Tháng "&amp;MONTH(AL1184)</f>
        <v>Tháng 5</v>
      </c>
      <c r="AN1184" s="69" t="s">
        <v>1376</v>
      </c>
    </row>
    <row r="1185" spans="1:40" x14ac:dyDescent="0.25">
      <c r="A1185" s="51" t="s">
        <v>1006</v>
      </c>
      <c r="B1185" s="20" t="s">
        <v>30</v>
      </c>
      <c r="C1185" s="35">
        <v>21186</v>
      </c>
      <c r="D1185" s="29">
        <f ca="1">DATEDIF(C1185,TODAY(),"Y")</f>
        <v>68</v>
      </c>
      <c r="E1185" s="5" t="s">
        <v>26</v>
      </c>
      <c r="F1185" s="30">
        <v>158</v>
      </c>
      <c r="G1185" s="30">
        <v>58</v>
      </c>
      <c r="H1185" s="31">
        <f>G1185/((F1185/100)*(F1185/100))</f>
        <v>23.233456176894723</v>
      </c>
      <c r="I1185" s="5">
        <v>72</v>
      </c>
      <c r="J1185" s="30">
        <v>140</v>
      </c>
      <c r="K1185" s="30">
        <v>80</v>
      </c>
      <c r="L1185" s="29">
        <f>IF(B1185="Nữ",0,2)</f>
        <v>2</v>
      </c>
      <c r="M1185" s="29">
        <f ca="1">IF(D1185&lt;45,0,IF(D1185&lt;=49,1,2))</f>
        <v>2</v>
      </c>
      <c r="N1185" s="29">
        <f>IF(E1185="Có",4,0)</f>
        <v>0</v>
      </c>
      <c r="O1185" s="29">
        <f>IF(H1185&lt;23,0,IF(H1185&lt;27.5,3,5))</f>
        <v>3</v>
      </c>
      <c r="P1185" s="29">
        <f>IF(OR(AND(B1185="Nam",I1185&gt;=90),AND(B1185="Nữ",I1185&gt;=80)),2,0)</f>
        <v>0</v>
      </c>
      <c r="Q1185" s="29">
        <f>IF(OR(J1185&gt;=140,K1185&gt;=90),2,0)</f>
        <v>2</v>
      </c>
      <c r="R1185" s="29">
        <f ca="1">SUM(L1185:Q1185)</f>
        <v>9</v>
      </c>
      <c r="S1185" s="33"/>
      <c r="T1185" s="33"/>
      <c r="U1185" s="33"/>
      <c r="V1185" s="33"/>
      <c r="W1185" s="33"/>
      <c r="X1185" s="33"/>
      <c r="Y1185" s="33"/>
      <c r="Z1185" s="33"/>
      <c r="AA1185" s="33"/>
      <c r="AB1185" s="33"/>
      <c r="AC1185" s="33"/>
      <c r="AD1185" s="5" t="s">
        <v>1393</v>
      </c>
      <c r="AE1185" s="33"/>
      <c r="AF1185" s="59" t="str">
        <f t="shared" si="55"/>
        <v>Không</v>
      </c>
      <c r="AG1185" s="59" t="str">
        <f t="shared" si="56"/>
        <v>Không</v>
      </c>
      <c r="AH1185" s="29" t="str">
        <f t="shared" ca="1" si="54"/>
        <v>Có</v>
      </c>
      <c r="AI1185" s="29" t="str">
        <f ca="1">IF((R1185)&gt;=6,"Có","Không")</f>
        <v>Có</v>
      </c>
      <c r="AJ1185" s="29" t="str">
        <f>IF(OR(J1185&gt;=140,K1185&gt;=90),"Có","Không")</f>
        <v>Có</v>
      </c>
      <c r="AK1185" s="5" t="s">
        <v>51</v>
      </c>
      <c r="AL1185" s="35">
        <v>46173</v>
      </c>
      <c r="AM1185" s="29" t="str">
        <f>"Tháng "&amp;MONTH(AL1185)</f>
        <v>Tháng 5</v>
      </c>
      <c r="AN1185" s="69" t="s">
        <v>1376</v>
      </c>
    </row>
    <row r="1186" spans="1:40" x14ac:dyDescent="0.25">
      <c r="A1186" s="51" t="s">
        <v>448</v>
      </c>
      <c r="B1186" s="20" t="s">
        <v>30</v>
      </c>
      <c r="C1186" s="35">
        <v>18264</v>
      </c>
      <c r="D1186" s="29">
        <f ca="1">DATEDIF(C1186,TODAY(),"Y")</f>
        <v>76</v>
      </c>
      <c r="E1186" s="5" t="s">
        <v>26</v>
      </c>
      <c r="F1186" s="30">
        <v>170</v>
      </c>
      <c r="G1186" s="30">
        <v>65</v>
      </c>
      <c r="H1186" s="31">
        <f>G1186/((F1186/100)*(F1186/100))</f>
        <v>22.491349480968861</v>
      </c>
      <c r="I1186" s="5">
        <v>95</v>
      </c>
      <c r="J1186" s="30">
        <v>120</v>
      </c>
      <c r="K1186" s="30">
        <v>80</v>
      </c>
      <c r="L1186" s="29">
        <f>IF(B1186="Nữ",0,2)</f>
        <v>2</v>
      </c>
      <c r="M1186" s="29">
        <f ca="1">IF(D1186&lt;45,0,IF(D1186&lt;=49,1,2))</f>
        <v>2</v>
      </c>
      <c r="N1186" s="29">
        <f>IF(E1186="Có",4,0)</f>
        <v>0</v>
      </c>
      <c r="O1186" s="29">
        <f>IF(H1186&lt;23,0,IF(H1186&lt;27.5,3,5))</f>
        <v>0</v>
      </c>
      <c r="P1186" s="29">
        <f>IF(OR(AND(B1186="Nam",I1186&gt;=90),AND(B1186="Nữ",I1186&gt;=80)),2,0)</f>
        <v>2</v>
      </c>
      <c r="Q1186" s="29">
        <f>IF(OR(J1186&gt;=140,K1186&gt;=90),2,0)</f>
        <v>0</v>
      </c>
      <c r="R1186" s="29">
        <f ca="1">SUM(L1186:Q1186)</f>
        <v>6</v>
      </c>
      <c r="S1186" s="33"/>
      <c r="T1186" s="33"/>
      <c r="U1186" s="33"/>
      <c r="V1186" s="33"/>
      <c r="W1186" s="33"/>
      <c r="X1186" s="33"/>
      <c r="Y1186" s="33"/>
      <c r="Z1186" s="33"/>
      <c r="AA1186" s="33"/>
      <c r="AB1186" s="33"/>
      <c r="AC1186" s="33"/>
      <c r="AD1186" s="5" t="s">
        <v>1393</v>
      </c>
      <c r="AE1186" s="33"/>
      <c r="AF1186" s="59" t="str">
        <f t="shared" si="55"/>
        <v>Không</v>
      </c>
      <c r="AG1186" s="59" t="str">
        <f t="shared" si="56"/>
        <v>Không</v>
      </c>
      <c r="AH1186" s="29" t="str">
        <f t="shared" ca="1" si="54"/>
        <v>Có</v>
      </c>
      <c r="AI1186" s="29" t="str">
        <f ca="1">IF((R1186)&gt;=6,"Có","Không")</f>
        <v>Có</v>
      </c>
      <c r="AJ1186" s="29" t="str">
        <f>IF(OR(J1186&gt;=140,K1186&gt;=90),"Có","Không")</f>
        <v>Không</v>
      </c>
      <c r="AK1186" s="5" t="s">
        <v>51</v>
      </c>
      <c r="AL1186" s="35">
        <v>46173</v>
      </c>
      <c r="AM1186" s="29" t="str">
        <f>"Tháng "&amp;MONTH(AL1186)</f>
        <v>Tháng 5</v>
      </c>
      <c r="AN1186" s="69" t="s">
        <v>1376</v>
      </c>
    </row>
    <row r="1187" spans="1:40" x14ac:dyDescent="0.25">
      <c r="A1187" s="51" t="s">
        <v>943</v>
      </c>
      <c r="B1187" s="20" t="s">
        <v>23</v>
      </c>
      <c r="C1187" s="35">
        <v>20821</v>
      </c>
      <c r="D1187" s="29">
        <f ca="1">DATEDIF(C1187,TODAY(),"Y")</f>
        <v>69</v>
      </c>
      <c r="E1187" s="5" t="s">
        <v>26</v>
      </c>
      <c r="F1187" s="30">
        <v>158</v>
      </c>
      <c r="G1187" s="30">
        <v>58</v>
      </c>
      <c r="H1187" s="31">
        <f>G1187/((F1187/100)*(F1187/100))</f>
        <v>23.233456176894723</v>
      </c>
      <c r="I1187" s="5">
        <v>87</v>
      </c>
      <c r="J1187" s="30">
        <v>120</v>
      </c>
      <c r="K1187" s="30">
        <v>70</v>
      </c>
      <c r="L1187" s="29">
        <f>IF(B1187="Nữ",0,2)</f>
        <v>0</v>
      </c>
      <c r="M1187" s="29">
        <f ca="1">IF(D1187&lt;45,0,IF(D1187&lt;=49,1,2))</f>
        <v>2</v>
      </c>
      <c r="N1187" s="29">
        <f>IF(E1187="Có",4,0)</f>
        <v>0</v>
      </c>
      <c r="O1187" s="29">
        <f>IF(H1187&lt;23,0,IF(H1187&lt;27.5,3,5))</f>
        <v>3</v>
      </c>
      <c r="P1187" s="29">
        <f>IF(OR(AND(B1187="Nam",I1187&gt;=90),AND(B1187="Nữ",I1187&gt;=80)),2,0)</f>
        <v>2</v>
      </c>
      <c r="Q1187" s="29">
        <f>IF(OR(J1187&gt;=140,K1187&gt;=90),2,0)</f>
        <v>0</v>
      </c>
      <c r="R1187" s="29">
        <f ca="1">SUM(L1187:Q1187)</f>
        <v>7</v>
      </c>
      <c r="S1187" s="33"/>
      <c r="T1187" s="33"/>
      <c r="U1187" s="33"/>
      <c r="V1187" s="33"/>
      <c r="W1187" s="33"/>
      <c r="X1187" s="33"/>
      <c r="Y1187" s="33"/>
      <c r="Z1187" s="33"/>
      <c r="AA1187" s="33"/>
      <c r="AB1187" s="33"/>
      <c r="AC1187" s="33"/>
      <c r="AD1187" s="5" t="s">
        <v>1393</v>
      </c>
      <c r="AE1187" s="33"/>
      <c r="AF1187" s="59" t="str">
        <f t="shared" si="55"/>
        <v>Không</v>
      </c>
      <c r="AG1187" s="59" t="str">
        <f t="shared" si="56"/>
        <v>Không</v>
      </c>
      <c r="AH1187" s="29" t="str">
        <f t="shared" ca="1" si="54"/>
        <v>Có</v>
      </c>
      <c r="AI1187" s="29" t="str">
        <f ca="1">IF((R1187)&gt;=6,"Có","Không")</f>
        <v>Có</v>
      </c>
      <c r="AJ1187" s="29" t="str">
        <f>IF(OR(J1187&gt;=140,K1187&gt;=90),"Có","Không")</f>
        <v>Không</v>
      </c>
      <c r="AK1187" s="5" t="s">
        <v>51</v>
      </c>
      <c r="AL1187" s="35">
        <v>46173</v>
      </c>
      <c r="AM1187" s="29" t="str">
        <f>"Tháng "&amp;MONTH(AL1187)</f>
        <v>Tháng 5</v>
      </c>
      <c r="AN1187" s="69" t="s">
        <v>1376</v>
      </c>
    </row>
    <row r="1188" spans="1:40" x14ac:dyDescent="0.25">
      <c r="A1188" s="51" t="s">
        <v>814</v>
      </c>
      <c r="B1188" s="20" t="s">
        <v>30</v>
      </c>
      <c r="C1188" s="35">
        <v>24473</v>
      </c>
      <c r="D1188" s="29">
        <f ca="1">DATEDIF(C1188,TODAY(),"Y")</f>
        <v>59</v>
      </c>
      <c r="E1188" s="5" t="s">
        <v>25</v>
      </c>
      <c r="F1188" s="30">
        <v>160</v>
      </c>
      <c r="G1188" s="30">
        <v>65</v>
      </c>
      <c r="H1188" s="31">
        <f>G1188/((F1188/100)*(F1188/100))</f>
        <v>25.390624999999996</v>
      </c>
      <c r="I1188" s="5">
        <v>90</v>
      </c>
      <c r="J1188" s="30">
        <v>120</v>
      </c>
      <c r="K1188" s="30">
        <v>70</v>
      </c>
      <c r="L1188" s="29">
        <f>IF(B1188="Nữ",0,2)</f>
        <v>2</v>
      </c>
      <c r="M1188" s="29">
        <f ca="1">IF(D1188&lt;45,0,IF(D1188&lt;=49,1,2))</f>
        <v>2</v>
      </c>
      <c r="N1188" s="29">
        <f>IF(E1188="Có",4,0)</f>
        <v>4</v>
      </c>
      <c r="O1188" s="29">
        <f>IF(H1188&lt;23,0,IF(H1188&lt;27.5,3,5))</f>
        <v>3</v>
      </c>
      <c r="P1188" s="29">
        <f>IF(OR(AND(B1188="Nam",I1188&gt;=90),AND(B1188="Nữ",I1188&gt;=80)),2,0)</f>
        <v>2</v>
      </c>
      <c r="Q1188" s="29">
        <f>IF(OR(J1188&gt;=140,K1188&gt;=90),2,0)</f>
        <v>0</v>
      </c>
      <c r="R1188" s="29">
        <f ca="1">SUM(L1188:Q1188)</f>
        <v>13</v>
      </c>
      <c r="S1188" s="33"/>
      <c r="T1188" s="33"/>
      <c r="U1188" s="33"/>
      <c r="V1188" s="33"/>
      <c r="W1188" s="33"/>
      <c r="X1188" s="33"/>
      <c r="Y1188" s="33"/>
      <c r="Z1188" s="33"/>
      <c r="AA1188" s="33"/>
      <c r="AB1188" s="33"/>
      <c r="AC1188" s="33"/>
      <c r="AD1188" s="5" t="s">
        <v>1393</v>
      </c>
      <c r="AE1188" s="33"/>
      <c r="AF1188" s="59" t="str">
        <f t="shared" si="55"/>
        <v>Không</v>
      </c>
      <c r="AG1188" s="59" t="str">
        <f t="shared" si="56"/>
        <v>Không</v>
      </c>
      <c r="AH1188" s="29" t="str">
        <f t="shared" ca="1" si="54"/>
        <v>Có</v>
      </c>
      <c r="AI1188" s="29" t="str">
        <f ca="1">IF((R1188)&gt;=6,"Có","Không")</f>
        <v>Có</v>
      </c>
      <c r="AJ1188" s="29" t="str">
        <f>IF(OR(J1188&gt;=140,K1188&gt;=90),"Có","Không")</f>
        <v>Không</v>
      </c>
      <c r="AK1188" s="5" t="s">
        <v>51</v>
      </c>
      <c r="AL1188" s="35">
        <v>46173</v>
      </c>
      <c r="AM1188" s="29" t="str">
        <f>"Tháng "&amp;MONTH(AL1188)</f>
        <v>Tháng 5</v>
      </c>
      <c r="AN1188" s="69" t="s">
        <v>1376</v>
      </c>
    </row>
    <row r="1189" spans="1:40" x14ac:dyDescent="0.25">
      <c r="A1189" s="51" t="s">
        <v>182</v>
      </c>
      <c r="B1189" s="20" t="s">
        <v>23</v>
      </c>
      <c r="C1189" s="35">
        <v>24108</v>
      </c>
      <c r="D1189" s="29">
        <f ca="1">DATEDIF(C1189,TODAY(),"Y")</f>
        <v>60</v>
      </c>
      <c r="E1189" s="5" t="s">
        <v>26</v>
      </c>
      <c r="F1189" s="30">
        <v>169</v>
      </c>
      <c r="G1189" s="30">
        <v>69</v>
      </c>
      <c r="H1189" s="31">
        <f>G1189/((F1189/100)*(F1189/100))</f>
        <v>24.158817968558527</v>
      </c>
      <c r="I1189" s="5">
        <v>93</v>
      </c>
      <c r="J1189" s="30">
        <v>120</v>
      </c>
      <c r="K1189" s="30">
        <v>80</v>
      </c>
      <c r="L1189" s="29">
        <f>IF(B1189="Nữ",0,2)</f>
        <v>0</v>
      </c>
      <c r="M1189" s="29">
        <f ca="1">IF(D1189&lt;45,0,IF(D1189&lt;=49,1,2))</f>
        <v>2</v>
      </c>
      <c r="N1189" s="29">
        <f>IF(E1189="Có",4,0)</f>
        <v>0</v>
      </c>
      <c r="O1189" s="29">
        <f>IF(H1189&lt;23,0,IF(H1189&lt;27.5,3,5))</f>
        <v>3</v>
      </c>
      <c r="P1189" s="29">
        <f>IF(OR(AND(B1189="Nam",I1189&gt;=90),AND(B1189="Nữ",I1189&gt;=80)),2,0)</f>
        <v>2</v>
      </c>
      <c r="Q1189" s="29">
        <f>IF(OR(J1189&gt;=140,K1189&gt;=90),2,0)</f>
        <v>0</v>
      </c>
      <c r="R1189" s="29">
        <f ca="1">SUM(L1189:Q1189)</f>
        <v>7</v>
      </c>
      <c r="S1189" s="33"/>
      <c r="T1189" s="33"/>
      <c r="U1189" s="33"/>
      <c r="V1189" s="33"/>
      <c r="W1189" s="33"/>
      <c r="X1189" s="33"/>
      <c r="Y1189" s="33"/>
      <c r="Z1189" s="33"/>
      <c r="AA1189" s="33"/>
      <c r="AB1189" s="33"/>
      <c r="AC1189" s="33"/>
      <c r="AD1189" s="5" t="s">
        <v>1393</v>
      </c>
      <c r="AE1189" s="33"/>
      <c r="AF1189" s="59" t="str">
        <f t="shared" si="55"/>
        <v>Không</v>
      </c>
      <c r="AG1189" s="59" t="str">
        <f t="shared" si="56"/>
        <v>Không</v>
      </c>
      <c r="AH1189" s="29" t="str">
        <f t="shared" ca="1" si="54"/>
        <v>Có</v>
      </c>
      <c r="AI1189" s="29" t="str">
        <f ca="1">IF((R1189)&gt;=6,"Có","Không")</f>
        <v>Có</v>
      </c>
      <c r="AJ1189" s="29" t="str">
        <f>IF(OR(J1189&gt;=140,K1189&gt;=90),"Có","Không")</f>
        <v>Không</v>
      </c>
      <c r="AK1189" s="5" t="s">
        <v>51</v>
      </c>
      <c r="AL1189" s="35">
        <v>46173</v>
      </c>
      <c r="AM1189" s="29" t="str">
        <f>"Tháng "&amp;MONTH(AL1189)</f>
        <v>Tháng 5</v>
      </c>
      <c r="AN1189" s="69" t="s">
        <v>1376</v>
      </c>
    </row>
    <row r="1190" spans="1:40" x14ac:dyDescent="0.25">
      <c r="A1190" s="51" t="s">
        <v>1327</v>
      </c>
      <c r="B1190" s="20" t="s">
        <v>23</v>
      </c>
      <c r="C1190" s="35">
        <v>25204</v>
      </c>
      <c r="D1190" s="29">
        <f ca="1">DATEDIF(C1190,TODAY(),"Y")</f>
        <v>57</v>
      </c>
      <c r="E1190" s="5" t="s">
        <v>25</v>
      </c>
      <c r="F1190" s="30">
        <v>169</v>
      </c>
      <c r="G1190" s="30">
        <v>69</v>
      </c>
      <c r="H1190" s="31">
        <f>G1190/((F1190/100)*(F1190/100))</f>
        <v>24.158817968558527</v>
      </c>
      <c r="I1190" s="5">
        <v>73</v>
      </c>
      <c r="J1190" s="30">
        <v>120</v>
      </c>
      <c r="K1190" s="30">
        <v>80</v>
      </c>
      <c r="L1190" s="29">
        <f>IF(B1190="Nữ",0,2)</f>
        <v>0</v>
      </c>
      <c r="M1190" s="29">
        <f ca="1">IF(D1190&lt;45,0,IF(D1190&lt;=49,1,2))</f>
        <v>2</v>
      </c>
      <c r="N1190" s="29">
        <f>IF(E1190="Có",4,0)</f>
        <v>4</v>
      </c>
      <c r="O1190" s="29">
        <f>IF(H1190&lt;23,0,IF(H1190&lt;27.5,3,5))</f>
        <v>3</v>
      </c>
      <c r="P1190" s="29">
        <f>IF(OR(AND(B1190="Nam",I1190&gt;=90),AND(B1190="Nữ",I1190&gt;=80)),2,0)</f>
        <v>0</v>
      </c>
      <c r="Q1190" s="29">
        <f>IF(OR(J1190&gt;=140,K1190&gt;=90),2,0)</f>
        <v>0</v>
      </c>
      <c r="R1190" s="29">
        <f ca="1">SUM(L1190:Q1190)</f>
        <v>9</v>
      </c>
      <c r="S1190" s="33"/>
      <c r="T1190" s="33"/>
      <c r="U1190" s="33"/>
      <c r="V1190" s="33"/>
      <c r="W1190" s="33"/>
      <c r="X1190" s="33"/>
      <c r="Y1190" s="33"/>
      <c r="Z1190" s="33"/>
      <c r="AA1190" s="33"/>
      <c r="AB1190" s="33"/>
      <c r="AC1190" s="33"/>
      <c r="AD1190" s="5" t="s">
        <v>1393</v>
      </c>
      <c r="AE1190" s="33"/>
      <c r="AF1190" s="59" t="str">
        <f t="shared" si="55"/>
        <v>Không</v>
      </c>
      <c r="AG1190" s="59" t="str">
        <f t="shared" si="56"/>
        <v>Không</v>
      </c>
      <c r="AH1190" s="29" t="str">
        <f t="shared" ca="1" si="54"/>
        <v>Có</v>
      </c>
      <c r="AI1190" s="29" t="str">
        <f ca="1">IF((R1190)&gt;=6,"Có","Không")</f>
        <v>Có</v>
      </c>
      <c r="AJ1190" s="29" t="str">
        <f>IF(OR(J1190&gt;=140,K1190&gt;=90),"Có","Không")</f>
        <v>Không</v>
      </c>
      <c r="AK1190" s="5" t="s">
        <v>51</v>
      </c>
      <c r="AL1190" s="35">
        <v>46173</v>
      </c>
      <c r="AM1190" s="29" t="str">
        <f>"Tháng "&amp;MONTH(AL1190)</f>
        <v>Tháng 5</v>
      </c>
      <c r="AN1190" s="69" t="s">
        <v>1376</v>
      </c>
    </row>
    <row r="1191" spans="1:40" x14ac:dyDescent="0.25">
      <c r="A1191" s="51" t="s">
        <v>1040</v>
      </c>
      <c r="B1191" s="20" t="s">
        <v>30</v>
      </c>
      <c r="C1191" s="35">
        <v>23743</v>
      </c>
      <c r="D1191" s="29">
        <f ca="1">DATEDIF(C1191,TODAY(),"Y")</f>
        <v>61</v>
      </c>
      <c r="E1191" s="5" t="s">
        <v>26</v>
      </c>
      <c r="F1191" s="30">
        <v>169</v>
      </c>
      <c r="G1191" s="30">
        <v>78</v>
      </c>
      <c r="H1191" s="31">
        <f>G1191/((F1191/100)*(F1191/100))</f>
        <v>27.309968138370508</v>
      </c>
      <c r="I1191" s="5">
        <v>71</v>
      </c>
      <c r="J1191" s="30">
        <v>150</v>
      </c>
      <c r="K1191" s="30">
        <v>80</v>
      </c>
      <c r="L1191" s="29">
        <f>IF(B1191="Nữ",0,2)</f>
        <v>2</v>
      </c>
      <c r="M1191" s="29">
        <f ca="1">IF(D1191&lt;45,0,IF(D1191&lt;=49,1,2))</f>
        <v>2</v>
      </c>
      <c r="N1191" s="29">
        <f>IF(E1191="Có",4,0)</f>
        <v>0</v>
      </c>
      <c r="O1191" s="29">
        <f>IF(H1191&lt;23,0,IF(H1191&lt;27.5,3,5))</f>
        <v>3</v>
      </c>
      <c r="P1191" s="29">
        <f>IF(OR(AND(B1191="Nam",I1191&gt;=90),AND(B1191="Nữ",I1191&gt;=80)),2,0)</f>
        <v>0</v>
      </c>
      <c r="Q1191" s="29">
        <f>IF(OR(J1191&gt;=140,K1191&gt;=90),2,0)</f>
        <v>2</v>
      </c>
      <c r="R1191" s="29">
        <f ca="1">SUM(L1191:Q1191)</f>
        <v>9</v>
      </c>
      <c r="S1191" s="33"/>
      <c r="T1191" s="33"/>
      <c r="U1191" s="33"/>
      <c r="V1191" s="33"/>
      <c r="W1191" s="33"/>
      <c r="X1191" s="33"/>
      <c r="Y1191" s="33"/>
      <c r="Z1191" s="33"/>
      <c r="AA1191" s="33"/>
      <c r="AB1191" s="33"/>
      <c r="AC1191" s="33"/>
      <c r="AD1191" s="5" t="s">
        <v>1393</v>
      </c>
      <c r="AE1191" s="33"/>
      <c r="AF1191" s="59" t="str">
        <f t="shared" si="55"/>
        <v>Không</v>
      </c>
      <c r="AG1191" s="59" t="str">
        <f t="shared" si="56"/>
        <v>Không</v>
      </c>
      <c r="AH1191" s="29" t="str">
        <f t="shared" ca="1" si="54"/>
        <v>Có</v>
      </c>
      <c r="AI1191" s="29" t="str">
        <f ca="1">IF((R1191)&gt;=6,"Có","Không")</f>
        <v>Có</v>
      </c>
      <c r="AJ1191" s="29" t="str">
        <f>IF(OR(J1191&gt;=140,K1191&gt;=90),"Có","Không")</f>
        <v>Có</v>
      </c>
      <c r="AK1191" s="5" t="s">
        <v>51</v>
      </c>
      <c r="AL1191" s="35">
        <v>46173</v>
      </c>
      <c r="AM1191" s="29" t="str">
        <f>"Tháng "&amp;MONTH(AL1191)</f>
        <v>Tháng 5</v>
      </c>
      <c r="AN1191" s="69" t="s">
        <v>1376</v>
      </c>
    </row>
    <row r="1192" spans="1:40" x14ac:dyDescent="0.25">
      <c r="A1192" s="51" t="s">
        <v>261</v>
      </c>
      <c r="B1192" s="20" t="s">
        <v>23</v>
      </c>
      <c r="C1192" s="35">
        <v>23012</v>
      </c>
      <c r="D1192" s="29">
        <f ca="1">DATEDIF(C1192,TODAY(),"Y")</f>
        <v>63</v>
      </c>
      <c r="E1192" s="5" t="s">
        <v>26</v>
      </c>
      <c r="F1192" s="30">
        <v>169</v>
      </c>
      <c r="G1192" s="30">
        <v>68</v>
      </c>
      <c r="H1192" s="31">
        <f>G1192/((F1192/100)*(F1192/100))</f>
        <v>23.808690171912751</v>
      </c>
      <c r="I1192" s="5">
        <v>96</v>
      </c>
      <c r="J1192" s="30">
        <v>120</v>
      </c>
      <c r="K1192" s="30">
        <v>80</v>
      </c>
      <c r="L1192" s="29">
        <f>IF(B1192="Nữ",0,2)</f>
        <v>0</v>
      </c>
      <c r="M1192" s="29">
        <f ca="1">IF(D1192&lt;45,0,IF(D1192&lt;=49,1,2))</f>
        <v>2</v>
      </c>
      <c r="N1192" s="29">
        <f>IF(E1192="Có",4,0)</f>
        <v>0</v>
      </c>
      <c r="O1192" s="29">
        <f>IF(H1192&lt;23,0,IF(H1192&lt;27.5,3,5))</f>
        <v>3</v>
      </c>
      <c r="P1192" s="29">
        <f>IF(OR(AND(B1192="Nam",I1192&gt;=90),AND(B1192="Nữ",I1192&gt;=80)),2,0)</f>
        <v>2</v>
      </c>
      <c r="Q1192" s="29">
        <f>IF(OR(J1192&gt;=140,K1192&gt;=90),2,0)</f>
        <v>0</v>
      </c>
      <c r="R1192" s="29">
        <f ca="1">SUM(L1192:Q1192)</f>
        <v>7</v>
      </c>
      <c r="S1192" s="33"/>
      <c r="T1192" s="33"/>
      <c r="U1192" s="33"/>
      <c r="V1192" s="33"/>
      <c r="W1192" s="33"/>
      <c r="X1192" s="33"/>
      <c r="Y1192" s="33"/>
      <c r="Z1192" s="33"/>
      <c r="AA1192" s="33"/>
      <c r="AB1192" s="33"/>
      <c r="AC1192" s="33"/>
      <c r="AD1192" s="5" t="s">
        <v>1393</v>
      </c>
      <c r="AE1192" s="33"/>
      <c r="AF1192" s="59" t="str">
        <f t="shared" si="55"/>
        <v>Không</v>
      </c>
      <c r="AG1192" s="59" t="str">
        <f t="shared" si="56"/>
        <v>Không</v>
      </c>
      <c r="AH1192" s="29" t="str">
        <f t="shared" ca="1" si="54"/>
        <v>Có</v>
      </c>
      <c r="AI1192" s="29" t="str">
        <f ca="1">IF((R1192)&gt;=6,"Có","Không")</f>
        <v>Có</v>
      </c>
      <c r="AJ1192" s="29" t="str">
        <f>IF(OR(J1192&gt;=140,K1192&gt;=90),"Có","Không")</f>
        <v>Không</v>
      </c>
      <c r="AK1192" s="5" t="s">
        <v>51</v>
      </c>
      <c r="AL1192" s="35">
        <v>46173</v>
      </c>
      <c r="AM1192" s="29" t="str">
        <f>"Tháng "&amp;MONTH(AL1192)</f>
        <v>Tháng 5</v>
      </c>
      <c r="AN1192" s="69" t="s">
        <v>1376</v>
      </c>
    </row>
    <row r="1193" spans="1:40" x14ac:dyDescent="0.25">
      <c r="A1193" s="51" t="s">
        <v>139</v>
      </c>
      <c r="B1193" s="20" t="s">
        <v>23</v>
      </c>
      <c r="C1193" s="35">
        <v>21186</v>
      </c>
      <c r="D1193" s="29">
        <f ca="1">DATEDIF(C1193,TODAY(),"Y")</f>
        <v>68</v>
      </c>
      <c r="E1193" s="5" t="s">
        <v>26</v>
      </c>
      <c r="F1193" s="30">
        <v>168</v>
      </c>
      <c r="G1193" s="30">
        <v>68</v>
      </c>
      <c r="H1193" s="31">
        <f>G1193/((F1193/100)*(F1193/100))</f>
        <v>24.092970521541954</v>
      </c>
      <c r="I1193" s="5">
        <v>65</v>
      </c>
      <c r="J1193" s="30">
        <v>130</v>
      </c>
      <c r="K1193" s="30">
        <v>80</v>
      </c>
      <c r="L1193" s="29">
        <f>IF(B1193="Nữ",0,2)</f>
        <v>0</v>
      </c>
      <c r="M1193" s="29">
        <f ca="1">IF(D1193&lt;45,0,IF(D1193&lt;=49,1,2))</f>
        <v>2</v>
      </c>
      <c r="N1193" s="29">
        <f>IF(E1193="Có",4,0)</f>
        <v>0</v>
      </c>
      <c r="O1193" s="29">
        <f>IF(H1193&lt;23,0,IF(H1193&lt;27.5,3,5))</f>
        <v>3</v>
      </c>
      <c r="P1193" s="29">
        <f>IF(OR(AND(B1193="Nam",I1193&gt;=90),AND(B1193="Nữ",I1193&gt;=80)),2,0)</f>
        <v>0</v>
      </c>
      <c r="Q1193" s="29">
        <f>IF(OR(J1193&gt;=140,K1193&gt;=90),2,0)</f>
        <v>0</v>
      </c>
      <c r="R1193" s="29">
        <f ca="1">SUM(L1193:Q1193)</f>
        <v>5</v>
      </c>
      <c r="S1193" s="33"/>
      <c r="T1193" s="33"/>
      <c r="U1193" s="33"/>
      <c r="V1193" s="33"/>
      <c r="W1193" s="33"/>
      <c r="X1193" s="33"/>
      <c r="Y1193" s="33"/>
      <c r="Z1193" s="33"/>
      <c r="AA1193" s="33"/>
      <c r="AB1193" s="33"/>
      <c r="AC1193" s="33"/>
      <c r="AD1193" s="5" t="s">
        <v>1393</v>
      </c>
      <c r="AE1193" s="33"/>
      <c r="AF1193" s="59" t="str">
        <f t="shared" si="55"/>
        <v>Không</v>
      </c>
      <c r="AG1193" s="59" t="str">
        <f t="shared" si="56"/>
        <v>Không</v>
      </c>
      <c r="AH1193" s="29" t="str">
        <f t="shared" ca="1" si="54"/>
        <v>Không</v>
      </c>
      <c r="AI1193" s="29" t="str">
        <f ca="1">IF((R1193)&gt;=6,"Có","Không")</f>
        <v>Không</v>
      </c>
      <c r="AJ1193" s="29" t="str">
        <f>IF(OR(J1193&gt;=140,K1193&gt;=90),"Có","Không")</f>
        <v>Không</v>
      </c>
      <c r="AK1193" s="5" t="s">
        <v>51</v>
      </c>
      <c r="AL1193" s="35">
        <v>46173</v>
      </c>
      <c r="AM1193" s="29" t="str">
        <f>"Tháng "&amp;MONTH(AL1193)</f>
        <v>Tháng 5</v>
      </c>
      <c r="AN1193" s="69" t="s">
        <v>1376</v>
      </c>
    </row>
    <row r="1194" spans="1:40" x14ac:dyDescent="0.25">
      <c r="A1194" s="51" t="s">
        <v>1328</v>
      </c>
      <c r="B1194" s="20" t="s">
        <v>23</v>
      </c>
      <c r="C1194" s="35">
        <v>19725</v>
      </c>
      <c r="D1194" s="29">
        <f ca="1">DATEDIF(C1194,TODAY(),"Y")</f>
        <v>72</v>
      </c>
      <c r="E1194" s="5" t="s">
        <v>26</v>
      </c>
      <c r="F1194" s="30">
        <v>169</v>
      </c>
      <c r="G1194" s="30">
        <v>68</v>
      </c>
      <c r="H1194" s="31">
        <f>G1194/((F1194/100)*(F1194/100))</f>
        <v>23.808690171912751</v>
      </c>
      <c r="I1194" s="5">
        <v>75</v>
      </c>
      <c r="J1194" s="30">
        <v>120</v>
      </c>
      <c r="K1194" s="30">
        <v>80</v>
      </c>
      <c r="L1194" s="29">
        <f>IF(B1194="Nữ",0,2)</f>
        <v>0</v>
      </c>
      <c r="M1194" s="29">
        <f ca="1">IF(D1194&lt;45,0,IF(D1194&lt;=49,1,2))</f>
        <v>2</v>
      </c>
      <c r="N1194" s="29">
        <f>IF(E1194="Có",4,0)</f>
        <v>0</v>
      </c>
      <c r="O1194" s="29">
        <f>IF(H1194&lt;23,0,IF(H1194&lt;27.5,3,5))</f>
        <v>3</v>
      </c>
      <c r="P1194" s="29">
        <f>IF(OR(AND(B1194="Nam",I1194&gt;=90),AND(B1194="Nữ",I1194&gt;=80)),2,0)</f>
        <v>0</v>
      </c>
      <c r="Q1194" s="29">
        <f>IF(OR(J1194&gt;=140,K1194&gt;=90),2,0)</f>
        <v>0</v>
      </c>
      <c r="R1194" s="29">
        <f ca="1">SUM(L1194:Q1194)</f>
        <v>5</v>
      </c>
      <c r="S1194" s="33"/>
      <c r="T1194" s="33"/>
      <c r="U1194" s="33"/>
      <c r="V1194" s="33"/>
      <c r="W1194" s="33"/>
      <c r="X1194" s="33"/>
      <c r="Y1194" s="33"/>
      <c r="Z1194" s="33"/>
      <c r="AA1194" s="33"/>
      <c r="AB1194" s="33"/>
      <c r="AC1194" s="33"/>
      <c r="AD1194" s="5" t="s">
        <v>1393</v>
      </c>
      <c r="AE1194" s="33"/>
      <c r="AF1194" s="59" t="str">
        <f t="shared" si="55"/>
        <v>Không</v>
      </c>
      <c r="AG1194" s="59" t="str">
        <f t="shared" si="56"/>
        <v>Không</v>
      </c>
      <c r="AH1194" s="29" t="str">
        <f t="shared" ca="1" si="54"/>
        <v>Không</v>
      </c>
      <c r="AI1194" s="29" t="str">
        <f ca="1">IF((R1194)&gt;=6,"Có","Không")</f>
        <v>Không</v>
      </c>
      <c r="AJ1194" s="29" t="str">
        <f>IF(OR(J1194&gt;=140,K1194&gt;=90),"Có","Không")</f>
        <v>Không</v>
      </c>
      <c r="AK1194" s="5" t="s">
        <v>51</v>
      </c>
      <c r="AL1194" s="35">
        <v>46173</v>
      </c>
      <c r="AM1194" s="29" t="str">
        <f>"Tháng "&amp;MONTH(AL1194)</f>
        <v>Tháng 5</v>
      </c>
      <c r="AN1194" s="69" t="s">
        <v>1376</v>
      </c>
    </row>
    <row r="1195" spans="1:40" x14ac:dyDescent="0.25">
      <c r="A1195" s="51" t="s">
        <v>638</v>
      </c>
      <c r="B1195" s="20" t="s">
        <v>23</v>
      </c>
      <c r="C1195" s="35">
        <v>23377</v>
      </c>
      <c r="D1195" s="29">
        <f ca="1">DATEDIF(C1195,TODAY(),"Y")</f>
        <v>62</v>
      </c>
      <c r="E1195" s="5" t="s">
        <v>26</v>
      </c>
      <c r="F1195" s="30">
        <v>169</v>
      </c>
      <c r="G1195" s="30">
        <v>68</v>
      </c>
      <c r="H1195" s="31">
        <f>G1195/((F1195/100)*(F1195/100))</f>
        <v>23.808690171912751</v>
      </c>
      <c r="I1195" s="5">
        <v>83</v>
      </c>
      <c r="J1195" s="30">
        <v>120</v>
      </c>
      <c r="K1195" s="30">
        <v>80</v>
      </c>
      <c r="L1195" s="29">
        <f>IF(B1195="Nữ",0,2)</f>
        <v>0</v>
      </c>
      <c r="M1195" s="29">
        <f ca="1">IF(D1195&lt;45,0,IF(D1195&lt;=49,1,2))</f>
        <v>2</v>
      </c>
      <c r="N1195" s="29">
        <f>IF(E1195="Có",4,0)</f>
        <v>0</v>
      </c>
      <c r="O1195" s="29">
        <f>IF(H1195&lt;23,0,IF(H1195&lt;27.5,3,5))</f>
        <v>3</v>
      </c>
      <c r="P1195" s="29">
        <f>IF(OR(AND(B1195="Nam",I1195&gt;=90),AND(B1195="Nữ",I1195&gt;=80)),2,0)</f>
        <v>2</v>
      </c>
      <c r="Q1195" s="29">
        <f>IF(OR(J1195&gt;=140,K1195&gt;=90),2,0)</f>
        <v>0</v>
      </c>
      <c r="R1195" s="29">
        <f ca="1">SUM(L1195:Q1195)</f>
        <v>7</v>
      </c>
      <c r="S1195" s="33"/>
      <c r="T1195" s="33"/>
      <c r="U1195" s="33"/>
      <c r="V1195" s="33"/>
      <c r="W1195" s="33"/>
      <c r="X1195" s="33"/>
      <c r="Y1195" s="33"/>
      <c r="Z1195" s="33"/>
      <c r="AA1195" s="33"/>
      <c r="AB1195" s="33"/>
      <c r="AC1195" s="33"/>
      <c r="AD1195" s="5" t="s">
        <v>1393</v>
      </c>
      <c r="AE1195" s="33"/>
      <c r="AF1195" s="59" t="str">
        <f t="shared" si="55"/>
        <v>Không</v>
      </c>
      <c r="AG1195" s="59" t="str">
        <f t="shared" si="56"/>
        <v>Không</v>
      </c>
      <c r="AH1195" s="29" t="str">
        <f t="shared" ca="1" si="54"/>
        <v>Có</v>
      </c>
      <c r="AI1195" s="29" t="str">
        <f ca="1">IF((R1195)&gt;=6,"Có","Không")</f>
        <v>Có</v>
      </c>
      <c r="AJ1195" s="29" t="str">
        <f>IF(OR(J1195&gt;=140,K1195&gt;=90),"Có","Không")</f>
        <v>Không</v>
      </c>
      <c r="AK1195" s="5" t="s">
        <v>51</v>
      </c>
      <c r="AL1195" s="35">
        <v>46173</v>
      </c>
      <c r="AM1195" s="29" t="str">
        <f>"Tháng "&amp;MONTH(AL1195)</f>
        <v>Tháng 5</v>
      </c>
      <c r="AN1195" s="69" t="s">
        <v>1376</v>
      </c>
    </row>
    <row r="1196" spans="1:40" x14ac:dyDescent="0.25">
      <c r="A1196" s="51" t="s">
        <v>1330</v>
      </c>
      <c r="B1196" s="20" t="s">
        <v>30</v>
      </c>
      <c r="C1196" s="35">
        <v>23377</v>
      </c>
      <c r="D1196" s="29">
        <f ca="1">DATEDIF(C1196,TODAY(),"Y")</f>
        <v>62</v>
      </c>
      <c r="E1196" s="5" t="s">
        <v>26</v>
      </c>
      <c r="F1196" s="30">
        <v>165</v>
      </c>
      <c r="G1196" s="30">
        <v>62</v>
      </c>
      <c r="H1196" s="31">
        <f>G1196/((F1196/100)*(F1196/100))</f>
        <v>22.77318640955005</v>
      </c>
      <c r="I1196" s="5">
        <v>68</v>
      </c>
      <c r="J1196" s="30">
        <v>140</v>
      </c>
      <c r="K1196" s="30">
        <v>80</v>
      </c>
      <c r="L1196" s="29">
        <f>IF(B1196="Nữ",0,2)</f>
        <v>2</v>
      </c>
      <c r="M1196" s="29">
        <f ca="1">IF(D1196&lt;45,0,IF(D1196&lt;=49,1,2))</f>
        <v>2</v>
      </c>
      <c r="N1196" s="29">
        <f>IF(E1196="Có",4,0)</f>
        <v>0</v>
      </c>
      <c r="O1196" s="29">
        <f>IF(H1196&lt;23,0,IF(H1196&lt;27.5,3,5))</f>
        <v>0</v>
      </c>
      <c r="P1196" s="29">
        <f>IF(OR(AND(B1196="Nam",I1196&gt;=90),AND(B1196="Nữ",I1196&gt;=80)),2,0)</f>
        <v>0</v>
      </c>
      <c r="Q1196" s="29">
        <f>IF(OR(J1196&gt;=140,K1196&gt;=90),2,0)</f>
        <v>2</v>
      </c>
      <c r="R1196" s="29">
        <f ca="1">SUM(L1196:Q1196)</f>
        <v>6</v>
      </c>
      <c r="S1196" s="33"/>
      <c r="T1196" s="33"/>
      <c r="U1196" s="33"/>
      <c r="V1196" s="33"/>
      <c r="W1196" s="33"/>
      <c r="X1196" s="33"/>
      <c r="Y1196" s="33"/>
      <c r="Z1196" s="33"/>
      <c r="AA1196" s="33"/>
      <c r="AB1196" s="33"/>
      <c r="AC1196" s="33"/>
      <c r="AD1196" s="5" t="s">
        <v>1393</v>
      </c>
      <c r="AE1196" s="33"/>
      <c r="AF1196" s="59" t="str">
        <f t="shared" si="55"/>
        <v>Không</v>
      </c>
      <c r="AG1196" s="59" t="str">
        <f t="shared" si="56"/>
        <v>Không</v>
      </c>
      <c r="AH1196" s="29" t="str">
        <f t="shared" ca="1" si="54"/>
        <v>Có</v>
      </c>
      <c r="AI1196" s="29" t="str">
        <f ca="1">IF((R1196)&gt;=6,"Có","Không")</f>
        <v>Có</v>
      </c>
      <c r="AJ1196" s="29" t="str">
        <f>IF(OR(J1196&gt;=140,K1196&gt;=90),"Có","Không")</f>
        <v>Có</v>
      </c>
      <c r="AK1196" s="5" t="s">
        <v>51</v>
      </c>
      <c r="AL1196" s="35">
        <v>46173</v>
      </c>
      <c r="AM1196" s="29" t="str">
        <f>"Tháng "&amp;MONTH(AL1196)</f>
        <v>Tháng 5</v>
      </c>
      <c r="AN1196" s="69" t="s">
        <v>1376</v>
      </c>
    </row>
    <row r="1197" spans="1:40" x14ac:dyDescent="0.25">
      <c r="A1197" s="51" t="s">
        <v>227</v>
      </c>
      <c r="B1197" s="20" t="s">
        <v>23</v>
      </c>
      <c r="C1197" s="35">
        <v>20090</v>
      </c>
      <c r="D1197" s="29">
        <f ca="1">DATEDIF(C1197,TODAY(),"Y")</f>
        <v>71</v>
      </c>
      <c r="E1197" s="5" t="s">
        <v>25</v>
      </c>
      <c r="F1197" s="30">
        <v>158</v>
      </c>
      <c r="G1197" s="30">
        <v>45</v>
      </c>
      <c r="H1197" s="31">
        <f>G1197/((F1197/100)*(F1197/100))</f>
        <v>18.025957378625218</v>
      </c>
      <c r="I1197" s="5">
        <v>79</v>
      </c>
      <c r="J1197" s="30">
        <v>120</v>
      </c>
      <c r="K1197" s="30">
        <v>80</v>
      </c>
      <c r="L1197" s="29">
        <f>IF(B1197="Nữ",0,2)</f>
        <v>0</v>
      </c>
      <c r="M1197" s="29">
        <f ca="1">IF(D1197&lt;45,0,IF(D1197&lt;=49,1,2))</f>
        <v>2</v>
      </c>
      <c r="N1197" s="29">
        <f>IF(E1197="Có",4,0)</f>
        <v>4</v>
      </c>
      <c r="O1197" s="29">
        <f>IF(H1197&lt;23,0,IF(H1197&lt;27.5,3,5))</f>
        <v>0</v>
      </c>
      <c r="P1197" s="29">
        <f>IF(OR(AND(B1197="Nam",I1197&gt;=90),AND(B1197="Nữ",I1197&gt;=80)),2,0)</f>
        <v>0</v>
      </c>
      <c r="Q1197" s="29">
        <f>IF(OR(J1197&gt;=140,K1197&gt;=90),2,0)</f>
        <v>0</v>
      </c>
      <c r="R1197" s="29">
        <f ca="1">SUM(L1197:Q1197)</f>
        <v>6</v>
      </c>
      <c r="S1197" s="33"/>
      <c r="T1197" s="33"/>
      <c r="U1197" s="33"/>
      <c r="V1197" s="33"/>
      <c r="W1197" s="33"/>
      <c r="X1197" s="33"/>
      <c r="Y1197" s="33"/>
      <c r="Z1197" s="33"/>
      <c r="AA1197" s="33"/>
      <c r="AB1197" s="33"/>
      <c r="AC1197" s="33"/>
      <c r="AD1197" s="5" t="s">
        <v>1393</v>
      </c>
      <c r="AE1197" s="33"/>
      <c r="AF1197" s="59" t="str">
        <f t="shared" si="55"/>
        <v>Không</v>
      </c>
      <c r="AG1197" s="59" t="str">
        <f t="shared" si="56"/>
        <v>Không</v>
      </c>
      <c r="AH1197" s="29" t="str">
        <f t="shared" ca="1" si="54"/>
        <v>Có</v>
      </c>
      <c r="AI1197" s="29" t="str">
        <f ca="1">IF((R1197)&gt;=6,"Có","Không")</f>
        <v>Có</v>
      </c>
      <c r="AJ1197" s="29" t="str">
        <f>IF(OR(J1197&gt;=140,K1197&gt;=90),"Có","Không")</f>
        <v>Không</v>
      </c>
      <c r="AK1197" s="5" t="s">
        <v>51</v>
      </c>
      <c r="AL1197" s="35">
        <v>46173</v>
      </c>
      <c r="AM1197" s="29" t="str">
        <f>"Tháng "&amp;MONTH(AL1197)</f>
        <v>Tháng 5</v>
      </c>
      <c r="AN1197" s="69" t="s">
        <v>1376</v>
      </c>
    </row>
    <row r="1198" spans="1:40" x14ac:dyDescent="0.25">
      <c r="A1198" s="51" t="s">
        <v>253</v>
      </c>
      <c r="B1198" s="20" t="s">
        <v>30</v>
      </c>
      <c r="C1198" s="35">
        <v>23743</v>
      </c>
      <c r="D1198" s="29">
        <f ca="1">DATEDIF(C1198,TODAY(),"Y")</f>
        <v>61</v>
      </c>
      <c r="E1198" s="5" t="s">
        <v>25</v>
      </c>
      <c r="F1198" s="30">
        <v>169</v>
      </c>
      <c r="G1198" s="30">
        <v>69</v>
      </c>
      <c r="H1198" s="31">
        <f>G1198/((F1198/100)*(F1198/100))</f>
        <v>24.158817968558527</v>
      </c>
      <c r="I1198" s="5">
        <v>89</v>
      </c>
      <c r="J1198" s="30">
        <v>130</v>
      </c>
      <c r="K1198" s="30">
        <v>80</v>
      </c>
      <c r="L1198" s="29">
        <f>IF(B1198="Nữ",0,2)</f>
        <v>2</v>
      </c>
      <c r="M1198" s="29">
        <f ca="1">IF(D1198&lt;45,0,IF(D1198&lt;=49,1,2))</f>
        <v>2</v>
      </c>
      <c r="N1198" s="29">
        <f>IF(E1198="Có",4,0)</f>
        <v>4</v>
      </c>
      <c r="O1198" s="29">
        <f>IF(H1198&lt;23,0,IF(H1198&lt;27.5,3,5))</f>
        <v>3</v>
      </c>
      <c r="P1198" s="29">
        <f>IF(OR(AND(B1198="Nam",I1198&gt;=90),AND(B1198="Nữ",I1198&gt;=80)),2,0)</f>
        <v>0</v>
      </c>
      <c r="Q1198" s="29">
        <f>IF(OR(J1198&gt;=140,K1198&gt;=90),2,0)</f>
        <v>0</v>
      </c>
      <c r="R1198" s="29">
        <f ca="1">SUM(L1198:Q1198)</f>
        <v>11</v>
      </c>
      <c r="S1198" s="33"/>
      <c r="T1198" s="33"/>
      <c r="U1198" s="33"/>
      <c r="V1198" s="33"/>
      <c r="W1198" s="33"/>
      <c r="X1198" s="33"/>
      <c r="Y1198" s="33"/>
      <c r="Z1198" s="33"/>
      <c r="AA1198" s="33"/>
      <c r="AB1198" s="33"/>
      <c r="AC1198" s="33"/>
      <c r="AD1198" s="5" t="s">
        <v>1393</v>
      </c>
      <c r="AE1198" s="33"/>
      <c r="AF1198" s="59" t="str">
        <f t="shared" si="55"/>
        <v>Không</v>
      </c>
      <c r="AG1198" s="59" t="str">
        <f t="shared" si="56"/>
        <v>Không</v>
      </c>
      <c r="AH1198" s="29" t="str">
        <f t="shared" ca="1" si="54"/>
        <v>Có</v>
      </c>
      <c r="AI1198" s="29" t="str">
        <f ca="1">IF((R1198)&gt;=6,"Có","Không")</f>
        <v>Có</v>
      </c>
      <c r="AJ1198" s="29" t="str">
        <f>IF(OR(J1198&gt;=140,K1198&gt;=90),"Có","Không")</f>
        <v>Không</v>
      </c>
      <c r="AK1198" s="5" t="s">
        <v>51</v>
      </c>
      <c r="AL1198" s="35">
        <v>46173</v>
      </c>
      <c r="AM1198" s="29" t="str">
        <f>"Tháng "&amp;MONTH(AL1198)</f>
        <v>Tháng 5</v>
      </c>
      <c r="AN1198" s="69" t="s">
        <v>1376</v>
      </c>
    </row>
    <row r="1199" spans="1:40" x14ac:dyDescent="0.25">
      <c r="A1199" s="52" t="s">
        <v>1332</v>
      </c>
      <c r="B1199" s="20" t="s">
        <v>23</v>
      </c>
      <c r="C1199" s="35">
        <v>24108</v>
      </c>
      <c r="D1199" s="29">
        <f ca="1">DATEDIF(C1199,TODAY(),"Y")</f>
        <v>60</v>
      </c>
      <c r="E1199" s="5" t="s">
        <v>25</v>
      </c>
      <c r="F1199" s="30">
        <v>158</v>
      </c>
      <c r="G1199" s="30">
        <v>58</v>
      </c>
      <c r="H1199" s="31">
        <f>G1199/((F1199/100)*(F1199/100))</f>
        <v>23.233456176894723</v>
      </c>
      <c r="I1199" s="5">
        <v>85</v>
      </c>
      <c r="J1199" s="30">
        <v>120</v>
      </c>
      <c r="K1199" s="30">
        <v>80</v>
      </c>
      <c r="L1199" s="29">
        <f>IF(B1199="Nữ",0,2)</f>
        <v>0</v>
      </c>
      <c r="M1199" s="29">
        <f ca="1">IF(D1199&lt;45,0,IF(D1199&lt;=49,1,2))</f>
        <v>2</v>
      </c>
      <c r="N1199" s="29">
        <f>IF(E1199="Có",4,0)</f>
        <v>4</v>
      </c>
      <c r="O1199" s="29">
        <f>IF(H1199&lt;23,0,IF(H1199&lt;27.5,3,5))</f>
        <v>3</v>
      </c>
      <c r="P1199" s="29">
        <f>IF(OR(AND(B1199="Nam",I1199&gt;=90),AND(B1199="Nữ",I1199&gt;=80)),2,0)</f>
        <v>2</v>
      </c>
      <c r="Q1199" s="29">
        <f>IF(OR(J1199&gt;=140,K1199&gt;=90),2,0)</f>
        <v>0</v>
      </c>
      <c r="R1199" s="29">
        <f ca="1">SUM(L1199:Q1199)</f>
        <v>11</v>
      </c>
      <c r="S1199" s="33"/>
      <c r="T1199" s="33"/>
      <c r="U1199" s="33"/>
      <c r="V1199" s="33"/>
      <c r="W1199" s="33"/>
      <c r="X1199" s="33"/>
      <c r="Y1199" s="33"/>
      <c r="Z1199" s="33"/>
      <c r="AA1199" s="33"/>
      <c r="AB1199" s="33"/>
      <c r="AC1199" s="33"/>
      <c r="AD1199" s="5" t="s">
        <v>1393</v>
      </c>
      <c r="AE1199" s="33"/>
      <c r="AF1199" s="59" t="str">
        <f t="shared" si="55"/>
        <v>Không</v>
      </c>
      <c r="AG1199" s="59" t="str">
        <f t="shared" si="56"/>
        <v>Không</v>
      </c>
      <c r="AH1199" s="29" t="str">
        <f t="shared" ca="1" si="54"/>
        <v>Có</v>
      </c>
      <c r="AI1199" s="29" t="str">
        <f ca="1">IF((R1199)&gt;=6,"Có","Không")</f>
        <v>Có</v>
      </c>
      <c r="AJ1199" s="29" t="str">
        <f>IF(OR(J1199&gt;=140,K1199&gt;=90),"Có","Không")</f>
        <v>Không</v>
      </c>
      <c r="AK1199" s="5" t="s">
        <v>51</v>
      </c>
      <c r="AL1199" s="35">
        <v>46173</v>
      </c>
      <c r="AM1199" s="29" t="str">
        <f>"Tháng "&amp;MONTH(AL1199)</f>
        <v>Tháng 5</v>
      </c>
      <c r="AN1199" s="69" t="s">
        <v>1376</v>
      </c>
    </row>
    <row r="1200" spans="1:40" x14ac:dyDescent="0.25">
      <c r="A1200" s="52" t="s">
        <v>1333</v>
      </c>
      <c r="B1200" s="20" t="s">
        <v>23</v>
      </c>
      <c r="C1200" s="35">
        <v>27030</v>
      </c>
      <c r="D1200" s="29">
        <f ca="1">DATEDIF(C1200,TODAY(),"Y")</f>
        <v>52</v>
      </c>
      <c r="E1200" s="5" t="s">
        <v>26</v>
      </c>
      <c r="F1200" s="30">
        <v>158</v>
      </c>
      <c r="G1200" s="30">
        <v>48</v>
      </c>
      <c r="H1200" s="31">
        <f>G1200/((F1200/100)*(F1200/100))</f>
        <v>19.227687870533565</v>
      </c>
      <c r="I1200" s="5">
        <v>72</v>
      </c>
      <c r="J1200" s="30">
        <v>120</v>
      </c>
      <c r="K1200" s="30">
        <v>80</v>
      </c>
      <c r="L1200" s="29">
        <f>IF(B1200="Nữ",0,2)</f>
        <v>0</v>
      </c>
      <c r="M1200" s="29">
        <f ca="1">IF(D1200&lt;45,0,IF(D1200&lt;=49,1,2))</f>
        <v>2</v>
      </c>
      <c r="N1200" s="29">
        <f>IF(E1200="Có",4,0)</f>
        <v>0</v>
      </c>
      <c r="O1200" s="29">
        <f>IF(H1200&lt;23,0,IF(H1200&lt;27.5,3,5))</f>
        <v>0</v>
      </c>
      <c r="P1200" s="29">
        <f>IF(OR(AND(B1200="Nam",I1200&gt;=90),AND(B1200="Nữ",I1200&gt;=80)),2,0)</f>
        <v>0</v>
      </c>
      <c r="Q1200" s="29">
        <f>IF(OR(J1200&gt;=140,K1200&gt;=90),2,0)</f>
        <v>0</v>
      </c>
      <c r="R1200" s="29">
        <f ca="1">SUM(L1200:Q1200)</f>
        <v>2</v>
      </c>
      <c r="S1200" s="33"/>
      <c r="T1200" s="33"/>
      <c r="U1200" s="33"/>
      <c r="V1200" s="33"/>
      <c r="W1200" s="33"/>
      <c r="X1200" s="33"/>
      <c r="Y1200" s="33"/>
      <c r="Z1200" s="33"/>
      <c r="AA1200" s="33"/>
      <c r="AB1200" s="33"/>
      <c r="AC1200" s="33"/>
      <c r="AD1200" s="5" t="s">
        <v>1393</v>
      </c>
      <c r="AE1200" s="33"/>
      <c r="AF1200" s="59" t="str">
        <f t="shared" si="55"/>
        <v>Không</v>
      </c>
      <c r="AG1200" s="59" t="str">
        <f t="shared" si="56"/>
        <v>Không</v>
      </c>
      <c r="AH1200" s="29" t="str">
        <f t="shared" ca="1" si="54"/>
        <v>Không</v>
      </c>
      <c r="AI1200" s="29" t="str">
        <f ca="1">IF((R1200)&gt;=6,"Có","Không")</f>
        <v>Không</v>
      </c>
      <c r="AJ1200" s="29" t="str">
        <f>IF(OR(J1200&gt;=140,K1200&gt;=90),"Có","Không")</f>
        <v>Không</v>
      </c>
      <c r="AK1200" s="5" t="s">
        <v>51</v>
      </c>
      <c r="AL1200" s="35">
        <v>46173</v>
      </c>
      <c r="AM1200" s="29" t="str">
        <f>"Tháng "&amp;MONTH(AL1200)</f>
        <v>Tháng 5</v>
      </c>
      <c r="AN1200" s="69" t="s">
        <v>1376</v>
      </c>
    </row>
    <row r="1201" spans="1:40" x14ac:dyDescent="0.25">
      <c r="A1201" s="52" t="s">
        <v>1334</v>
      </c>
      <c r="B1201" s="20" t="s">
        <v>23</v>
      </c>
      <c r="C1201" s="35">
        <v>27760</v>
      </c>
      <c r="D1201" s="29">
        <f ca="1">DATEDIF(C1201,TODAY(),"Y")</f>
        <v>50</v>
      </c>
      <c r="E1201" s="5" t="s">
        <v>25</v>
      </c>
      <c r="F1201" s="30">
        <v>158</v>
      </c>
      <c r="G1201" s="30">
        <v>58</v>
      </c>
      <c r="H1201" s="31">
        <f>G1201/((F1201/100)*(F1201/100))</f>
        <v>23.233456176894723</v>
      </c>
      <c r="I1201" s="5">
        <v>86</v>
      </c>
      <c r="J1201" s="30">
        <v>130</v>
      </c>
      <c r="K1201" s="30">
        <v>80</v>
      </c>
      <c r="L1201" s="29">
        <f>IF(B1201="Nữ",0,2)</f>
        <v>0</v>
      </c>
      <c r="M1201" s="29">
        <f ca="1">IF(D1201&lt;45,0,IF(D1201&lt;=49,1,2))</f>
        <v>2</v>
      </c>
      <c r="N1201" s="29">
        <f>IF(E1201="Có",4,0)</f>
        <v>4</v>
      </c>
      <c r="O1201" s="29">
        <f>IF(H1201&lt;23,0,IF(H1201&lt;27.5,3,5))</f>
        <v>3</v>
      </c>
      <c r="P1201" s="29">
        <f>IF(OR(AND(B1201="Nam",I1201&gt;=90),AND(B1201="Nữ",I1201&gt;=80)),2,0)</f>
        <v>2</v>
      </c>
      <c r="Q1201" s="29">
        <f>IF(OR(J1201&gt;=140,K1201&gt;=90),2,0)</f>
        <v>0</v>
      </c>
      <c r="R1201" s="29">
        <f ca="1">SUM(L1201:Q1201)</f>
        <v>11</v>
      </c>
      <c r="S1201" s="33"/>
      <c r="T1201" s="33"/>
      <c r="U1201" s="33"/>
      <c r="V1201" s="33"/>
      <c r="W1201" s="33"/>
      <c r="X1201" s="33"/>
      <c r="Y1201" s="33"/>
      <c r="Z1201" s="33"/>
      <c r="AA1201" s="33"/>
      <c r="AB1201" s="33"/>
      <c r="AC1201" s="33"/>
      <c r="AD1201" s="5" t="s">
        <v>1393</v>
      </c>
      <c r="AE1201" s="33"/>
      <c r="AF1201" s="59" t="str">
        <f t="shared" si="55"/>
        <v>Không</v>
      </c>
      <c r="AG1201" s="59" t="str">
        <f t="shared" si="56"/>
        <v>Không</v>
      </c>
      <c r="AH1201" s="29" t="str">
        <f t="shared" ca="1" si="54"/>
        <v>Có</v>
      </c>
      <c r="AI1201" s="29" t="str">
        <f ca="1">IF((R1201)&gt;=6,"Có","Không")</f>
        <v>Có</v>
      </c>
      <c r="AJ1201" s="29" t="str">
        <f>IF(OR(J1201&gt;=140,K1201&gt;=90),"Có","Không")</f>
        <v>Không</v>
      </c>
      <c r="AK1201" s="5" t="s">
        <v>51</v>
      </c>
      <c r="AL1201" s="35">
        <v>46173</v>
      </c>
      <c r="AM1201" s="29" t="str">
        <f>"Tháng "&amp;MONTH(AL1201)</f>
        <v>Tháng 5</v>
      </c>
      <c r="AN1201" s="69" t="s">
        <v>1376</v>
      </c>
    </row>
    <row r="1202" spans="1:40" x14ac:dyDescent="0.25">
      <c r="A1202" s="52" t="s">
        <v>1335</v>
      </c>
      <c r="B1202" s="20" t="s">
        <v>23</v>
      </c>
      <c r="C1202" s="35">
        <v>26299</v>
      </c>
      <c r="D1202" s="29">
        <f ca="1">DATEDIF(C1202,TODAY(),"Y")</f>
        <v>54</v>
      </c>
      <c r="E1202" s="5" t="s">
        <v>26</v>
      </c>
      <c r="F1202" s="30">
        <v>158</v>
      </c>
      <c r="G1202" s="30">
        <v>58</v>
      </c>
      <c r="H1202" s="31">
        <f>G1202/((F1202/100)*(F1202/100))</f>
        <v>23.233456176894723</v>
      </c>
      <c r="I1202" s="5">
        <v>99</v>
      </c>
      <c r="J1202" s="30">
        <v>130</v>
      </c>
      <c r="K1202" s="30">
        <v>80</v>
      </c>
      <c r="L1202" s="29">
        <f>IF(B1202="Nữ",0,2)</f>
        <v>0</v>
      </c>
      <c r="M1202" s="29">
        <f ca="1">IF(D1202&lt;45,0,IF(D1202&lt;=49,1,2))</f>
        <v>2</v>
      </c>
      <c r="N1202" s="29">
        <f>IF(E1202="Có",4,0)</f>
        <v>0</v>
      </c>
      <c r="O1202" s="29">
        <f>IF(H1202&lt;23,0,IF(H1202&lt;27.5,3,5))</f>
        <v>3</v>
      </c>
      <c r="P1202" s="29">
        <f>IF(OR(AND(B1202="Nam",I1202&gt;=90),AND(B1202="Nữ",I1202&gt;=80)),2,0)</f>
        <v>2</v>
      </c>
      <c r="Q1202" s="29">
        <f>IF(OR(J1202&gt;=140,K1202&gt;=90),2,0)</f>
        <v>0</v>
      </c>
      <c r="R1202" s="29">
        <f ca="1">SUM(L1202:Q1202)</f>
        <v>7</v>
      </c>
      <c r="S1202" s="33"/>
      <c r="T1202" s="33"/>
      <c r="U1202" s="33"/>
      <c r="V1202" s="33"/>
      <c r="W1202" s="33"/>
      <c r="X1202" s="33"/>
      <c r="Y1202" s="33"/>
      <c r="Z1202" s="33"/>
      <c r="AA1202" s="33"/>
      <c r="AB1202" s="33"/>
      <c r="AC1202" s="33"/>
      <c r="AD1202" s="5" t="s">
        <v>1393</v>
      </c>
      <c r="AE1202" s="33"/>
      <c r="AF1202" s="59" t="str">
        <f t="shared" si="55"/>
        <v>Không</v>
      </c>
      <c r="AG1202" s="59" t="str">
        <f t="shared" si="56"/>
        <v>Không</v>
      </c>
      <c r="AH1202" s="29" t="str">
        <f t="shared" ca="1" si="54"/>
        <v>Có</v>
      </c>
      <c r="AI1202" s="29" t="str">
        <f ca="1">IF((R1202)&gt;=6,"Có","Không")</f>
        <v>Có</v>
      </c>
      <c r="AJ1202" s="29" t="str">
        <f>IF(OR(J1202&gt;=140,K1202&gt;=90),"Có","Không")</f>
        <v>Không</v>
      </c>
      <c r="AK1202" s="5" t="s">
        <v>51</v>
      </c>
      <c r="AL1202" s="35">
        <v>46173</v>
      </c>
      <c r="AM1202" s="29" t="str">
        <f>"Tháng "&amp;MONTH(AL1202)</f>
        <v>Tháng 5</v>
      </c>
      <c r="AN1202" s="69" t="s">
        <v>1376</v>
      </c>
    </row>
    <row r="1203" spans="1:40" x14ac:dyDescent="0.25">
      <c r="A1203" s="52" t="s">
        <v>1336</v>
      </c>
      <c r="B1203" s="20" t="s">
        <v>23</v>
      </c>
      <c r="C1203" s="35">
        <v>26299</v>
      </c>
      <c r="D1203" s="29">
        <f ca="1">DATEDIF(C1203,TODAY(),"Y")</f>
        <v>54</v>
      </c>
      <c r="E1203" s="5" t="s">
        <v>25</v>
      </c>
      <c r="F1203" s="30">
        <v>155</v>
      </c>
      <c r="G1203" s="30">
        <v>57</v>
      </c>
      <c r="H1203" s="31">
        <f>G1203/((F1203/100)*(F1203/100))</f>
        <v>23.725286160249738</v>
      </c>
      <c r="I1203" s="5">
        <v>99</v>
      </c>
      <c r="J1203" s="30">
        <v>120</v>
      </c>
      <c r="K1203" s="30">
        <v>80</v>
      </c>
      <c r="L1203" s="29">
        <f>IF(B1203="Nữ",0,2)</f>
        <v>0</v>
      </c>
      <c r="M1203" s="29">
        <f ca="1">IF(D1203&lt;45,0,IF(D1203&lt;=49,1,2))</f>
        <v>2</v>
      </c>
      <c r="N1203" s="29">
        <f>IF(E1203="Có",4,0)</f>
        <v>4</v>
      </c>
      <c r="O1203" s="29">
        <f>IF(H1203&lt;23,0,IF(H1203&lt;27.5,3,5))</f>
        <v>3</v>
      </c>
      <c r="P1203" s="29">
        <f>IF(OR(AND(B1203="Nam",I1203&gt;=90),AND(B1203="Nữ",I1203&gt;=80)),2,0)</f>
        <v>2</v>
      </c>
      <c r="Q1203" s="29">
        <f>IF(OR(J1203&gt;=140,K1203&gt;=90),2,0)</f>
        <v>0</v>
      </c>
      <c r="R1203" s="29">
        <f ca="1">SUM(L1203:Q1203)</f>
        <v>11</v>
      </c>
      <c r="S1203" s="33"/>
      <c r="T1203" s="33"/>
      <c r="U1203" s="33"/>
      <c r="V1203" s="33"/>
      <c r="W1203" s="33"/>
      <c r="X1203" s="33"/>
      <c r="Y1203" s="33"/>
      <c r="Z1203" s="33"/>
      <c r="AA1203" s="33"/>
      <c r="AB1203" s="33"/>
      <c r="AC1203" s="33"/>
      <c r="AD1203" s="5" t="s">
        <v>1393</v>
      </c>
      <c r="AE1203" s="33"/>
      <c r="AF1203" s="59" t="str">
        <f t="shared" si="55"/>
        <v>Không</v>
      </c>
      <c r="AG1203" s="59" t="str">
        <f t="shared" si="56"/>
        <v>Không</v>
      </c>
      <c r="AH1203" s="29" t="str">
        <f t="shared" ca="1" si="54"/>
        <v>Có</v>
      </c>
      <c r="AI1203" s="29" t="str">
        <f ca="1">IF((R1203)&gt;=6,"Có","Không")</f>
        <v>Có</v>
      </c>
      <c r="AJ1203" s="29" t="str">
        <f>IF(OR(J1203&gt;=140,K1203&gt;=90),"Có","Không")</f>
        <v>Không</v>
      </c>
      <c r="AK1203" s="5" t="s">
        <v>51</v>
      </c>
      <c r="AL1203" s="35">
        <v>46173</v>
      </c>
      <c r="AM1203" s="29" t="str">
        <f>"Tháng "&amp;MONTH(AL1203)</f>
        <v>Tháng 5</v>
      </c>
      <c r="AN1203" s="69" t="s">
        <v>1376</v>
      </c>
    </row>
    <row r="1204" spans="1:40" x14ac:dyDescent="0.25">
      <c r="A1204" s="52" t="s">
        <v>1338</v>
      </c>
      <c r="B1204" s="20" t="s">
        <v>23</v>
      </c>
      <c r="C1204" s="35">
        <v>20455</v>
      </c>
      <c r="D1204" s="29">
        <f ca="1">DATEDIF(C1204,TODAY(),"Y")</f>
        <v>70</v>
      </c>
      <c r="E1204" s="5" t="s">
        <v>26</v>
      </c>
      <c r="F1204" s="30">
        <v>165</v>
      </c>
      <c r="G1204" s="30">
        <v>55</v>
      </c>
      <c r="H1204" s="31">
        <f>G1204/((F1204/100)*(F1204/100))</f>
        <v>20.202020202020204</v>
      </c>
      <c r="I1204" s="5">
        <v>66</v>
      </c>
      <c r="J1204" s="30">
        <v>120</v>
      </c>
      <c r="K1204" s="30">
        <v>80</v>
      </c>
      <c r="L1204" s="29">
        <f>IF(B1204="Nữ",0,2)</f>
        <v>0</v>
      </c>
      <c r="M1204" s="29">
        <f ca="1">IF(D1204&lt;45,0,IF(D1204&lt;=49,1,2))</f>
        <v>2</v>
      </c>
      <c r="N1204" s="29">
        <f>IF(E1204="Có",4,0)</f>
        <v>0</v>
      </c>
      <c r="O1204" s="29">
        <f>IF(H1204&lt;23,0,IF(H1204&lt;27.5,3,5))</f>
        <v>0</v>
      </c>
      <c r="P1204" s="29">
        <f>IF(OR(AND(B1204="Nam",I1204&gt;=90),AND(B1204="Nữ",I1204&gt;=80)),2,0)</f>
        <v>0</v>
      </c>
      <c r="Q1204" s="29">
        <f>IF(OR(J1204&gt;=140,K1204&gt;=90),2,0)</f>
        <v>0</v>
      </c>
      <c r="R1204" s="29">
        <f ca="1">SUM(L1204:Q1204)</f>
        <v>2</v>
      </c>
      <c r="S1204" s="33"/>
      <c r="T1204" s="33"/>
      <c r="U1204" s="33"/>
      <c r="V1204" s="33"/>
      <c r="W1204" s="33"/>
      <c r="X1204" s="33"/>
      <c r="Y1204" s="33"/>
      <c r="Z1204" s="33"/>
      <c r="AA1204" s="33"/>
      <c r="AB1204" s="33"/>
      <c r="AC1204" s="33"/>
      <c r="AD1204" s="5" t="s">
        <v>1393</v>
      </c>
      <c r="AE1204" s="33"/>
      <c r="AF1204" s="59" t="str">
        <f t="shared" si="55"/>
        <v>Không</v>
      </c>
      <c r="AG1204" s="59" t="str">
        <f t="shared" si="56"/>
        <v>Không</v>
      </c>
      <c r="AH1204" s="29" t="str">
        <f t="shared" ca="1" si="54"/>
        <v>Không</v>
      </c>
      <c r="AI1204" s="29" t="str">
        <f ca="1">IF((R1204)&gt;=6,"Có","Không")</f>
        <v>Không</v>
      </c>
      <c r="AJ1204" s="29" t="str">
        <f>IF(OR(J1204&gt;=140,K1204&gt;=90),"Có","Không")</f>
        <v>Không</v>
      </c>
      <c r="AK1204" s="5" t="s">
        <v>51</v>
      </c>
      <c r="AL1204" s="35">
        <v>46173</v>
      </c>
      <c r="AM1204" s="29" t="str">
        <f>"Tháng "&amp;MONTH(AL1204)</f>
        <v>Tháng 5</v>
      </c>
      <c r="AN1204" s="69" t="s">
        <v>1376</v>
      </c>
    </row>
    <row r="1205" spans="1:40" x14ac:dyDescent="0.25">
      <c r="A1205" s="52" t="s">
        <v>81</v>
      </c>
      <c r="B1205" s="20" t="s">
        <v>30</v>
      </c>
      <c r="C1205" s="35">
        <v>20090</v>
      </c>
      <c r="D1205" s="29">
        <f ca="1">DATEDIF(C1205,TODAY(),"Y")</f>
        <v>71</v>
      </c>
      <c r="E1205" s="5" t="s">
        <v>26</v>
      </c>
      <c r="F1205" s="30">
        <v>155</v>
      </c>
      <c r="G1205" s="30">
        <v>56</v>
      </c>
      <c r="H1205" s="31">
        <f>G1205/((F1205/100)*(F1205/100))</f>
        <v>23.309053069719038</v>
      </c>
      <c r="I1205" s="5">
        <v>89</v>
      </c>
      <c r="J1205" s="30">
        <v>130</v>
      </c>
      <c r="K1205" s="30">
        <v>80</v>
      </c>
      <c r="L1205" s="29">
        <f>IF(B1205="Nữ",0,2)</f>
        <v>2</v>
      </c>
      <c r="M1205" s="29">
        <f ca="1">IF(D1205&lt;45,0,IF(D1205&lt;=49,1,2))</f>
        <v>2</v>
      </c>
      <c r="N1205" s="29">
        <f>IF(E1205="Có",4,0)</f>
        <v>0</v>
      </c>
      <c r="O1205" s="29">
        <f>IF(H1205&lt;23,0,IF(H1205&lt;27.5,3,5))</f>
        <v>3</v>
      </c>
      <c r="P1205" s="29">
        <f>IF(OR(AND(B1205="Nam",I1205&gt;=90),AND(B1205="Nữ",I1205&gt;=80)),2,0)</f>
        <v>0</v>
      </c>
      <c r="Q1205" s="29">
        <f>IF(OR(J1205&gt;=140,K1205&gt;=90),2,0)</f>
        <v>0</v>
      </c>
      <c r="R1205" s="29">
        <f ca="1">SUM(L1205:Q1205)</f>
        <v>7</v>
      </c>
      <c r="S1205" s="33"/>
      <c r="T1205" s="33"/>
      <c r="U1205" s="33"/>
      <c r="V1205" s="33"/>
      <c r="W1205" s="33"/>
      <c r="X1205" s="33"/>
      <c r="Y1205" s="33"/>
      <c r="Z1205" s="33"/>
      <c r="AA1205" s="33"/>
      <c r="AB1205" s="33"/>
      <c r="AC1205" s="33"/>
      <c r="AD1205" s="5" t="s">
        <v>1393</v>
      </c>
      <c r="AE1205" s="33"/>
      <c r="AF1205" s="59" t="str">
        <f t="shared" si="55"/>
        <v>Không</v>
      </c>
      <c r="AG1205" s="59" t="str">
        <f t="shared" si="56"/>
        <v>Không</v>
      </c>
      <c r="AH1205" s="29" t="str">
        <f t="shared" ca="1" si="54"/>
        <v>Có</v>
      </c>
      <c r="AI1205" s="29" t="str">
        <f ca="1">IF((R1205)&gt;=6,"Có","Không")</f>
        <v>Có</v>
      </c>
      <c r="AJ1205" s="29" t="str">
        <f>IF(OR(J1205&gt;=140,K1205&gt;=90),"Có","Không")</f>
        <v>Không</v>
      </c>
      <c r="AK1205" s="5" t="s">
        <v>51</v>
      </c>
      <c r="AL1205" s="35">
        <v>46173</v>
      </c>
      <c r="AM1205" s="29" t="str">
        <f>"Tháng "&amp;MONTH(AL1205)</f>
        <v>Tháng 5</v>
      </c>
      <c r="AN1205" s="69" t="s">
        <v>1376</v>
      </c>
    </row>
    <row r="1206" spans="1:40" x14ac:dyDescent="0.25">
      <c r="A1206" s="52" t="s">
        <v>1339</v>
      </c>
      <c r="B1206" s="20" t="s">
        <v>23</v>
      </c>
      <c r="C1206" s="35">
        <v>22647</v>
      </c>
      <c r="D1206" s="29">
        <f ca="1">DATEDIF(C1206,TODAY(),"Y")</f>
        <v>64</v>
      </c>
      <c r="E1206" s="5" t="s">
        <v>26</v>
      </c>
      <c r="F1206" s="30">
        <v>169</v>
      </c>
      <c r="G1206" s="30">
        <v>68</v>
      </c>
      <c r="H1206" s="31">
        <f>G1206/((F1206/100)*(F1206/100))</f>
        <v>23.808690171912751</v>
      </c>
      <c r="I1206" s="5">
        <v>93</v>
      </c>
      <c r="J1206" s="30">
        <v>150</v>
      </c>
      <c r="K1206" s="30">
        <v>80</v>
      </c>
      <c r="L1206" s="29">
        <f>IF(B1206="Nữ",0,2)</f>
        <v>0</v>
      </c>
      <c r="M1206" s="29">
        <f ca="1">IF(D1206&lt;45,0,IF(D1206&lt;=49,1,2))</f>
        <v>2</v>
      </c>
      <c r="N1206" s="29">
        <f>IF(E1206="Có",4,0)</f>
        <v>0</v>
      </c>
      <c r="O1206" s="29">
        <f>IF(H1206&lt;23,0,IF(H1206&lt;27.5,3,5))</f>
        <v>3</v>
      </c>
      <c r="P1206" s="29">
        <f>IF(OR(AND(B1206="Nam",I1206&gt;=90),AND(B1206="Nữ",I1206&gt;=80)),2,0)</f>
        <v>2</v>
      </c>
      <c r="Q1206" s="29">
        <f>IF(OR(J1206&gt;=140,K1206&gt;=90),2,0)</f>
        <v>2</v>
      </c>
      <c r="R1206" s="29">
        <f ca="1">SUM(L1206:Q1206)</f>
        <v>9</v>
      </c>
      <c r="S1206" s="33"/>
      <c r="T1206" s="33"/>
      <c r="U1206" s="33"/>
      <c r="V1206" s="33"/>
      <c r="W1206" s="33"/>
      <c r="X1206" s="33"/>
      <c r="Y1206" s="33"/>
      <c r="Z1206" s="33"/>
      <c r="AA1206" s="33"/>
      <c r="AB1206" s="33"/>
      <c r="AC1206" s="33"/>
      <c r="AD1206" s="5" t="s">
        <v>1393</v>
      </c>
      <c r="AE1206" s="33"/>
      <c r="AF1206" s="59" t="str">
        <f t="shared" si="55"/>
        <v>Không</v>
      </c>
      <c r="AG1206" s="59" t="str">
        <f t="shared" si="56"/>
        <v>Không</v>
      </c>
      <c r="AH1206" s="29" t="str">
        <f t="shared" ca="1" si="54"/>
        <v>Có</v>
      </c>
      <c r="AI1206" s="29" t="str">
        <f ca="1">IF((R1206)&gt;=6,"Có","Không")</f>
        <v>Có</v>
      </c>
      <c r="AJ1206" s="29" t="str">
        <f>IF(OR(J1206&gt;=140,K1206&gt;=90),"Có","Không")</f>
        <v>Có</v>
      </c>
      <c r="AK1206" s="5" t="s">
        <v>51</v>
      </c>
      <c r="AL1206" s="35">
        <v>46173</v>
      </c>
      <c r="AM1206" s="29" t="str">
        <f>"Tháng "&amp;MONTH(AL1206)</f>
        <v>Tháng 5</v>
      </c>
      <c r="AN1206" s="69" t="s">
        <v>1376</v>
      </c>
    </row>
    <row r="1207" spans="1:40" x14ac:dyDescent="0.25">
      <c r="A1207" s="52" t="s">
        <v>1341</v>
      </c>
      <c r="B1207" s="20" t="s">
        <v>30</v>
      </c>
      <c r="C1207" s="35">
        <v>25204</v>
      </c>
      <c r="D1207" s="29">
        <f ca="1">DATEDIF(C1207,TODAY(),"Y")</f>
        <v>57</v>
      </c>
      <c r="E1207" s="5" t="s">
        <v>25</v>
      </c>
      <c r="F1207" s="30">
        <v>160</v>
      </c>
      <c r="G1207" s="30">
        <v>100</v>
      </c>
      <c r="H1207" s="31">
        <f>G1207/((F1207/100)*(F1207/100))</f>
        <v>39.062499999999993</v>
      </c>
      <c r="I1207" s="5">
        <v>87</v>
      </c>
      <c r="J1207" s="30">
        <v>140</v>
      </c>
      <c r="K1207" s="30">
        <v>80</v>
      </c>
      <c r="L1207" s="29">
        <f>IF(B1207="Nữ",0,2)</f>
        <v>2</v>
      </c>
      <c r="M1207" s="29">
        <f ca="1">IF(D1207&lt;45,0,IF(D1207&lt;=49,1,2))</f>
        <v>2</v>
      </c>
      <c r="N1207" s="29">
        <f>IF(E1207="Có",4,0)</f>
        <v>4</v>
      </c>
      <c r="O1207" s="29">
        <f>IF(H1207&lt;23,0,IF(H1207&lt;27.5,3,5))</f>
        <v>5</v>
      </c>
      <c r="P1207" s="29">
        <f>IF(OR(AND(B1207="Nam",I1207&gt;=90),AND(B1207="Nữ",I1207&gt;=80)),2,0)</f>
        <v>0</v>
      </c>
      <c r="Q1207" s="29">
        <f>IF(OR(J1207&gt;=140,K1207&gt;=90),2,0)</f>
        <v>2</v>
      </c>
      <c r="R1207" s="29">
        <f ca="1">SUM(L1207:Q1207)</f>
        <v>15</v>
      </c>
      <c r="S1207" s="33"/>
      <c r="T1207" s="33"/>
      <c r="U1207" s="33"/>
      <c r="V1207" s="33"/>
      <c r="W1207" s="33"/>
      <c r="X1207" s="33"/>
      <c r="Y1207" s="33"/>
      <c r="Z1207" s="33"/>
      <c r="AA1207" s="33"/>
      <c r="AB1207" s="33"/>
      <c r="AC1207" s="33"/>
      <c r="AD1207" s="5" t="s">
        <v>1393</v>
      </c>
      <c r="AE1207" s="33"/>
      <c r="AF1207" s="59" t="str">
        <f t="shared" si="55"/>
        <v>Không</v>
      </c>
      <c r="AG1207" s="59" t="str">
        <f t="shared" si="56"/>
        <v>Không</v>
      </c>
      <c r="AH1207" s="29" t="str">
        <f t="shared" ca="1" si="54"/>
        <v>Có</v>
      </c>
      <c r="AI1207" s="29" t="str">
        <f ca="1">IF((R1207)&gt;=6,"Có","Không")</f>
        <v>Có</v>
      </c>
      <c r="AJ1207" s="29" t="str">
        <f>IF(OR(J1207&gt;=140,K1207&gt;=90),"Có","Không")</f>
        <v>Có</v>
      </c>
      <c r="AK1207" s="5" t="s">
        <v>51</v>
      </c>
      <c r="AL1207" s="35">
        <v>46173</v>
      </c>
      <c r="AM1207" s="29" t="str">
        <f>"Tháng "&amp;MONTH(AL1207)</f>
        <v>Tháng 5</v>
      </c>
      <c r="AN1207" s="69" t="s">
        <v>1376</v>
      </c>
    </row>
    <row r="1208" spans="1:40" x14ac:dyDescent="0.25">
      <c r="A1208" s="52" t="s">
        <v>1342</v>
      </c>
      <c r="B1208" s="20" t="s">
        <v>23</v>
      </c>
      <c r="C1208" s="35">
        <v>24838</v>
      </c>
      <c r="D1208" s="29">
        <f ca="1">DATEDIF(C1208,TODAY(),"Y")</f>
        <v>58</v>
      </c>
      <c r="E1208" s="5" t="s">
        <v>25</v>
      </c>
      <c r="F1208" s="30">
        <v>160</v>
      </c>
      <c r="G1208" s="30">
        <v>70</v>
      </c>
      <c r="H1208" s="31">
        <f>G1208/((F1208/100)*(F1208/100))</f>
        <v>27.343749999999996</v>
      </c>
      <c r="I1208" s="5">
        <v>92</v>
      </c>
      <c r="J1208" s="30">
        <v>120</v>
      </c>
      <c r="K1208" s="30">
        <v>80</v>
      </c>
      <c r="L1208" s="29">
        <f>IF(B1208="Nữ",0,2)</f>
        <v>0</v>
      </c>
      <c r="M1208" s="29">
        <f ca="1">IF(D1208&lt;45,0,IF(D1208&lt;=49,1,2))</f>
        <v>2</v>
      </c>
      <c r="N1208" s="29">
        <f>IF(E1208="Có",4,0)</f>
        <v>4</v>
      </c>
      <c r="O1208" s="29">
        <f>IF(H1208&lt;23,0,IF(H1208&lt;27.5,3,5))</f>
        <v>3</v>
      </c>
      <c r="P1208" s="29">
        <f>IF(OR(AND(B1208="Nam",I1208&gt;=90),AND(B1208="Nữ",I1208&gt;=80)),2,0)</f>
        <v>2</v>
      </c>
      <c r="Q1208" s="29">
        <f>IF(OR(J1208&gt;=140,K1208&gt;=90),2,0)</f>
        <v>0</v>
      </c>
      <c r="R1208" s="29">
        <f ca="1">SUM(L1208:Q1208)</f>
        <v>11</v>
      </c>
      <c r="S1208" s="33"/>
      <c r="T1208" s="33"/>
      <c r="U1208" s="33"/>
      <c r="V1208" s="33"/>
      <c r="W1208" s="33"/>
      <c r="X1208" s="33"/>
      <c r="Y1208" s="33"/>
      <c r="Z1208" s="33"/>
      <c r="AA1208" s="33"/>
      <c r="AB1208" s="33"/>
      <c r="AC1208" s="33"/>
      <c r="AD1208" s="5" t="s">
        <v>1393</v>
      </c>
      <c r="AE1208" s="33"/>
      <c r="AF1208" s="59" t="str">
        <f t="shared" si="55"/>
        <v>Không</v>
      </c>
      <c r="AG1208" s="59" t="str">
        <f t="shared" si="56"/>
        <v>Không</v>
      </c>
      <c r="AH1208" s="29" t="str">
        <f t="shared" ca="1" si="54"/>
        <v>Có</v>
      </c>
      <c r="AI1208" s="29" t="str">
        <f ca="1">IF((R1208)&gt;=6,"Có","Không")</f>
        <v>Có</v>
      </c>
      <c r="AJ1208" s="29" t="str">
        <f>IF(OR(J1208&gt;=140,K1208&gt;=90),"Có","Không")</f>
        <v>Không</v>
      </c>
      <c r="AK1208" s="5" t="s">
        <v>51</v>
      </c>
      <c r="AL1208" s="35">
        <v>46173</v>
      </c>
      <c r="AM1208" s="29" t="str">
        <f>"Tháng "&amp;MONTH(AL1208)</f>
        <v>Tháng 5</v>
      </c>
      <c r="AN1208" s="69" t="s">
        <v>1376</v>
      </c>
    </row>
    <row r="1209" spans="1:40" x14ac:dyDescent="0.25">
      <c r="A1209" s="52" t="s">
        <v>1343</v>
      </c>
      <c r="B1209" s="20" t="s">
        <v>23</v>
      </c>
      <c r="C1209" s="35">
        <v>22647</v>
      </c>
      <c r="D1209" s="29">
        <f ca="1">DATEDIF(C1209,TODAY(),"Y")</f>
        <v>64</v>
      </c>
      <c r="E1209" s="5" t="s">
        <v>26</v>
      </c>
      <c r="F1209" s="30">
        <v>158</v>
      </c>
      <c r="G1209" s="30">
        <v>58</v>
      </c>
      <c r="H1209" s="31">
        <f>G1209/((F1209/100)*(F1209/100))</f>
        <v>23.233456176894723</v>
      </c>
      <c r="I1209" s="5">
        <v>89</v>
      </c>
      <c r="J1209" s="30">
        <v>120</v>
      </c>
      <c r="K1209" s="30">
        <v>80</v>
      </c>
      <c r="L1209" s="29">
        <f>IF(B1209="Nữ",0,2)</f>
        <v>0</v>
      </c>
      <c r="M1209" s="29">
        <f ca="1">IF(D1209&lt;45,0,IF(D1209&lt;=49,1,2))</f>
        <v>2</v>
      </c>
      <c r="N1209" s="29">
        <f>IF(E1209="Có",4,0)</f>
        <v>0</v>
      </c>
      <c r="O1209" s="29">
        <f>IF(H1209&lt;23,0,IF(H1209&lt;27.5,3,5))</f>
        <v>3</v>
      </c>
      <c r="P1209" s="29">
        <f>IF(OR(AND(B1209="Nam",I1209&gt;=90),AND(B1209="Nữ",I1209&gt;=80)),2,0)</f>
        <v>2</v>
      </c>
      <c r="Q1209" s="29">
        <f>IF(OR(J1209&gt;=140,K1209&gt;=90),2,0)</f>
        <v>0</v>
      </c>
      <c r="R1209" s="29">
        <f ca="1">SUM(L1209:Q1209)</f>
        <v>7</v>
      </c>
      <c r="S1209" s="33"/>
      <c r="T1209" s="33"/>
      <c r="U1209" s="33"/>
      <c r="V1209" s="33"/>
      <c r="W1209" s="33"/>
      <c r="X1209" s="33"/>
      <c r="Y1209" s="33"/>
      <c r="Z1209" s="33"/>
      <c r="AA1209" s="33"/>
      <c r="AB1209" s="33"/>
      <c r="AC1209" s="33"/>
      <c r="AD1209" s="5" t="s">
        <v>1393</v>
      </c>
      <c r="AE1209" s="33"/>
      <c r="AF1209" s="59" t="str">
        <f t="shared" si="55"/>
        <v>Không</v>
      </c>
      <c r="AG1209" s="59" t="str">
        <f t="shared" si="56"/>
        <v>Không</v>
      </c>
      <c r="AH1209" s="29" t="str">
        <f t="shared" ca="1" si="54"/>
        <v>Có</v>
      </c>
      <c r="AI1209" s="29" t="str">
        <f ca="1">IF((R1209)&gt;=6,"Có","Không")</f>
        <v>Có</v>
      </c>
      <c r="AJ1209" s="29" t="str">
        <f>IF(OR(J1209&gt;=140,K1209&gt;=90),"Có","Không")</f>
        <v>Không</v>
      </c>
      <c r="AK1209" s="5" t="s">
        <v>51</v>
      </c>
      <c r="AL1209" s="35">
        <v>46173</v>
      </c>
      <c r="AM1209" s="29" t="str">
        <f>"Tháng "&amp;MONTH(AL1209)</f>
        <v>Tháng 5</v>
      </c>
      <c r="AN1209" s="69" t="s">
        <v>1376</v>
      </c>
    </row>
    <row r="1210" spans="1:40" x14ac:dyDescent="0.25">
      <c r="A1210" s="52" t="s">
        <v>22</v>
      </c>
      <c r="B1210" s="20" t="s">
        <v>23</v>
      </c>
      <c r="C1210" s="35">
        <v>16438</v>
      </c>
      <c r="D1210" s="29">
        <f ca="1">DATEDIF(C1210,TODAY(),"Y")</f>
        <v>81</v>
      </c>
      <c r="E1210" s="5" t="s">
        <v>26</v>
      </c>
      <c r="F1210" s="30">
        <v>160</v>
      </c>
      <c r="G1210" s="30">
        <v>62</v>
      </c>
      <c r="H1210" s="31">
        <f>G1210/((F1210/100)*(F1210/100))</f>
        <v>24.218749999999996</v>
      </c>
      <c r="I1210" s="5">
        <v>81</v>
      </c>
      <c r="J1210" s="30">
        <v>120</v>
      </c>
      <c r="K1210" s="30">
        <v>80</v>
      </c>
      <c r="L1210" s="29">
        <f>IF(B1210="Nữ",0,2)</f>
        <v>0</v>
      </c>
      <c r="M1210" s="29">
        <f ca="1">IF(D1210&lt;45,0,IF(D1210&lt;=49,1,2))</f>
        <v>2</v>
      </c>
      <c r="N1210" s="29">
        <f>IF(E1210="Có",4,0)</f>
        <v>0</v>
      </c>
      <c r="O1210" s="29">
        <f>IF(H1210&lt;23,0,IF(H1210&lt;27.5,3,5))</f>
        <v>3</v>
      </c>
      <c r="P1210" s="29">
        <f>IF(OR(AND(B1210="Nam",I1210&gt;=90),AND(B1210="Nữ",I1210&gt;=80)),2,0)</f>
        <v>2</v>
      </c>
      <c r="Q1210" s="29">
        <f>IF(OR(J1210&gt;=140,K1210&gt;=90),2,0)</f>
        <v>0</v>
      </c>
      <c r="R1210" s="29">
        <f ca="1">SUM(L1210:Q1210)</f>
        <v>7</v>
      </c>
      <c r="S1210" s="33"/>
      <c r="T1210" s="33"/>
      <c r="U1210" s="33"/>
      <c r="V1210" s="33"/>
      <c r="W1210" s="33"/>
      <c r="X1210" s="33"/>
      <c r="Y1210" s="33"/>
      <c r="Z1210" s="33"/>
      <c r="AA1210" s="33"/>
      <c r="AB1210" s="33"/>
      <c r="AC1210" s="33"/>
      <c r="AD1210" s="5" t="s">
        <v>1393</v>
      </c>
      <c r="AE1210" s="33"/>
      <c r="AF1210" s="59" t="str">
        <f t="shared" si="55"/>
        <v>Không</v>
      </c>
      <c r="AG1210" s="59" t="str">
        <f t="shared" si="56"/>
        <v>Không</v>
      </c>
      <c r="AH1210" s="29" t="str">
        <f t="shared" ca="1" si="54"/>
        <v>Có</v>
      </c>
      <c r="AI1210" s="29" t="str">
        <f ca="1">IF((R1210)&gt;=6,"Có","Không")</f>
        <v>Có</v>
      </c>
      <c r="AJ1210" s="29" t="str">
        <f>IF(OR(J1210&gt;=140,K1210&gt;=90),"Có","Không")</f>
        <v>Không</v>
      </c>
      <c r="AK1210" s="5" t="s">
        <v>51</v>
      </c>
      <c r="AL1210" s="35">
        <v>46173</v>
      </c>
      <c r="AM1210" s="29" t="str">
        <f>"Tháng "&amp;MONTH(AL1210)</f>
        <v>Tháng 5</v>
      </c>
      <c r="AN1210" s="69" t="s">
        <v>1376</v>
      </c>
    </row>
    <row r="1211" spans="1:40" x14ac:dyDescent="0.25">
      <c r="A1211" s="52" t="s">
        <v>1344</v>
      </c>
      <c r="B1211" s="20" t="s">
        <v>23</v>
      </c>
      <c r="C1211" s="35">
        <v>26665</v>
      </c>
      <c r="D1211" s="29">
        <f ca="1">DATEDIF(C1211,TODAY(),"Y")</f>
        <v>53</v>
      </c>
      <c r="E1211" s="5" t="s">
        <v>26</v>
      </c>
      <c r="F1211" s="30">
        <v>160</v>
      </c>
      <c r="G1211" s="30">
        <v>45</v>
      </c>
      <c r="H1211" s="31">
        <f>G1211/((F1211/100)*(F1211/100))</f>
        <v>17.578124999999996</v>
      </c>
      <c r="I1211" s="5">
        <v>95</v>
      </c>
      <c r="J1211" s="30">
        <v>120</v>
      </c>
      <c r="K1211" s="30">
        <v>80</v>
      </c>
      <c r="L1211" s="29">
        <f>IF(B1211="Nữ",0,2)</f>
        <v>0</v>
      </c>
      <c r="M1211" s="29">
        <f ca="1">IF(D1211&lt;45,0,IF(D1211&lt;=49,1,2))</f>
        <v>2</v>
      </c>
      <c r="N1211" s="29">
        <f>IF(E1211="Có",4,0)</f>
        <v>0</v>
      </c>
      <c r="O1211" s="29">
        <f>IF(H1211&lt;23,0,IF(H1211&lt;27.5,3,5))</f>
        <v>0</v>
      </c>
      <c r="P1211" s="29">
        <f>IF(OR(AND(B1211="Nam",I1211&gt;=90),AND(B1211="Nữ",I1211&gt;=80)),2,0)</f>
        <v>2</v>
      </c>
      <c r="Q1211" s="29">
        <f>IF(OR(J1211&gt;=140,K1211&gt;=90),2,0)</f>
        <v>0</v>
      </c>
      <c r="R1211" s="29">
        <f ca="1">SUM(L1211:Q1211)</f>
        <v>4</v>
      </c>
      <c r="S1211" s="33"/>
      <c r="T1211" s="33"/>
      <c r="U1211" s="33"/>
      <c r="V1211" s="33"/>
      <c r="W1211" s="33"/>
      <c r="X1211" s="33"/>
      <c r="Y1211" s="33"/>
      <c r="Z1211" s="33"/>
      <c r="AA1211" s="33"/>
      <c r="AB1211" s="33"/>
      <c r="AC1211" s="33"/>
      <c r="AD1211" s="5" t="s">
        <v>1393</v>
      </c>
      <c r="AE1211" s="33"/>
      <c r="AF1211" s="59" t="str">
        <f t="shared" si="55"/>
        <v>Không</v>
      </c>
      <c r="AG1211" s="59" t="str">
        <f t="shared" si="56"/>
        <v>Không</v>
      </c>
      <c r="AH1211" s="29" t="str">
        <f t="shared" ca="1" si="54"/>
        <v>Không</v>
      </c>
      <c r="AI1211" s="29" t="str">
        <f ca="1">IF((R1211)&gt;=6,"Có","Không")</f>
        <v>Không</v>
      </c>
      <c r="AJ1211" s="29" t="str">
        <f>IF(OR(J1211&gt;=140,K1211&gt;=90),"Có","Không")</f>
        <v>Không</v>
      </c>
      <c r="AK1211" s="5" t="s">
        <v>51</v>
      </c>
      <c r="AL1211" s="35">
        <v>46173</v>
      </c>
      <c r="AM1211" s="29" t="str">
        <f>"Tháng "&amp;MONTH(AL1211)</f>
        <v>Tháng 5</v>
      </c>
      <c r="AN1211" s="69" t="s">
        <v>1376</v>
      </c>
    </row>
    <row r="1212" spans="1:40" x14ac:dyDescent="0.25">
      <c r="A1212" s="52" t="s">
        <v>768</v>
      </c>
      <c r="B1212" s="20" t="s">
        <v>23</v>
      </c>
      <c r="C1212" s="35">
        <v>25204</v>
      </c>
      <c r="D1212" s="29">
        <f ca="1">DATEDIF(C1212,TODAY(),"Y")</f>
        <v>57</v>
      </c>
      <c r="E1212" s="5" t="s">
        <v>25</v>
      </c>
      <c r="F1212" s="30">
        <v>169</v>
      </c>
      <c r="G1212" s="30">
        <v>68</v>
      </c>
      <c r="H1212" s="31">
        <f>G1212/((F1212/100)*(F1212/100))</f>
        <v>23.808690171912751</v>
      </c>
      <c r="I1212" s="5">
        <v>73</v>
      </c>
      <c r="J1212" s="30">
        <v>120</v>
      </c>
      <c r="K1212" s="30">
        <v>80</v>
      </c>
      <c r="L1212" s="29">
        <f>IF(B1212="Nữ",0,2)</f>
        <v>0</v>
      </c>
      <c r="M1212" s="29">
        <f ca="1">IF(D1212&lt;45,0,IF(D1212&lt;=49,1,2))</f>
        <v>2</v>
      </c>
      <c r="N1212" s="29">
        <f>IF(E1212="Có",4,0)</f>
        <v>4</v>
      </c>
      <c r="O1212" s="29">
        <f>IF(H1212&lt;23,0,IF(H1212&lt;27.5,3,5))</f>
        <v>3</v>
      </c>
      <c r="P1212" s="29">
        <f>IF(OR(AND(B1212="Nam",I1212&gt;=90),AND(B1212="Nữ",I1212&gt;=80)),2,0)</f>
        <v>0</v>
      </c>
      <c r="Q1212" s="29">
        <f>IF(OR(J1212&gt;=140,K1212&gt;=90),2,0)</f>
        <v>0</v>
      </c>
      <c r="R1212" s="29">
        <f ca="1">SUM(L1212:Q1212)</f>
        <v>9</v>
      </c>
      <c r="S1212" s="33"/>
      <c r="T1212" s="33"/>
      <c r="U1212" s="33"/>
      <c r="V1212" s="33"/>
      <c r="W1212" s="33"/>
      <c r="X1212" s="33"/>
      <c r="Y1212" s="33"/>
      <c r="Z1212" s="33"/>
      <c r="AA1212" s="33"/>
      <c r="AB1212" s="33"/>
      <c r="AC1212" s="33"/>
      <c r="AD1212" s="5" t="s">
        <v>1393</v>
      </c>
      <c r="AE1212" s="33"/>
      <c r="AF1212" s="59" t="str">
        <f t="shared" si="55"/>
        <v>Không</v>
      </c>
      <c r="AG1212" s="59" t="str">
        <f t="shared" si="56"/>
        <v>Không</v>
      </c>
      <c r="AH1212" s="29" t="str">
        <f t="shared" ca="1" si="54"/>
        <v>Có</v>
      </c>
      <c r="AI1212" s="29" t="str">
        <f ca="1">IF((R1212)&gt;=6,"Có","Không")</f>
        <v>Có</v>
      </c>
      <c r="AJ1212" s="29" t="str">
        <f>IF(OR(J1212&gt;=140,K1212&gt;=90),"Có","Không")</f>
        <v>Không</v>
      </c>
      <c r="AK1212" s="5" t="s">
        <v>51</v>
      </c>
      <c r="AL1212" s="35">
        <v>46173</v>
      </c>
      <c r="AM1212" s="29" t="str">
        <f>"Tháng "&amp;MONTH(AL1212)</f>
        <v>Tháng 5</v>
      </c>
      <c r="AN1212" s="69" t="s">
        <v>1376</v>
      </c>
    </row>
    <row r="1213" spans="1:40" x14ac:dyDescent="0.25">
      <c r="A1213" s="52" t="s">
        <v>1347</v>
      </c>
      <c r="B1213" s="20" t="s">
        <v>23</v>
      </c>
      <c r="C1213" s="35">
        <v>26299</v>
      </c>
      <c r="D1213" s="29">
        <f ca="1">DATEDIF(C1213,TODAY(),"Y")</f>
        <v>54</v>
      </c>
      <c r="E1213" s="5" t="s">
        <v>25</v>
      </c>
      <c r="F1213" s="30">
        <v>169</v>
      </c>
      <c r="G1213" s="30">
        <v>68</v>
      </c>
      <c r="H1213" s="31">
        <f>G1213/((F1213/100)*(F1213/100))</f>
        <v>23.808690171912751</v>
      </c>
      <c r="I1213" s="5">
        <v>83</v>
      </c>
      <c r="J1213" s="30">
        <v>150</v>
      </c>
      <c r="K1213" s="30">
        <v>80</v>
      </c>
      <c r="L1213" s="29">
        <f>IF(B1213="Nữ",0,2)</f>
        <v>0</v>
      </c>
      <c r="M1213" s="29">
        <f ca="1">IF(D1213&lt;45,0,IF(D1213&lt;=49,1,2))</f>
        <v>2</v>
      </c>
      <c r="N1213" s="29">
        <f>IF(E1213="Có",4,0)</f>
        <v>4</v>
      </c>
      <c r="O1213" s="29">
        <f>IF(H1213&lt;23,0,IF(H1213&lt;27.5,3,5))</f>
        <v>3</v>
      </c>
      <c r="P1213" s="29">
        <f>IF(OR(AND(B1213="Nam",I1213&gt;=90),AND(B1213="Nữ",I1213&gt;=80)),2,0)</f>
        <v>2</v>
      </c>
      <c r="Q1213" s="29">
        <f>IF(OR(J1213&gt;=140,K1213&gt;=90),2,0)</f>
        <v>2</v>
      </c>
      <c r="R1213" s="29">
        <f ca="1">SUM(L1213:Q1213)</f>
        <v>13</v>
      </c>
      <c r="S1213" s="33"/>
      <c r="T1213" s="33"/>
      <c r="U1213" s="33"/>
      <c r="V1213" s="33"/>
      <c r="W1213" s="33"/>
      <c r="X1213" s="33"/>
      <c r="Y1213" s="33"/>
      <c r="Z1213" s="33"/>
      <c r="AA1213" s="33"/>
      <c r="AB1213" s="33"/>
      <c r="AC1213" s="33"/>
      <c r="AD1213" s="5" t="s">
        <v>1393</v>
      </c>
      <c r="AE1213" s="33"/>
      <c r="AF1213" s="59" t="str">
        <f t="shared" si="55"/>
        <v>Không</v>
      </c>
      <c r="AG1213" s="59" t="str">
        <f t="shared" si="56"/>
        <v>Không</v>
      </c>
      <c r="AH1213" s="29" t="str">
        <f t="shared" ca="1" si="54"/>
        <v>Có</v>
      </c>
      <c r="AI1213" s="29" t="str">
        <f ca="1">IF((R1213)&gt;=6,"Có","Không")</f>
        <v>Có</v>
      </c>
      <c r="AJ1213" s="29" t="str">
        <f>IF(OR(J1213&gt;=140,K1213&gt;=90),"Có","Không")</f>
        <v>Có</v>
      </c>
      <c r="AK1213" s="5" t="s">
        <v>51</v>
      </c>
      <c r="AL1213" s="35">
        <v>46173</v>
      </c>
      <c r="AM1213" s="29" t="str">
        <f>"Tháng "&amp;MONTH(AL1213)</f>
        <v>Tháng 5</v>
      </c>
      <c r="AN1213" s="69" t="s">
        <v>1376</v>
      </c>
    </row>
    <row r="1214" spans="1:40" x14ac:dyDescent="0.25">
      <c r="A1214" s="52" t="s">
        <v>1348</v>
      </c>
      <c r="B1214" s="20" t="s">
        <v>23</v>
      </c>
      <c r="C1214" s="35">
        <v>26665</v>
      </c>
      <c r="D1214" s="29">
        <f ca="1">DATEDIF(C1214,TODAY(),"Y")</f>
        <v>53</v>
      </c>
      <c r="E1214" s="5" t="s">
        <v>26</v>
      </c>
      <c r="F1214" s="30">
        <v>169</v>
      </c>
      <c r="G1214" s="30">
        <v>69</v>
      </c>
      <c r="H1214" s="31">
        <f>G1214/((F1214/100)*(F1214/100))</f>
        <v>24.158817968558527</v>
      </c>
      <c r="I1214" s="5">
        <v>83</v>
      </c>
      <c r="J1214" s="30">
        <v>120</v>
      </c>
      <c r="K1214" s="30">
        <v>80</v>
      </c>
      <c r="L1214" s="29">
        <f>IF(B1214="Nữ",0,2)</f>
        <v>0</v>
      </c>
      <c r="M1214" s="29">
        <f ca="1">IF(D1214&lt;45,0,IF(D1214&lt;=49,1,2))</f>
        <v>2</v>
      </c>
      <c r="N1214" s="29">
        <f>IF(E1214="Có",4,0)</f>
        <v>0</v>
      </c>
      <c r="O1214" s="29">
        <f>IF(H1214&lt;23,0,IF(H1214&lt;27.5,3,5))</f>
        <v>3</v>
      </c>
      <c r="P1214" s="29">
        <f>IF(OR(AND(B1214="Nam",I1214&gt;=90),AND(B1214="Nữ",I1214&gt;=80)),2,0)</f>
        <v>2</v>
      </c>
      <c r="Q1214" s="29">
        <f>IF(OR(J1214&gt;=140,K1214&gt;=90),2,0)</f>
        <v>0</v>
      </c>
      <c r="R1214" s="29">
        <f ca="1">SUM(L1214:Q1214)</f>
        <v>7</v>
      </c>
      <c r="S1214" s="33"/>
      <c r="T1214" s="33"/>
      <c r="U1214" s="33"/>
      <c r="V1214" s="33"/>
      <c r="W1214" s="33"/>
      <c r="X1214" s="33"/>
      <c r="Y1214" s="33"/>
      <c r="Z1214" s="33"/>
      <c r="AA1214" s="33"/>
      <c r="AB1214" s="33"/>
      <c r="AC1214" s="33"/>
      <c r="AD1214" s="5" t="s">
        <v>1393</v>
      </c>
      <c r="AE1214" s="33"/>
      <c r="AF1214" s="59" t="str">
        <f t="shared" si="55"/>
        <v>Không</v>
      </c>
      <c r="AG1214" s="59" t="str">
        <f t="shared" si="56"/>
        <v>Không</v>
      </c>
      <c r="AH1214" s="29" t="str">
        <f t="shared" ca="1" si="54"/>
        <v>Có</v>
      </c>
      <c r="AI1214" s="29" t="str">
        <f ca="1">IF((R1214)&gt;=6,"Có","Không")</f>
        <v>Có</v>
      </c>
      <c r="AJ1214" s="29" t="str">
        <f>IF(OR(J1214&gt;=140,K1214&gt;=90),"Có","Không")</f>
        <v>Không</v>
      </c>
      <c r="AK1214" s="5" t="s">
        <v>51</v>
      </c>
      <c r="AL1214" s="35">
        <v>46173</v>
      </c>
      <c r="AM1214" s="29" t="str">
        <f>"Tháng "&amp;MONTH(AL1214)</f>
        <v>Tháng 5</v>
      </c>
      <c r="AN1214" s="69" t="s">
        <v>1376</v>
      </c>
    </row>
    <row r="1215" spans="1:40" x14ac:dyDescent="0.25">
      <c r="A1215" s="52" t="s">
        <v>1349</v>
      </c>
      <c r="B1215" s="20" t="s">
        <v>23</v>
      </c>
      <c r="C1215" s="35">
        <v>23377</v>
      </c>
      <c r="D1215" s="29">
        <f ca="1">DATEDIF(C1215,TODAY(),"Y")</f>
        <v>62</v>
      </c>
      <c r="E1215" s="5" t="s">
        <v>26</v>
      </c>
      <c r="F1215" s="30">
        <v>158</v>
      </c>
      <c r="G1215" s="30">
        <v>58</v>
      </c>
      <c r="H1215" s="31">
        <f>G1215/((F1215/100)*(F1215/100))</f>
        <v>23.233456176894723</v>
      </c>
      <c r="I1215" s="5">
        <v>86</v>
      </c>
      <c r="J1215" s="30">
        <v>140</v>
      </c>
      <c r="K1215" s="30">
        <v>80</v>
      </c>
      <c r="L1215" s="29">
        <f>IF(B1215="Nữ",0,2)</f>
        <v>0</v>
      </c>
      <c r="M1215" s="29">
        <f ca="1">IF(D1215&lt;45,0,IF(D1215&lt;=49,1,2))</f>
        <v>2</v>
      </c>
      <c r="N1215" s="29">
        <f>IF(E1215="Có",4,0)</f>
        <v>0</v>
      </c>
      <c r="O1215" s="29">
        <f>IF(H1215&lt;23,0,IF(H1215&lt;27.5,3,5))</f>
        <v>3</v>
      </c>
      <c r="P1215" s="29">
        <f>IF(OR(AND(B1215="Nam",I1215&gt;=90),AND(B1215="Nữ",I1215&gt;=80)),2,0)</f>
        <v>2</v>
      </c>
      <c r="Q1215" s="29">
        <f>IF(OR(J1215&gt;=140,K1215&gt;=90),2,0)</f>
        <v>2</v>
      </c>
      <c r="R1215" s="29">
        <f ca="1">SUM(L1215:Q1215)</f>
        <v>9</v>
      </c>
      <c r="S1215" s="33"/>
      <c r="T1215" s="33"/>
      <c r="U1215" s="33"/>
      <c r="V1215" s="33"/>
      <c r="W1215" s="33"/>
      <c r="X1215" s="33"/>
      <c r="Y1215" s="33"/>
      <c r="Z1215" s="33"/>
      <c r="AA1215" s="33"/>
      <c r="AB1215" s="33"/>
      <c r="AC1215" s="33"/>
      <c r="AD1215" s="5" t="s">
        <v>1393</v>
      </c>
      <c r="AE1215" s="33"/>
      <c r="AF1215" s="59" t="str">
        <f t="shared" si="55"/>
        <v>Không</v>
      </c>
      <c r="AG1215" s="59" t="str">
        <f t="shared" si="56"/>
        <v>Không</v>
      </c>
      <c r="AH1215" s="29" t="str">
        <f t="shared" ca="1" si="54"/>
        <v>Có</v>
      </c>
      <c r="AI1215" s="29" t="str">
        <f ca="1">IF((R1215)&gt;=6,"Có","Không")</f>
        <v>Có</v>
      </c>
      <c r="AJ1215" s="29" t="str">
        <f>IF(OR(J1215&gt;=140,K1215&gt;=90),"Có","Không")</f>
        <v>Có</v>
      </c>
      <c r="AK1215" s="5" t="s">
        <v>51</v>
      </c>
      <c r="AL1215" s="35">
        <v>46173</v>
      </c>
      <c r="AM1215" s="29" t="str">
        <f>"Tháng "&amp;MONTH(AL1215)</f>
        <v>Tháng 5</v>
      </c>
      <c r="AN1215" s="69" t="s">
        <v>1376</v>
      </c>
    </row>
    <row r="1216" spans="1:40" x14ac:dyDescent="0.25">
      <c r="A1216" s="52" t="s">
        <v>994</v>
      </c>
      <c r="B1216" s="20" t="s">
        <v>23</v>
      </c>
      <c r="C1216" s="35">
        <v>20090</v>
      </c>
      <c r="D1216" s="29">
        <f ca="1">DATEDIF(C1216,TODAY(),"Y")</f>
        <v>71</v>
      </c>
      <c r="E1216" s="5" t="s">
        <v>26</v>
      </c>
      <c r="F1216" s="30">
        <v>169</v>
      </c>
      <c r="G1216" s="30">
        <v>69</v>
      </c>
      <c r="H1216" s="31">
        <f>G1216/((F1216/100)*(F1216/100))</f>
        <v>24.158817968558527</v>
      </c>
      <c r="I1216" s="5">
        <v>81</v>
      </c>
      <c r="J1216" s="30">
        <v>120</v>
      </c>
      <c r="K1216" s="30">
        <v>80</v>
      </c>
      <c r="L1216" s="29">
        <f>IF(B1216="Nữ",0,2)</f>
        <v>0</v>
      </c>
      <c r="M1216" s="29">
        <f ca="1">IF(D1216&lt;45,0,IF(D1216&lt;=49,1,2))</f>
        <v>2</v>
      </c>
      <c r="N1216" s="29">
        <f>IF(E1216="Có",4,0)</f>
        <v>0</v>
      </c>
      <c r="O1216" s="29">
        <f>IF(H1216&lt;23,0,IF(H1216&lt;27.5,3,5))</f>
        <v>3</v>
      </c>
      <c r="P1216" s="29">
        <f>IF(OR(AND(B1216="Nam",I1216&gt;=90),AND(B1216="Nữ",I1216&gt;=80)),2,0)</f>
        <v>2</v>
      </c>
      <c r="Q1216" s="29">
        <f>IF(OR(J1216&gt;=140,K1216&gt;=90),2,0)</f>
        <v>0</v>
      </c>
      <c r="R1216" s="29">
        <f ca="1">SUM(L1216:Q1216)</f>
        <v>7</v>
      </c>
      <c r="S1216" s="33"/>
      <c r="T1216" s="33"/>
      <c r="U1216" s="33"/>
      <c r="V1216" s="33"/>
      <c r="W1216" s="33"/>
      <c r="X1216" s="33"/>
      <c r="Y1216" s="33"/>
      <c r="Z1216" s="33"/>
      <c r="AA1216" s="33"/>
      <c r="AB1216" s="33"/>
      <c r="AC1216" s="33"/>
      <c r="AD1216" s="5" t="s">
        <v>1393</v>
      </c>
      <c r="AE1216" s="33"/>
      <c r="AF1216" s="59" t="str">
        <f t="shared" si="55"/>
        <v>Không</v>
      </c>
      <c r="AG1216" s="59" t="str">
        <f t="shared" si="56"/>
        <v>Không</v>
      </c>
      <c r="AH1216" s="29" t="str">
        <f t="shared" ca="1" si="54"/>
        <v>Có</v>
      </c>
      <c r="AI1216" s="29" t="str">
        <f ca="1">IF((R1216)&gt;=6,"Có","Không")</f>
        <v>Có</v>
      </c>
      <c r="AJ1216" s="29" t="str">
        <f>IF(OR(J1216&gt;=140,K1216&gt;=90),"Có","Không")</f>
        <v>Không</v>
      </c>
      <c r="AK1216" s="5" t="s">
        <v>51</v>
      </c>
      <c r="AL1216" s="35">
        <v>46173</v>
      </c>
      <c r="AM1216" s="29" t="str">
        <f>"Tháng "&amp;MONTH(AL1216)</f>
        <v>Tháng 5</v>
      </c>
      <c r="AN1216" s="69" t="s">
        <v>1376</v>
      </c>
    </row>
    <row r="1217" spans="1:40" x14ac:dyDescent="0.25">
      <c r="A1217" s="51" t="s">
        <v>1350</v>
      </c>
      <c r="B1217" s="20" t="s">
        <v>23</v>
      </c>
      <c r="C1217" s="35">
        <v>19725</v>
      </c>
      <c r="D1217" s="29">
        <f ca="1">DATEDIF(C1217,TODAY(),"Y")</f>
        <v>72</v>
      </c>
      <c r="E1217" s="5" t="s">
        <v>26</v>
      </c>
      <c r="F1217" s="30">
        <v>169</v>
      </c>
      <c r="G1217" s="30">
        <v>69</v>
      </c>
      <c r="H1217" s="31">
        <f>G1217/((F1217/100)*(F1217/100))</f>
        <v>24.158817968558527</v>
      </c>
      <c r="I1217" s="5">
        <v>65</v>
      </c>
      <c r="J1217" s="30">
        <v>120</v>
      </c>
      <c r="K1217" s="30">
        <v>80</v>
      </c>
      <c r="L1217" s="29">
        <f>IF(B1217="Nữ",0,2)</f>
        <v>0</v>
      </c>
      <c r="M1217" s="29">
        <f ca="1">IF(D1217&lt;45,0,IF(D1217&lt;=49,1,2))</f>
        <v>2</v>
      </c>
      <c r="N1217" s="29">
        <f>IF(E1217="Có",4,0)</f>
        <v>0</v>
      </c>
      <c r="O1217" s="29">
        <f>IF(H1217&lt;23,0,IF(H1217&lt;27.5,3,5))</f>
        <v>3</v>
      </c>
      <c r="P1217" s="29">
        <f>IF(OR(AND(B1217="Nam",I1217&gt;=90),AND(B1217="Nữ",I1217&gt;=80)),2,0)</f>
        <v>0</v>
      </c>
      <c r="Q1217" s="29">
        <f>IF(OR(J1217&gt;=140,K1217&gt;=90),2,0)</f>
        <v>0</v>
      </c>
      <c r="R1217" s="29">
        <f ca="1">SUM(L1217:Q1217)</f>
        <v>5</v>
      </c>
      <c r="S1217" s="33"/>
      <c r="T1217" s="33"/>
      <c r="U1217" s="33"/>
      <c r="V1217" s="33"/>
      <c r="W1217" s="33"/>
      <c r="X1217" s="33"/>
      <c r="Y1217" s="33"/>
      <c r="Z1217" s="33"/>
      <c r="AA1217" s="33"/>
      <c r="AB1217" s="33"/>
      <c r="AC1217" s="33"/>
      <c r="AD1217" s="5" t="s">
        <v>1393</v>
      </c>
      <c r="AE1217" s="33"/>
      <c r="AF1217" s="59" t="str">
        <f t="shared" si="55"/>
        <v>Không</v>
      </c>
      <c r="AG1217" s="59" t="str">
        <f t="shared" si="56"/>
        <v>Không</v>
      </c>
      <c r="AH1217" s="29" t="str">
        <f t="shared" ca="1" si="54"/>
        <v>Không</v>
      </c>
      <c r="AI1217" s="29" t="str">
        <f ca="1">IF((R1217)&gt;=6,"Có","Không")</f>
        <v>Không</v>
      </c>
      <c r="AJ1217" s="29" t="str">
        <f>IF(OR(J1217&gt;=140,K1217&gt;=90),"Có","Không")</f>
        <v>Không</v>
      </c>
      <c r="AK1217" s="5" t="s">
        <v>51</v>
      </c>
      <c r="AL1217" s="35">
        <v>46173</v>
      </c>
      <c r="AM1217" s="29" t="str">
        <f>"Tháng "&amp;MONTH(AL1217)</f>
        <v>Tháng 5</v>
      </c>
      <c r="AN1217" s="69" t="s">
        <v>1376</v>
      </c>
    </row>
    <row r="1218" spans="1:40" x14ac:dyDescent="0.25">
      <c r="A1218" s="51" t="s">
        <v>1351</v>
      </c>
      <c r="B1218" s="20" t="s">
        <v>30</v>
      </c>
      <c r="C1218" s="35">
        <v>19360</v>
      </c>
      <c r="D1218" s="29">
        <f ca="1">DATEDIF(C1218,TODAY(),"Y")</f>
        <v>73</v>
      </c>
      <c r="E1218" s="5" t="s">
        <v>25</v>
      </c>
      <c r="F1218" s="30">
        <v>152</v>
      </c>
      <c r="G1218" s="30">
        <v>56</v>
      </c>
      <c r="H1218" s="31">
        <f>G1218/((F1218/100)*(F1218/100))</f>
        <v>24.238227146814403</v>
      </c>
      <c r="I1218" s="5">
        <v>100</v>
      </c>
      <c r="J1218" s="30">
        <v>120</v>
      </c>
      <c r="K1218" s="30">
        <v>80</v>
      </c>
      <c r="L1218" s="29">
        <f>IF(B1218="Nữ",0,2)</f>
        <v>2</v>
      </c>
      <c r="M1218" s="29">
        <f ca="1">IF(D1218&lt;45,0,IF(D1218&lt;=49,1,2))</f>
        <v>2</v>
      </c>
      <c r="N1218" s="29">
        <f>IF(E1218="Có",4,0)</f>
        <v>4</v>
      </c>
      <c r="O1218" s="29">
        <f>IF(H1218&lt;23,0,IF(H1218&lt;27.5,3,5))</f>
        <v>3</v>
      </c>
      <c r="P1218" s="29">
        <f>IF(OR(AND(B1218="Nam",I1218&gt;=90),AND(B1218="Nữ",I1218&gt;=80)),2,0)</f>
        <v>2</v>
      </c>
      <c r="Q1218" s="29">
        <f>IF(OR(J1218&gt;=140,K1218&gt;=90),2,0)</f>
        <v>0</v>
      </c>
      <c r="R1218" s="29">
        <f ca="1">SUM(L1218:Q1218)</f>
        <v>13</v>
      </c>
      <c r="S1218" s="33"/>
      <c r="T1218" s="33"/>
      <c r="U1218" s="33"/>
      <c r="V1218" s="33"/>
      <c r="W1218" s="33"/>
      <c r="X1218" s="33"/>
      <c r="Y1218" s="33"/>
      <c r="Z1218" s="33"/>
      <c r="AA1218" s="33"/>
      <c r="AB1218" s="33"/>
      <c r="AC1218" s="33"/>
      <c r="AD1218" s="5" t="s">
        <v>1393</v>
      </c>
      <c r="AE1218" s="33"/>
      <c r="AF1218" s="59" t="str">
        <f t="shared" si="55"/>
        <v>Không</v>
      </c>
      <c r="AG1218" s="59" t="str">
        <f t="shared" si="56"/>
        <v>Không</v>
      </c>
      <c r="AH1218" s="29" t="str">
        <f t="shared" ca="1" si="54"/>
        <v>Có</v>
      </c>
      <c r="AI1218" s="29" t="str">
        <f ca="1">IF((R1218)&gt;=6,"Có","Không")</f>
        <v>Có</v>
      </c>
      <c r="AJ1218" s="29" t="str">
        <f>IF(OR(J1218&gt;=140,K1218&gt;=90),"Có","Không")</f>
        <v>Không</v>
      </c>
      <c r="AK1218" s="5" t="s">
        <v>51</v>
      </c>
      <c r="AL1218" s="35">
        <v>46173</v>
      </c>
      <c r="AM1218" s="29" t="str">
        <f>"Tháng "&amp;MONTH(AL1218)</f>
        <v>Tháng 5</v>
      </c>
      <c r="AN1218" s="69" t="s">
        <v>1376</v>
      </c>
    </row>
    <row r="1219" spans="1:40" x14ac:dyDescent="0.25">
      <c r="A1219" s="51" t="s">
        <v>1352</v>
      </c>
      <c r="B1219" s="20" t="s">
        <v>23</v>
      </c>
      <c r="C1219" s="35">
        <v>17168</v>
      </c>
      <c r="D1219" s="29">
        <f ca="1">DATEDIF(C1219,TODAY(),"Y")</f>
        <v>79</v>
      </c>
      <c r="E1219" s="5" t="s">
        <v>26</v>
      </c>
      <c r="F1219" s="30">
        <v>168</v>
      </c>
      <c r="G1219" s="30">
        <v>62</v>
      </c>
      <c r="H1219" s="31">
        <f>G1219/((F1219/100)*(F1219/100))</f>
        <v>21.9671201814059</v>
      </c>
      <c r="I1219" s="5">
        <v>100</v>
      </c>
      <c r="J1219" s="30">
        <v>120</v>
      </c>
      <c r="K1219" s="30">
        <v>80</v>
      </c>
      <c r="L1219" s="29">
        <f>IF(B1219="Nữ",0,2)</f>
        <v>0</v>
      </c>
      <c r="M1219" s="29">
        <f ca="1">IF(D1219&lt;45,0,IF(D1219&lt;=49,1,2))</f>
        <v>2</v>
      </c>
      <c r="N1219" s="29">
        <f>IF(E1219="Có",4,0)</f>
        <v>0</v>
      </c>
      <c r="O1219" s="29">
        <f>IF(H1219&lt;23,0,IF(H1219&lt;27.5,3,5))</f>
        <v>0</v>
      </c>
      <c r="P1219" s="29">
        <f>IF(OR(AND(B1219="Nam",I1219&gt;=90),AND(B1219="Nữ",I1219&gt;=80)),2,0)</f>
        <v>2</v>
      </c>
      <c r="Q1219" s="29">
        <f>IF(OR(J1219&gt;=140,K1219&gt;=90),2,0)</f>
        <v>0</v>
      </c>
      <c r="R1219" s="29">
        <f ca="1">SUM(L1219:Q1219)</f>
        <v>4</v>
      </c>
      <c r="S1219" s="33"/>
      <c r="T1219" s="33"/>
      <c r="U1219" s="33"/>
      <c r="V1219" s="33"/>
      <c r="W1219" s="33"/>
      <c r="X1219" s="33"/>
      <c r="Y1219" s="33"/>
      <c r="Z1219" s="33"/>
      <c r="AA1219" s="33"/>
      <c r="AB1219" s="33"/>
      <c r="AC1219" s="33"/>
      <c r="AD1219" s="5" t="s">
        <v>1393</v>
      </c>
      <c r="AE1219" s="33"/>
      <c r="AF1219" s="59" t="str">
        <f t="shared" si="55"/>
        <v>Không</v>
      </c>
      <c r="AG1219" s="59" t="str">
        <f t="shared" si="56"/>
        <v>Không</v>
      </c>
      <c r="AH1219" s="29" t="str">
        <f t="shared" ca="1" si="54"/>
        <v>Không</v>
      </c>
      <c r="AI1219" s="29" t="str">
        <f ca="1">IF((R1219)&gt;=6,"Có","Không")</f>
        <v>Không</v>
      </c>
      <c r="AJ1219" s="29" t="str">
        <f>IF(OR(J1219&gt;=140,K1219&gt;=90),"Có","Không")</f>
        <v>Không</v>
      </c>
      <c r="AK1219" s="5" t="s">
        <v>51</v>
      </c>
      <c r="AL1219" s="35">
        <v>46173</v>
      </c>
      <c r="AM1219" s="29" t="str">
        <f>"Tháng "&amp;MONTH(AL1219)</f>
        <v>Tháng 5</v>
      </c>
      <c r="AN1219" s="69" t="s">
        <v>1376</v>
      </c>
    </row>
    <row r="1220" spans="1:40" x14ac:dyDescent="0.25">
      <c r="A1220" s="53" t="s">
        <v>1353</v>
      </c>
      <c r="B1220" s="20" t="s">
        <v>23</v>
      </c>
      <c r="C1220" s="35">
        <v>22647</v>
      </c>
      <c r="D1220" s="29">
        <f ca="1">DATEDIF(C1220,TODAY(),"Y")</f>
        <v>64</v>
      </c>
      <c r="E1220" s="5" t="s">
        <v>25</v>
      </c>
      <c r="F1220" s="30">
        <v>158</v>
      </c>
      <c r="G1220" s="30">
        <v>58</v>
      </c>
      <c r="H1220" s="31">
        <f>G1220/((F1220/100)*(F1220/100))</f>
        <v>23.233456176894723</v>
      </c>
      <c r="I1220" s="5">
        <v>96</v>
      </c>
      <c r="J1220" s="30">
        <v>130</v>
      </c>
      <c r="K1220" s="30">
        <v>80</v>
      </c>
      <c r="L1220" s="29">
        <f>IF(B1220="Nữ",0,2)</f>
        <v>0</v>
      </c>
      <c r="M1220" s="29">
        <f ca="1">IF(D1220&lt;45,0,IF(D1220&lt;=49,1,2))</f>
        <v>2</v>
      </c>
      <c r="N1220" s="29">
        <f>IF(E1220="Có",4,0)</f>
        <v>4</v>
      </c>
      <c r="O1220" s="29">
        <f>IF(H1220&lt;23,0,IF(H1220&lt;27.5,3,5))</f>
        <v>3</v>
      </c>
      <c r="P1220" s="29">
        <f>IF(OR(AND(B1220="Nam",I1220&gt;=90),AND(B1220="Nữ",I1220&gt;=80)),2,0)</f>
        <v>2</v>
      </c>
      <c r="Q1220" s="29">
        <f>IF(OR(J1220&gt;=140,K1220&gt;=90),2,0)</f>
        <v>0</v>
      </c>
      <c r="R1220" s="29">
        <f ca="1">SUM(L1220:Q1220)</f>
        <v>11</v>
      </c>
      <c r="S1220" s="33"/>
      <c r="T1220" s="33"/>
      <c r="U1220" s="33"/>
      <c r="V1220" s="33"/>
      <c r="W1220" s="33"/>
      <c r="X1220" s="33"/>
      <c r="Y1220" s="33"/>
      <c r="Z1220" s="33"/>
      <c r="AA1220" s="33"/>
      <c r="AB1220" s="33"/>
      <c r="AC1220" s="33"/>
      <c r="AD1220" s="5" t="s">
        <v>1393</v>
      </c>
      <c r="AE1220" s="33"/>
      <c r="AF1220" s="59" t="str">
        <f t="shared" si="55"/>
        <v>Không</v>
      </c>
      <c r="AG1220" s="59" t="str">
        <f t="shared" si="56"/>
        <v>Không</v>
      </c>
      <c r="AH1220" s="29" t="str">
        <f t="shared" ref="AH1220:AH1263" ca="1" si="57">IF((R1220)&gt;=6,"Có","Không")</f>
        <v>Có</v>
      </c>
      <c r="AI1220" s="29" t="str">
        <f ca="1">IF((R1220)&gt;=6,"Có","Không")</f>
        <v>Có</v>
      </c>
      <c r="AJ1220" s="29" t="str">
        <f>IF(OR(J1220&gt;=140,K1220&gt;=90),"Có","Không")</f>
        <v>Không</v>
      </c>
      <c r="AK1220" s="5" t="s">
        <v>51</v>
      </c>
      <c r="AL1220" s="35">
        <v>46173</v>
      </c>
      <c r="AM1220" s="29" t="str">
        <f>"Tháng "&amp;MONTH(AL1220)</f>
        <v>Tháng 5</v>
      </c>
      <c r="AN1220" s="69" t="s">
        <v>1376</v>
      </c>
    </row>
    <row r="1221" spans="1:40" x14ac:dyDescent="0.25">
      <c r="A1221" s="53" t="s">
        <v>1354</v>
      </c>
      <c r="B1221" s="20" t="s">
        <v>30</v>
      </c>
      <c r="C1221" s="35">
        <v>21186</v>
      </c>
      <c r="D1221" s="29">
        <f ca="1">DATEDIF(C1221,TODAY(),"Y")</f>
        <v>68</v>
      </c>
      <c r="E1221" s="5" t="s">
        <v>26</v>
      </c>
      <c r="F1221" s="30">
        <v>158</v>
      </c>
      <c r="G1221" s="30">
        <v>58</v>
      </c>
      <c r="H1221" s="31">
        <f>G1221/((F1221/100)*(F1221/100))</f>
        <v>23.233456176894723</v>
      </c>
      <c r="I1221" s="5">
        <v>90</v>
      </c>
      <c r="J1221" s="30">
        <v>120</v>
      </c>
      <c r="K1221" s="30">
        <v>80</v>
      </c>
      <c r="L1221" s="29">
        <f>IF(B1221="Nữ",0,2)</f>
        <v>2</v>
      </c>
      <c r="M1221" s="29">
        <f ca="1">IF(D1221&lt;45,0,IF(D1221&lt;=49,1,2))</f>
        <v>2</v>
      </c>
      <c r="N1221" s="29">
        <f>IF(E1221="Có",4,0)</f>
        <v>0</v>
      </c>
      <c r="O1221" s="29">
        <f>IF(H1221&lt;23,0,IF(H1221&lt;27.5,3,5))</f>
        <v>3</v>
      </c>
      <c r="P1221" s="29">
        <f>IF(OR(AND(B1221="Nam",I1221&gt;=90),AND(B1221="Nữ",I1221&gt;=80)),2,0)</f>
        <v>2</v>
      </c>
      <c r="Q1221" s="29">
        <f>IF(OR(J1221&gt;=140,K1221&gt;=90),2,0)</f>
        <v>0</v>
      </c>
      <c r="R1221" s="29">
        <f ca="1">SUM(L1221:Q1221)</f>
        <v>9</v>
      </c>
      <c r="S1221" s="33"/>
      <c r="T1221" s="33"/>
      <c r="U1221" s="33"/>
      <c r="V1221" s="33"/>
      <c r="W1221" s="33"/>
      <c r="X1221" s="33"/>
      <c r="Y1221" s="33"/>
      <c r="Z1221" s="33"/>
      <c r="AA1221" s="33"/>
      <c r="AB1221" s="33"/>
      <c r="AC1221" s="33"/>
      <c r="AD1221" s="5" t="s">
        <v>1393</v>
      </c>
      <c r="AE1221" s="33"/>
      <c r="AF1221" s="59" t="str">
        <f t="shared" ref="AF1221:AF1263" si="58">IF(COUNTIF(S1221:Z1221,"X")&gt;=2,"Có","Không")</f>
        <v>Không</v>
      </c>
      <c r="AG1221" s="59" t="str">
        <f t="shared" ref="AG1221:AG1263" si="59">IF(COUNTIF(AA1221:AE1221,"X")&gt;=3,"Có","Không")</f>
        <v>Không</v>
      </c>
      <c r="AH1221" s="29" t="str">
        <f t="shared" ca="1" si="57"/>
        <v>Có</v>
      </c>
      <c r="AI1221" s="29" t="str">
        <f ca="1">IF((R1221)&gt;=6,"Có","Không")</f>
        <v>Có</v>
      </c>
      <c r="AJ1221" s="29" t="str">
        <f>IF(OR(J1221&gt;=140,K1221&gt;=90),"Có","Không")</f>
        <v>Không</v>
      </c>
      <c r="AK1221" s="5" t="s">
        <v>51</v>
      </c>
      <c r="AL1221" s="35">
        <v>46173</v>
      </c>
      <c r="AM1221" s="29" t="str">
        <f>"Tháng "&amp;MONTH(AL1221)</f>
        <v>Tháng 5</v>
      </c>
      <c r="AN1221" s="69" t="s">
        <v>1376</v>
      </c>
    </row>
    <row r="1222" spans="1:40" x14ac:dyDescent="0.25">
      <c r="A1222" s="53" t="s">
        <v>1356</v>
      </c>
      <c r="B1222" s="20" t="s">
        <v>23</v>
      </c>
      <c r="C1222" s="35">
        <v>18264</v>
      </c>
      <c r="D1222" s="29">
        <f ca="1">DATEDIF(C1222,TODAY(),"Y")</f>
        <v>76</v>
      </c>
      <c r="E1222" s="5" t="s">
        <v>26</v>
      </c>
      <c r="F1222" s="30">
        <v>161</v>
      </c>
      <c r="G1222" s="30">
        <v>58</v>
      </c>
      <c r="H1222" s="31">
        <f>G1222/((F1222/100)*(F1222/100))</f>
        <v>22.375679950619187</v>
      </c>
      <c r="I1222" s="5">
        <v>85</v>
      </c>
      <c r="J1222" s="30">
        <v>120</v>
      </c>
      <c r="K1222" s="30">
        <v>80</v>
      </c>
      <c r="L1222" s="29">
        <f>IF(B1222="Nữ",0,2)</f>
        <v>0</v>
      </c>
      <c r="M1222" s="29">
        <f ca="1">IF(D1222&lt;45,0,IF(D1222&lt;=49,1,2))</f>
        <v>2</v>
      </c>
      <c r="N1222" s="29">
        <f>IF(E1222="Có",4,0)</f>
        <v>0</v>
      </c>
      <c r="O1222" s="29">
        <f>IF(H1222&lt;23,0,IF(H1222&lt;27.5,3,5))</f>
        <v>0</v>
      </c>
      <c r="P1222" s="29">
        <f>IF(OR(AND(B1222="Nam",I1222&gt;=90),AND(B1222="Nữ",I1222&gt;=80)),2,0)</f>
        <v>2</v>
      </c>
      <c r="Q1222" s="29">
        <f>IF(OR(J1222&gt;=140,K1222&gt;=90),2,0)</f>
        <v>0</v>
      </c>
      <c r="R1222" s="29">
        <f ca="1">SUM(L1222:Q1222)</f>
        <v>4</v>
      </c>
      <c r="S1222" s="33"/>
      <c r="T1222" s="33"/>
      <c r="U1222" s="33"/>
      <c r="V1222" s="33"/>
      <c r="W1222" s="33"/>
      <c r="X1222" s="33"/>
      <c r="Y1222" s="33"/>
      <c r="Z1222" s="33"/>
      <c r="AA1222" s="33"/>
      <c r="AB1222" s="33"/>
      <c r="AC1222" s="33"/>
      <c r="AD1222" s="5" t="s">
        <v>1393</v>
      </c>
      <c r="AE1222" s="33"/>
      <c r="AF1222" s="59" t="str">
        <f t="shared" si="58"/>
        <v>Không</v>
      </c>
      <c r="AG1222" s="59" t="str">
        <f t="shared" si="59"/>
        <v>Không</v>
      </c>
      <c r="AH1222" s="29" t="str">
        <f t="shared" ca="1" si="57"/>
        <v>Không</v>
      </c>
      <c r="AI1222" s="29" t="str">
        <f ca="1">IF((R1222)&gt;=6,"Có","Không")</f>
        <v>Không</v>
      </c>
      <c r="AJ1222" s="29" t="str">
        <f>IF(OR(J1222&gt;=140,K1222&gt;=90),"Có","Không")</f>
        <v>Không</v>
      </c>
      <c r="AK1222" s="5" t="s">
        <v>51</v>
      </c>
      <c r="AL1222" s="35">
        <v>46173</v>
      </c>
      <c r="AM1222" s="29" t="str">
        <f>"Tháng "&amp;MONTH(AL1222)</f>
        <v>Tháng 5</v>
      </c>
      <c r="AN1222" s="69" t="s">
        <v>1376</v>
      </c>
    </row>
    <row r="1223" spans="1:40" x14ac:dyDescent="0.25">
      <c r="A1223" s="53" t="s">
        <v>137</v>
      </c>
      <c r="B1223" s="20" t="s">
        <v>23</v>
      </c>
      <c r="C1223" s="35">
        <v>22282</v>
      </c>
      <c r="D1223" s="29">
        <f ca="1">DATEDIF(C1223,TODAY(),"Y")</f>
        <v>65</v>
      </c>
      <c r="E1223" s="5" t="s">
        <v>26</v>
      </c>
      <c r="F1223" s="30">
        <v>158</v>
      </c>
      <c r="G1223" s="30">
        <v>58</v>
      </c>
      <c r="H1223" s="31">
        <f>G1223/((F1223/100)*(F1223/100))</f>
        <v>23.233456176894723</v>
      </c>
      <c r="I1223" s="5">
        <v>76</v>
      </c>
      <c r="J1223" s="30">
        <v>140</v>
      </c>
      <c r="K1223" s="30">
        <v>80</v>
      </c>
      <c r="L1223" s="29">
        <f>IF(B1223="Nữ",0,2)</f>
        <v>0</v>
      </c>
      <c r="M1223" s="29">
        <f ca="1">IF(D1223&lt;45,0,IF(D1223&lt;=49,1,2))</f>
        <v>2</v>
      </c>
      <c r="N1223" s="29">
        <f>IF(E1223="Có",4,0)</f>
        <v>0</v>
      </c>
      <c r="O1223" s="29">
        <f>IF(H1223&lt;23,0,IF(H1223&lt;27.5,3,5))</f>
        <v>3</v>
      </c>
      <c r="P1223" s="29">
        <f>IF(OR(AND(B1223="Nam",I1223&gt;=90),AND(B1223="Nữ",I1223&gt;=80)),2,0)</f>
        <v>0</v>
      </c>
      <c r="Q1223" s="29">
        <f>IF(OR(J1223&gt;=140,K1223&gt;=90),2,0)</f>
        <v>2</v>
      </c>
      <c r="R1223" s="29">
        <f ca="1">SUM(L1223:Q1223)</f>
        <v>7</v>
      </c>
      <c r="S1223" s="33"/>
      <c r="T1223" s="33"/>
      <c r="U1223" s="33"/>
      <c r="V1223" s="33"/>
      <c r="W1223" s="33"/>
      <c r="X1223" s="33"/>
      <c r="Y1223" s="33"/>
      <c r="Z1223" s="33"/>
      <c r="AA1223" s="33"/>
      <c r="AB1223" s="33"/>
      <c r="AC1223" s="33"/>
      <c r="AD1223" s="5" t="s">
        <v>1393</v>
      </c>
      <c r="AE1223" s="33"/>
      <c r="AF1223" s="59" t="str">
        <f t="shared" si="58"/>
        <v>Không</v>
      </c>
      <c r="AG1223" s="59" t="str">
        <f t="shared" si="59"/>
        <v>Không</v>
      </c>
      <c r="AH1223" s="29" t="str">
        <f t="shared" ca="1" si="57"/>
        <v>Có</v>
      </c>
      <c r="AI1223" s="29" t="str">
        <f ca="1">IF((R1223)&gt;=6,"Có","Không")</f>
        <v>Có</v>
      </c>
      <c r="AJ1223" s="29" t="str">
        <f>IF(OR(J1223&gt;=140,K1223&gt;=90),"Có","Không")</f>
        <v>Có</v>
      </c>
      <c r="AK1223" s="5" t="s">
        <v>51</v>
      </c>
      <c r="AL1223" s="35">
        <v>46173</v>
      </c>
      <c r="AM1223" s="29" t="str">
        <f>"Tháng "&amp;MONTH(AL1223)</f>
        <v>Tháng 5</v>
      </c>
      <c r="AN1223" s="69" t="s">
        <v>1376</v>
      </c>
    </row>
    <row r="1224" spans="1:40" x14ac:dyDescent="0.25">
      <c r="A1224" s="53" t="s">
        <v>392</v>
      </c>
      <c r="B1224" s="20" t="s">
        <v>23</v>
      </c>
      <c r="C1224" s="35">
        <v>24473</v>
      </c>
      <c r="D1224" s="29">
        <f ca="1">DATEDIF(C1224,TODAY(),"Y")</f>
        <v>59</v>
      </c>
      <c r="E1224" s="5" t="s">
        <v>26</v>
      </c>
      <c r="F1224" s="30">
        <v>158</v>
      </c>
      <c r="G1224" s="30">
        <v>58</v>
      </c>
      <c r="H1224" s="31">
        <f>G1224/((F1224/100)*(F1224/100))</f>
        <v>23.233456176894723</v>
      </c>
      <c r="I1224" s="5">
        <v>82</v>
      </c>
      <c r="J1224" s="30">
        <v>120</v>
      </c>
      <c r="K1224" s="30">
        <v>80</v>
      </c>
      <c r="L1224" s="29">
        <f>IF(B1224="Nữ",0,2)</f>
        <v>0</v>
      </c>
      <c r="M1224" s="29">
        <f ca="1">IF(D1224&lt;45,0,IF(D1224&lt;=49,1,2))</f>
        <v>2</v>
      </c>
      <c r="N1224" s="29">
        <f>IF(E1224="Có",4,0)</f>
        <v>0</v>
      </c>
      <c r="O1224" s="29">
        <f>IF(H1224&lt;23,0,IF(H1224&lt;27.5,3,5))</f>
        <v>3</v>
      </c>
      <c r="P1224" s="29">
        <f>IF(OR(AND(B1224="Nam",I1224&gt;=90),AND(B1224="Nữ",I1224&gt;=80)),2,0)</f>
        <v>2</v>
      </c>
      <c r="Q1224" s="29">
        <f>IF(OR(J1224&gt;=140,K1224&gt;=90),2,0)</f>
        <v>0</v>
      </c>
      <c r="R1224" s="29">
        <f ca="1">SUM(L1224:Q1224)</f>
        <v>7</v>
      </c>
      <c r="S1224" s="33"/>
      <c r="T1224" s="33"/>
      <c r="U1224" s="33"/>
      <c r="V1224" s="33"/>
      <c r="W1224" s="33"/>
      <c r="X1224" s="33"/>
      <c r="Y1224" s="33"/>
      <c r="Z1224" s="33"/>
      <c r="AA1224" s="33"/>
      <c r="AB1224" s="33"/>
      <c r="AC1224" s="33"/>
      <c r="AD1224" s="5" t="s">
        <v>1393</v>
      </c>
      <c r="AE1224" s="33"/>
      <c r="AF1224" s="59" t="str">
        <f t="shared" si="58"/>
        <v>Không</v>
      </c>
      <c r="AG1224" s="59" t="str">
        <f t="shared" si="59"/>
        <v>Không</v>
      </c>
      <c r="AH1224" s="29" t="str">
        <f t="shared" ca="1" si="57"/>
        <v>Có</v>
      </c>
      <c r="AI1224" s="29" t="str">
        <f ca="1">IF((R1224)&gt;=6,"Có","Không")</f>
        <v>Có</v>
      </c>
      <c r="AJ1224" s="29" t="str">
        <f>IF(OR(J1224&gt;=140,K1224&gt;=90),"Có","Không")</f>
        <v>Không</v>
      </c>
      <c r="AK1224" s="5" t="s">
        <v>51</v>
      </c>
      <c r="AL1224" s="35">
        <v>46173</v>
      </c>
      <c r="AM1224" s="29" t="str">
        <f>"Tháng "&amp;MONTH(AL1224)</f>
        <v>Tháng 5</v>
      </c>
      <c r="AN1224" s="69" t="s">
        <v>1376</v>
      </c>
    </row>
    <row r="1225" spans="1:40" x14ac:dyDescent="0.25">
      <c r="A1225" s="53" t="s">
        <v>1357</v>
      </c>
      <c r="B1225" s="20" t="s">
        <v>23</v>
      </c>
      <c r="C1225" s="35">
        <v>20821</v>
      </c>
      <c r="D1225" s="29">
        <f ca="1">DATEDIF(C1225,TODAY(),"Y")</f>
        <v>69</v>
      </c>
      <c r="E1225" s="5" t="s">
        <v>26</v>
      </c>
      <c r="F1225" s="30">
        <v>158</v>
      </c>
      <c r="G1225" s="30">
        <v>58</v>
      </c>
      <c r="H1225" s="31">
        <f>G1225/((F1225/100)*(F1225/100))</f>
        <v>23.233456176894723</v>
      </c>
      <c r="I1225" s="5">
        <v>67</v>
      </c>
      <c r="J1225" s="30">
        <v>120</v>
      </c>
      <c r="K1225" s="30">
        <v>80</v>
      </c>
      <c r="L1225" s="29">
        <f>IF(B1225="Nữ",0,2)</f>
        <v>0</v>
      </c>
      <c r="M1225" s="29">
        <f ca="1">IF(D1225&lt;45,0,IF(D1225&lt;=49,1,2))</f>
        <v>2</v>
      </c>
      <c r="N1225" s="29">
        <f>IF(E1225="Có",4,0)</f>
        <v>0</v>
      </c>
      <c r="O1225" s="29">
        <f>IF(H1225&lt;23,0,IF(H1225&lt;27.5,3,5))</f>
        <v>3</v>
      </c>
      <c r="P1225" s="29">
        <f>IF(OR(AND(B1225="Nam",I1225&gt;=90),AND(B1225="Nữ",I1225&gt;=80)),2,0)</f>
        <v>0</v>
      </c>
      <c r="Q1225" s="29">
        <f>IF(OR(J1225&gt;=140,K1225&gt;=90),2,0)</f>
        <v>0</v>
      </c>
      <c r="R1225" s="29">
        <f ca="1">SUM(L1225:Q1225)</f>
        <v>5</v>
      </c>
      <c r="S1225" s="33"/>
      <c r="T1225" s="33"/>
      <c r="U1225" s="33"/>
      <c r="V1225" s="33"/>
      <c r="W1225" s="33"/>
      <c r="X1225" s="33"/>
      <c r="Y1225" s="33"/>
      <c r="Z1225" s="33"/>
      <c r="AA1225" s="33"/>
      <c r="AB1225" s="33"/>
      <c r="AC1225" s="33"/>
      <c r="AD1225" s="5" t="s">
        <v>1393</v>
      </c>
      <c r="AE1225" s="33"/>
      <c r="AF1225" s="59" t="str">
        <f t="shared" si="58"/>
        <v>Không</v>
      </c>
      <c r="AG1225" s="59" t="str">
        <f t="shared" si="59"/>
        <v>Không</v>
      </c>
      <c r="AH1225" s="29" t="str">
        <f t="shared" ca="1" si="57"/>
        <v>Không</v>
      </c>
      <c r="AI1225" s="29" t="str">
        <f ca="1">IF((R1225)&gt;=6,"Có","Không")</f>
        <v>Không</v>
      </c>
      <c r="AJ1225" s="29" t="str">
        <f>IF(OR(J1225&gt;=140,K1225&gt;=90),"Có","Không")</f>
        <v>Không</v>
      </c>
      <c r="AK1225" s="5" t="s">
        <v>51</v>
      </c>
      <c r="AL1225" s="35">
        <v>46173</v>
      </c>
      <c r="AM1225" s="29" t="str">
        <f>"Tháng "&amp;MONTH(AL1225)</f>
        <v>Tháng 5</v>
      </c>
      <c r="AN1225" s="69" t="s">
        <v>1376</v>
      </c>
    </row>
    <row r="1226" spans="1:40" x14ac:dyDescent="0.25">
      <c r="A1226" s="53" t="s">
        <v>1358</v>
      </c>
      <c r="B1226" s="20" t="s">
        <v>23</v>
      </c>
      <c r="C1226" s="35">
        <v>21186</v>
      </c>
      <c r="D1226" s="29">
        <f ca="1">DATEDIF(C1226,TODAY(),"Y")</f>
        <v>68</v>
      </c>
      <c r="E1226" s="5" t="s">
        <v>26</v>
      </c>
      <c r="F1226" s="30">
        <v>158</v>
      </c>
      <c r="G1226" s="30">
        <v>58</v>
      </c>
      <c r="H1226" s="31">
        <f>G1226/((F1226/100)*(F1226/100))</f>
        <v>23.233456176894723</v>
      </c>
      <c r="I1226" s="5">
        <v>65</v>
      </c>
      <c r="J1226" s="30">
        <v>140</v>
      </c>
      <c r="K1226" s="30">
        <v>80</v>
      </c>
      <c r="L1226" s="29">
        <f>IF(B1226="Nữ",0,2)</f>
        <v>0</v>
      </c>
      <c r="M1226" s="29">
        <f ca="1">IF(D1226&lt;45,0,IF(D1226&lt;=49,1,2))</f>
        <v>2</v>
      </c>
      <c r="N1226" s="29">
        <f>IF(E1226="Có",4,0)</f>
        <v>0</v>
      </c>
      <c r="O1226" s="29">
        <f>IF(H1226&lt;23,0,IF(H1226&lt;27.5,3,5))</f>
        <v>3</v>
      </c>
      <c r="P1226" s="29">
        <f>IF(OR(AND(B1226="Nam",I1226&gt;=90),AND(B1226="Nữ",I1226&gt;=80)),2,0)</f>
        <v>0</v>
      </c>
      <c r="Q1226" s="29">
        <f>IF(OR(J1226&gt;=140,K1226&gt;=90),2,0)</f>
        <v>2</v>
      </c>
      <c r="R1226" s="29">
        <f ca="1">SUM(L1226:Q1226)</f>
        <v>7</v>
      </c>
      <c r="S1226" s="33"/>
      <c r="T1226" s="33"/>
      <c r="U1226" s="33"/>
      <c r="V1226" s="33"/>
      <c r="W1226" s="33"/>
      <c r="X1226" s="33"/>
      <c r="Y1226" s="33"/>
      <c r="Z1226" s="33"/>
      <c r="AA1226" s="33"/>
      <c r="AB1226" s="33"/>
      <c r="AC1226" s="33"/>
      <c r="AD1226" s="5" t="s">
        <v>1393</v>
      </c>
      <c r="AE1226" s="33"/>
      <c r="AF1226" s="59" t="str">
        <f t="shared" si="58"/>
        <v>Không</v>
      </c>
      <c r="AG1226" s="59" t="str">
        <f t="shared" si="59"/>
        <v>Không</v>
      </c>
      <c r="AH1226" s="29" t="str">
        <f t="shared" ca="1" si="57"/>
        <v>Có</v>
      </c>
      <c r="AI1226" s="29" t="str">
        <f ca="1">IF((R1226)&gt;=6,"Có","Không")</f>
        <v>Có</v>
      </c>
      <c r="AJ1226" s="29" t="str">
        <f>IF(OR(J1226&gt;=140,K1226&gt;=90),"Có","Không")</f>
        <v>Có</v>
      </c>
      <c r="AK1226" s="5" t="s">
        <v>51</v>
      </c>
      <c r="AL1226" s="35">
        <v>46173</v>
      </c>
      <c r="AM1226" s="29" t="str">
        <f>"Tháng "&amp;MONTH(AL1226)</f>
        <v>Tháng 5</v>
      </c>
      <c r="AN1226" s="69" t="s">
        <v>1376</v>
      </c>
    </row>
    <row r="1227" spans="1:40" x14ac:dyDescent="0.25">
      <c r="A1227" s="53" t="s">
        <v>908</v>
      </c>
      <c r="B1227" s="20" t="s">
        <v>23</v>
      </c>
      <c r="C1227" s="35">
        <v>25934</v>
      </c>
      <c r="D1227" s="29">
        <f ca="1">DATEDIF(C1227,TODAY(),"Y")</f>
        <v>55</v>
      </c>
      <c r="E1227" s="5" t="s">
        <v>26</v>
      </c>
      <c r="F1227" s="30">
        <v>162</v>
      </c>
      <c r="G1227" s="30">
        <v>56</v>
      </c>
      <c r="H1227" s="31">
        <f>G1227/((F1227/100)*(F1227/100))</f>
        <v>21.338210638622158</v>
      </c>
      <c r="I1227" s="5">
        <v>83</v>
      </c>
      <c r="J1227" s="30">
        <v>130</v>
      </c>
      <c r="K1227" s="30">
        <v>80</v>
      </c>
      <c r="L1227" s="29">
        <f>IF(B1227="Nữ",0,2)</f>
        <v>0</v>
      </c>
      <c r="M1227" s="29">
        <f ca="1">IF(D1227&lt;45,0,IF(D1227&lt;=49,1,2))</f>
        <v>2</v>
      </c>
      <c r="N1227" s="29">
        <f>IF(E1227="Có",4,0)</f>
        <v>0</v>
      </c>
      <c r="O1227" s="29">
        <f>IF(H1227&lt;23,0,IF(H1227&lt;27.5,3,5))</f>
        <v>0</v>
      </c>
      <c r="P1227" s="29">
        <f>IF(OR(AND(B1227="Nam",I1227&gt;=90),AND(B1227="Nữ",I1227&gt;=80)),2,0)</f>
        <v>2</v>
      </c>
      <c r="Q1227" s="29">
        <f>IF(OR(J1227&gt;=140,K1227&gt;=90),2,0)</f>
        <v>0</v>
      </c>
      <c r="R1227" s="29">
        <f ca="1">SUM(L1227:Q1227)</f>
        <v>4</v>
      </c>
      <c r="S1227" s="33"/>
      <c r="T1227" s="33"/>
      <c r="U1227" s="33"/>
      <c r="V1227" s="33"/>
      <c r="W1227" s="33"/>
      <c r="X1227" s="33"/>
      <c r="Y1227" s="33"/>
      <c r="Z1227" s="33"/>
      <c r="AA1227" s="33"/>
      <c r="AB1227" s="33"/>
      <c r="AC1227" s="33"/>
      <c r="AD1227" s="5" t="s">
        <v>1393</v>
      </c>
      <c r="AE1227" s="33"/>
      <c r="AF1227" s="59" t="str">
        <f t="shared" si="58"/>
        <v>Không</v>
      </c>
      <c r="AG1227" s="59" t="str">
        <f t="shared" si="59"/>
        <v>Không</v>
      </c>
      <c r="AH1227" s="29" t="str">
        <f t="shared" ca="1" si="57"/>
        <v>Không</v>
      </c>
      <c r="AI1227" s="29" t="str">
        <f ca="1">IF((R1227)&gt;=6,"Có","Không")</f>
        <v>Không</v>
      </c>
      <c r="AJ1227" s="29" t="str">
        <f>IF(OR(J1227&gt;=140,K1227&gt;=90),"Có","Không")</f>
        <v>Không</v>
      </c>
      <c r="AK1227" s="5" t="s">
        <v>51</v>
      </c>
      <c r="AL1227" s="35">
        <v>46173</v>
      </c>
      <c r="AM1227" s="29" t="str">
        <f>"Tháng "&amp;MONTH(AL1227)</f>
        <v>Tháng 5</v>
      </c>
      <c r="AN1227" s="69" t="s">
        <v>1376</v>
      </c>
    </row>
    <row r="1228" spans="1:40" x14ac:dyDescent="0.25">
      <c r="A1228" s="53" t="s">
        <v>440</v>
      </c>
      <c r="B1228" s="20" t="s">
        <v>30</v>
      </c>
      <c r="C1228" s="35">
        <v>26299</v>
      </c>
      <c r="D1228" s="29">
        <f ca="1">DATEDIF(C1228,TODAY(),"Y")</f>
        <v>54</v>
      </c>
      <c r="E1228" s="5" t="s">
        <v>26</v>
      </c>
      <c r="F1228" s="30">
        <v>160</v>
      </c>
      <c r="G1228" s="30">
        <v>56</v>
      </c>
      <c r="H1228" s="31">
        <f>G1228/((F1228/100)*(F1228/100))</f>
        <v>21.874999999999996</v>
      </c>
      <c r="I1228" s="5">
        <v>72</v>
      </c>
      <c r="J1228" s="30">
        <v>120</v>
      </c>
      <c r="K1228" s="30">
        <v>80</v>
      </c>
      <c r="L1228" s="29">
        <f>IF(B1228="Nữ",0,2)</f>
        <v>2</v>
      </c>
      <c r="M1228" s="29">
        <f ca="1">IF(D1228&lt;45,0,IF(D1228&lt;=49,1,2))</f>
        <v>2</v>
      </c>
      <c r="N1228" s="29">
        <f>IF(E1228="Có",4,0)</f>
        <v>0</v>
      </c>
      <c r="O1228" s="29">
        <f>IF(H1228&lt;23,0,IF(H1228&lt;27.5,3,5))</f>
        <v>0</v>
      </c>
      <c r="P1228" s="29">
        <f>IF(OR(AND(B1228="Nam",I1228&gt;=90),AND(B1228="Nữ",I1228&gt;=80)),2,0)</f>
        <v>0</v>
      </c>
      <c r="Q1228" s="29">
        <f>IF(OR(J1228&gt;=140,K1228&gt;=90),2,0)</f>
        <v>0</v>
      </c>
      <c r="R1228" s="29">
        <f ca="1">SUM(L1228:Q1228)</f>
        <v>4</v>
      </c>
      <c r="S1228" s="33"/>
      <c r="T1228" s="33"/>
      <c r="U1228" s="33"/>
      <c r="V1228" s="33"/>
      <c r="W1228" s="33"/>
      <c r="X1228" s="33"/>
      <c r="Y1228" s="33"/>
      <c r="Z1228" s="33"/>
      <c r="AA1228" s="33"/>
      <c r="AB1228" s="33"/>
      <c r="AC1228" s="33"/>
      <c r="AD1228" s="5" t="s">
        <v>1393</v>
      </c>
      <c r="AE1228" s="33"/>
      <c r="AF1228" s="59" t="str">
        <f t="shared" si="58"/>
        <v>Không</v>
      </c>
      <c r="AG1228" s="59" t="str">
        <f t="shared" si="59"/>
        <v>Không</v>
      </c>
      <c r="AH1228" s="29" t="str">
        <f t="shared" ca="1" si="57"/>
        <v>Không</v>
      </c>
      <c r="AI1228" s="29" t="str">
        <f ca="1">IF((R1228)&gt;=6,"Có","Không")</f>
        <v>Không</v>
      </c>
      <c r="AJ1228" s="29" t="str">
        <f>IF(OR(J1228&gt;=140,K1228&gt;=90),"Có","Không")</f>
        <v>Không</v>
      </c>
      <c r="AK1228" s="5" t="s">
        <v>51</v>
      </c>
      <c r="AL1228" s="35">
        <v>46173</v>
      </c>
      <c r="AM1228" s="29" t="str">
        <f>"Tháng "&amp;MONTH(AL1228)</f>
        <v>Tháng 5</v>
      </c>
      <c r="AN1228" s="69" t="s">
        <v>1376</v>
      </c>
    </row>
    <row r="1229" spans="1:40" x14ac:dyDescent="0.25">
      <c r="A1229" s="53" t="s">
        <v>1360</v>
      </c>
      <c r="B1229" s="20" t="s">
        <v>23</v>
      </c>
      <c r="C1229" s="35">
        <v>23743</v>
      </c>
      <c r="D1229" s="29">
        <f ca="1">DATEDIF(C1229,TODAY(),"Y")</f>
        <v>61</v>
      </c>
      <c r="E1229" s="5" t="s">
        <v>26</v>
      </c>
      <c r="F1229" s="30">
        <v>175</v>
      </c>
      <c r="G1229" s="30">
        <v>80</v>
      </c>
      <c r="H1229" s="31">
        <f>G1229/((F1229/100)*(F1229/100))</f>
        <v>26.122448979591837</v>
      </c>
      <c r="I1229" s="5">
        <v>68</v>
      </c>
      <c r="J1229" s="30">
        <v>160</v>
      </c>
      <c r="K1229" s="30">
        <v>80</v>
      </c>
      <c r="L1229" s="29">
        <f>IF(B1229="Nữ",0,2)</f>
        <v>0</v>
      </c>
      <c r="M1229" s="29">
        <f ca="1">IF(D1229&lt;45,0,IF(D1229&lt;=49,1,2))</f>
        <v>2</v>
      </c>
      <c r="N1229" s="29">
        <f>IF(E1229="Có",4,0)</f>
        <v>0</v>
      </c>
      <c r="O1229" s="29">
        <f>IF(H1229&lt;23,0,IF(H1229&lt;27.5,3,5))</f>
        <v>3</v>
      </c>
      <c r="P1229" s="29">
        <f>IF(OR(AND(B1229="Nam",I1229&gt;=90),AND(B1229="Nữ",I1229&gt;=80)),2,0)</f>
        <v>0</v>
      </c>
      <c r="Q1229" s="29">
        <f>IF(OR(J1229&gt;=140,K1229&gt;=90),2,0)</f>
        <v>2</v>
      </c>
      <c r="R1229" s="29">
        <f ca="1">SUM(L1229:Q1229)</f>
        <v>7</v>
      </c>
      <c r="S1229" s="33"/>
      <c r="T1229" s="33"/>
      <c r="U1229" s="33"/>
      <c r="V1229" s="33"/>
      <c r="W1229" s="33"/>
      <c r="X1229" s="33"/>
      <c r="Y1229" s="33"/>
      <c r="Z1229" s="33"/>
      <c r="AA1229" s="33"/>
      <c r="AB1229" s="33"/>
      <c r="AC1229" s="33"/>
      <c r="AD1229" s="5" t="s">
        <v>1393</v>
      </c>
      <c r="AE1229" s="33"/>
      <c r="AF1229" s="59" t="str">
        <f t="shared" si="58"/>
        <v>Không</v>
      </c>
      <c r="AG1229" s="59" t="str">
        <f t="shared" si="59"/>
        <v>Không</v>
      </c>
      <c r="AH1229" s="29" t="str">
        <f t="shared" ca="1" si="57"/>
        <v>Có</v>
      </c>
      <c r="AI1229" s="29" t="str">
        <f ca="1">IF((R1229)&gt;=6,"Có","Không")</f>
        <v>Có</v>
      </c>
      <c r="AJ1229" s="29" t="str">
        <f>IF(OR(J1229&gt;=140,K1229&gt;=90),"Có","Không")</f>
        <v>Có</v>
      </c>
      <c r="AK1229" s="5" t="s">
        <v>51</v>
      </c>
      <c r="AL1229" s="35">
        <v>46173</v>
      </c>
      <c r="AM1229" s="29" t="str">
        <f>"Tháng "&amp;MONTH(AL1229)</f>
        <v>Tháng 5</v>
      </c>
      <c r="AN1229" s="69" t="s">
        <v>1376</v>
      </c>
    </row>
    <row r="1230" spans="1:40" x14ac:dyDescent="0.25">
      <c r="A1230" s="53" t="s">
        <v>1361</v>
      </c>
      <c r="B1230" s="20" t="s">
        <v>23</v>
      </c>
      <c r="C1230" s="35">
        <v>24473</v>
      </c>
      <c r="D1230" s="29">
        <f ca="1">DATEDIF(C1230,TODAY(),"Y")</f>
        <v>59</v>
      </c>
      <c r="E1230" s="5" t="s">
        <v>25</v>
      </c>
      <c r="F1230" s="30">
        <v>158</v>
      </c>
      <c r="G1230" s="30">
        <v>93</v>
      </c>
      <c r="H1230" s="31">
        <f>G1230/((F1230/100)*(F1230/100))</f>
        <v>37.25364524915878</v>
      </c>
      <c r="I1230" s="5">
        <v>77</v>
      </c>
      <c r="J1230" s="30">
        <v>140</v>
      </c>
      <c r="K1230" s="30">
        <v>80</v>
      </c>
      <c r="L1230" s="29">
        <f>IF(B1230="Nữ",0,2)</f>
        <v>0</v>
      </c>
      <c r="M1230" s="29">
        <f ca="1">IF(D1230&lt;45,0,IF(D1230&lt;=49,1,2))</f>
        <v>2</v>
      </c>
      <c r="N1230" s="29">
        <f>IF(E1230="Có",4,0)</f>
        <v>4</v>
      </c>
      <c r="O1230" s="29">
        <f>IF(H1230&lt;23,0,IF(H1230&lt;27.5,3,5))</f>
        <v>5</v>
      </c>
      <c r="P1230" s="29">
        <f>IF(OR(AND(B1230="Nam",I1230&gt;=90),AND(B1230="Nữ",I1230&gt;=80)),2,0)</f>
        <v>0</v>
      </c>
      <c r="Q1230" s="29">
        <f>IF(OR(J1230&gt;=140,K1230&gt;=90),2,0)</f>
        <v>2</v>
      </c>
      <c r="R1230" s="29">
        <f ca="1">SUM(L1230:Q1230)</f>
        <v>13</v>
      </c>
      <c r="S1230" s="33"/>
      <c r="T1230" s="33"/>
      <c r="U1230" s="33"/>
      <c r="V1230" s="33"/>
      <c r="W1230" s="33"/>
      <c r="X1230" s="33"/>
      <c r="Y1230" s="33"/>
      <c r="Z1230" s="33"/>
      <c r="AA1230" s="33"/>
      <c r="AB1230" s="33"/>
      <c r="AC1230" s="33"/>
      <c r="AD1230" s="5" t="s">
        <v>1393</v>
      </c>
      <c r="AE1230" s="33"/>
      <c r="AF1230" s="59" t="str">
        <f t="shared" si="58"/>
        <v>Không</v>
      </c>
      <c r="AG1230" s="59" t="str">
        <f t="shared" si="59"/>
        <v>Không</v>
      </c>
      <c r="AH1230" s="29" t="str">
        <f t="shared" ca="1" si="57"/>
        <v>Có</v>
      </c>
      <c r="AI1230" s="29" t="str">
        <f ca="1">IF((R1230)&gt;=6,"Có","Không")</f>
        <v>Có</v>
      </c>
      <c r="AJ1230" s="29" t="str">
        <f>IF(OR(J1230&gt;=140,K1230&gt;=90),"Có","Không")</f>
        <v>Có</v>
      </c>
      <c r="AK1230" s="5" t="s">
        <v>51</v>
      </c>
      <c r="AL1230" s="35">
        <v>46173</v>
      </c>
      <c r="AM1230" s="29" t="str">
        <f>"Tháng "&amp;MONTH(AL1230)</f>
        <v>Tháng 5</v>
      </c>
      <c r="AN1230" s="69" t="s">
        <v>1376</v>
      </c>
    </row>
    <row r="1231" spans="1:40" x14ac:dyDescent="0.25">
      <c r="A1231" s="53" t="s">
        <v>929</v>
      </c>
      <c r="B1231" s="20" t="s">
        <v>23</v>
      </c>
      <c r="C1231" s="35">
        <v>25934</v>
      </c>
      <c r="D1231" s="29">
        <f ca="1">DATEDIF(C1231,TODAY(),"Y")</f>
        <v>55</v>
      </c>
      <c r="E1231" s="5" t="s">
        <v>26</v>
      </c>
      <c r="F1231" s="30">
        <v>157</v>
      </c>
      <c r="G1231" s="30">
        <v>68</v>
      </c>
      <c r="H1231" s="31">
        <f>G1231/((F1231/100)*(F1231/100))</f>
        <v>27.587326057852245</v>
      </c>
      <c r="I1231" s="5">
        <v>78</v>
      </c>
      <c r="J1231" s="30">
        <v>130</v>
      </c>
      <c r="K1231" s="30">
        <v>80</v>
      </c>
      <c r="L1231" s="29">
        <f>IF(B1231="Nữ",0,2)</f>
        <v>0</v>
      </c>
      <c r="M1231" s="29">
        <f ca="1">IF(D1231&lt;45,0,IF(D1231&lt;=49,1,2))</f>
        <v>2</v>
      </c>
      <c r="N1231" s="29">
        <f>IF(E1231="Có",4,0)</f>
        <v>0</v>
      </c>
      <c r="O1231" s="29">
        <f>IF(H1231&lt;23,0,IF(H1231&lt;27.5,3,5))</f>
        <v>5</v>
      </c>
      <c r="P1231" s="29">
        <f>IF(OR(AND(B1231="Nam",I1231&gt;=90),AND(B1231="Nữ",I1231&gt;=80)),2,0)</f>
        <v>0</v>
      </c>
      <c r="Q1231" s="29">
        <f>IF(OR(J1231&gt;=140,K1231&gt;=90),2,0)</f>
        <v>0</v>
      </c>
      <c r="R1231" s="29">
        <f ca="1">SUM(L1231:Q1231)</f>
        <v>7</v>
      </c>
      <c r="S1231" s="33"/>
      <c r="T1231" s="33"/>
      <c r="U1231" s="33"/>
      <c r="V1231" s="33"/>
      <c r="W1231" s="33"/>
      <c r="X1231" s="33"/>
      <c r="Y1231" s="33"/>
      <c r="Z1231" s="33"/>
      <c r="AA1231" s="33"/>
      <c r="AB1231" s="33"/>
      <c r="AC1231" s="33"/>
      <c r="AD1231" s="5" t="s">
        <v>1393</v>
      </c>
      <c r="AE1231" s="33"/>
      <c r="AF1231" s="59" t="str">
        <f t="shared" si="58"/>
        <v>Không</v>
      </c>
      <c r="AG1231" s="59" t="str">
        <f t="shared" si="59"/>
        <v>Không</v>
      </c>
      <c r="AH1231" s="29" t="str">
        <f t="shared" ca="1" si="57"/>
        <v>Có</v>
      </c>
      <c r="AI1231" s="29" t="str">
        <f ca="1">IF((R1231)&gt;=6,"Có","Không")</f>
        <v>Có</v>
      </c>
      <c r="AJ1231" s="29" t="str">
        <f>IF(OR(J1231&gt;=140,K1231&gt;=90),"Có","Không")</f>
        <v>Không</v>
      </c>
      <c r="AK1231" s="5" t="s">
        <v>51</v>
      </c>
      <c r="AL1231" s="35">
        <v>46173</v>
      </c>
      <c r="AM1231" s="29" t="str">
        <f>"Tháng "&amp;MONTH(AL1231)</f>
        <v>Tháng 5</v>
      </c>
      <c r="AN1231" s="69" t="s">
        <v>1376</v>
      </c>
    </row>
    <row r="1232" spans="1:40" x14ac:dyDescent="0.25">
      <c r="A1232" s="53" t="s">
        <v>1362</v>
      </c>
      <c r="B1232" s="20" t="s">
        <v>23</v>
      </c>
      <c r="C1232" s="35">
        <v>25569</v>
      </c>
      <c r="D1232" s="29">
        <f ca="1">DATEDIF(C1232,TODAY(),"Y")</f>
        <v>56</v>
      </c>
      <c r="E1232" s="5" t="s">
        <v>25</v>
      </c>
      <c r="F1232" s="30">
        <v>169</v>
      </c>
      <c r="G1232" s="30">
        <v>68</v>
      </c>
      <c r="H1232" s="31">
        <f>G1232/((F1232/100)*(F1232/100))</f>
        <v>23.808690171912751</v>
      </c>
      <c r="I1232" s="5">
        <v>96</v>
      </c>
      <c r="J1232" s="30">
        <v>160</v>
      </c>
      <c r="K1232" s="30">
        <v>80</v>
      </c>
      <c r="L1232" s="29">
        <f>IF(B1232="Nữ",0,2)</f>
        <v>0</v>
      </c>
      <c r="M1232" s="29">
        <f ca="1">IF(D1232&lt;45,0,IF(D1232&lt;=49,1,2))</f>
        <v>2</v>
      </c>
      <c r="N1232" s="29">
        <f>IF(E1232="Có",4,0)</f>
        <v>4</v>
      </c>
      <c r="O1232" s="29">
        <f>IF(H1232&lt;23,0,IF(H1232&lt;27.5,3,5))</f>
        <v>3</v>
      </c>
      <c r="P1232" s="29">
        <f>IF(OR(AND(B1232="Nam",I1232&gt;=90),AND(B1232="Nữ",I1232&gt;=80)),2,0)</f>
        <v>2</v>
      </c>
      <c r="Q1232" s="29">
        <f>IF(OR(J1232&gt;=140,K1232&gt;=90),2,0)</f>
        <v>2</v>
      </c>
      <c r="R1232" s="29">
        <f ca="1">SUM(L1232:Q1232)</f>
        <v>13</v>
      </c>
      <c r="S1232" s="33"/>
      <c r="T1232" s="33"/>
      <c r="U1232" s="33"/>
      <c r="V1232" s="33"/>
      <c r="W1232" s="33"/>
      <c r="X1232" s="33"/>
      <c r="Y1232" s="33"/>
      <c r="Z1232" s="33"/>
      <c r="AA1232" s="33"/>
      <c r="AB1232" s="33"/>
      <c r="AC1232" s="33"/>
      <c r="AD1232" s="5" t="s">
        <v>1393</v>
      </c>
      <c r="AE1232" s="33"/>
      <c r="AF1232" s="59" t="str">
        <f t="shared" si="58"/>
        <v>Không</v>
      </c>
      <c r="AG1232" s="59" t="str">
        <f t="shared" si="59"/>
        <v>Không</v>
      </c>
      <c r="AH1232" s="29" t="str">
        <f t="shared" ca="1" si="57"/>
        <v>Có</v>
      </c>
      <c r="AI1232" s="29" t="str">
        <f ca="1">IF((R1232)&gt;=6,"Có","Không")</f>
        <v>Có</v>
      </c>
      <c r="AJ1232" s="29" t="str">
        <f>IF(OR(J1232&gt;=140,K1232&gt;=90),"Có","Không")</f>
        <v>Có</v>
      </c>
      <c r="AK1232" s="5" t="s">
        <v>51</v>
      </c>
      <c r="AL1232" s="35">
        <v>46173</v>
      </c>
      <c r="AM1232" s="29" t="str">
        <f>"Tháng "&amp;MONTH(AL1232)</f>
        <v>Tháng 5</v>
      </c>
      <c r="AN1232" s="69" t="s">
        <v>1376</v>
      </c>
    </row>
    <row r="1233" spans="1:40" x14ac:dyDescent="0.25">
      <c r="A1233" s="53" t="s">
        <v>102</v>
      </c>
      <c r="B1233" s="20" t="s">
        <v>23</v>
      </c>
      <c r="C1233" s="35">
        <v>24473</v>
      </c>
      <c r="D1233" s="29">
        <f ca="1">DATEDIF(C1233,TODAY(),"Y")</f>
        <v>59</v>
      </c>
      <c r="E1233" s="5" t="s">
        <v>25</v>
      </c>
      <c r="F1233" s="30">
        <v>147</v>
      </c>
      <c r="G1233" s="30">
        <v>47</v>
      </c>
      <c r="H1233" s="31">
        <f>G1233/((F1233/100)*(F1233/100))</f>
        <v>21.750196677310381</v>
      </c>
      <c r="I1233" s="5">
        <v>97</v>
      </c>
      <c r="J1233" s="30">
        <v>140</v>
      </c>
      <c r="K1233" s="30">
        <v>80</v>
      </c>
      <c r="L1233" s="29">
        <f>IF(B1233="Nữ",0,2)</f>
        <v>0</v>
      </c>
      <c r="M1233" s="29">
        <f ca="1">IF(D1233&lt;45,0,IF(D1233&lt;=49,1,2))</f>
        <v>2</v>
      </c>
      <c r="N1233" s="29">
        <f>IF(E1233="Có",4,0)</f>
        <v>4</v>
      </c>
      <c r="O1233" s="29">
        <f>IF(H1233&lt;23,0,IF(H1233&lt;27.5,3,5))</f>
        <v>0</v>
      </c>
      <c r="P1233" s="29">
        <f>IF(OR(AND(B1233="Nam",I1233&gt;=90),AND(B1233="Nữ",I1233&gt;=80)),2,0)</f>
        <v>2</v>
      </c>
      <c r="Q1233" s="29">
        <f>IF(OR(J1233&gt;=140,K1233&gt;=90),2,0)</f>
        <v>2</v>
      </c>
      <c r="R1233" s="29">
        <f ca="1">SUM(L1233:Q1233)</f>
        <v>10</v>
      </c>
      <c r="S1233" s="33"/>
      <c r="T1233" s="33"/>
      <c r="U1233" s="33"/>
      <c r="V1233" s="33"/>
      <c r="W1233" s="33"/>
      <c r="X1233" s="33"/>
      <c r="Y1233" s="33"/>
      <c r="Z1233" s="33"/>
      <c r="AA1233" s="33"/>
      <c r="AB1233" s="33"/>
      <c r="AC1233" s="33"/>
      <c r="AD1233" s="5" t="s">
        <v>1393</v>
      </c>
      <c r="AE1233" s="33"/>
      <c r="AF1233" s="59" t="str">
        <f t="shared" si="58"/>
        <v>Không</v>
      </c>
      <c r="AG1233" s="59" t="str">
        <f t="shared" si="59"/>
        <v>Không</v>
      </c>
      <c r="AH1233" s="29" t="str">
        <f t="shared" ca="1" si="57"/>
        <v>Có</v>
      </c>
      <c r="AI1233" s="29" t="str">
        <f ca="1">IF((R1233)&gt;=6,"Có","Không")</f>
        <v>Có</v>
      </c>
      <c r="AJ1233" s="29" t="str">
        <f>IF(OR(J1233&gt;=140,K1233&gt;=90),"Có","Không")</f>
        <v>Có</v>
      </c>
      <c r="AK1233" s="5" t="s">
        <v>51</v>
      </c>
      <c r="AL1233" s="35">
        <v>46173</v>
      </c>
      <c r="AM1233" s="29" t="str">
        <f>"Tháng "&amp;MONTH(AL1233)</f>
        <v>Tháng 5</v>
      </c>
      <c r="AN1233" s="69" t="s">
        <v>1376</v>
      </c>
    </row>
    <row r="1234" spans="1:40" x14ac:dyDescent="0.25">
      <c r="A1234" s="53" t="s">
        <v>1363</v>
      </c>
      <c r="B1234" s="20" t="s">
        <v>30</v>
      </c>
      <c r="C1234" s="35">
        <v>25569</v>
      </c>
      <c r="D1234" s="29">
        <f ca="1">DATEDIF(C1234,TODAY(),"Y")</f>
        <v>56</v>
      </c>
      <c r="E1234" s="5" t="s">
        <v>26</v>
      </c>
      <c r="F1234" s="30">
        <v>160</v>
      </c>
      <c r="G1234" s="30">
        <v>70</v>
      </c>
      <c r="H1234" s="31">
        <f>G1234/((F1234/100)*(F1234/100))</f>
        <v>27.343749999999996</v>
      </c>
      <c r="I1234" s="5">
        <v>86</v>
      </c>
      <c r="J1234" s="30">
        <v>140</v>
      </c>
      <c r="K1234" s="30">
        <v>80</v>
      </c>
      <c r="L1234" s="29">
        <f>IF(B1234="Nữ",0,2)</f>
        <v>2</v>
      </c>
      <c r="M1234" s="29">
        <f ca="1">IF(D1234&lt;45,0,IF(D1234&lt;=49,1,2))</f>
        <v>2</v>
      </c>
      <c r="N1234" s="29">
        <f>IF(E1234="Có",4,0)</f>
        <v>0</v>
      </c>
      <c r="O1234" s="29">
        <f>IF(H1234&lt;23,0,IF(H1234&lt;27.5,3,5))</f>
        <v>3</v>
      </c>
      <c r="P1234" s="29">
        <f>IF(OR(AND(B1234="Nam",I1234&gt;=90),AND(B1234="Nữ",I1234&gt;=80)),2,0)</f>
        <v>0</v>
      </c>
      <c r="Q1234" s="29">
        <f>IF(OR(J1234&gt;=140,K1234&gt;=90),2,0)</f>
        <v>2</v>
      </c>
      <c r="R1234" s="29">
        <f ca="1">SUM(L1234:Q1234)</f>
        <v>9</v>
      </c>
      <c r="S1234" s="33"/>
      <c r="T1234" s="33"/>
      <c r="U1234" s="33"/>
      <c r="V1234" s="33"/>
      <c r="W1234" s="33"/>
      <c r="X1234" s="33"/>
      <c r="Y1234" s="33"/>
      <c r="Z1234" s="33"/>
      <c r="AA1234" s="33"/>
      <c r="AB1234" s="33"/>
      <c r="AC1234" s="33"/>
      <c r="AD1234" s="5" t="s">
        <v>1393</v>
      </c>
      <c r="AE1234" s="33"/>
      <c r="AF1234" s="59" t="str">
        <f t="shared" si="58"/>
        <v>Không</v>
      </c>
      <c r="AG1234" s="59" t="str">
        <f t="shared" si="59"/>
        <v>Không</v>
      </c>
      <c r="AH1234" s="29" t="str">
        <f t="shared" ca="1" si="57"/>
        <v>Có</v>
      </c>
      <c r="AI1234" s="29" t="str">
        <f ca="1">IF((R1234)&gt;=6,"Có","Không")</f>
        <v>Có</v>
      </c>
      <c r="AJ1234" s="29" t="str">
        <f>IF(OR(J1234&gt;=140,K1234&gt;=90),"Có","Không")</f>
        <v>Có</v>
      </c>
      <c r="AK1234" s="5" t="s">
        <v>51</v>
      </c>
      <c r="AL1234" s="35">
        <v>46173</v>
      </c>
      <c r="AM1234" s="29" t="str">
        <f>"Tháng "&amp;MONTH(AL1234)</f>
        <v>Tháng 5</v>
      </c>
      <c r="AN1234" s="69" t="s">
        <v>1376</v>
      </c>
    </row>
    <row r="1235" spans="1:40" x14ac:dyDescent="0.25">
      <c r="A1235" s="53" t="s">
        <v>153</v>
      </c>
      <c r="B1235" s="20" t="s">
        <v>23</v>
      </c>
      <c r="C1235" s="35">
        <v>24108</v>
      </c>
      <c r="D1235" s="29">
        <f ca="1">DATEDIF(C1235,TODAY(),"Y")</f>
        <v>60</v>
      </c>
      <c r="E1235" s="5" t="s">
        <v>26</v>
      </c>
      <c r="F1235" s="30">
        <v>158</v>
      </c>
      <c r="G1235" s="30">
        <v>58</v>
      </c>
      <c r="H1235" s="31">
        <f>G1235/((F1235/100)*(F1235/100))</f>
        <v>23.233456176894723</v>
      </c>
      <c r="I1235" s="5">
        <v>75</v>
      </c>
      <c r="J1235" s="30">
        <v>160</v>
      </c>
      <c r="K1235" s="30">
        <v>80</v>
      </c>
      <c r="L1235" s="29">
        <f>IF(B1235="Nữ",0,2)</f>
        <v>0</v>
      </c>
      <c r="M1235" s="29">
        <f ca="1">IF(D1235&lt;45,0,IF(D1235&lt;=49,1,2))</f>
        <v>2</v>
      </c>
      <c r="N1235" s="29">
        <f>IF(E1235="Có",4,0)</f>
        <v>0</v>
      </c>
      <c r="O1235" s="29">
        <f>IF(H1235&lt;23,0,IF(H1235&lt;27.5,3,5))</f>
        <v>3</v>
      </c>
      <c r="P1235" s="29">
        <f>IF(OR(AND(B1235="Nam",I1235&gt;=90),AND(B1235="Nữ",I1235&gt;=80)),2,0)</f>
        <v>0</v>
      </c>
      <c r="Q1235" s="29">
        <f>IF(OR(J1235&gt;=140,K1235&gt;=90),2,0)</f>
        <v>2</v>
      </c>
      <c r="R1235" s="29">
        <f ca="1">SUM(L1235:Q1235)</f>
        <v>7</v>
      </c>
      <c r="S1235" s="33"/>
      <c r="T1235" s="33"/>
      <c r="U1235" s="33"/>
      <c r="V1235" s="33"/>
      <c r="W1235" s="33"/>
      <c r="X1235" s="33"/>
      <c r="Y1235" s="33"/>
      <c r="Z1235" s="33"/>
      <c r="AA1235" s="33"/>
      <c r="AB1235" s="33"/>
      <c r="AC1235" s="33"/>
      <c r="AD1235" s="5" t="s">
        <v>1393</v>
      </c>
      <c r="AE1235" s="33"/>
      <c r="AF1235" s="59" t="str">
        <f t="shared" si="58"/>
        <v>Không</v>
      </c>
      <c r="AG1235" s="59" t="str">
        <f t="shared" si="59"/>
        <v>Không</v>
      </c>
      <c r="AH1235" s="29" t="str">
        <f t="shared" ca="1" si="57"/>
        <v>Có</v>
      </c>
      <c r="AI1235" s="29" t="str">
        <f ca="1">IF((R1235)&gt;=6,"Có","Không")</f>
        <v>Có</v>
      </c>
      <c r="AJ1235" s="29" t="str">
        <f>IF(OR(J1235&gt;=140,K1235&gt;=90),"Có","Không")</f>
        <v>Có</v>
      </c>
      <c r="AK1235" s="5" t="s">
        <v>51</v>
      </c>
      <c r="AL1235" s="35">
        <v>46173</v>
      </c>
      <c r="AM1235" s="29" t="str">
        <f>"Tháng "&amp;MONTH(AL1235)</f>
        <v>Tháng 5</v>
      </c>
      <c r="AN1235" s="69" t="s">
        <v>1376</v>
      </c>
    </row>
    <row r="1236" spans="1:40" x14ac:dyDescent="0.25">
      <c r="A1236" s="53" t="s">
        <v>1364</v>
      </c>
      <c r="B1236" s="20" t="s">
        <v>30</v>
      </c>
      <c r="C1236" s="35">
        <v>26665</v>
      </c>
      <c r="D1236" s="29">
        <f ca="1">DATEDIF(C1236,TODAY(),"Y")</f>
        <v>53</v>
      </c>
      <c r="E1236" s="5" t="s">
        <v>26</v>
      </c>
      <c r="F1236" s="30">
        <v>169</v>
      </c>
      <c r="G1236" s="30">
        <v>68</v>
      </c>
      <c r="H1236" s="31">
        <f>G1236/((F1236/100)*(F1236/100))</f>
        <v>23.808690171912751</v>
      </c>
      <c r="I1236" s="5">
        <v>82</v>
      </c>
      <c r="J1236" s="30">
        <v>140</v>
      </c>
      <c r="K1236" s="30">
        <v>80</v>
      </c>
      <c r="L1236" s="29">
        <f>IF(B1236="Nữ",0,2)</f>
        <v>2</v>
      </c>
      <c r="M1236" s="29">
        <f ca="1">IF(D1236&lt;45,0,IF(D1236&lt;=49,1,2))</f>
        <v>2</v>
      </c>
      <c r="N1236" s="29">
        <f>IF(E1236="Có",4,0)</f>
        <v>0</v>
      </c>
      <c r="O1236" s="29">
        <f>IF(H1236&lt;23,0,IF(H1236&lt;27.5,3,5))</f>
        <v>3</v>
      </c>
      <c r="P1236" s="29">
        <f>IF(OR(AND(B1236="Nam",I1236&gt;=90),AND(B1236="Nữ",I1236&gt;=80)),2,0)</f>
        <v>0</v>
      </c>
      <c r="Q1236" s="29">
        <f>IF(OR(J1236&gt;=140,K1236&gt;=90),2,0)</f>
        <v>2</v>
      </c>
      <c r="R1236" s="29">
        <f ca="1">SUM(L1236:Q1236)</f>
        <v>9</v>
      </c>
      <c r="S1236" s="33"/>
      <c r="T1236" s="33"/>
      <c r="U1236" s="33"/>
      <c r="V1236" s="33"/>
      <c r="W1236" s="33"/>
      <c r="X1236" s="33"/>
      <c r="Y1236" s="33"/>
      <c r="Z1236" s="33"/>
      <c r="AA1236" s="33"/>
      <c r="AB1236" s="33"/>
      <c r="AC1236" s="33"/>
      <c r="AD1236" s="5" t="s">
        <v>1393</v>
      </c>
      <c r="AE1236" s="33"/>
      <c r="AF1236" s="59" t="str">
        <f t="shared" si="58"/>
        <v>Không</v>
      </c>
      <c r="AG1236" s="59" t="str">
        <f t="shared" si="59"/>
        <v>Không</v>
      </c>
      <c r="AH1236" s="29" t="str">
        <f t="shared" ca="1" si="57"/>
        <v>Có</v>
      </c>
      <c r="AI1236" s="29" t="str">
        <f ca="1">IF((R1236)&gt;=6,"Có","Không")</f>
        <v>Có</v>
      </c>
      <c r="AJ1236" s="29" t="str">
        <f>IF(OR(J1236&gt;=140,K1236&gt;=90),"Có","Không")</f>
        <v>Có</v>
      </c>
      <c r="AK1236" s="5" t="s">
        <v>51</v>
      </c>
      <c r="AL1236" s="35">
        <v>46173</v>
      </c>
      <c r="AM1236" s="29" t="str">
        <f>"Tháng "&amp;MONTH(AL1236)</f>
        <v>Tháng 5</v>
      </c>
      <c r="AN1236" s="69" t="s">
        <v>1376</v>
      </c>
    </row>
    <row r="1237" spans="1:40" x14ac:dyDescent="0.25">
      <c r="A1237" s="53" t="s">
        <v>1365</v>
      </c>
      <c r="B1237" s="22" t="s">
        <v>30</v>
      </c>
      <c r="C1237" s="35">
        <v>25934</v>
      </c>
      <c r="D1237" s="29">
        <f ca="1">DATEDIF(C1237,TODAY(),"Y")</f>
        <v>55</v>
      </c>
      <c r="E1237" s="5" t="s">
        <v>26</v>
      </c>
      <c r="F1237" s="30">
        <v>60</v>
      </c>
      <c r="G1237" s="30">
        <v>167</v>
      </c>
      <c r="H1237" s="31">
        <f>G1237/((F1237/100)*(F1237/100))</f>
        <v>463.88888888888891</v>
      </c>
      <c r="I1237" s="5">
        <v>88</v>
      </c>
      <c r="J1237" s="30">
        <v>120</v>
      </c>
      <c r="K1237" s="30">
        <v>80</v>
      </c>
      <c r="L1237" s="29">
        <f>IF(B1237="Nữ",0,2)</f>
        <v>2</v>
      </c>
      <c r="M1237" s="29">
        <f ca="1">IF(D1237&lt;45,0,IF(D1237&lt;=49,1,2))</f>
        <v>2</v>
      </c>
      <c r="N1237" s="29">
        <f>IF(E1237="Có",4,0)</f>
        <v>0</v>
      </c>
      <c r="O1237" s="29">
        <f>IF(H1237&lt;23,0,IF(H1237&lt;27.5,3,5))</f>
        <v>5</v>
      </c>
      <c r="P1237" s="29">
        <f>IF(OR(AND(B1237="Nam",I1237&gt;=90),AND(B1237="Nữ",I1237&gt;=80)),2,0)</f>
        <v>0</v>
      </c>
      <c r="Q1237" s="29">
        <f>IF(OR(J1237&gt;=140,K1237&gt;=90),2,0)</f>
        <v>0</v>
      </c>
      <c r="R1237" s="29">
        <f ca="1">SUM(L1237:Q1237)</f>
        <v>9</v>
      </c>
      <c r="S1237" s="33"/>
      <c r="T1237" s="33"/>
      <c r="U1237" s="33"/>
      <c r="V1237" s="33"/>
      <c r="W1237" s="33"/>
      <c r="X1237" s="33"/>
      <c r="Y1237" s="33"/>
      <c r="Z1237" s="33"/>
      <c r="AA1237" s="33"/>
      <c r="AB1237" s="33"/>
      <c r="AC1237" s="33"/>
      <c r="AD1237" s="5" t="s">
        <v>1393</v>
      </c>
      <c r="AE1237" s="33"/>
      <c r="AF1237" s="59" t="str">
        <f t="shared" si="58"/>
        <v>Không</v>
      </c>
      <c r="AG1237" s="59" t="str">
        <f t="shared" si="59"/>
        <v>Không</v>
      </c>
      <c r="AH1237" s="29" t="str">
        <f t="shared" ca="1" si="57"/>
        <v>Có</v>
      </c>
      <c r="AI1237" s="29" t="str">
        <f ca="1">IF((R1237)&gt;=6,"Có","Không")</f>
        <v>Có</v>
      </c>
      <c r="AJ1237" s="29" t="str">
        <f>IF(OR(J1237&gt;=140,K1237&gt;=90),"Có","Không")</f>
        <v>Không</v>
      </c>
      <c r="AK1237" s="5" t="s">
        <v>51</v>
      </c>
      <c r="AL1237" s="35">
        <v>46173</v>
      </c>
      <c r="AM1237" s="29" t="str">
        <f>"Tháng "&amp;MONTH(AL1237)</f>
        <v>Tháng 5</v>
      </c>
      <c r="AN1237" s="69" t="s">
        <v>1376</v>
      </c>
    </row>
    <row r="1238" spans="1:40" x14ac:dyDescent="0.25">
      <c r="A1238" s="53" t="s">
        <v>431</v>
      </c>
      <c r="B1238" s="22" t="s">
        <v>23</v>
      </c>
      <c r="C1238" s="35">
        <v>22647</v>
      </c>
      <c r="D1238" s="29">
        <f ca="1">DATEDIF(C1238,TODAY(),"Y")</f>
        <v>64</v>
      </c>
      <c r="E1238" s="5" t="s">
        <v>26</v>
      </c>
      <c r="F1238" s="30">
        <v>157</v>
      </c>
      <c r="G1238" s="30">
        <v>52</v>
      </c>
      <c r="H1238" s="31">
        <f>G1238/((F1238/100)*(F1238/100))</f>
        <v>21.096190514828187</v>
      </c>
      <c r="I1238" s="5">
        <v>88</v>
      </c>
      <c r="J1238" s="30">
        <v>120</v>
      </c>
      <c r="K1238" s="30">
        <v>80</v>
      </c>
      <c r="L1238" s="29">
        <f>IF(B1238="Nữ",0,2)</f>
        <v>0</v>
      </c>
      <c r="M1238" s="29">
        <f ca="1">IF(D1238&lt;45,0,IF(D1238&lt;=49,1,2))</f>
        <v>2</v>
      </c>
      <c r="N1238" s="29">
        <f>IF(E1238="Có",4,0)</f>
        <v>0</v>
      </c>
      <c r="O1238" s="29">
        <f>IF(H1238&lt;23,0,IF(H1238&lt;27.5,3,5))</f>
        <v>0</v>
      </c>
      <c r="P1238" s="29">
        <f>IF(OR(AND(B1238="Nam",I1238&gt;=90),AND(B1238="Nữ",I1238&gt;=80)),2,0)</f>
        <v>2</v>
      </c>
      <c r="Q1238" s="29">
        <f>IF(OR(J1238&gt;=140,K1238&gt;=90),2,0)</f>
        <v>0</v>
      </c>
      <c r="R1238" s="29">
        <f ca="1">SUM(L1238:Q1238)</f>
        <v>4</v>
      </c>
      <c r="S1238" s="33"/>
      <c r="T1238" s="33"/>
      <c r="U1238" s="33"/>
      <c r="V1238" s="33"/>
      <c r="W1238" s="33"/>
      <c r="X1238" s="33"/>
      <c r="Y1238" s="33"/>
      <c r="Z1238" s="33"/>
      <c r="AA1238" s="33"/>
      <c r="AB1238" s="33"/>
      <c r="AC1238" s="33"/>
      <c r="AD1238" s="5" t="s">
        <v>1393</v>
      </c>
      <c r="AE1238" s="33"/>
      <c r="AF1238" s="59" t="str">
        <f t="shared" si="58"/>
        <v>Không</v>
      </c>
      <c r="AG1238" s="59" t="str">
        <f t="shared" si="59"/>
        <v>Không</v>
      </c>
      <c r="AH1238" s="29" t="str">
        <f t="shared" ca="1" si="57"/>
        <v>Không</v>
      </c>
      <c r="AI1238" s="29" t="str">
        <f ca="1">IF((R1238)&gt;=6,"Có","Không")</f>
        <v>Không</v>
      </c>
      <c r="AJ1238" s="29" t="str">
        <f>IF(OR(J1238&gt;=140,K1238&gt;=90),"Có","Không")</f>
        <v>Không</v>
      </c>
      <c r="AK1238" s="5" t="s">
        <v>51</v>
      </c>
      <c r="AL1238" s="35">
        <v>46173</v>
      </c>
      <c r="AM1238" s="29" t="str">
        <f>"Tháng "&amp;MONTH(AL1238)</f>
        <v>Tháng 5</v>
      </c>
      <c r="AN1238" s="69" t="s">
        <v>1376</v>
      </c>
    </row>
    <row r="1239" spans="1:40" x14ac:dyDescent="0.25">
      <c r="A1239" s="53" t="s">
        <v>474</v>
      </c>
      <c r="B1239" s="22" t="s">
        <v>30</v>
      </c>
      <c r="C1239" s="35">
        <v>24108</v>
      </c>
      <c r="D1239" s="29">
        <f ca="1">DATEDIF(C1239,TODAY(),"Y")</f>
        <v>60</v>
      </c>
      <c r="E1239" s="5" t="s">
        <v>26</v>
      </c>
      <c r="F1239" s="30">
        <v>169</v>
      </c>
      <c r="G1239" s="30">
        <v>68</v>
      </c>
      <c r="H1239" s="31">
        <f>G1239/((F1239/100)*(F1239/100))</f>
        <v>23.808690171912751</v>
      </c>
      <c r="I1239" s="5">
        <v>89</v>
      </c>
      <c r="J1239" s="30">
        <v>150</v>
      </c>
      <c r="K1239" s="30">
        <v>80</v>
      </c>
      <c r="L1239" s="29">
        <f>IF(B1239="Nữ",0,2)</f>
        <v>2</v>
      </c>
      <c r="M1239" s="29">
        <f ca="1">IF(D1239&lt;45,0,IF(D1239&lt;=49,1,2))</f>
        <v>2</v>
      </c>
      <c r="N1239" s="29">
        <f>IF(E1239="Có",4,0)</f>
        <v>0</v>
      </c>
      <c r="O1239" s="29">
        <f>IF(H1239&lt;23,0,IF(H1239&lt;27.5,3,5))</f>
        <v>3</v>
      </c>
      <c r="P1239" s="29">
        <f>IF(OR(AND(B1239="Nam",I1239&gt;=90),AND(B1239="Nữ",I1239&gt;=80)),2,0)</f>
        <v>0</v>
      </c>
      <c r="Q1239" s="29">
        <f>IF(OR(J1239&gt;=140,K1239&gt;=90),2,0)</f>
        <v>2</v>
      </c>
      <c r="R1239" s="29">
        <f ca="1">SUM(L1239:Q1239)</f>
        <v>9</v>
      </c>
      <c r="S1239" s="33"/>
      <c r="T1239" s="33"/>
      <c r="U1239" s="33"/>
      <c r="V1239" s="33"/>
      <c r="W1239" s="33"/>
      <c r="X1239" s="33"/>
      <c r="Y1239" s="33"/>
      <c r="Z1239" s="33"/>
      <c r="AA1239" s="33"/>
      <c r="AB1239" s="33"/>
      <c r="AC1239" s="33"/>
      <c r="AD1239" s="5" t="s">
        <v>1393</v>
      </c>
      <c r="AE1239" s="33"/>
      <c r="AF1239" s="59" t="str">
        <f t="shared" si="58"/>
        <v>Không</v>
      </c>
      <c r="AG1239" s="59" t="str">
        <f t="shared" si="59"/>
        <v>Không</v>
      </c>
      <c r="AH1239" s="29" t="str">
        <f t="shared" ca="1" si="57"/>
        <v>Có</v>
      </c>
      <c r="AI1239" s="29" t="str">
        <f ca="1">IF((R1239)&gt;=6,"Có","Không")</f>
        <v>Có</v>
      </c>
      <c r="AJ1239" s="29" t="str">
        <f>IF(OR(J1239&gt;=140,K1239&gt;=90),"Có","Không")</f>
        <v>Có</v>
      </c>
      <c r="AK1239" s="5" t="s">
        <v>51</v>
      </c>
      <c r="AL1239" s="35">
        <v>46173</v>
      </c>
      <c r="AM1239" s="29" t="str">
        <f>"Tháng "&amp;MONTH(AL1239)</f>
        <v>Tháng 5</v>
      </c>
      <c r="AN1239" s="69" t="s">
        <v>1376</v>
      </c>
    </row>
    <row r="1240" spans="1:40" x14ac:dyDescent="0.25">
      <c r="A1240" s="53" t="s">
        <v>1366</v>
      </c>
      <c r="B1240" s="22" t="s">
        <v>30</v>
      </c>
      <c r="C1240" s="35">
        <v>21551</v>
      </c>
      <c r="D1240" s="29">
        <f ca="1">DATEDIF(C1240,TODAY(),"Y")</f>
        <v>67</v>
      </c>
      <c r="E1240" s="5" t="s">
        <v>26</v>
      </c>
      <c r="F1240" s="30">
        <v>160</v>
      </c>
      <c r="G1240" s="30">
        <v>67</v>
      </c>
      <c r="H1240" s="31">
        <f>G1240/((F1240/100)*(F1240/100))</f>
        <v>26.171874999999996</v>
      </c>
      <c r="I1240" s="5">
        <v>73</v>
      </c>
      <c r="J1240" s="30">
        <v>130</v>
      </c>
      <c r="K1240" s="30">
        <v>80</v>
      </c>
      <c r="L1240" s="29">
        <f>IF(B1240="Nữ",0,2)</f>
        <v>2</v>
      </c>
      <c r="M1240" s="29">
        <f ca="1">IF(D1240&lt;45,0,IF(D1240&lt;=49,1,2))</f>
        <v>2</v>
      </c>
      <c r="N1240" s="29">
        <f>IF(E1240="Có",4,0)</f>
        <v>0</v>
      </c>
      <c r="O1240" s="29">
        <f>IF(H1240&lt;23,0,IF(H1240&lt;27.5,3,5))</f>
        <v>3</v>
      </c>
      <c r="P1240" s="29">
        <f>IF(OR(AND(B1240="Nam",I1240&gt;=90),AND(B1240="Nữ",I1240&gt;=80)),2,0)</f>
        <v>0</v>
      </c>
      <c r="Q1240" s="29">
        <f>IF(OR(J1240&gt;=140,K1240&gt;=90),2,0)</f>
        <v>0</v>
      </c>
      <c r="R1240" s="29">
        <f ca="1">SUM(L1240:Q1240)</f>
        <v>7</v>
      </c>
      <c r="S1240" s="33"/>
      <c r="T1240" s="33"/>
      <c r="U1240" s="33"/>
      <c r="V1240" s="33"/>
      <c r="W1240" s="33"/>
      <c r="X1240" s="33"/>
      <c r="Y1240" s="33"/>
      <c r="Z1240" s="33"/>
      <c r="AA1240" s="33"/>
      <c r="AB1240" s="33"/>
      <c r="AC1240" s="33"/>
      <c r="AD1240" s="5" t="s">
        <v>1393</v>
      </c>
      <c r="AE1240" s="33"/>
      <c r="AF1240" s="59" t="str">
        <f t="shared" si="58"/>
        <v>Không</v>
      </c>
      <c r="AG1240" s="59" t="str">
        <f t="shared" si="59"/>
        <v>Không</v>
      </c>
      <c r="AH1240" s="29" t="str">
        <f t="shared" ca="1" si="57"/>
        <v>Có</v>
      </c>
      <c r="AI1240" s="29" t="str">
        <f ca="1">IF((R1240)&gt;=6,"Có","Không")</f>
        <v>Có</v>
      </c>
      <c r="AJ1240" s="29" t="str">
        <f>IF(OR(J1240&gt;=140,K1240&gt;=90),"Có","Không")</f>
        <v>Không</v>
      </c>
      <c r="AK1240" s="5" t="s">
        <v>51</v>
      </c>
      <c r="AL1240" s="35">
        <v>46173</v>
      </c>
      <c r="AM1240" s="29" t="str">
        <f>"Tháng "&amp;MONTH(AL1240)</f>
        <v>Tháng 5</v>
      </c>
      <c r="AN1240" s="69" t="s">
        <v>1376</v>
      </c>
    </row>
    <row r="1241" spans="1:40" x14ac:dyDescent="0.25">
      <c r="A1241" s="53" t="s">
        <v>895</v>
      </c>
      <c r="B1241" s="22" t="s">
        <v>23</v>
      </c>
      <c r="C1241" s="35">
        <v>25204</v>
      </c>
      <c r="D1241" s="29">
        <f ca="1">DATEDIF(C1241,TODAY(),"Y")</f>
        <v>57</v>
      </c>
      <c r="E1241" s="5" t="s">
        <v>26</v>
      </c>
      <c r="F1241" s="30">
        <v>150</v>
      </c>
      <c r="G1241" s="30">
        <v>48</v>
      </c>
      <c r="H1241" s="31">
        <f>G1241/((F1241/100)*(F1241/100))</f>
        <v>21.333333333333332</v>
      </c>
      <c r="I1241" s="5">
        <v>68</v>
      </c>
      <c r="J1241" s="30">
        <v>120</v>
      </c>
      <c r="K1241" s="30">
        <v>70</v>
      </c>
      <c r="L1241" s="29">
        <f>IF(B1241="Nữ",0,2)</f>
        <v>0</v>
      </c>
      <c r="M1241" s="29">
        <f ca="1">IF(D1241&lt;45,0,IF(D1241&lt;=49,1,2))</f>
        <v>2</v>
      </c>
      <c r="N1241" s="29">
        <f>IF(E1241="Có",4,0)</f>
        <v>0</v>
      </c>
      <c r="O1241" s="29">
        <f>IF(H1241&lt;23,0,IF(H1241&lt;27.5,3,5))</f>
        <v>0</v>
      </c>
      <c r="P1241" s="29">
        <f>IF(OR(AND(B1241="Nam",I1241&gt;=90),AND(B1241="Nữ",I1241&gt;=80)),2,0)</f>
        <v>0</v>
      </c>
      <c r="Q1241" s="29">
        <f>IF(OR(J1241&gt;=140,K1241&gt;=90),2,0)</f>
        <v>0</v>
      </c>
      <c r="R1241" s="29">
        <f ca="1">SUM(L1241:Q1241)</f>
        <v>2</v>
      </c>
      <c r="S1241" s="33"/>
      <c r="T1241" s="33"/>
      <c r="U1241" s="33"/>
      <c r="V1241" s="33"/>
      <c r="W1241" s="33"/>
      <c r="X1241" s="33"/>
      <c r="Y1241" s="33"/>
      <c r="Z1241" s="33"/>
      <c r="AA1241" s="33"/>
      <c r="AB1241" s="33"/>
      <c r="AC1241" s="33"/>
      <c r="AD1241" s="5" t="s">
        <v>1393</v>
      </c>
      <c r="AE1241" s="33"/>
      <c r="AF1241" s="59" t="str">
        <f t="shared" si="58"/>
        <v>Không</v>
      </c>
      <c r="AG1241" s="59" t="str">
        <f t="shared" si="59"/>
        <v>Không</v>
      </c>
      <c r="AH1241" s="29" t="str">
        <f t="shared" ca="1" si="57"/>
        <v>Không</v>
      </c>
      <c r="AI1241" s="29" t="str">
        <f ca="1">IF((R1241)&gt;=6,"Có","Không")</f>
        <v>Không</v>
      </c>
      <c r="AJ1241" s="29" t="str">
        <f>IF(OR(J1241&gt;=140,K1241&gt;=90),"Có","Không")</f>
        <v>Không</v>
      </c>
      <c r="AK1241" s="5" t="s">
        <v>51</v>
      </c>
      <c r="AL1241" s="35">
        <v>46173</v>
      </c>
      <c r="AM1241" s="29" t="str">
        <f>"Tháng "&amp;MONTH(AL1241)</f>
        <v>Tháng 5</v>
      </c>
      <c r="AN1241" s="69" t="s">
        <v>1376</v>
      </c>
    </row>
    <row r="1242" spans="1:40" x14ac:dyDescent="0.25">
      <c r="A1242" s="53" t="s">
        <v>378</v>
      </c>
      <c r="B1242" s="22" t="s">
        <v>30</v>
      </c>
      <c r="C1242" s="35">
        <v>24108</v>
      </c>
      <c r="D1242" s="29">
        <f ca="1">DATEDIF(C1242,TODAY(),"Y")</f>
        <v>60</v>
      </c>
      <c r="E1242" s="5" t="s">
        <v>26</v>
      </c>
      <c r="F1242" s="30">
        <v>158</v>
      </c>
      <c r="G1242" s="30">
        <v>58</v>
      </c>
      <c r="H1242" s="31">
        <f>G1242/((F1242/100)*(F1242/100))</f>
        <v>23.233456176894723</v>
      </c>
      <c r="I1242" s="5">
        <v>76</v>
      </c>
      <c r="J1242" s="30">
        <v>120</v>
      </c>
      <c r="K1242" s="30">
        <v>70</v>
      </c>
      <c r="L1242" s="29">
        <f>IF(B1242="Nữ",0,2)</f>
        <v>2</v>
      </c>
      <c r="M1242" s="29">
        <f ca="1">IF(D1242&lt;45,0,IF(D1242&lt;=49,1,2))</f>
        <v>2</v>
      </c>
      <c r="N1242" s="29">
        <f>IF(E1242="Có",4,0)</f>
        <v>0</v>
      </c>
      <c r="O1242" s="29">
        <f>IF(H1242&lt;23,0,IF(H1242&lt;27.5,3,5))</f>
        <v>3</v>
      </c>
      <c r="P1242" s="29">
        <f>IF(OR(AND(B1242="Nam",I1242&gt;=90),AND(B1242="Nữ",I1242&gt;=80)),2,0)</f>
        <v>0</v>
      </c>
      <c r="Q1242" s="29">
        <f>IF(OR(J1242&gt;=140,K1242&gt;=90),2,0)</f>
        <v>0</v>
      </c>
      <c r="R1242" s="29">
        <f ca="1">SUM(L1242:Q1242)</f>
        <v>7</v>
      </c>
      <c r="S1242" s="33"/>
      <c r="T1242" s="33"/>
      <c r="U1242" s="33"/>
      <c r="V1242" s="33"/>
      <c r="W1242" s="33"/>
      <c r="X1242" s="33"/>
      <c r="Y1242" s="33"/>
      <c r="Z1242" s="33"/>
      <c r="AA1242" s="33"/>
      <c r="AB1242" s="33"/>
      <c r="AC1242" s="33"/>
      <c r="AD1242" s="5" t="s">
        <v>1393</v>
      </c>
      <c r="AE1242" s="33"/>
      <c r="AF1242" s="59" t="str">
        <f t="shared" si="58"/>
        <v>Không</v>
      </c>
      <c r="AG1242" s="59" t="str">
        <f t="shared" si="59"/>
        <v>Không</v>
      </c>
      <c r="AH1242" s="29" t="str">
        <f t="shared" ca="1" si="57"/>
        <v>Có</v>
      </c>
      <c r="AI1242" s="29" t="str">
        <f ca="1">IF((R1242)&gt;=6,"Có","Không")</f>
        <v>Có</v>
      </c>
      <c r="AJ1242" s="29" t="str">
        <f>IF(OR(J1242&gt;=140,K1242&gt;=90),"Có","Không")</f>
        <v>Không</v>
      </c>
      <c r="AK1242" s="5" t="s">
        <v>51</v>
      </c>
      <c r="AL1242" s="35">
        <v>46173</v>
      </c>
      <c r="AM1242" s="29" t="str">
        <f>"Tháng "&amp;MONTH(AL1242)</f>
        <v>Tháng 5</v>
      </c>
      <c r="AN1242" s="69" t="s">
        <v>1376</v>
      </c>
    </row>
    <row r="1243" spans="1:40" x14ac:dyDescent="0.25">
      <c r="A1243" s="53" t="s">
        <v>377</v>
      </c>
      <c r="B1243" s="22" t="s">
        <v>23</v>
      </c>
      <c r="C1243" s="35">
        <v>22647</v>
      </c>
      <c r="D1243" s="29">
        <f ca="1">DATEDIF(C1243,TODAY(),"Y")</f>
        <v>64</v>
      </c>
      <c r="E1243" s="5" t="s">
        <v>26</v>
      </c>
      <c r="F1243" s="30">
        <v>170</v>
      </c>
      <c r="G1243" s="30">
        <v>70</v>
      </c>
      <c r="H1243" s="31">
        <f>G1243/((F1243/100)*(F1243/100))</f>
        <v>24.221453287197235</v>
      </c>
      <c r="I1243" s="5">
        <v>83</v>
      </c>
      <c r="J1243" s="30">
        <v>120</v>
      </c>
      <c r="K1243" s="30">
        <v>70</v>
      </c>
      <c r="L1243" s="29">
        <f>IF(B1243="Nữ",0,2)</f>
        <v>0</v>
      </c>
      <c r="M1243" s="29">
        <f ca="1">IF(D1243&lt;45,0,IF(D1243&lt;=49,1,2))</f>
        <v>2</v>
      </c>
      <c r="N1243" s="29">
        <f>IF(E1243="Có",4,0)</f>
        <v>0</v>
      </c>
      <c r="O1243" s="29">
        <f>IF(H1243&lt;23,0,IF(H1243&lt;27.5,3,5))</f>
        <v>3</v>
      </c>
      <c r="P1243" s="29">
        <f>IF(OR(AND(B1243="Nam",I1243&gt;=90),AND(B1243="Nữ",I1243&gt;=80)),2,0)</f>
        <v>2</v>
      </c>
      <c r="Q1243" s="29">
        <f>IF(OR(J1243&gt;=140,K1243&gt;=90),2,0)</f>
        <v>0</v>
      </c>
      <c r="R1243" s="29">
        <f ca="1">SUM(L1243:Q1243)</f>
        <v>7</v>
      </c>
      <c r="S1243" s="33"/>
      <c r="T1243" s="33"/>
      <c r="U1243" s="33"/>
      <c r="V1243" s="33"/>
      <c r="W1243" s="33"/>
      <c r="X1243" s="33"/>
      <c r="Y1243" s="33"/>
      <c r="Z1243" s="33"/>
      <c r="AA1243" s="33"/>
      <c r="AB1243" s="33"/>
      <c r="AC1243" s="33"/>
      <c r="AD1243" s="5" t="s">
        <v>1393</v>
      </c>
      <c r="AE1243" s="33"/>
      <c r="AF1243" s="59" t="str">
        <f t="shared" si="58"/>
        <v>Không</v>
      </c>
      <c r="AG1243" s="59" t="str">
        <f t="shared" si="59"/>
        <v>Không</v>
      </c>
      <c r="AH1243" s="29" t="str">
        <f t="shared" ca="1" si="57"/>
        <v>Có</v>
      </c>
      <c r="AI1243" s="29" t="str">
        <f ca="1">IF((R1243)&gt;=6,"Có","Không")</f>
        <v>Có</v>
      </c>
      <c r="AJ1243" s="29" t="str">
        <f>IF(OR(J1243&gt;=140,K1243&gt;=90),"Có","Không")</f>
        <v>Không</v>
      </c>
      <c r="AK1243" s="5" t="s">
        <v>51</v>
      </c>
      <c r="AL1243" s="35">
        <v>46173</v>
      </c>
      <c r="AM1243" s="29" t="str">
        <f>"Tháng "&amp;MONTH(AL1243)</f>
        <v>Tháng 5</v>
      </c>
      <c r="AN1243" s="69" t="s">
        <v>1376</v>
      </c>
    </row>
    <row r="1244" spans="1:40" x14ac:dyDescent="0.25">
      <c r="A1244" s="53" t="s">
        <v>859</v>
      </c>
      <c r="B1244" s="22" t="s">
        <v>23</v>
      </c>
      <c r="C1244" s="35">
        <v>21186</v>
      </c>
      <c r="D1244" s="29">
        <f ca="1">DATEDIF(C1244,TODAY(),"Y")</f>
        <v>68</v>
      </c>
      <c r="E1244" s="5" t="s">
        <v>26</v>
      </c>
      <c r="F1244" s="30">
        <v>155</v>
      </c>
      <c r="G1244" s="30">
        <v>70</v>
      </c>
      <c r="H1244" s="31">
        <f>G1244/((F1244/100)*(F1244/100))</f>
        <v>29.136316337148799</v>
      </c>
      <c r="I1244" s="5">
        <v>100</v>
      </c>
      <c r="J1244" s="30">
        <v>130</v>
      </c>
      <c r="K1244" s="30">
        <v>80</v>
      </c>
      <c r="L1244" s="29">
        <f>IF(B1244="Nữ",0,2)</f>
        <v>0</v>
      </c>
      <c r="M1244" s="29">
        <f ca="1">IF(D1244&lt;45,0,IF(D1244&lt;=49,1,2))</f>
        <v>2</v>
      </c>
      <c r="N1244" s="29">
        <f>IF(E1244="Có",4,0)</f>
        <v>0</v>
      </c>
      <c r="O1244" s="29">
        <f>IF(H1244&lt;23,0,IF(H1244&lt;27.5,3,5))</f>
        <v>5</v>
      </c>
      <c r="P1244" s="29">
        <f>IF(OR(AND(B1244="Nam",I1244&gt;=90),AND(B1244="Nữ",I1244&gt;=80)),2,0)</f>
        <v>2</v>
      </c>
      <c r="Q1244" s="29">
        <f>IF(OR(J1244&gt;=140,K1244&gt;=90),2,0)</f>
        <v>0</v>
      </c>
      <c r="R1244" s="29">
        <f ca="1">SUM(L1244:Q1244)</f>
        <v>9</v>
      </c>
      <c r="S1244" s="33"/>
      <c r="T1244" s="33"/>
      <c r="U1244" s="33"/>
      <c r="V1244" s="33"/>
      <c r="W1244" s="33"/>
      <c r="X1244" s="33"/>
      <c r="Y1244" s="33"/>
      <c r="Z1244" s="33"/>
      <c r="AA1244" s="33"/>
      <c r="AB1244" s="33"/>
      <c r="AC1244" s="33"/>
      <c r="AD1244" s="5" t="s">
        <v>1393</v>
      </c>
      <c r="AE1244" s="33"/>
      <c r="AF1244" s="59" t="str">
        <f t="shared" si="58"/>
        <v>Không</v>
      </c>
      <c r="AG1244" s="59" t="str">
        <f t="shared" si="59"/>
        <v>Không</v>
      </c>
      <c r="AH1244" s="29" t="str">
        <f t="shared" ca="1" si="57"/>
        <v>Có</v>
      </c>
      <c r="AI1244" s="29" t="str">
        <f ca="1">IF((R1244)&gt;=6,"Có","Không")</f>
        <v>Có</v>
      </c>
      <c r="AJ1244" s="29" t="str">
        <f>IF(OR(J1244&gt;=140,K1244&gt;=90),"Có","Không")</f>
        <v>Không</v>
      </c>
      <c r="AK1244" s="5" t="s">
        <v>51</v>
      </c>
      <c r="AL1244" s="35">
        <v>46173</v>
      </c>
      <c r="AM1244" s="29" t="str">
        <f>"Tháng "&amp;MONTH(AL1244)</f>
        <v>Tháng 5</v>
      </c>
      <c r="AN1244" s="69" t="s">
        <v>1376</v>
      </c>
    </row>
    <row r="1245" spans="1:40" x14ac:dyDescent="0.25">
      <c r="A1245" s="53" t="s">
        <v>607</v>
      </c>
      <c r="B1245" s="22" t="s">
        <v>30</v>
      </c>
      <c r="C1245" s="35">
        <v>23743</v>
      </c>
      <c r="D1245" s="29">
        <f ca="1">DATEDIF(C1245,TODAY(),"Y")</f>
        <v>61</v>
      </c>
      <c r="E1245" s="5" t="s">
        <v>26</v>
      </c>
      <c r="F1245" s="30">
        <v>160</v>
      </c>
      <c r="G1245" s="30">
        <v>55</v>
      </c>
      <c r="H1245" s="31">
        <f>G1245/((F1245/100)*(F1245/100))</f>
        <v>21.484374999999996</v>
      </c>
      <c r="I1245" s="5">
        <v>98</v>
      </c>
      <c r="J1245" s="30">
        <v>130</v>
      </c>
      <c r="K1245" s="30">
        <v>80</v>
      </c>
      <c r="L1245" s="29">
        <f>IF(B1245="Nữ",0,2)</f>
        <v>2</v>
      </c>
      <c r="M1245" s="29">
        <f ca="1">IF(D1245&lt;45,0,IF(D1245&lt;=49,1,2))</f>
        <v>2</v>
      </c>
      <c r="N1245" s="29">
        <f>IF(E1245="Có",4,0)</f>
        <v>0</v>
      </c>
      <c r="O1245" s="29">
        <f>IF(H1245&lt;23,0,IF(H1245&lt;27.5,3,5))</f>
        <v>0</v>
      </c>
      <c r="P1245" s="29">
        <f>IF(OR(AND(B1245="Nam",I1245&gt;=90),AND(B1245="Nữ",I1245&gt;=80)),2,0)</f>
        <v>2</v>
      </c>
      <c r="Q1245" s="29">
        <f>IF(OR(J1245&gt;=140,K1245&gt;=90),2,0)</f>
        <v>0</v>
      </c>
      <c r="R1245" s="29">
        <f ca="1">SUM(L1245:Q1245)</f>
        <v>6</v>
      </c>
      <c r="S1245" s="33"/>
      <c r="T1245" s="33"/>
      <c r="U1245" s="33"/>
      <c r="V1245" s="33"/>
      <c r="W1245" s="33"/>
      <c r="X1245" s="33"/>
      <c r="Y1245" s="33"/>
      <c r="Z1245" s="33"/>
      <c r="AA1245" s="33"/>
      <c r="AB1245" s="33"/>
      <c r="AC1245" s="33"/>
      <c r="AD1245" s="5" t="s">
        <v>1393</v>
      </c>
      <c r="AE1245" s="33"/>
      <c r="AF1245" s="59" t="str">
        <f t="shared" si="58"/>
        <v>Không</v>
      </c>
      <c r="AG1245" s="59" t="str">
        <f t="shared" si="59"/>
        <v>Không</v>
      </c>
      <c r="AH1245" s="29" t="str">
        <f t="shared" ca="1" si="57"/>
        <v>Có</v>
      </c>
      <c r="AI1245" s="29" t="str">
        <f ca="1">IF((R1245)&gt;=6,"Có","Không")</f>
        <v>Có</v>
      </c>
      <c r="AJ1245" s="29" t="str">
        <f>IF(OR(J1245&gt;=140,K1245&gt;=90),"Có","Không")</f>
        <v>Không</v>
      </c>
      <c r="AK1245" s="5" t="s">
        <v>51</v>
      </c>
      <c r="AL1245" s="35">
        <v>46173</v>
      </c>
      <c r="AM1245" s="29" t="str">
        <f>"Tháng "&amp;MONTH(AL1245)</f>
        <v>Tháng 5</v>
      </c>
      <c r="AN1245" s="69" t="s">
        <v>1376</v>
      </c>
    </row>
    <row r="1246" spans="1:40" x14ac:dyDescent="0.25">
      <c r="A1246" s="53" t="s">
        <v>1367</v>
      </c>
      <c r="B1246" s="22" t="s">
        <v>23</v>
      </c>
      <c r="C1246" s="35">
        <v>22647</v>
      </c>
      <c r="D1246" s="29">
        <f ca="1">DATEDIF(C1246,TODAY(),"Y")</f>
        <v>64</v>
      </c>
      <c r="E1246" s="5" t="s">
        <v>26</v>
      </c>
      <c r="F1246" s="30">
        <v>158</v>
      </c>
      <c r="G1246" s="30">
        <v>58</v>
      </c>
      <c r="H1246" s="31">
        <f>G1246/((F1246/100)*(F1246/100))</f>
        <v>23.233456176894723</v>
      </c>
      <c r="I1246" s="5">
        <v>65</v>
      </c>
      <c r="J1246" s="30">
        <v>120</v>
      </c>
      <c r="K1246" s="30">
        <v>80</v>
      </c>
      <c r="L1246" s="29">
        <f>IF(B1246="Nữ",0,2)</f>
        <v>0</v>
      </c>
      <c r="M1246" s="29">
        <f ca="1">IF(D1246&lt;45,0,IF(D1246&lt;=49,1,2))</f>
        <v>2</v>
      </c>
      <c r="N1246" s="29">
        <f>IF(E1246="Có",4,0)</f>
        <v>0</v>
      </c>
      <c r="O1246" s="29">
        <f>IF(H1246&lt;23,0,IF(H1246&lt;27.5,3,5))</f>
        <v>3</v>
      </c>
      <c r="P1246" s="29">
        <f>IF(OR(AND(B1246="Nam",I1246&gt;=90),AND(B1246="Nữ",I1246&gt;=80)),2,0)</f>
        <v>0</v>
      </c>
      <c r="Q1246" s="29">
        <f>IF(OR(J1246&gt;=140,K1246&gt;=90),2,0)</f>
        <v>0</v>
      </c>
      <c r="R1246" s="29">
        <f ca="1">SUM(L1246:Q1246)</f>
        <v>5</v>
      </c>
      <c r="S1246" s="33"/>
      <c r="T1246" s="33"/>
      <c r="U1246" s="33"/>
      <c r="V1246" s="33"/>
      <c r="W1246" s="33"/>
      <c r="X1246" s="33"/>
      <c r="Y1246" s="33"/>
      <c r="Z1246" s="33"/>
      <c r="AA1246" s="33"/>
      <c r="AB1246" s="33"/>
      <c r="AC1246" s="33"/>
      <c r="AD1246" s="5" t="s">
        <v>1393</v>
      </c>
      <c r="AE1246" s="33"/>
      <c r="AF1246" s="59" t="str">
        <f t="shared" si="58"/>
        <v>Không</v>
      </c>
      <c r="AG1246" s="59" t="str">
        <f t="shared" si="59"/>
        <v>Không</v>
      </c>
      <c r="AH1246" s="29" t="str">
        <f t="shared" ca="1" si="57"/>
        <v>Không</v>
      </c>
      <c r="AI1246" s="29" t="str">
        <f ca="1">IF((R1246)&gt;=6,"Có","Không")</f>
        <v>Không</v>
      </c>
      <c r="AJ1246" s="29" t="str">
        <f>IF(OR(J1246&gt;=140,K1246&gt;=90),"Có","Không")</f>
        <v>Không</v>
      </c>
      <c r="AK1246" s="5" t="s">
        <v>51</v>
      </c>
      <c r="AL1246" s="35">
        <v>46173</v>
      </c>
      <c r="AM1246" s="29" t="str">
        <f>"Tháng "&amp;MONTH(AL1246)</f>
        <v>Tháng 5</v>
      </c>
      <c r="AN1246" s="69" t="s">
        <v>1376</v>
      </c>
    </row>
    <row r="1247" spans="1:40" x14ac:dyDescent="0.25">
      <c r="A1247" s="53" t="s">
        <v>724</v>
      </c>
      <c r="B1247" s="22" t="s">
        <v>30</v>
      </c>
      <c r="C1247" s="35">
        <v>24473</v>
      </c>
      <c r="D1247" s="29">
        <f ca="1">DATEDIF(C1247,TODAY(),"Y")</f>
        <v>59</v>
      </c>
      <c r="E1247" s="5" t="s">
        <v>26</v>
      </c>
      <c r="F1247" s="30">
        <v>158</v>
      </c>
      <c r="G1247" s="30">
        <v>57</v>
      </c>
      <c r="H1247" s="31">
        <f>G1247/((F1247/100)*(F1247/100))</f>
        <v>22.832879346258608</v>
      </c>
      <c r="I1247" s="5">
        <v>75</v>
      </c>
      <c r="J1247" s="30">
        <v>120</v>
      </c>
      <c r="K1247" s="30">
        <v>80</v>
      </c>
      <c r="L1247" s="29">
        <f>IF(B1247="Nữ",0,2)</f>
        <v>2</v>
      </c>
      <c r="M1247" s="29">
        <f ca="1">IF(D1247&lt;45,0,IF(D1247&lt;=49,1,2))</f>
        <v>2</v>
      </c>
      <c r="N1247" s="29">
        <f>IF(E1247="Có",4,0)</f>
        <v>0</v>
      </c>
      <c r="O1247" s="29">
        <f>IF(H1247&lt;23,0,IF(H1247&lt;27.5,3,5))</f>
        <v>0</v>
      </c>
      <c r="P1247" s="29">
        <f>IF(OR(AND(B1247="Nam",I1247&gt;=90),AND(B1247="Nữ",I1247&gt;=80)),2,0)</f>
        <v>0</v>
      </c>
      <c r="Q1247" s="29">
        <f>IF(OR(J1247&gt;=140,K1247&gt;=90),2,0)</f>
        <v>0</v>
      </c>
      <c r="R1247" s="29">
        <f ca="1">SUM(L1247:Q1247)</f>
        <v>4</v>
      </c>
      <c r="S1247" s="33"/>
      <c r="T1247" s="33"/>
      <c r="U1247" s="33"/>
      <c r="V1247" s="33"/>
      <c r="W1247" s="33"/>
      <c r="X1247" s="33"/>
      <c r="Y1247" s="33"/>
      <c r="Z1247" s="33"/>
      <c r="AA1247" s="33"/>
      <c r="AB1247" s="33"/>
      <c r="AC1247" s="33"/>
      <c r="AD1247" s="5" t="s">
        <v>1393</v>
      </c>
      <c r="AE1247" s="33"/>
      <c r="AF1247" s="59" t="str">
        <f t="shared" si="58"/>
        <v>Không</v>
      </c>
      <c r="AG1247" s="59" t="str">
        <f t="shared" si="59"/>
        <v>Không</v>
      </c>
      <c r="AH1247" s="29" t="str">
        <f t="shared" ca="1" si="57"/>
        <v>Không</v>
      </c>
      <c r="AI1247" s="29" t="str">
        <f ca="1">IF((R1247)&gt;=6,"Có","Không")</f>
        <v>Không</v>
      </c>
      <c r="AJ1247" s="29" t="str">
        <f>IF(OR(J1247&gt;=140,K1247&gt;=90),"Có","Không")</f>
        <v>Không</v>
      </c>
      <c r="AK1247" s="5" t="s">
        <v>51</v>
      </c>
      <c r="AL1247" s="35">
        <v>46173</v>
      </c>
      <c r="AM1247" s="29" t="str">
        <f>"Tháng "&amp;MONTH(AL1247)</f>
        <v>Tháng 5</v>
      </c>
      <c r="AN1247" s="69" t="s">
        <v>1376</v>
      </c>
    </row>
    <row r="1248" spans="1:40" x14ac:dyDescent="0.25">
      <c r="A1248" s="53" t="s">
        <v>429</v>
      </c>
      <c r="B1248" s="22" t="s">
        <v>30</v>
      </c>
      <c r="C1248" s="35">
        <v>25204</v>
      </c>
      <c r="D1248" s="29">
        <f ca="1">DATEDIF(C1248,TODAY(),"Y")</f>
        <v>57</v>
      </c>
      <c r="E1248" s="5" t="s">
        <v>26</v>
      </c>
      <c r="F1248" s="30">
        <v>158</v>
      </c>
      <c r="G1248" s="30">
        <v>58</v>
      </c>
      <c r="H1248" s="31">
        <f>G1248/((F1248/100)*(F1248/100))</f>
        <v>23.233456176894723</v>
      </c>
      <c r="I1248" s="5">
        <v>87</v>
      </c>
      <c r="J1248" s="30">
        <v>120</v>
      </c>
      <c r="K1248" s="30">
        <v>70</v>
      </c>
      <c r="L1248" s="29">
        <f>IF(B1248="Nữ",0,2)</f>
        <v>2</v>
      </c>
      <c r="M1248" s="29">
        <f ca="1">IF(D1248&lt;45,0,IF(D1248&lt;=49,1,2))</f>
        <v>2</v>
      </c>
      <c r="N1248" s="29">
        <f>IF(E1248="Có",4,0)</f>
        <v>0</v>
      </c>
      <c r="O1248" s="29">
        <f>IF(H1248&lt;23,0,IF(H1248&lt;27.5,3,5))</f>
        <v>3</v>
      </c>
      <c r="P1248" s="29">
        <f>IF(OR(AND(B1248="Nam",I1248&gt;=90),AND(B1248="Nữ",I1248&gt;=80)),2,0)</f>
        <v>0</v>
      </c>
      <c r="Q1248" s="29">
        <f>IF(OR(J1248&gt;=140,K1248&gt;=90),2,0)</f>
        <v>0</v>
      </c>
      <c r="R1248" s="29">
        <f ca="1">SUM(L1248:Q1248)</f>
        <v>7</v>
      </c>
      <c r="S1248" s="33"/>
      <c r="T1248" s="33"/>
      <c r="U1248" s="33"/>
      <c r="V1248" s="33"/>
      <c r="W1248" s="33"/>
      <c r="X1248" s="33"/>
      <c r="Y1248" s="33"/>
      <c r="Z1248" s="33"/>
      <c r="AA1248" s="33"/>
      <c r="AB1248" s="33"/>
      <c r="AC1248" s="33"/>
      <c r="AD1248" s="5" t="s">
        <v>1393</v>
      </c>
      <c r="AE1248" s="33"/>
      <c r="AF1248" s="59" t="str">
        <f t="shared" si="58"/>
        <v>Không</v>
      </c>
      <c r="AG1248" s="59" t="str">
        <f t="shared" si="59"/>
        <v>Không</v>
      </c>
      <c r="AH1248" s="29" t="str">
        <f t="shared" ca="1" si="57"/>
        <v>Có</v>
      </c>
      <c r="AI1248" s="29" t="str">
        <f ca="1">IF((R1248)&gt;=6,"Có","Không")</f>
        <v>Có</v>
      </c>
      <c r="AJ1248" s="29" t="str">
        <f>IF(OR(J1248&gt;=140,K1248&gt;=90),"Có","Không")</f>
        <v>Không</v>
      </c>
      <c r="AK1248" s="5" t="s">
        <v>51</v>
      </c>
      <c r="AL1248" s="35">
        <v>46173</v>
      </c>
      <c r="AM1248" s="29" t="str">
        <f>"Tháng "&amp;MONTH(AL1248)</f>
        <v>Tháng 5</v>
      </c>
      <c r="AN1248" s="69" t="s">
        <v>1376</v>
      </c>
    </row>
    <row r="1249" spans="1:40" x14ac:dyDescent="0.25">
      <c r="A1249" s="53" t="s">
        <v>721</v>
      </c>
      <c r="B1249" s="22" t="s">
        <v>30</v>
      </c>
      <c r="C1249" s="35">
        <v>17899</v>
      </c>
      <c r="D1249" s="29">
        <f ca="1">DATEDIF(C1249,TODAY(),"Y")</f>
        <v>77</v>
      </c>
      <c r="E1249" s="5" t="s">
        <v>25</v>
      </c>
      <c r="F1249" s="30">
        <v>158</v>
      </c>
      <c r="G1249" s="30">
        <v>58</v>
      </c>
      <c r="H1249" s="31">
        <f>G1249/((F1249/100)*(F1249/100))</f>
        <v>23.233456176894723</v>
      </c>
      <c r="I1249" s="5">
        <v>79</v>
      </c>
      <c r="J1249" s="30">
        <v>120</v>
      </c>
      <c r="K1249" s="30">
        <v>80</v>
      </c>
      <c r="L1249" s="29">
        <f>IF(B1249="Nữ",0,2)</f>
        <v>2</v>
      </c>
      <c r="M1249" s="29">
        <f ca="1">IF(D1249&lt;45,0,IF(D1249&lt;=49,1,2))</f>
        <v>2</v>
      </c>
      <c r="N1249" s="29">
        <f>IF(E1249="Có",4,0)</f>
        <v>4</v>
      </c>
      <c r="O1249" s="29">
        <f>IF(H1249&lt;23,0,IF(H1249&lt;27.5,3,5))</f>
        <v>3</v>
      </c>
      <c r="P1249" s="29">
        <f>IF(OR(AND(B1249="Nam",I1249&gt;=90),AND(B1249="Nữ",I1249&gt;=80)),2,0)</f>
        <v>0</v>
      </c>
      <c r="Q1249" s="29">
        <f>IF(OR(J1249&gt;=140,K1249&gt;=90),2,0)</f>
        <v>0</v>
      </c>
      <c r="R1249" s="29">
        <f ca="1">SUM(L1249:Q1249)</f>
        <v>11</v>
      </c>
      <c r="S1249" s="33"/>
      <c r="T1249" s="33"/>
      <c r="U1249" s="33"/>
      <c r="V1249" s="33"/>
      <c r="W1249" s="33"/>
      <c r="X1249" s="33"/>
      <c r="Y1249" s="33"/>
      <c r="Z1249" s="33"/>
      <c r="AA1249" s="33"/>
      <c r="AB1249" s="33"/>
      <c r="AC1249" s="33"/>
      <c r="AD1249" s="5" t="s">
        <v>1393</v>
      </c>
      <c r="AE1249" s="33"/>
      <c r="AF1249" s="59" t="str">
        <f t="shared" si="58"/>
        <v>Không</v>
      </c>
      <c r="AG1249" s="59" t="str">
        <f t="shared" si="59"/>
        <v>Không</v>
      </c>
      <c r="AH1249" s="29" t="str">
        <f t="shared" ca="1" si="57"/>
        <v>Có</v>
      </c>
      <c r="AI1249" s="29" t="str">
        <f ca="1">IF((R1249)&gt;=6,"Có","Không")</f>
        <v>Có</v>
      </c>
      <c r="AJ1249" s="29" t="str">
        <f>IF(OR(J1249&gt;=140,K1249&gt;=90),"Có","Không")</f>
        <v>Không</v>
      </c>
      <c r="AK1249" s="5" t="s">
        <v>51</v>
      </c>
      <c r="AL1249" s="35">
        <v>46173</v>
      </c>
      <c r="AM1249" s="29" t="str">
        <f>"Tháng "&amp;MONTH(AL1249)</f>
        <v>Tháng 5</v>
      </c>
      <c r="AN1249" s="69" t="s">
        <v>1376</v>
      </c>
    </row>
    <row r="1250" spans="1:40" x14ac:dyDescent="0.25">
      <c r="A1250" s="53" t="s">
        <v>1370</v>
      </c>
      <c r="B1250" s="22" t="s">
        <v>23</v>
      </c>
      <c r="C1250" s="35">
        <v>24108</v>
      </c>
      <c r="D1250" s="29">
        <f ca="1">DATEDIF(C1250,TODAY(),"Y")</f>
        <v>60</v>
      </c>
      <c r="E1250" s="5" t="s">
        <v>25</v>
      </c>
      <c r="F1250" s="30">
        <v>158</v>
      </c>
      <c r="G1250" s="30">
        <v>58</v>
      </c>
      <c r="H1250" s="31">
        <f>G1250/((F1250/100)*(F1250/100))</f>
        <v>23.233456176894723</v>
      </c>
      <c r="I1250" s="5">
        <v>73</v>
      </c>
      <c r="J1250" s="30">
        <v>140</v>
      </c>
      <c r="K1250" s="30">
        <v>80</v>
      </c>
      <c r="L1250" s="29">
        <f>IF(B1250="Nữ",0,2)</f>
        <v>0</v>
      </c>
      <c r="M1250" s="29">
        <f ca="1">IF(D1250&lt;45,0,IF(D1250&lt;=49,1,2))</f>
        <v>2</v>
      </c>
      <c r="N1250" s="29">
        <f>IF(E1250="Có",4,0)</f>
        <v>4</v>
      </c>
      <c r="O1250" s="29">
        <f>IF(H1250&lt;23,0,IF(H1250&lt;27.5,3,5))</f>
        <v>3</v>
      </c>
      <c r="P1250" s="29">
        <f>IF(OR(AND(B1250="Nam",I1250&gt;=90),AND(B1250="Nữ",I1250&gt;=80)),2,0)</f>
        <v>0</v>
      </c>
      <c r="Q1250" s="29">
        <f>IF(OR(J1250&gt;=140,K1250&gt;=90),2,0)</f>
        <v>2</v>
      </c>
      <c r="R1250" s="29">
        <f ca="1">SUM(L1250:Q1250)</f>
        <v>11</v>
      </c>
      <c r="S1250" s="33"/>
      <c r="T1250" s="33"/>
      <c r="U1250" s="33"/>
      <c r="V1250" s="33"/>
      <c r="W1250" s="33"/>
      <c r="X1250" s="33"/>
      <c r="Y1250" s="33"/>
      <c r="Z1250" s="33"/>
      <c r="AA1250" s="33"/>
      <c r="AB1250" s="33"/>
      <c r="AC1250" s="33"/>
      <c r="AD1250" s="5" t="s">
        <v>1393</v>
      </c>
      <c r="AE1250" s="33"/>
      <c r="AF1250" s="59" t="str">
        <f t="shared" si="58"/>
        <v>Không</v>
      </c>
      <c r="AG1250" s="59" t="str">
        <f t="shared" si="59"/>
        <v>Không</v>
      </c>
      <c r="AH1250" s="29" t="str">
        <f t="shared" ca="1" si="57"/>
        <v>Có</v>
      </c>
      <c r="AI1250" s="29" t="str">
        <f ca="1">IF((R1250)&gt;=6,"Có","Không")</f>
        <v>Có</v>
      </c>
      <c r="AJ1250" s="29" t="str">
        <f>IF(OR(J1250&gt;=140,K1250&gt;=90),"Có","Không")</f>
        <v>Có</v>
      </c>
      <c r="AK1250" s="5" t="s">
        <v>51</v>
      </c>
      <c r="AL1250" s="35">
        <v>46173</v>
      </c>
      <c r="AM1250" s="29" t="str">
        <f>"Tháng "&amp;MONTH(AL1250)</f>
        <v>Tháng 5</v>
      </c>
      <c r="AN1250" s="69" t="s">
        <v>1376</v>
      </c>
    </row>
    <row r="1251" spans="1:40" x14ac:dyDescent="0.25">
      <c r="A1251" s="53" t="s">
        <v>162</v>
      </c>
      <c r="B1251" s="22" t="s">
        <v>23</v>
      </c>
      <c r="C1251" s="35">
        <v>29952</v>
      </c>
      <c r="D1251" s="29">
        <f ca="1">DATEDIF(C1251,TODAY(),"Y")</f>
        <v>44</v>
      </c>
      <c r="E1251" s="5" t="s">
        <v>26</v>
      </c>
      <c r="F1251" s="30">
        <v>160</v>
      </c>
      <c r="G1251" s="30">
        <v>70</v>
      </c>
      <c r="H1251" s="31">
        <f>G1251/((F1251/100)*(F1251/100))</f>
        <v>27.343749999999996</v>
      </c>
      <c r="I1251" s="5">
        <v>72</v>
      </c>
      <c r="J1251" s="30">
        <v>120</v>
      </c>
      <c r="K1251" s="30">
        <v>80</v>
      </c>
      <c r="L1251" s="29">
        <f>IF(B1251="Nữ",0,2)</f>
        <v>0</v>
      </c>
      <c r="M1251" s="29">
        <f ca="1">IF(D1251&lt;45,0,IF(D1251&lt;=49,1,2))</f>
        <v>0</v>
      </c>
      <c r="N1251" s="29">
        <f>IF(E1251="Có",4,0)</f>
        <v>0</v>
      </c>
      <c r="O1251" s="29">
        <f>IF(H1251&lt;23,0,IF(H1251&lt;27.5,3,5))</f>
        <v>3</v>
      </c>
      <c r="P1251" s="29">
        <f>IF(OR(AND(B1251="Nam",I1251&gt;=90),AND(B1251="Nữ",I1251&gt;=80)),2,0)</f>
        <v>0</v>
      </c>
      <c r="Q1251" s="29">
        <f>IF(OR(J1251&gt;=140,K1251&gt;=90),2,0)</f>
        <v>0</v>
      </c>
      <c r="R1251" s="29">
        <f ca="1">SUM(L1251:Q1251)</f>
        <v>3</v>
      </c>
      <c r="S1251" s="33"/>
      <c r="T1251" s="33"/>
      <c r="U1251" s="33"/>
      <c r="V1251" s="33"/>
      <c r="W1251" s="33"/>
      <c r="X1251" s="33"/>
      <c r="Y1251" s="33"/>
      <c r="Z1251" s="33"/>
      <c r="AA1251" s="33"/>
      <c r="AB1251" s="33"/>
      <c r="AC1251" s="33"/>
      <c r="AD1251" s="5" t="s">
        <v>1393</v>
      </c>
      <c r="AE1251" s="33"/>
      <c r="AF1251" s="59" t="str">
        <f t="shared" si="58"/>
        <v>Không</v>
      </c>
      <c r="AG1251" s="59" t="str">
        <f t="shared" si="59"/>
        <v>Không</v>
      </c>
      <c r="AH1251" s="29" t="str">
        <f t="shared" ca="1" si="57"/>
        <v>Không</v>
      </c>
      <c r="AI1251" s="29" t="str">
        <f ca="1">IF((R1251)&gt;=6,"Có","Không")</f>
        <v>Không</v>
      </c>
      <c r="AJ1251" s="29" t="str">
        <f>IF(OR(J1251&gt;=140,K1251&gt;=90),"Có","Không")</f>
        <v>Không</v>
      </c>
      <c r="AK1251" s="5" t="s">
        <v>51</v>
      </c>
      <c r="AL1251" s="35">
        <v>46173</v>
      </c>
      <c r="AM1251" s="29" t="str">
        <f>"Tháng "&amp;MONTH(AL1251)</f>
        <v>Tháng 5</v>
      </c>
      <c r="AN1251" s="69" t="s">
        <v>1376</v>
      </c>
    </row>
    <row r="1252" spans="1:40" x14ac:dyDescent="0.25">
      <c r="A1252" s="53" t="s">
        <v>679</v>
      </c>
      <c r="B1252" s="22" t="s">
        <v>30</v>
      </c>
      <c r="C1252" s="35">
        <v>22647</v>
      </c>
      <c r="D1252" s="29">
        <f ca="1">DATEDIF(C1252,TODAY(),"Y")</f>
        <v>64</v>
      </c>
      <c r="E1252" s="5" t="s">
        <v>26</v>
      </c>
      <c r="F1252" s="30">
        <v>169</v>
      </c>
      <c r="G1252" s="30">
        <v>68</v>
      </c>
      <c r="H1252" s="31">
        <f>G1252/((F1252/100)*(F1252/100))</f>
        <v>23.808690171912751</v>
      </c>
      <c r="I1252" s="5">
        <v>91</v>
      </c>
      <c r="J1252" s="30">
        <v>120</v>
      </c>
      <c r="K1252" s="30">
        <v>80</v>
      </c>
      <c r="L1252" s="29">
        <f>IF(B1252="Nữ",0,2)</f>
        <v>2</v>
      </c>
      <c r="M1252" s="29">
        <f ca="1">IF(D1252&lt;45,0,IF(D1252&lt;=49,1,2))</f>
        <v>2</v>
      </c>
      <c r="N1252" s="29">
        <f>IF(E1252="Có",4,0)</f>
        <v>0</v>
      </c>
      <c r="O1252" s="29">
        <f>IF(H1252&lt;23,0,IF(H1252&lt;27.5,3,5))</f>
        <v>3</v>
      </c>
      <c r="P1252" s="29">
        <f>IF(OR(AND(B1252="Nam",I1252&gt;=90),AND(B1252="Nữ",I1252&gt;=80)),2,0)</f>
        <v>2</v>
      </c>
      <c r="Q1252" s="29">
        <f>IF(OR(J1252&gt;=140,K1252&gt;=90),2,0)</f>
        <v>0</v>
      </c>
      <c r="R1252" s="29">
        <f ca="1">SUM(L1252:Q1252)</f>
        <v>9</v>
      </c>
      <c r="S1252" s="33"/>
      <c r="T1252" s="33"/>
      <c r="U1252" s="33"/>
      <c r="V1252" s="33"/>
      <c r="W1252" s="33"/>
      <c r="X1252" s="33"/>
      <c r="Y1252" s="33"/>
      <c r="Z1252" s="33"/>
      <c r="AA1252" s="33"/>
      <c r="AB1252" s="33"/>
      <c r="AC1252" s="33"/>
      <c r="AD1252" s="5" t="s">
        <v>1393</v>
      </c>
      <c r="AE1252" s="33"/>
      <c r="AF1252" s="59" t="str">
        <f t="shared" si="58"/>
        <v>Không</v>
      </c>
      <c r="AG1252" s="59" t="str">
        <f t="shared" si="59"/>
        <v>Không</v>
      </c>
      <c r="AH1252" s="29" t="str">
        <f t="shared" ca="1" si="57"/>
        <v>Có</v>
      </c>
      <c r="AI1252" s="29" t="str">
        <f ca="1">IF((R1252)&gt;=6,"Có","Không")</f>
        <v>Có</v>
      </c>
      <c r="AJ1252" s="29" t="str">
        <f>IF(OR(J1252&gt;=140,K1252&gt;=90),"Có","Không")</f>
        <v>Không</v>
      </c>
      <c r="AK1252" s="5" t="s">
        <v>51</v>
      </c>
      <c r="AL1252" s="35">
        <v>46173</v>
      </c>
      <c r="AM1252" s="29" t="str">
        <f>"Tháng "&amp;MONTH(AL1252)</f>
        <v>Tháng 5</v>
      </c>
      <c r="AN1252" s="69" t="s">
        <v>1376</v>
      </c>
    </row>
    <row r="1253" spans="1:40" x14ac:dyDescent="0.25">
      <c r="A1253" s="53" t="s">
        <v>1371</v>
      </c>
      <c r="B1253" s="22" t="s">
        <v>30</v>
      </c>
      <c r="C1253" s="35">
        <v>24838</v>
      </c>
      <c r="D1253" s="29">
        <f ca="1">DATEDIF(C1253,TODAY(),"Y")</f>
        <v>58</v>
      </c>
      <c r="E1253" s="5" t="s">
        <v>26</v>
      </c>
      <c r="F1253" s="30">
        <v>158</v>
      </c>
      <c r="G1253" s="30">
        <v>58</v>
      </c>
      <c r="H1253" s="31">
        <f>G1253/((F1253/100)*(F1253/100))</f>
        <v>23.233456176894723</v>
      </c>
      <c r="I1253" s="5">
        <v>65</v>
      </c>
      <c r="J1253" s="30">
        <v>120</v>
      </c>
      <c r="K1253" s="30">
        <v>80</v>
      </c>
      <c r="L1253" s="29">
        <f>IF(B1253="Nữ",0,2)</f>
        <v>2</v>
      </c>
      <c r="M1253" s="29">
        <f ca="1">IF(D1253&lt;45,0,IF(D1253&lt;=49,1,2))</f>
        <v>2</v>
      </c>
      <c r="N1253" s="29">
        <f>IF(E1253="Có",4,0)</f>
        <v>0</v>
      </c>
      <c r="O1253" s="29">
        <f>IF(H1253&lt;23,0,IF(H1253&lt;27.5,3,5))</f>
        <v>3</v>
      </c>
      <c r="P1253" s="29">
        <f>IF(OR(AND(B1253="Nam",I1253&gt;=90),AND(B1253="Nữ",I1253&gt;=80)),2,0)</f>
        <v>0</v>
      </c>
      <c r="Q1253" s="29">
        <f>IF(OR(J1253&gt;=140,K1253&gt;=90),2,0)</f>
        <v>0</v>
      </c>
      <c r="R1253" s="29">
        <f ca="1">SUM(L1253:Q1253)</f>
        <v>7</v>
      </c>
      <c r="S1253" s="33"/>
      <c r="T1253" s="33"/>
      <c r="U1253" s="33"/>
      <c r="V1253" s="33"/>
      <c r="W1253" s="33"/>
      <c r="X1253" s="33"/>
      <c r="Y1253" s="33"/>
      <c r="Z1253" s="33"/>
      <c r="AA1253" s="33"/>
      <c r="AB1253" s="33"/>
      <c r="AC1253" s="33"/>
      <c r="AD1253" s="5" t="s">
        <v>1393</v>
      </c>
      <c r="AE1253" s="33"/>
      <c r="AF1253" s="59" t="str">
        <f t="shared" si="58"/>
        <v>Không</v>
      </c>
      <c r="AG1253" s="59" t="str">
        <f t="shared" si="59"/>
        <v>Không</v>
      </c>
      <c r="AH1253" s="29" t="str">
        <f t="shared" ca="1" si="57"/>
        <v>Có</v>
      </c>
      <c r="AI1253" s="29" t="str">
        <f ca="1">IF((R1253)&gt;=6,"Có","Không")</f>
        <v>Có</v>
      </c>
      <c r="AJ1253" s="29" t="str">
        <f>IF(OR(J1253&gt;=140,K1253&gt;=90),"Có","Không")</f>
        <v>Không</v>
      </c>
      <c r="AK1253" s="5" t="s">
        <v>51</v>
      </c>
      <c r="AL1253" s="35">
        <v>46173</v>
      </c>
      <c r="AM1253" s="29" t="str">
        <f>"Tháng "&amp;MONTH(AL1253)</f>
        <v>Tháng 5</v>
      </c>
      <c r="AN1253" s="69" t="s">
        <v>1376</v>
      </c>
    </row>
    <row r="1254" spans="1:40" x14ac:dyDescent="0.25">
      <c r="A1254" s="53" t="s">
        <v>1372</v>
      </c>
      <c r="B1254" s="22" t="s">
        <v>23</v>
      </c>
      <c r="C1254" s="35">
        <v>26665</v>
      </c>
      <c r="D1254" s="29">
        <f ca="1">DATEDIF(C1254,TODAY(),"Y")</f>
        <v>53</v>
      </c>
      <c r="E1254" s="5" t="s">
        <v>26</v>
      </c>
      <c r="F1254" s="30">
        <v>158</v>
      </c>
      <c r="G1254" s="30">
        <v>58</v>
      </c>
      <c r="H1254" s="31">
        <f>G1254/((F1254/100)*(F1254/100))</f>
        <v>23.233456176894723</v>
      </c>
      <c r="I1254" s="5">
        <v>74</v>
      </c>
      <c r="J1254" s="30">
        <v>120</v>
      </c>
      <c r="K1254" s="30">
        <v>80</v>
      </c>
      <c r="L1254" s="29">
        <f>IF(B1254="Nữ",0,2)</f>
        <v>0</v>
      </c>
      <c r="M1254" s="29">
        <f ca="1">IF(D1254&lt;45,0,IF(D1254&lt;=49,1,2))</f>
        <v>2</v>
      </c>
      <c r="N1254" s="29">
        <f>IF(E1254="Có",4,0)</f>
        <v>0</v>
      </c>
      <c r="O1254" s="29">
        <f>IF(H1254&lt;23,0,IF(H1254&lt;27.5,3,5))</f>
        <v>3</v>
      </c>
      <c r="P1254" s="29">
        <f>IF(OR(AND(B1254="Nam",I1254&gt;=90),AND(B1254="Nữ",I1254&gt;=80)),2,0)</f>
        <v>0</v>
      </c>
      <c r="Q1254" s="29">
        <f>IF(OR(J1254&gt;=140,K1254&gt;=90),2,0)</f>
        <v>0</v>
      </c>
      <c r="R1254" s="29">
        <f ca="1">SUM(L1254:Q1254)</f>
        <v>5</v>
      </c>
      <c r="S1254" s="33"/>
      <c r="T1254" s="33"/>
      <c r="U1254" s="33"/>
      <c r="V1254" s="33"/>
      <c r="W1254" s="33"/>
      <c r="X1254" s="33"/>
      <c r="Y1254" s="33"/>
      <c r="Z1254" s="33"/>
      <c r="AA1254" s="33"/>
      <c r="AB1254" s="33"/>
      <c r="AC1254" s="33"/>
      <c r="AD1254" s="5" t="s">
        <v>1393</v>
      </c>
      <c r="AE1254" s="33"/>
      <c r="AF1254" s="59" t="str">
        <f t="shared" si="58"/>
        <v>Không</v>
      </c>
      <c r="AG1254" s="59" t="str">
        <f t="shared" si="59"/>
        <v>Không</v>
      </c>
      <c r="AH1254" s="29" t="str">
        <f t="shared" ca="1" si="57"/>
        <v>Không</v>
      </c>
      <c r="AI1254" s="29" t="str">
        <f ca="1">IF((R1254)&gt;=6,"Có","Không")</f>
        <v>Không</v>
      </c>
      <c r="AJ1254" s="29" t="str">
        <f>IF(OR(J1254&gt;=140,K1254&gt;=90),"Có","Không")</f>
        <v>Không</v>
      </c>
      <c r="AK1254" s="5" t="s">
        <v>51</v>
      </c>
      <c r="AL1254" s="35">
        <v>46173</v>
      </c>
      <c r="AM1254" s="29" t="str">
        <f>"Tháng "&amp;MONTH(AL1254)</f>
        <v>Tháng 5</v>
      </c>
      <c r="AN1254" s="69" t="s">
        <v>1376</v>
      </c>
    </row>
    <row r="1255" spans="1:40" x14ac:dyDescent="0.25">
      <c r="A1255" s="54" t="s">
        <v>1378</v>
      </c>
      <c r="B1255" s="15" t="s">
        <v>1373</v>
      </c>
      <c r="C1255" s="35">
        <v>27395</v>
      </c>
      <c r="D1255" s="29">
        <f ca="1">DATEDIF(C1255,TODAY(),"Y")</f>
        <v>51</v>
      </c>
      <c r="E1255" s="5" t="s">
        <v>26</v>
      </c>
      <c r="F1255" s="30">
        <v>158</v>
      </c>
      <c r="G1255" s="30">
        <v>58</v>
      </c>
      <c r="H1255" s="31">
        <f>G1255/((F1255/100)*(F1255/100))</f>
        <v>23.233456176894723</v>
      </c>
      <c r="I1255" s="5">
        <v>88</v>
      </c>
      <c r="J1255" s="30">
        <v>120</v>
      </c>
      <c r="K1255" s="30">
        <v>80</v>
      </c>
      <c r="L1255" s="29">
        <f>IF(B1255="Nữ",0,2)</f>
        <v>0</v>
      </c>
      <c r="M1255" s="29">
        <f ca="1">IF(D1255&lt;45,0,IF(D1255&lt;=49,1,2))</f>
        <v>2</v>
      </c>
      <c r="N1255" s="29">
        <f>IF(E1255="Có",4,0)</f>
        <v>0</v>
      </c>
      <c r="O1255" s="29">
        <f>IF(H1255&lt;23,0,IF(H1255&lt;27.5,3,5))</f>
        <v>3</v>
      </c>
      <c r="P1255" s="29">
        <f>IF(OR(AND(B1255="Nam",I1255&gt;=90),AND(B1255="Nữ",I1255&gt;=80)),2,0)</f>
        <v>2</v>
      </c>
      <c r="Q1255" s="29">
        <f>IF(OR(J1255&gt;=140,K1255&gt;=90),2,0)</f>
        <v>0</v>
      </c>
      <c r="R1255" s="29">
        <f ca="1">SUM(L1255:Q1255)</f>
        <v>7</v>
      </c>
      <c r="S1255" s="33"/>
      <c r="T1255" s="33"/>
      <c r="U1255" s="33"/>
      <c r="V1255" s="33"/>
      <c r="W1255" s="33"/>
      <c r="X1255" s="33"/>
      <c r="Y1255" s="33"/>
      <c r="Z1255" s="33"/>
      <c r="AA1255" s="33"/>
      <c r="AB1255" s="33"/>
      <c r="AC1255" s="33"/>
      <c r="AD1255" s="5" t="s">
        <v>1393</v>
      </c>
      <c r="AE1255" s="33"/>
      <c r="AF1255" s="59" t="str">
        <f t="shared" si="58"/>
        <v>Không</v>
      </c>
      <c r="AG1255" s="59" t="str">
        <f t="shared" si="59"/>
        <v>Không</v>
      </c>
      <c r="AH1255" s="29" t="str">
        <f t="shared" ca="1" si="57"/>
        <v>Có</v>
      </c>
      <c r="AI1255" s="29" t="str">
        <f ca="1">IF((R1255)&gt;=6,"Có","Không")</f>
        <v>Có</v>
      </c>
      <c r="AJ1255" s="29" t="str">
        <f>IF(OR(J1255&gt;=140,K1255&gt;=90),"Có","Không")</f>
        <v>Không</v>
      </c>
      <c r="AK1255" s="5" t="s">
        <v>51</v>
      </c>
      <c r="AL1255" s="35">
        <v>46173</v>
      </c>
      <c r="AM1255" s="29" t="str">
        <f>"Tháng "&amp;MONTH(AL1255)</f>
        <v>Tháng 5</v>
      </c>
      <c r="AN1255" s="69" t="s">
        <v>1376</v>
      </c>
    </row>
    <row r="1256" spans="1:40" x14ac:dyDescent="0.25">
      <c r="A1256" s="54" t="s">
        <v>1380</v>
      </c>
      <c r="B1256" s="15" t="s">
        <v>1373</v>
      </c>
      <c r="C1256" s="35">
        <v>22282</v>
      </c>
      <c r="D1256" s="29">
        <f ca="1">DATEDIF(C1256,TODAY(),"Y")</f>
        <v>65</v>
      </c>
      <c r="E1256" s="5" t="s">
        <v>26</v>
      </c>
      <c r="F1256" s="30">
        <v>170</v>
      </c>
      <c r="G1256" s="30">
        <v>52</v>
      </c>
      <c r="H1256" s="31">
        <f>G1256/((F1256/100)*(F1256/100))</f>
        <v>17.993079584775089</v>
      </c>
      <c r="I1256" s="5">
        <v>65</v>
      </c>
      <c r="J1256" s="30">
        <v>120</v>
      </c>
      <c r="K1256" s="30">
        <v>80</v>
      </c>
      <c r="L1256" s="29">
        <f>IF(B1256="Nữ",0,2)</f>
        <v>0</v>
      </c>
      <c r="M1256" s="29">
        <f ca="1">IF(D1256&lt;45,0,IF(D1256&lt;=49,1,2))</f>
        <v>2</v>
      </c>
      <c r="N1256" s="29">
        <f>IF(E1256="Có",4,0)</f>
        <v>0</v>
      </c>
      <c r="O1256" s="29">
        <f>IF(H1256&lt;23,0,IF(H1256&lt;27.5,3,5))</f>
        <v>0</v>
      </c>
      <c r="P1256" s="29">
        <f>IF(OR(AND(B1256="Nam",I1256&gt;=90),AND(B1256="Nữ",I1256&gt;=80)),2,0)</f>
        <v>0</v>
      </c>
      <c r="Q1256" s="29">
        <f>IF(OR(J1256&gt;=140,K1256&gt;=90),2,0)</f>
        <v>0</v>
      </c>
      <c r="R1256" s="29">
        <f ca="1">SUM(L1256:Q1256)</f>
        <v>2</v>
      </c>
      <c r="S1256" s="33"/>
      <c r="T1256" s="33"/>
      <c r="U1256" s="33"/>
      <c r="V1256" s="33"/>
      <c r="W1256" s="33"/>
      <c r="X1256" s="33"/>
      <c r="Y1256" s="33"/>
      <c r="Z1256" s="33"/>
      <c r="AA1256" s="33"/>
      <c r="AB1256" s="33"/>
      <c r="AC1256" s="33"/>
      <c r="AD1256" s="5" t="s">
        <v>1393</v>
      </c>
      <c r="AE1256" s="33"/>
      <c r="AF1256" s="59" t="str">
        <f t="shared" si="58"/>
        <v>Không</v>
      </c>
      <c r="AG1256" s="59" t="str">
        <f t="shared" si="59"/>
        <v>Không</v>
      </c>
      <c r="AH1256" s="29" t="str">
        <f t="shared" ca="1" si="57"/>
        <v>Không</v>
      </c>
      <c r="AI1256" s="29" t="str">
        <f ca="1">IF((R1256)&gt;=6,"Có","Không")</f>
        <v>Không</v>
      </c>
      <c r="AJ1256" s="29" t="str">
        <f>IF(OR(J1256&gt;=140,K1256&gt;=90),"Có","Không")</f>
        <v>Không</v>
      </c>
      <c r="AK1256" s="5" t="s">
        <v>51</v>
      </c>
      <c r="AL1256" s="35">
        <v>46173</v>
      </c>
      <c r="AM1256" s="29" t="str">
        <f>"Tháng "&amp;MONTH(AL1256)</f>
        <v>Tháng 5</v>
      </c>
      <c r="AN1256" s="69" t="s">
        <v>1376</v>
      </c>
    </row>
    <row r="1257" spans="1:40" x14ac:dyDescent="0.25">
      <c r="A1257" s="54" t="s">
        <v>1381</v>
      </c>
      <c r="B1257" s="15" t="s">
        <v>1373</v>
      </c>
      <c r="C1257" s="35">
        <v>21916</v>
      </c>
      <c r="D1257" s="29">
        <f ca="1">DATEDIF(C1257,TODAY(),"Y")</f>
        <v>66</v>
      </c>
      <c r="E1257" s="5" t="s">
        <v>26</v>
      </c>
      <c r="F1257" s="30">
        <v>169</v>
      </c>
      <c r="G1257" s="30">
        <v>69</v>
      </c>
      <c r="H1257" s="31">
        <f>G1257/((F1257/100)*(F1257/100))</f>
        <v>24.158817968558527</v>
      </c>
      <c r="I1257" s="5">
        <v>72</v>
      </c>
      <c r="J1257" s="30">
        <v>120</v>
      </c>
      <c r="K1257" s="30">
        <v>80</v>
      </c>
      <c r="L1257" s="29">
        <f>IF(B1257="Nữ",0,2)</f>
        <v>0</v>
      </c>
      <c r="M1257" s="29">
        <f ca="1">IF(D1257&lt;45,0,IF(D1257&lt;=49,1,2))</f>
        <v>2</v>
      </c>
      <c r="N1257" s="29">
        <f>IF(E1257="Có",4,0)</f>
        <v>0</v>
      </c>
      <c r="O1257" s="29">
        <f>IF(H1257&lt;23,0,IF(H1257&lt;27.5,3,5))</f>
        <v>3</v>
      </c>
      <c r="P1257" s="29">
        <f>IF(OR(AND(B1257="Nam",I1257&gt;=90),AND(B1257="Nữ",I1257&gt;=80)),2,0)</f>
        <v>0</v>
      </c>
      <c r="Q1257" s="29">
        <f>IF(OR(J1257&gt;=140,K1257&gt;=90),2,0)</f>
        <v>0</v>
      </c>
      <c r="R1257" s="29">
        <f ca="1">SUM(L1257:Q1257)</f>
        <v>5</v>
      </c>
      <c r="S1257" s="33"/>
      <c r="T1257" s="33"/>
      <c r="U1257" s="33"/>
      <c r="V1257" s="33"/>
      <c r="W1257" s="33"/>
      <c r="X1257" s="33"/>
      <c r="Y1257" s="33"/>
      <c r="Z1257" s="33"/>
      <c r="AA1257" s="33"/>
      <c r="AB1257" s="33"/>
      <c r="AC1257" s="33"/>
      <c r="AD1257" s="5" t="s">
        <v>1393</v>
      </c>
      <c r="AE1257" s="33"/>
      <c r="AF1257" s="59" t="str">
        <f t="shared" si="58"/>
        <v>Không</v>
      </c>
      <c r="AG1257" s="59" t="str">
        <f t="shared" si="59"/>
        <v>Không</v>
      </c>
      <c r="AH1257" s="29" t="str">
        <f t="shared" ca="1" si="57"/>
        <v>Không</v>
      </c>
      <c r="AI1257" s="29" t="str">
        <f ca="1">IF((R1257)&gt;=6,"Có","Không")</f>
        <v>Không</v>
      </c>
      <c r="AJ1257" s="29" t="str">
        <f>IF(OR(J1257&gt;=140,K1257&gt;=90),"Có","Không")</f>
        <v>Không</v>
      </c>
      <c r="AK1257" s="5" t="s">
        <v>51</v>
      </c>
      <c r="AL1257" s="35">
        <v>46173</v>
      </c>
      <c r="AM1257" s="29" t="str">
        <f>"Tháng "&amp;MONTH(AL1257)</f>
        <v>Tháng 5</v>
      </c>
      <c r="AN1257" s="69" t="s">
        <v>1376</v>
      </c>
    </row>
    <row r="1258" spans="1:40" x14ac:dyDescent="0.25">
      <c r="A1258" s="54" t="s">
        <v>1383</v>
      </c>
      <c r="B1258" s="15" t="s">
        <v>1377</v>
      </c>
      <c r="C1258" s="35">
        <v>20821</v>
      </c>
      <c r="D1258" s="29">
        <f ca="1">DATEDIF(C1258,TODAY(),"Y")</f>
        <v>69</v>
      </c>
      <c r="E1258" s="5" t="s">
        <v>26</v>
      </c>
      <c r="F1258" s="30">
        <v>169</v>
      </c>
      <c r="G1258" s="30">
        <v>69</v>
      </c>
      <c r="H1258" s="31">
        <f>G1258/((F1258/100)*(F1258/100))</f>
        <v>24.158817968558527</v>
      </c>
      <c r="I1258" s="5">
        <v>96</v>
      </c>
      <c r="J1258" s="30">
        <v>120</v>
      </c>
      <c r="K1258" s="30">
        <v>80</v>
      </c>
      <c r="L1258" s="29">
        <f>IF(B1258="Nữ",0,2)</f>
        <v>2</v>
      </c>
      <c r="M1258" s="29">
        <f ca="1">IF(D1258&lt;45,0,IF(D1258&lt;=49,1,2))</f>
        <v>2</v>
      </c>
      <c r="N1258" s="29">
        <f>IF(E1258="Có",4,0)</f>
        <v>0</v>
      </c>
      <c r="O1258" s="29">
        <f>IF(H1258&lt;23,0,IF(H1258&lt;27.5,3,5))</f>
        <v>3</v>
      </c>
      <c r="P1258" s="29">
        <f>IF(OR(AND(B1258="Nam",I1258&gt;=90),AND(B1258="Nữ",I1258&gt;=80)),2,0)</f>
        <v>2</v>
      </c>
      <c r="Q1258" s="29">
        <f>IF(OR(J1258&gt;=140,K1258&gt;=90),2,0)</f>
        <v>0</v>
      </c>
      <c r="R1258" s="29">
        <f ca="1">SUM(L1258:Q1258)</f>
        <v>9</v>
      </c>
      <c r="S1258" s="33"/>
      <c r="T1258" s="33"/>
      <c r="U1258" s="33"/>
      <c r="V1258" s="33"/>
      <c r="W1258" s="33"/>
      <c r="X1258" s="33"/>
      <c r="Y1258" s="33"/>
      <c r="Z1258" s="33"/>
      <c r="AA1258" s="33"/>
      <c r="AB1258" s="33"/>
      <c r="AC1258" s="33"/>
      <c r="AD1258" s="5" t="s">
        <v>1393</v>
      </c>
      <c r="AE1258" s="33"/>
      <c r="AF1258" s="59" t="str">
        <f t="shared" si="58"/>
        <v>Không</v>
      </c>
      <c r="AG1258" s="59" t="str">
        <f t="shared" si="59"/>
        <v>Không</v>
      </c>
      <c r="AH1258" s="29" t="str">
        <f t="shared" ca="1" si="57"/>
        <v>Có</v>
      </c>
      <c r="AI1258" s="29" t="str">
        <f ca="1">IF((R1258)&gt;=6,"Có","Không")</f>
        <v>Có</v>
      </c>
      <c r="AJ1258" s="29" t="str">
        <f>IF(OR(J1258&gt;=140,K1258&gt;=90),"Có","Không")</f>
        <v>Không</v>
      </c>
      <c r="AK1258" s="5" t="s">
        <v>51</v>
      </c>
      <c r="AL1258" s="35">
        <v>46173</v>
      </c>
      <c r="AM1258" s="29" t="str">
        <f>"Tháng "&amp;MONTH(AL1258)</f>
        <v>Tháng 5</v>
      </c>
      <c r="AN1258" s="69" t="s">
        <v>1376</v>
      </c>
    </row>
    <row r="1259" spans="1:40" x14ac:dyDescent="0.25">
      <c r="A1259" s="54" t="s">
        <v>1384</v>
      </c>
      <c r="B1259" s="15" t="s">
        <v>1373</v>
      </c>
      <c r="C1259" s="35">
        <v>27760</v>
      </c>
      <c r="D1259" s="29">
        <f ca="1">DATEDIF(C1259,TODAY(),"Y")</f>
        <v>50</v>
      </c>
      <c r="E1259" s="5" t="s">
        <v>26</v>
      </c>
      <c r="F1259" s="30">
        <v>169</v>
      </c>
      <c r="G1259" s="30">
        <v>69</v>
      </c>
      <c r="H1259" s="31">
        <f>G1259/((F1259/100)*(F1259/100))</f>
        <v>24.158817968558527</v>
      </c>
      <c r="I1259" s="5">
        <v>69</v>
      </c>
      <c r="J1259" s="30">
        <v>120</v>
      </c>
      <c r="K1259" s="30">
        <v>80</v>
      </c>
      <c r="L1259" s="29">
        <f>IF(B1259="Nữ",0,2)</f>
        <v>0</v>
      </c>
      <c r="M1259" s="29">
        <f ca="1">IF(D1259&lt;45,0,IF(D1259&lt;=49,1,2))</f>
        <v>2</v>
      </c>
      <c r="N1259" s="29">
        <f>IF(E1259="Có",4,0)</f>
        <v>0</v>
      </c>
      <c r="O1259" s="29">
        <f>IF(H1259&lt;23,0,IF(H1259&lt;27.5,3,5))</f>
        <v>3</v>
      </c>
      <c r="P1259" s="29">
        <f>IF(OR(AND(B1259="Nam",I1259&gt;=90),AND(B1259="Nữ",I1259&gt;=80)),2,0)</f>
        <v>0</v>
      </c>
      <c r="Q1259" s="29">
        <f>IF(OR(J1259&gt;=140,K1259&gt;=90),2,0)</f>
        <v>0</v>
      </c>
      <c r="R1259" s="29">
        <f ca="1">SUM(L1259:Q1259)</f>
        <v>5</v>
      </c>
      <c r="S1259" s="33"/>
      <c r="T1259" s="33"/>
      <c r="U1259" s="33"/>
      <c r="V1259" s="33"/>
      <c r="W1259" s="33"/>
      <c r="X1259" s="33"/>
      <c r="Y1259" s="33"/>
      <c r="Z1259" s="33"/>
      <c r="AA1259" s="33"/>
      <c r="AB1259" s="33"/>
      <c r="AC1259" s="33"/>
      <c r="AD1259" s="5" t="s">
        <v>1393</v>
      </c>
      <c r="AE1259" s="33"/>
      <c r="AF1259" s="59" t="str">
        <f t="shared" si="58"/>
        <v>Không</v>
      </c>
      <c r="AG1259" s="59" t="str">
        <f t="shared" si="59"/>
        <v>Không</v>
      </c>
      <c r="AH1259" s="29" t="str">
        <f t="shared" ca="1" si="57"/>
        <v>Không</v>
      </c>
      <c r="AI1259" s="29" t="str">
        <f ca="1">IF((R1259)&gt;=6,"Có","Không")</f>
        <v>Không</v>
      </c>
      <c r="AJ1259" s="29" t="str">
        <f>IF(OR(J1259&gt;=140,K1259&gt;=90),"Có","Không")</f>
        <v>Không</v>
      </c>
      <c r="AK1259" s="5" t="s">
        <v>51</v>
      </c>
      <c r="AL1259" s="35">
        <v>46173</v>
      </c>
      <c r="AM1259" s="29" t="str">
        <f>"Tháng "&amp;MONTH(AL1259)</f>
        <v>Tháng 5</v>
      </c>
      <c r="AN1259" s="69" t="s">
        <v>1376</v>
      </c>
    </row>
    <row r="1260" spans="1:40" x14ac:dyDescent="0.25">
      <c r="A1260" s="55" t="s">
        <v>304</v>
      </c>
      <c r="B1260" s="15" t="s">
        <v>1373</v>
      </c>
      <c r="C1260" s="35">
        <v>27395</v>
      </c>
      <c r="D1260" s="29">
        <f ca="1">DATEDIF(C1260,TODAY(),"Y")</f>
        <v>51</v>
      </c>
      <c r="E1260" s="5" t="s">
        <v>26</v>
      </c>
      <c r="F1260" s="30">
        <v>158</v>
      </c>
      <c r="G1260" s="30">
        <v>58</v>
      </c>
      <c r="H1260" s="31">
        <f>G1260/((F1260/100)*(F1260/100))</f>
        <v>23.233456176894723</v>
      </c>
      <c r="I1260" s="5">
        <v>88</v>
      </c>
      <c r="J1260" s="30">
        <v>120</v>
      </c>
      <c r="K1260" s="30">
        <v>80</v>
      </c>
      <c r="L1260" s="29">
        <f>IF(B1260="Nữ",0,2)</f>
        <v>0</v>
      </c>
      <c r="M1260" s="29">
        <f ca="1">IF(D1260&lt;45,0,IF(D1260&lt;=49,1,2))</f>
        <v>2</v>
      </c>
      <c r="N1260" s="29">
        <f>IF(E1260="Có",4,0)</f>
        <v>0</v>
      </c>
      <c r="O1260" s="29">
        <f>IF(H1260&lt;23,0,IF(H1260&lt;27.5,3,5))</f>
        <v>3</v>
      </c>
      <c r="P1260" s="29">
        <f>IF(OR(AND(B1260="Nam",I1260&gt;=90),AND(B1260="Nữ",I1260&gt;=80)),2,0)</f>
        <v>2</v>
      </c>
      <c r="Q1260" s="29">
        <f>IF(OR(J1260&gt;=140,K1260&gt;=90),2,0)</f>
        <v>0</v>
      </c>
      <c r="R1260" s="29">
        <f ca="1">SUM(L1260:Q1260)</f>
        <v>7</v>
      </c>
      <c r="S1260" s="33"/>
      <c r="T1260" s="33"/>
      <c r="U1260" s="33"/>
      <c r="V1260" s="33"/>
      <c r="W1260" s="33"/>
      <c r="X1260" s="33"/>
      <c r="Y1260" s="33"/>
      <c r="Z1260" s="33"/>
      <c r="AA1260" s="33"/>
      <c r="AB1260" s="33"/>
      <c r="AC1260" s="33"/>
      <c r="AD1260" s="5" t="s">
        <v>1393</v>
      </c>
      <c r="AE1260" s="33"/>
      <c r="AF1260" s="59" t="str">
        <f t="shared" si="58"/>
        <v>Không</v>
      </c>
      <c r="AG1260" s="59" t="str">
        <f t="shared" si="59"/>
        <v>Không</v>
      </c>
      <c r="AH1260" s="29" t="str">
        <f t="shared" ca="1" si="57"/>
        <v>Có</v>
      </c>
      <c r="AI1260" s="29" t="str">
        <f ca="1">IF((R1260)&gt;=6,"Có","Không")</f>
        <v>Có</v>
      </c>
      <c r="AJ1260" s="29" t="str">
        <f>IF(OR(J1260&gt;=140,K1260&gt;=90),"Có","Không")</f>
        <v>Không</v>
      </c>
      <c r="AK1260" s="5" t="s">
        <v>51</v>
      </c>
      <c r="AL1260" s="35">
        <v>46173</v>
      </c>
      <c r="AM1260" s="29" t="str">
        <f>"Tháng "&amp;MONTH(AL1260)</f>
        <v>Tháng 5</v>
      </c>
      <c r="AN1260" s="69" t="s">
        <v>1376</v>
      </c>
    </row>
    <row r="1261" spans="1:40" x14ac:dyDescent="0.25">
      <c r="A1261" s="54" t="s">
        <v>1385</v>
      </c>
      <c r="B1261" s="15" t="s">
        <v>1373</v>
      </c>
      <c r="C1261" s="35">
        <v>20821</v>
      </c>
      <c r="D1261" s="29">
        <f ca="1">DATEDIF(C1261,TODAY(),"Y")</f>
        <v>69</v>
      </c>
      <c r="E1261" s="5" t="s">
        <v>26</v>
      </c>
      <c r="F1261" s="30">
        <v>167</v>
      </c>
      <c r="G1261" s="30">
        <v>70</v>
      </c>
      <c r="H1261" s="31">
        <f>G1261/((F1261/100)*(F1261/100))</f>
        <v>25.099501595611173</v>
      </c>
      <c r="I1261" s="5">
        <v>71</v>
      </c>
      <c r="J1261" s="30">
        <v>150</v>
      </c>
      <c r="K1261" s="30">
        <v>80</v>
      </c>
      <c r="L1261" s="29">
        <f>IF(B1261="Nữ",0,2)</f>
        <v>0</v>
      </c>
      <c r="M1261" s="29">
        <f ca="1">IF(D1261&lt;45,0,IF(D1261&lt;=49,1,2))</f>
        <v>2</v>
      </c>
      <c r="N1261" s="29">
        <f>IF(E1261="Có",4,0)</f>
        <v>0</v>
      </c>
      <c r="O1261" s="29">
        <f>IF(H1261&lt;23,0,IF(H1261&lt;27.5,3,5))</f>
        <v>3</v>
      </c>
      <c r="P1261" s="29">
        <f>IF(OR(AND(B1261="Nam",I1261&gt;=90),AND(B1261="Nữ",I1261&gt;=80)),2,0)</f>
        <v>0</v>
      </c>
      <c r="Q1261" s="29">
        <f>IF(OR(J1261&gt;=140,K1261&gt;=90),2,0)</f>
        <v>2</v>
      </c>
      <c r="R1261" s="29">
        <f ca="1">SUM(L1261:Q1261)</f>
        <v>7</v>
      </c>
      <c r="S1261" s="33"/>
      <c r="T1261" s="33"/>
      <c r="U1261" s="33"/>
      <c r="V1261" s="33"/>
      <c r="W1261" s="33"/>
      <c r="X1261" s="33"/>
      <c r="Y1261" s="33"/>
      <c r="Z1261" s="33"/>
      <c r="AA1261" s="33"/>
      <c r="AB1261" s="33"/>
      <c r="AC1261" s="33"/>
      <c r="AD1261" s="5" t="s">
        <v>1393</v>
      </c>
      <c r="AE1261" s="33"/>
      <c r="AF1261" s="59" t="str">
        <f t="shared" si="58"/>
        <v>Không</v>
      </c>
      <c r="AG1261" s="59" t="str">
        <f t="shared" si="59"/>
        <v>Không</v>
      </c>
      <c r="AH1261" s="29" t="str">
        <f t="shared" ca="1" si="57"/>
        <v>Có</v>
      </c>
      <c r="AI1261" s="29" t="str">
        <f ca="1">IF((R1261)&gt;=6,"Có","Không")</f>
        <v>Có</v>
      </c>
      <c r="AJ1261" s="29" t="str">
        <f>IF(OR(J1261&gt;=140,K1261&gt;=90),"Có","Không")</f>
        <v>Có</v>
      </c>
      <c r="AK1261" s="5" t="s">
        <v>51</v>
      </c>
      <c r="AL1261" s="35">
        <v>46173</v>
      </c>
      <c r="AM1261" s="29" t="str">
        <f>"Tháng "&amp;MONTH(AL1261)</f>
        <v>Tháng 5</v>
      </c>
      <c r="AN1261" s="69" t="s">
        <v>1376</v>
      </c>
    </row>
    <row r="1262" spans="1:40" x14ac:dyDescent="0.25">
      <c r="A1262" s="54" t="s">
        <v>1386</v>
      </c>
      <c r="B1262" s="15" t="s">
        <v>1373</v>
      </c>
      <c r="C1262" s="35">
        <v>25569</v>
      </c>
      <c r="D1262" s="29">
        <f ca="1">DATEDIF(C1262,TODAY(),"Y")</f>
        <v>56</v>
      </c>
      <c r="E1262" s="5" t="s">
        <v>25</v>
      </c>
      <c r="F1262" s="30">
        <v>169</v>
      </c>
      <c r="G1262" s="30">
        <v>68</v>
      </c>
      <c r="H1262" s="31">
        <f>G1262/((F1262/100)*(F1262/100))</f>
        <v>23.808690171912751</v>
      </c>
      <c r="I1262" s="5">
        <v>80</v>
      </c>
      <c r="J1262" s="30">
        <v>140</v>
      </c>
      <c r="K1262" s="30">
        <v>80</v>
      </c>
      <c r="L1262" s="29">
        <f>IF(B1262="Nữ",0,2)</f>
        <v>0</v>
      </c>
      <c r="M1262" s="29">
        <f ca="1">IF(D1262&lt;45,0,IF(D1262&lt;=49,1,2))</f>
        <v>2</v>
      </c>
      <c r="N1262" s="29">
        <f>IF(E1262="Có",4,0)</f>
        <v>4</v>
      </c>
      <c r="O1262" s="29">
        <f>IF(H1262&lt;23,0,IF(H1262&lt;27.5,3,5))</f>
        <v>3</v>
      </c>
      <c r="P1262" s="29">
        <f>IF(OR(AND(B1262="Nam",I1262&gt;=90),AND(B1262="Nữ",I1262&gt;=80)),2,0)</f>
        <v>2</v>
      </c>
      <c r="Q1262" s="29">
        <f>IF(OR(J1262&gt;=140,K1262&gt;=90),2,0)</f>
        <v>2</v>
      </c>
      <c r="R1262" s="29">
        <f ca="1">SUM(L1262:Q1262)</f>
        <v>13</v>
      </c>
      <c r="S1262" s="33"/>
      <c r="T1262" s="33"/>
      <c r="U1262" s="33"/>
      <c r="V1262" s="33"/>
      <c r="W1262" s="33"/>
      <c r="X1262" s="33"/>
      <c r="Y1262" s="33"/>
      <c r="Z1262" s="33"/>
      <c r="AA1262" s="33"/>
      <c r="AB1262" s="33"/>
      <c r="AC1262" s="33"/>
      <c r="AD1262" s="5" t="s">
        <v>1393</v>
      </c>
      <c r="AE1262" s="33"/>
      <c r="AF1262" s="59" t="str">
        <f t="shared" si="58"/>
        <v>Không</v>
      </c>
      <c r="AG1262" s="59" t="str">
        <f t="shared" si="59"/>
        <v>Không</v>
      </c>
      <c r="AH1262" s="29" t="str">
        <f t="shared" ca="1" si="57"/>
        <v>Có</v>
      </c>
      <c r="AI1262" s="29" t="str">
        <f ca="1">IF((R1262)&gt;=6,"Có","Không")</f>
        <v>Có</v>
      </c>
      <c r="AJ1262" s="29" t="str">
        <f>IF(OR(J1262&gt;=140,K1262&gt;=90),"Có","Không")</f>
        <v>Có</v>
      </c>
      <c r="AK1262" s="5" t="s">
        <v>51</v>
      </c>
      <c r="AL1262" s="35">
        <v>46173</v>
      </c>
      <c r="AM1262" s="29" t="str">
        <f>"Tháng "&amp;MONTH(AL1262)</f>
        <v>Tháng 5</v>
      </c>
      <c r="AN1262" s="69" t="s">
        <v>1376</v>
      </c>
    </row>
    <row r="1263" spans="1:40" x14ac:dyDescent="0.25">
      <c r="A1263" s="54" t="s">
        <v>1375</v>
      </c>
      <c r="B1263" s="15" t="s">
        <v>1373</v>
      </c>
      <c r="C1263" s="35">
        <v>23743</v>
      </c>
      <c r="D1263" s="29">
        <f ca="1">DATEDIF(C1263,TODAY(),"Y")</f>
        <v>61</v>
      </c>
      <c r="E1263" s="5" t="s">
        <v>26</v>
      </c>
      <c r="F1263" s="30">
        <v>158</v>
      </c>
      <c r="G1263" s="30">
        <v>58</v>
      </c>
      <c r="H1263" s="31">
        <f>G1263/((F1263/100)*(F1263/100))</f>
        <v>23.233456176894723</v>
      </c>
      <c r="I1263" s="5">
        <v>76</v>
      </c>
      <c r="J1263" s="30">
        <v>120</v>
      </c>
      <c r="K1263" s="30">
        <v>80</v>
      </c>
      <c r="L1263" s="29">
        <f>IF(B1263="Nữ",0,2)</f>
        <v>0</v>
      </c>
      <c r="M1263" s="29">
        <f ca="1">IF(D1263&lt;45,0,IF(D1263&lt;=49,1,2))</f>
        <v>2</v>
      </c>
      <c r="N1263" s="29">
        <f>IF(E1263="Có",4,0)</f>
        <v>0</v>
      </c>
      <c r="O1263" s="29">
        <f>IF(H1263&lt;23,0,IF(H1263&lt;27.5,3,5))</f>
        <v>3</v>
      </c>
      <c r="P1263" s="29">
        <f>IF(OR(AND(B1263="Nam",I1263&gt;=90),AND(B1263="Nữ",I1263&gt;=80)),2,0)</f>
        <v>0</v>
      </c>
      <c r="Q1263" s="29">
        <f>IF(OR(J1263&gt;=140,K1263&gt;=90),2,0)</f>
        <v>0</v>
      </c>
      <c r="R1263" s="29">
        <f ca="1">SUM(L1263:Q1263)</f>
        <v>5</v>
      </c>
      <c r="S1263" s="33"/>
      <c r="T1263" s="33"/>
      <c r="U1263" s="33"/>
      <c r="V1263" s="33"/>
      <c r="W1263" s="33"/>
      <c r="X1263" s="33"/>
      <c r="Y1263" s="33"/>
      <c r="Z1263" s="33"/>
      <c r="AA1263" s="33"/>
      <c r="AB1263" s="33"/>
      <c r="AC1263" s="33"/>
      <c r="AD1263" s="5" t="s">
        <v>1393</v>
      </c>
      <c r="AE1263" s="33"/>
      <c r="AF1263" s="59" t="str">
        <f t="shared" si="58"/>
        <v>Không</v>
      </c>
      <c r="AG1263" s="59" t="str">
        <f t="shared" si="59"/>
        <v>Không</v>
      </c>
      <c r="AH1263" s="29" t="str">
        <f t="shared" ca="1" si="57"/>
        <v>Không</v>
      </c>
      <c r="AI1263" s="29" t="str">
        <f ca="1">IF((R1263)&gt;=6,"Có","Không")</f>
        <v>Không</v>
      </c>
      <c r="AJ1263" s="29" t="str">
        <f>IF(OR(J1263&gt;=140,K1263&gt;=90),"Có","Không")</f>
        <v>Không</v>
      </c>
      <c r="AK1263" s="5" t="s">
        <v>51</v>
      </c>
      <c r="AL1263" s="35">
        <v>46173</v>
      </c>
      <c r="AM1263" s="29" t="str">
        <f>"Tháng "&amp;MONTH(AL1263)</f>
        <v>Tháng 5</v>
      </c>
      <c r="AN1263" s="69" t="s">
        <v>1376</v>
      </c>
    </row>
  </sheetData>
  <mergeCells count="29">
    <mergeCell ref="AJ1:AJ2"/>
    <mergeCell ref="AK1:AK2"/>
    <mergeCell ref="AL1:AL2"/>
    <mergeCell ref="AM1:AM2"/>
    <mergeCell ref="AN1:AN2"/>
    <mergeCell ref="B1:B2"/>
    <mergeCell ref="A1:A2"/>
    <mergeCell ref="AF1:AF2"/>
    <mergeCell ref="AG1:AG2"/>
    <mergeCell ref="AH1:AH2"/>
    <mergeCell ref="AI1:AI2"/>
    <mergeCell ref="H1:H2"/>
    <mergeCell ref="G1:G2"/>
    <mergeCell ref="F1:F2"/>
    <mergeCell ref="E1:E2"/>
    <mergeCell ref="D1:D2"/>
    <mergeCell ref="C1:C2"/>
    <mergeCell ref="N1:N2"/>
    <mergeCell ref="M1:M2"/>
    <mergeCell ref="K1:K2"/>
    <mergeCell ref="L1:L2"/>
    <mergeCell ref="J1:J2"/>
    <mergeCell ref="I1:I2"/>
    <mergeCell ref="R1:R2"/>
    <mergeCell ref="Q1:Q2"/>
    <mergeCell ref="P1:P2"/>
    <mergeCell ref="O1:O2"/>
    <mergeCell ref="S1:Z1"/>
    <mergeCell ref="AA1:AE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57"/>
  <sheetViews>
    <sheetView workbookViewId="0">
      <pane ySplit="1" topLeftCell="A93" activePane="bottomLeft" state="frozen"/>
      <selection pane="bottomLeft" activeCell="M99" sqref="M99"/>
    </sheetView>
  </sheetViews>
  <sheetFormatPr defaultColWidth="24.125" defaultRowHeight="16.5" x14ac:dyDescent="0.25"/>
  <cols>
    <col min="1" max="1" width="27.375" style="1" bestFit="1" customWidth="1"/>
    <col min="2" max="2" width="16.875" style="2" bestFit="1" customWidth="1"/>
    <col min="3" max="3" width="12.875" style="2" bestFit="1" customWidth="1"/>
    <col min="4" max="4" width="5.375" style="10" bestFit="1" customWidth="1"/>
    <col min="5" max="5" width="18.5" style="2" bestFit="1" customWidth="1"/>
    <col min="6" max="6" width="10.25" style="3" bestFit="1" customWidth="1"/>
    <col min="7" max="7" width="9.625" style="3" bestFit="1" customWidth="1"/>
    <col min="8" max="8" width="9.375" style="10" bestFit="1" customWidth="1"/>
    <col min="9" max="9" width="12.5" style="2" bestFit="1" customWidth="1"/>
    <col min="10" max="10" width="14.875" style="3" bestFit="1" customWidth="1"/>
    <col min="11" max="11" width="18.375" style="3" bestFit="1" customWidth="1"/>
    <col min="12" max="12" width="15.375" style="10" bestFit="1" customWidth="1"/>
    <col min="13" max="13" width="10.875" style="10" bestFit="1" customWidth="1"/>
    <col min="14" max="14" width="14.875" style="10" bestFit="1" customWidth="1"/>
    <col min="15" max="15" width="10.875" style="10" bestFit="1" customWidth="1"/>
    <col min="16" max="16" width="14.125" style="10" bestFit="1" customWidth="1"/>
    <col min="17" max="17" width="14.875" style="10" bestFit="1" customWidth="1"/>
    <col min="18" max="18" width="10.875" style="10" bestFit="1" customWidth="1"/>
    <col min="19" max="19" width="26" style="10" bestFit="1" customWidth="1"/>
    <col min="20" max="20" width="16.75" style="10" bestFit="1" customWidth="1"/>
    <col min="21" max="21" width="17.875" style="10" bestFit="1" customWidth="1"/>
    <col min="22" max="22" width="30.875" style="2" customWidth="1"/>
    <col min="23" max="23" width="18.5" style="2" bestFit="1" customWidth="1"/>
    <col min="24" max="24" width="24.125" style="8"/>
    <col min="25" max="25" width="31.875" style="8" bestFit="1" customWidth="1"/>
    <col min="26" max="16384" width="24.125" style="2"/>
  </cols>
  <sheetData>
    <row r="1" spans="1:25" s="6" customFormat="1" ht="44.25" customHeight="1" x14ac:dyDescent="0.25">
      <c r="A1" s="6" t="s">
        <v>0</v>
      </c>
      <c r="B1" s="6" t="s">
        <v>1</v>
      </c>
      <c r="C1" s="6" t="s">
        <v>2</v>
      </c>
      <c r="D1" s="9" t="s">
        <v>3</v>
      </c>
      <c r="E1" s="6" t="s">
        <v>4</v>
      </c>
      <c r="F1" s="7" t="s">
        <v>5</v>
      </c>
      <c r="G1" s="7" t="s">
        <v>6</v>
      </c>
      <c r="H1" s="9" t="s">
        <v>7</v>
      </c>
      <c r="I1" s="6" t="s">
        <v>8</v>
      </c>
      <c r="J1" s="7" t="s">
        <v>9</v>
      </c>
      <c r="K1" s="7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1043</v>
      </c>
      <c r="T1" s="9" t="s">
        <v>18</v>
      </c>
      <c r="U1" s="9" t="s">
        <v>19</v>
      </c>
      <c r="V1" s="6" t="s">
        <v>20</v>
      </c>
      <c r="W1" s="6" t="s">
        <v>21</v>
      </c>
      <c r="X1" s="12" t="s">
        <v>1058</v>
      </c>
      <c r="Y1" s="12" t="s">
        <v>1056</v>
      </c>
    </row>
    <row r="2" spans="1:25" x14ac:dyDescent="0.25">
      <c r="A2" s="1" t="s">
        <v>22</v>
      </c>
      <c r="B2" s="2" t="s">
        <v>23</v>
      </c>
      <c r="C2" s="2" t="s">
        <v>24</v>
      </c>
      <c r="D2" s="10">
        <f ca="1">DATEDIF(C2,TODAY(),"Y")</f>
        <v>83</v>
      </c>
      <c r="E2" s="2" t="s">
        <v>25</v>
      </c>
      <c r="F2" s="3">
        <v>161</v>
      </c>
      <c r="G2" s="3">
        <v>68</v>
      </c>
      <c r="H2" s="11">
        <f>G2/((F2/100)*(F2/100))</f>
        <v>26.23355580417422</v>
      </c>
      <c r="I2" s="2">
        <v>89</v>
      </c>
      <c r="J2" s="3">
        <v>120</v>
      </c>
      <c r="K2" s="3">
        <v>80</v>
      </c>
      <c r="L2" s="10">
        <f>IF(B2="Nữ",0,2)</f>
        <v>0</v>
      </c>
      <c r="M2" s="10">
        <f ca="1">IF(D2&lt;45,0,IF(D2&lt;=49,1,2))</f>
        <v>2</v>
      </c>
      <c r="N2" s="10">
        <f>IF(E2="Có",4,0)</f>
        <v>4</v>
      </c>
      <c r="O2" s="10">
        <f>IF(H2&lt;23,0,IF(H2&lt;27.5,3,5))</f>
        <v>3</v>
      </c>
      <c r="P2" s="10">
        <f>IF(OR(AND(B2="Nam",I2&gt;=90),AND(B2="Nữ",I2&gt;=80)),2,0)</f>
        <v>2</v>
      </c>
      <c r="Q2" s="10">
        <f>IF(OR(J2&gt;=140,K2&gt;=90),2,0)</f>
        <v>0</v>
      </c>
      <c r="R2" s="10">
        <f ca="1">SUM(L2:Q2)</f>
        <v>11</v>
      </c>
      <c r="S2" s="10" t="str">
        <f ca="1">IF((R2)&gt;=6,"Có","Không cần")</f>
        <v>Có</v>
      </c>
      <c r="T2" s="10" t="str">
        <f ca="1">IF((R2)&gt;=6,"Có","Không")</f>
        <v>Có</v>
      </c>
      <c r="U2" s="10" t="str">
        <f>IF(OR(J2&gt;=140,K2&gt;=90),"Có","Không")</f>
        <v>Không</v>
      </c>
      <c r="V2" s="2" t="s">
        <v>28</v>
      </c>
      <c r="W2" s="4">
        <v>46142</v>
      </c>
      <c r="X2" s="8" t="str">
        <f>"Tháng "&amp;MONTH(W2)</f>
        <v>Tháng 4</v>
      </c>
      <c r="Y2" s="8" t="str">
        <f>LEFT(V2,FIND(",",V2)-1)</f>
        <v>Ấp Biển Đông A</v>
      </c>
    </row>
    <row r="3" spans="1:25" x14ac:dyDescent="0.25">
      <c r="A3" s="1" t="s">
        <v>29</v>
      </c>
      <c r="B3" s="2" t="s">
        <v>30</v>
      </c>
      <c r="C3" s="2" t="s">
        <v>31</v>
      </c>
      <c r="D3" s="10">
        <f t="shared" ref="D3:D66" ca="1" si="0">DATEDIF(C3,TODAY(),"Y")</f>
        <v>79</v>
      </c>
      <c r="E3" s="8" t="s">
        <v>26</v>
      </c>
      <c r="F3" s="3">
        <v>170</v>
      </c>
      <c r="G3" s="3">
        <v>75</v>
      </c>
      <c r="H3" s="11">
        <f t="shared" ref="H3:H66" si="1">G3/((F3/100)*(F3/100))</f>
        <v>25.95155709342561</v>
      </c>
      <c r="I3" s="2">
        <v>81</v>
      </c>
      <c r="J3" s="3">
        <v>120</v>
      </c>
      <c r="K3" s="3">
        <v>80</v>
      </c>
      <c r="L3" s="10">
        <f t="shared" ref="L3:L66" si="2">IF(B3="Nữ",0,2)</f>
        <v>2</v>
      </c>
      <c r="M3" s="10">
        <f t="shared" ref="M3:M66" ca="1" si="3">IF(D3&lt;45,0,IF(D3&lt;=49,1,2))</f>
        <v>2</v>
      </c>
      <c r="N3" s="10">
        <f t="shared" ref="N3:N66" si="4">IF(E3="Có",4,0)</f>
        <v>0</v>
      </c>
      <c r="O3" s="10">
        <f t="shared" ref="O3:O66" si="5">IF(H3&lt;23,0,IF(H3&lt;27.5,3,5))</f>
        <v>3</v>
      </c>
      <c r="P3" s="10">
        <f t="shared" ref="P3:P66" si="6">IF(OR(AND(B3="Nam",I3&gt;=90),AND(B3="Nữ",I3&gt;=80)),2,0)</f>
        <v>0</v>
      </c>
      <c r="Q3" s="10">
        <f t="shared" ref="Q3:Q66" si="7">IF(OR(J3&gt;=140,K3&gt;=90),2,0)</f>
        <v>0</v>
      </c>
      <c r="R3" s="10">
        <f t="shared" ref="R3:R66" ca="1" si="8">SUM(L3:Q3)</f>
        <v>7</v>
      </c>
      <c r="S3" s="10" t="str">
        <f t="shared" ref="S3:S66" ca="1" si="9">IF((R3)&gt;=6,"Có","Không cần")</f>
        <v>Có</v>
      </c>
      <c r="T3" s="10" t="str">
        <f t="shared" ref="T3:T66" ca="1" si="10">IF((R3)&gt;=6,"Có","Không")</f>
        <v>Có</v>
      </c>
      <c r="U3" s="10" t="str">
        <f t="shared" ref="U3:U66" si="11">IF(OR(J3&gt;=140,K3&gt;=90),"Có","Không")</f>
        <v>Không</v>
      </c>
      <c r="V3" s="2" t="s">
        <v>32</v>
      </c>
      <c r="W3" s="4">
        <v>46142</v>
      </c>
      <c r="X3" s="8" t="str">
        <f t="shared" ref="X3:X66" si="12">"Tháng "&amp;MONTH(W3)</f>
        <v>Tháng 4</v>
      </c>
      <c r="Y3" s="8" t="str">
        <f t="shared" ref="Y3:Y66" si="13">LEFT(V3,FIND(",",V3)-1)</f>
        <v>Ấp Giồng Giữa B</v>
      </c>
    </row>
    <row r="4" spans="1:25" ht="15" customHeight="1" x14ac:dyDescent="0.25">
      <c r="A4" s="1" t="s">
        <v>33</v>
      </c>
      <c r="B4" s="2" t="s">
        <v>30</v>
      </c>
      <c r="C4" s="2" t="s">
        <v>34</v>
      </c>
      <c r="D4" s="10">
        <f t="shared" ca="1" si="0"/>
        <v>78</v>
      </c>
      <c r="E4" s="2" t="s">
        <v>25</v>
      </c>
      <c r="F4" s="3">
        <v>172</v>
      </c>
      <c r="G4" s="3">
        <v>65</v>
      </c>
      <c r="H4" s="11">
        <f t="shared" si="1"/>
        <v>21.971335857220122</v>
      </c>
      <c r="I4" s="2">
        <v>83</v>
      </c>
      <c r="J4" s="3">
        <v>130</v>
      </c>
      <c r="K4" s="3">
        <v>80</v>
      </c>
      <c r="L4" s="10">
        <f t="shared" si="2"/>
        <v>2</v>
      </c>
      <c r="M4" s="10">
        <f t="shared" ca="1" si="3"/>
        <v>2</v>
      </c>
      <c r="N4" s="10">
        <f t="shared" si="4"/>
        <v>4</v>
      </c>
      <c r="O4" s="10">
        <f t="shared" si="5"/>
        <v>0</v>
      </c>
      <c r="P4" s="10">
        <f t="shared" si="6"/>
        <v>0</v>
      </c>
      <c r="Q4" s="10">
        <f t="shared" si="7"/>
        <v>0</v>
      </c>
      <c r="R4" s="10">
        <f t="shared" ca="1" si="8"/>
        <v>8</v>
      </c>
      <c r="S4" s="10" t="str">
        <f t="shared" ca="1" si="9"/>
        <v>Có</v>
      </c>
      <c r="T4" s="10" t="str">
        <f t="shared" ca="1" si="10"/>
        <v>Có</v>
      </c>
      <c r="U4" s="10" t="str">
        <f t="shared" si="11"/>
        <v>Không</v>
      </c>
      <c r="V4" s="2" t="s">
        <v>35</v>
      </c>
      <c r="W4" s="4">
        <v>46142</v>
      </c>
      <c r="X4" s="8" t="str">
        <f t="shared" si="12"/>
        <v>Tháng 4</v>
      </c>
      <c r="Y4" s="8" t="str">
        <f t="shared" si="13"/>
        <v>Chòm Xoài</v>
      </c>
    </row>
    <row r="5" spans="1:25" x14ac:dyDescent="0.25">
      <c r="A5" s="1" t="s">
        <v>36</v>
      </c>
      <c r="B5" s="2" t="s">
        <v>30</v>
      </c>
      <c r="C5" s="2" t="s">
        <v>37</v>
      </c>
      <c r="D5" s="10">
        <f t="shared" ca="1" si="0"/>
        <v>75</v>
      </c>
      <c r="E5" s="2" t="s">
        <v>26</v>
      </c>
      <c r="F5" s="3">
        <v>169</v>
      </c>
      <c r="G5" s="3">
        <v>68</v>
      </c>
      <c r="H5" s="11">
        <f t="shared" si="1"/>
        <v>23.808690171912751</v>
      </c>
      <c r="I5" s="2">
        <v>81</v>
      </c>
      <c r="J5" s="3">
        <v>120</v>
      </c>
      <c r="K5" s="3">
        <v>80</v>
      </c>
      <c r="L5" s="10">
        <f t="shared" si="2"/>
        <v>2</v>
      </c>
      <c r="M5" s="10">
        <f t="shared" ca="1" si="3"/>
        <v>2</v>
      </c>
      <c r="N5" s="10">
        <f t="shared" si="4"/>
        <v>0</v>
      </c>
      <c r="O5" s="10">
        <f t="shared" si="5"/>
        <v>3</v>
      </c>
      <c r="P5" s="10">
        <f t="shared" si="6"/>
        <v>0</v>
      </c>
      <c r="Q5" s="10">
        <f t="shared" si="7"/>
        <v>0</v>
      </c>
      <c r="R5" s="10">
        <f t="shared" ca="1" si="8"/>
        <v>7</v>
      </c>
      <c r="S5" s="10" t="str">
        <f t="shared" ca="1" si="9"/>
        <v>Có</v>
      </c>
      <c r="T5" s="10" t="str">
        <f t="shared" ca="1" si="10"/>
        <v>Có</v>
      </c>
      <c r="U5" s="10" t="str">
        <f t="shared" si="11"/>
        <v>Không</v>
      </c>
      <c r="V5" s="2" t="s">
        <v>38</v>
      </c>
      <c r="W5" s="4">
        <v>46142</v>
      </c>
      <c r="X5" s="8" t="str">
        <f t="shared" si="12"/>
        <v>Tháng 4</v>
      </c>
      <c r="Y5" s="8" t="str">
        <f t="shared" si="13"/>
        <v>Ấp Biển Đông B</v>
      </c>
    </row>
    <row r="6" spans="1:25" x14ac:dyDescent="0.25">
      <c r="A6" s="1" t="s">
        <v>39</v>
      </c>
      <c r="B6" s="2" t="s">
        <v>23</v>
      </c>
      <c r="C6" s="2" t="s">
        <v>40</v>
      </c>
      <c r="D6" s="10">
        <f t="shared" ca="1" si="0"/>
        <v>70</v>
      </c>
      <c r="E6" s="2" t="s">
        <v>25</v>
      </c>
      <c r="F6" s="3">
        <v>168</v>
      </c>
      <c r="G6" s="3">
        <v>68</v>
      </c>
      <c r="H6" s="11">
        <f t="shared" si="1"/>
        <v>24.092970521541954</v>
      </c>
      <c r="I6" s="2">
        <v>80</v>
      </c>
      <c r="J6" s="3">
        <v>150</v>
      </c>
      <c r="K6" s="3">
        <v>80</v>
      </c>
      <c r="L6" s="10">
        <f t="shared" si="2"/>
        <v>0</v>
      </c>
      <c r="M6" s="10">
        <f t="shared" ca="1" si="3"/>
        <v>2</v>
      </c>
      <c r="N6" s="10">
        <f t="shared" si="4"/>
        <v>4</v>
      </c>
      <c r="O6" s="10">
        <f t="shared" si="5"/>
        <v>3</v>
      </c>
      <c r="P6" s="10">
        <f t="shared" si="6"/>
        <v>2</v>
      </c>
      <c r="Q6" s="10">
        <f t="shared" si="7"/>
        <v>2</v>
      </c>
      <c r="R6" s="10">
        <f t="shared" ca="1" si="8"/>
        <v>13</v>
      </c>
      <c r="S6" s="10" t="str">
        <f t="shared" ca="1" si="9"/>
        <v>Có</v>
      </c>
      <c r="T6" s="10" t="str">
        <f t="shared" ca="1" si="10"/>
        <v>Có</v>
      </c>
      <c r="U6" s="10" t="str">
        <f t="shared" si="11"/>
        <v>Có</v>
      </c>
      <c r="V6" s="2" t="s">
        <v>28</v>
      </c>
      <c r="W6" s="4">
        <v>46142</v>
      </c>
      <c r="X6" s="8" t="str">
        <f t="shared" si="12"/>
        <v>Tháng 4</v>
      </c>
      <c r="Y6" s="8" t="str">
        <f t="shared" si="13"/>
        <v>Ấp Biển Đông A</v>
      </c>
    </row>
    <row r="7" spans="1:25" x14ac:dyDescent="0.25">
      <c r="A7" s="1" t="s">
        <v>41</v>
      </c>
      <c r="B7" s="2" t="s">
        <v>23</v>
      </c>
      <c r="C7" s="2" t="s">
        <v>42</v>
      </c>
      <c r="D7" s="10">
        <f t="shared" ca="1" si="0"/>
        <v>59</v>
      </c>
      <c r="E7" s="2" t="s">
        <v>26</v>
      </c>
      <c r="F7" s="3">
        <v>167</v>
      </c>
      <c r="G7" s="3">
        <v>60</v>
      </c>
      <c r="H7" s="11">
        <f t="shared" si="1"/>
        <v>21.513858510523864</v>
      </c>
      <c r="I7" s="2">
        <v>76</v>
      </c>
      <c r="J7" s="3">
        <v>120</v>
      </c>
      <c r="K7" s="3">
        <v>80</v>
      </c>
      <c r="L7" s="10">
        <f t="shared" si="2"/>
        <v>0</v>
      </c>
      <c r="M7" s="10">
        <f t="shared" ca="1" si="3"/>
        <v>2</v>
      </c>
      <c r="N7" s="10">
        <f t="shared" si="4"/>
        <v>0</v>
      </c>
      <c r="O7" s="10">
        <f t="shared" si="5"/>
        <v>0</v>
      </c>
      <c r="P7" s="10">
        <f t="shared" si="6"/>
        <v>0</v>
      </c>
      <c r="Q7" s="10">
        <f t="shared" si="7"/>
        <v>0</v>
      </c>
      <c r="R7" s="10">
        <f t="shared" ca="1" si="8"/>
        <v>2</v>
      </c>
      <c r="S7" s="10" t="str">
        <f t="shared" ca="1" si="9"/>
        <v>Không cần</v>
      </c>
      <c r="T7" s="10" t="str">
        <f t="shared" ca="1" si="10"/>
        <v>Không</v>
      </c>
      <c r="U7" s="10" t="str">
        <f t="shared" si="11"/>
        <v>Không</v>
      </c>
      <c r="V7" s="2" t="s">
        <v>43</v>
      </c>
      <c r="W7" s="4">
        <v>46142</v>
      </c>
      <c r="X7" s="8" t="str">
        <f t="shared" si="12"/>
        <v>Tháng 4</v>
      </c>
      <c r="Y7" s="8" t="str">
        <f t="shared" si="13"/>
        <v>Ấp Giồng Nhãn A</v>
      </c>
    </row>
    <row r="8" spans="1:25" x14ac:dyDescent="0.25">
      <c r="A8" s="1" t="s">
        <v>44</v>
      </c>
      <c r="B8" s="2" t="s">
        <v>23</v>
      </c>
      <c r="C8" s="2" t="s">
        <v>45</v>
      </c>
      <c r="D8" s="10">
        <f t="shared" ca="1" si="0"/>
        <v>50</v>
      </c>
      <c r="E8" s="14" t="s">
        <v>26</v>
      </c>
      <c r="F8" s="3">
        <v>168</v>
      </c>
      <c r="G8" s="3">
        <v>68</v>
      </c>
      <c r="H8" s="11">
        <f t="shared" si="1"/>
        <v>24.092970521541954</v>
      </c>
      <c r="I8" s="2">
        <v>86</v>
      </c>
      <c r="J8" s="3">
        <v>130</v>
      </c>
      <c r="K8" s="3">
        <v>80</v>
      </c>
      <c r="L8" s="10">
        <f t="shared" si="2"/>
        <v>0</v>
      </c>
      <c r="M8" s="10">
        <f t="shared" ca="1" si="3"/>
        <v>2</v>
      </c>
      <c r="N8" s="10">
        <f t="shared" si="4"/>
        <v>0</v>
      </c>
      <c r="O8" s="10">
        <f t="shared" si="5"/>
        <v>3</v>
      </c>
      <c r="P8" s="10">
        <f t="shared" si="6"/>
        <v>2</v>
      </c>
      <c r="Q8" s="10">
        <f t="shared" si="7"/>
        <v>0</v>
      </c>
      <c r="R8" s="10">
        <f t="shared" ca="1" si="8"/>
        <v>7</v>
      </c>
      <c r="S8" s="10" t="str">
        <f t="shared" ca="1" si="9"/>
        <v>Có</v>
      </c>
      <c r="T8" s="10" t="str">
        <f t="shared" ca="1" si="10"/>
        <v>Có</v>
      </c>
      <c r="U8" s="10" t="str">
        <f t="shared" si="11"/>
        <v>Không</v>
      </c>
      <c r="V8" s="2" t="s">
        <v>38</v>
      </c>
      <c r="W8" s="4">
        <v>46142</v>
      </c>
      <c r="X8" s="8" t="str">
        <f t="shared" si="12"/>
        <v>Tháng 4</v>
      </c>
      <c r="Y8" s="8" t="str">
        <f t="shared" si="13"/>
        <v>Ấp Biển Đông B</v>
      </c>
    </row>
    <row r="9" spans="1:25" x14ac:dyDescent="0.25">
      <c r="A9" s="1" t="s">
        <v>46</v>
      </c>
      <c r="B9" s="2" t="s">
        <v>23</v>
      </c>
      <c r="C9" s="2" t="s">
        <v>47</v>
      </c>
      <c r="D9" s="10">
        <f t="shared" ca="1" si="0"/>
        <v>55</v>
      </c>
      <c r="E9" s="2" t="s">
        <v>26</v>
      </c>
      <c r="F9" s="3">
        <v>168</v>
      </c>
      <c r="G9" s="3">
        <v>68</v>
      </c>
      <c r="H9" s="11">
        <f t="shared" si="1"/>
        <v>24.092970521541954</v>
      </c>
      <c r="I9" s="2">
        <v>71</v>
      </c>
      <c r="J9" s="3">
        <v>120</v>
      </c>
      <c r="K9" s="3">
        <v>80</v>
      </c>
      <c r="L9" s="10">
        <f t="shared" si="2"/>
        <v>0</v>
      </c>
      <c r="M9" s="10">
        <f t="shared" ca="1" si="3"/>
        <v>2</v>
      </c>
      <c r="N9" s="10">
        <f t="shared" si="4"/>
        <v>0</v>
      </c>
      <c r="O9" s="10">
        <f t="shared" si="5"/>
        <v>3</v>
      </c>
      <c r="P9" s="10">
        <f t="shared" si="6"/>
        <v>0</v>
      </c>
      <c r="Q9" s="10">
        <f t="shared" si="7"/>
        <v>0</v>
      </c>
      <c r="R9" s="10">
        <f t="shared" ca="1" si="8"/>
        <v>5</v>
      </c>
      <c r="S9" s="10" t="str">
        <f t="shared" ca="1" si="9"/>
        <v>Không cần</v>
      </c>
      <c r="T9" s="10" t="str">
        <f t="shared" ca="1" si="10"/>
        <v>Không</v>
      </c>
      <c r="U9" s="10" t="str">
        <f t="shared" si="11"/>
        <v>Không</v>
      </c>
      <c r="V9" s="2" t="s">
        <v>48</v>
      </c>
      <c r="W9" s="4">
        <v>46142</v>
      </c>
      <c r="X9" s="8" t="str">
        <f t="shared" si="12"/>
        <v>Tháng 4</v>
      </c>
      <c r="Y9" s="8" t="str">
        <f t="shared" si="13"/>
        <v>ấp Giồng Giữa A</v>
      </c>
    </row>
    <row r="10" spans="1:25" x14ac:dyDescent="0.25">
      <c r="A10" s="1" t="s">
        <v>49</v>
      </c>
      <c r="B10" s="2" t="s">
        <v>30</v>
      </c>
      <c r="C10" s="2" t="s">
        <v>50</v>
      </c>
      <c r="D10" s="10">
        <f t="shared" ca="1" si="0"/>
        <v>58</v>
      </c>
      <c r="E10" s="2" t="s">
        <v>25</v>
      </c>
      <c r="F10" s="3">
        <v>170</v>
      </c>
      <c r="G10" s="3">
        <v>75</v>
      </c>
      <c r="H10" s="11">
        <f t="shared" si="1"/>
        <v>25.95155709342561</v>
      </c>
      <c r="I10" s="2">
        <v>87</v>
      </c>
      <c r="J10" s="3">
        <v>120</v>
      </c>
      <c r="K10" s="3">
        <v>80</v>
      </c>
      <c r="L10" s="10">
        <f t="shared" si="2"/>
        <v>2</v>
      </c>
      <c r="M10" s="10">
        <f t="shared" ca="1" si="3"/>
        <v>2</v>
      </c>
      <c r="N10" s="10">
        <f t="shared" si="4"/>
        <v>4</v>
      </c>
      <c r="O10" s="10">
        <f t="shared" si="5"/>
        <v>3</v>
      </c>
      <c r="P10" s="10">
        <f t="shared" si="6"/>
        <v>0</v>
      </c>
      <c r="Q10" s="10">
        <f t="shared" si="7"/>
        <v>0</v>
      </c>
      <c r="R10" s="10">
        <f t="shared" ca="1" si="8"/>
        <v>11</v>
      </c>
      <c r="S10" s="10" t="str">
        <f t="shared" ca="1" si="9"/>
        <v>Có</v>
      </c>
      <c r="T10" s="10" t="str">
        <f t="shared" ca="1" si="10"/>
        <v>Có</v>
      </c>
      <c r="U10" s="10" t="str">
        <f t="shared" si="11"/>
        <v>Không</v>
      </c>
      <c r="V10" s="2" t="s">
        <v>51</v>
      </c>
      <c r="W10" s="4">
        <v>46142</v>
      </c>
      <c r="X10" s="8" t="str">
        <f t="shared" si="12"/>
        <v>Tháng 4</v>
      </c>
      <c r="Y10" s="8" t="str">
        <f t="shared" si="13"/>
        <v>Phường Hiệp Thành</v>
      </c>
    </row>
    <row r="11" spans="1:25" x14ac:dyDescent="0.25">
      <c r="A11" s="1" t="s">
        <v>52</v>
      </c>
      <c r="B11" s="2" t="s">
        <v>23</v>
      </c>
      <c r="C11" s="2" t="s">
        <v>53</v>
      </c>
      <c r="D11" s="10">
        <f t="shared" ca="1" si="0"/>
        <v>72</v>
      </c>
      <c r="E11" s="2" t="s">
        <v>26</v>
      </c>
      <c r="F11" s="3">
        <v>158</v>
      </c>
      <c r="G11" s="3">
        <v>58</v>
      </c>
      <c r="H11" s="11">
        <f t="shared" si="1"/>
        <v>23.233456176894723</v>
      </c>
      <c r="I11" s="2">
        <v>65</v>
      </c>
      <c r="J11" s="3">
        <v>120</v>
      </c>
      <c r="K11" s="3">
        <v>80</v>
      </c>
      <c r="L11" s="10">
        <f t="shared" si="2"/>
        <v>0</v>
      </c>
      <c r="M11" s="10">
        <f t="shared" ca="1" si="3"/>
        <v>2</v>
      </c>
      <c r="N11" s="10">
        <f t="shared" si="4"/>
        <v>0</v>
      </c>
      <c r="O11" s="10">
        <f t="shared" si="5"/>
        <v>3</v>
      </c>
      <c r="P11" s="10">
        <f t="shared" si="6"/>
        <v>0</v>
      </c>
      <c r="Q11" s="10">
        <f t="shared" si="7"/>
        <v>0</v>
      </c>
      <c r="R11" s="10">
        <f t="shared" ca="1" si="8"/>
        <v>5</v>
      </c>
      <c r="S11" s="10" t="str">
        <f t="shared" ca="1" si="9"/>
        <v>Không cần</v>
      </c>
      <c r="T11" s="10" t="str">
        <f t="shared" ca="1" si="10"/>
        <v>Không</v>
      </c>
      <c r="U11" s="10" t="str">
        <f t="shared" si="11"/>
        <v>Không</v>
      </c>
      <c r="V11" s="2" t="s">
        <v>54</v>
      </c>
      <c r="W11" s="4">
        <v>46142</v>
      </c>
      <c r="X11" s="8" t="str">
        <f t="shared" si="12"/>
        <v>Tháng 4</v>
      </c>
      <c r="Y11" s="8" t="str">
        <f t="shared" si="13"/>
        <v>Khóm 3</v>
      </c>
    </row>
    <row r="12" spans="1:25" x14ac:dyDescent="0.25">
      <c r="A12" s="1" t="s">
        <v>55</v>
      </c>
      <c r="B12" s="2" t="s">
        <v>23</v>
      </c>
      <c r="C12" s="2" t="s">
        <v>56</v>
      </c>
      <c r="D12" s="10">
        <f t="shared" ca="1" si="0"/>
        <v>65</v>
      </c>
      <c r="E12" s="2" t="s">
        <v>26</v>
      </c>
      <c r="F12" s="3">
        <v>160</v>
      </c>
      <c r="G12" s="3">
        <v>63</v>
      </c>
      <c r="H12" s="11">
        <f t="shared" si="1"/>
        <v>24.609374999999996</v>
      </c>
      <c r="I12" s="2">
        <v>75</v>
      </c>
      <c r="J12" s="3">
        <v>140</v>
      </c>
      <c r="K12" s="3">
        <v>80</v>
      </c>
      <c r="L12" s="10">
        <f t="shared" si="2"/>
        <v>0</v>
      </c>
      <c r="M12" s="10">
        <f t="shared" ca="1" si="3"/>
        <v>2</v>
      </c>
      <c r="N12" s="10">
        <f t="shared" si="4"/>
        <v>0</v>
      </c>
      <c r="O12" s="10">
        <f t="shared" si="5"/>
        <v>3</v>
      </c>
      <c r="P12" s="10">
        <f t="shared" si="6"/>
        <v>0</v>
      </c>
      <c r="Q12" s="10">
        <f t="shared" si="7"/>
        <v>2</v>
      </c>
      <c r="R12" s="10">
        <f t="shared" ca="1" si="8"/>
        <v>7</v>
      </c>
      <c r="S12" s="10" t="str">
        <f t="shared" ca="1" si="9"/>
        <v>Có</v>
      </c>
      <c r="T12" s="10" t="str">
        <f t="shared" ca="1" si="10"/>
        <v>Có</v>
      </c>
      <c r="U12" s="10" t="str">
        <f t="shared" si="11"/>
        <v>Có</v>
      </c>
      <c r="V12" s="2" t="s">
        <v>57</v>
      </c>
      <c r="W12" s="4">
        <v>46142</v>
      </c>
      <c r="X12" s="8" t="str">
        <f t="shared" si="12"/>
        <v>Tháng 4</v>
      </c>
      <c r="Y12" s="8" t="str">
        <f t="shared" si="13"/>
        <v>xã hiệp thành</v>
      </c>
    </row>
    <row r="13" spans="1:25" x14ac:dyDescent="0.25">
      <c r="A13" s="1" t="s">
        <v>58</v>
      </c>
      <c r="B13" s="2" t="s">
        <v>23</v>
      </c>
      <c r="C13" s="2" t="s">
        <v>59</v>
      </c>
      <c r="D13" s="10">
        <f t="shared" ca="1" si="0"/>
        <v>74</v>
      </c>
      <c r="E13" s="2" t="s">
        <v>26</v>
      </c>
      <c r="F13" s="3">
        <v>168</v>
      </c>
      <c r="G13" s="3">
        <v>68</v>
      </c>
      <c r="H13" s="11">
        <f t="shared" si="1"/>
        <v>24.092970521541954</v>
      </c>
      <c r="I13" s="2">
        <v>72</v>
      </c>
      <c r="J13" s="3">
        <v>140</v>
      </c>
      <c r="K13" s="3">
        <v>80</v>
      </c>
      <c r="L13" s="10">
        <f t="shared" si="2"/>
        <v>0</v>
      </c>
      <c r="M13" s="10">
        <f t="shared" ca="1" si="3"/>
        <v>2</v>
      </c>
      <c r="N13" s="10">
        <f t="shared" si="4"/>
        <v>0</v>
      </c>
      <c r="O13" s="10">
        <f t="shared" si="5"/>
        <v>3</v>
      </c>
      <c r="P13" s="10">
        <f t="shared" si="6"/>
        <v>0</v>
      </c>
      <c r="Q13" s="10">
        <f t="shared" si="7"/>
        <v>2</v>
      </c>
      <c r="R13" s="10">
        <f t="shared" ca="1" si="8"/>
        <v>7</v>
      </c>
      <c r="S13" s="10" t="str">
        <f t="shared" ca="1" si="9"/>
        <v>Có</v>
      </c>
      <c r="T13" s="10" t="str">
        <f t="shared" ca="1" si="10"/>
        <v>Có</v>
      </c>
      <c r="U13" s="10" t="str">
        <f t="shared" si="11"/>
        <v>Có</v>
      </c>
      <c r="V13" s="2" t="s">
        <v>60</v>
      </c>
      <c r="W13" s="4">
        <v>46142</v>
      </c>
      <c r="X13" s="8" t="str">
        <f t="shared" si="12"/>
        <v>Tháng 4</v>
      </c>
      <c r="Y13" s="8" t="str">
        <f t="shared" si="13"/>
        <v>ấp Biển Đông A</v>
      </c>
    </row>
    <row r="14" spans="1:25" x14ac:dyDescent="0.25">
      <c r="A14" s="1" t="s">
        <v>61</v>
      </c>
      <c r="B14" s="2" t="s">
        <v>30</v>
      </c>
      <c r="C14" s="2" t="s">
        <v>62</v>
      </c>
      <c r="D14" s="10">
        <f t="shared" ca="1" si="0"/>
        <v>64</v>
      </c>
      <c r="E14" s="2" t="s">
        <v>26</v>
      </c>
      <c r="F14" s="3">
        <v>168</v>
      </c>
      <c r="G14" s="3">
        <v>68</v>
      </c>
      <c r="H14" s="11">
        <f t="shared" si="1"/>
        <v>24.092970521541954</v>
      </c>
      <c r="I14" s="2">
        <v>95</v>
      </c>
      <c r="J14" s="3">
        <v>120</v>
      </c>
      <c r="K14" s="3">
        <v>80</v>
      </c>
      <c r="L14" s="10">
        <f t="shared" si="2"/>
        <v>2</v>
      </c>
      <c r="M14" s="10">
        <f t="shared" ca="1" si="3"/>
        <v>2</v>
      </c>
      <c r="N14" s="10">
        <f t="shared" si="4"/>
        <v>0</v>
      </c>
      <c r="O14" s="10">
        <f t="shared" si="5"/>
        <v>3</v>
      </c>
      <c r="P14" s="10">
        <f t="shared" si="6"/>
        <v>2</v>
      </c>
      <c r="Q14" s="10">
        <f t="shared" si="7"/>
        <v>0</v>
      </c>
      <c r="R14" s="10">
        <f t="shared" ca="1" si="8"/>
        <v>9</v>
      </c>
      <c r="S14" s="10" t="str">
        <f t="shared" ca="1" si="9"/>
        <v>Có</v>
      </c>
      <c r="T14" s="10" t="str">
        <f t="shared" ca="1" si="10"/>
        <v>Có</v>
      </c>
      <c r="U14" s="10" t="str">
        <f t="shared" si="11"/>
        <v>Không</v>
      </c>
      <c r="V14" s="2" t="s">
        <v>51</v>
      </c>
      <c r="W14" s="4">
        <v>46142</v>
      </c>
      <c r="X14" s="8" t="str">
        <f t="shared" si="12"/>
        <v>Tháng 4</v>
      </c>
      <c r="Y14" s="8" t="str">
        <f t="shared" si="13"/>
        <v>Phường Hiệp Thành</v>
      </c>
    </row>
    <row r="15" spans="1:25" x14ac:dyDescent="0.25">
      <c r="A15" s="1" t="s">
        <v>63</v>
      </c>
      <c r="B15" s="2" t="s">
        <v>23</v>
      </c>
      <c r="C15" s="2" t="s">
        <v>64</v>
      </c>
      <c r="D15" s="10">
        <f t="shared" ca="1" si="0"/>
        <v>42</v>
      </c>
      <c r="E15" s="2" t="s">
        <v>26</v>
      </c>
      <c r="F15" s="3">
        <v>158</v>
      </c>
      <c r="G15" s="3">
        <v>58</v>
      </c>
      <c r="H15" s="11">
        <f t="shared" si="1"/>
        <v>23.233456176894723</v>
      </c>
      <c r="I15" s="2">
        <v>87</v>
      </c>
      <c r="J15" s="3">
        <v>130</v>
      </c>
      <c r="K15" s="3">
        <v>80</v>
      </c>
      <c r="L15" s="10">
        <f t="shared" si="2"/>
        <v>0</v>
      </c>
      <c r="M15" s="10">
        <f t="shared" ca="1" si="3"/>
        <v>0</v>
      </c>
      <c r="N15" s="10">
        <f t="shared" si="4"/>
        <v>0</v>
      </c>
      <c r="O15" s="10">
        <f t="shared" si="5"/>
        <v>3</v>
      </c>
      <c r="P15" s="10">
        <f t="shared" si="6"/>
        <v>2</v>
      </c>
      <c r="Q15" s="10">
        <f t="shared" si="7"/>
        <v>0</v>
      </c>
      <c r="R15" s="10">
        <f t="shared" ca="1" si="8"/>
        <v>5</v>
      </c>
      <c r="S15" s="10" t="str">
        <f t="shared" ca="1" si="9"/>
        <v>Không cần</v>
      </c>
      <c r="T15" s="10" t="str">
        <f t="shared" ca="1" si="10"/>
        <v>Không</v>
      </c>
      <c r="U15" s="10" t="str">
        <f t="shared" si="11"/>
        <v>Không</v>
      </c>
      <c r="V15" s="2" t="s">
        <v>65</v>
      </c>
      <c r="W15" s="4">
        <v>46142</v>
      </c>
      <c r="X15" s="8" t="str">
        <f t="shared" si="12"/>
        <v>Tháng 4</v>
      </c>
      <c r="Y15" s="8" t="str">
        <f t="shared" si="13"/>
        <v>Biển Tây B</v>
      </c>
    </row>
    <row r="16" spans="1:25" x14ac:dyDescent="0.25">
      <c r="A16" s="1" t="s">
        <v>66</v>
      </c>
      <c r="B16" s="2" t="s">
        <v>30</v>
      </c>
      <c r="C16" s="2" t="s">
        <v>67</v>
      </c>
      <c r="D16" s="10">
        <f t="shared" ca="1" si="0"/>
        <v>48</v>
      </c>
      <c r="E16" s="2" t="s">
        <v>26</v>
      </c>
      <c r="F16" s="3">
        <v>169</v>
      </c>
      <c r="G16" s="3">
        <v>68</v>
      </c>
      <c r="H16" s="11">
        <f t="shared" si="1"/>
        <v>23.808690171912751</v>
      </c>
      <c r="I16" s="2">
        <v>90</v>
      </c>
      <c r="J16" s="3">
        <v>120</v>
      </c>
      <c r="K16" s="3">
        <v>80</v>
      </c>
      <c r="L16" s="10">
        <f t="shared" si="2"/>
        <v>2</v>
      </c>
      <c r="M16" s="10">
        <f t="shared" ca="1" si="3"/>
        <v>1</v>
      </c>
      <c r="N16" s="10">
        <f t="shared" si="4"/>
        <v>0</v>
      </c>
      <c r="O16" s="10">
        <f t="shared" si="5"/>
        <v>3</v>
      </c>
      <c r="P16" s="10">
        <f t="shared" si="6"/>
        <v>2</v>
      </c>
      <c r="Q16" s="10">
        <f t="shared" si="7"/>
        <v>0</v>
      </c>
      <c r="R16" s="10">
        <f t="shared" ca="1" si="8"/>
        <v>8</v>
      </c>
      <c r="S16" s="10" t="str">
        <f t="shared" ca="1" si="9"/>
        <v>Có</v>
      </c>
      <c r="T16" s="10" t="str">
        <f t="shared" ca="1" si="10"/>
        <v>Có</v>
      </c>
      <c r="U16" s="10" t="str">
        <f t="shared" si="11"/>
        <v>Không</v>
      </c>
      <c r="V16" s="2" t="s">
        <v>68</v>
      </c>
      <c r="W16" s="4">
        <v>46142</v>
      </c>
      <c r="X16" s="8" t="str">
        <f t="shared" si="12"/>
        <v>Tháng 4</v>
      </c>
      <c r="Y16" s="8" t="str">
        <f t="shared" si="13"/>
        <v>Ấp Biển Tây B</v>
      </c>
    </row>
    <row r="17" spans="1:25" x14ac:dyDescent="0.25">
      <c r="A17" s="1" t="s">
        <v>69</v>
      </c>
      <c r="B17" s="2" t="s">
        <v>30</v>
      </c>
      <c r="C17" s="2" t="s">
        <v>50</v>
      </c>
      <c r="D17" s="10">
        <f t="shared" ca="1" si="0"/>
        <v>58</v>
      </c>
      <c r="E17" s="2" t="s">
        <v>26</v>
      </c>
      <c r="F17" s="3">
        <v>168</v>
      </c>
      <c r="G17" s="3">
        <v>68</v>
      </c>
      <c r="H17" s="11">
        <f t="shared" si="1"/>
        <v>24.092970521541954</v>
      </c>
      <c r="I17" s="2">
        <v>76</v>
      </c>
      <c r="J17" s="3">
        <v>120</v>
      </c>
      <c r="K17" s="3">
        <v>80</v>
      </c>
      <c r="L17" s="10">
        <f t="shared" si="2"/>
        <v>2</v>
      </c>
      <c r="M17" s="10">
        <f t="shared" ca="1" si="3"/>
        <v>2</v>
      </c>
      <c r="N17" s="10">
        <f t="shared" si="4"/>
        <v>0</v>
      </c>
      <c r="O17" s="10">
        <f t="shared" si="5"/>
        <v>3</v>
      </c>
      <c r="P17" s="10">
        <f t="shared" si="6"/>
        <v>0</v>
      </c>
      <c r="Q17" s="10">
        <f t="shared" si="7"/>
        <v>0</v>
      </c>
      <c r="R17" s="10">
        <f t="shared" ca="1" si="8"/>
        <v>7</v>
      </c>
      <c r="S17" s="10" t="str">
        <f t="shared" ca="1" si="9"/>
        <v>Có</v>
      </c>
      <c r="T17" s="10" t="str">
        <f t="shared" ca="1" si="10"/>
        <v>Có</v>
      </c>
      <c r="U17" s="10" t="str">
        <f t="shared" si="11"/>
        <v>Không</v>
      </c>
      <c r="V17" s="2" t="s">
        <v>70</v>
      </c>
      <c r="W17" s="4">
        <v>46142</v>
      </c>
      <c r="X17" s="8" t="str">
        <f t="shared" si="12"/>
        <v>Tháng 4</v>
      </c>
      <c r="Y17" s="8" t="str">
        <f t="shared" si="13"/>
        <v>Ấp Biển Tây A</v>
      </c>
    </row>
    <row r="18" spans="1:25" x14ac:dyDescent="0.25">
      <c r="A18" s="1" t="s">
        <v>71</v>
      </c>
      <c r="B18" s="2" t="s">
        <v>30</v>
      </c>
      <c r="C18" s="2" t="s">
        <v>62</v>
      </c>
      <c r="D18" s="10">
        <f t="shared" ca="1" si="0"/>
        <v>64</v>
      </c>
      <c r="E18" s="2" t="s">
        <v>26</v>
      </c>
      <c r="F18" s="3">
        <v>168</v>
      </c>
      <c r="G18" s="3">
        <v>68</v>
      </c>
      <c r="H18" s="11">
        <f t="shared" si="1"/>
        <v>24.092970521541954</v>
      </c>
      <c r="I18" s="2">
        <v>93</v>
      </c>
      <c r="J18" s="3">
        <v>130</v>
      </c>
      <c r="K18" s="3">
        <v>80</v>
      </c>
      <c r="L18" s="10">
        <f t="shared" si="2"/>
        <v>2</v>
      </c>
      <c r="M18" s="10">
        <f t="shared" ca="1" si="3"/>
        <v>2</v>
      </c>
      <c r="N18" s="10">
        <f t="shared" si="4"/>
        <v>0</v>
      </c>
      <c r="O18" s="10">
        <f t="shared" si="5"/>
        <v>3</v>
      </c>
      <c r="P18" s="10">
        <f t="shared" si="6"/>
        <v>2</v>
      </c>
      <c r="Q18" s="10">
        <f t="shared" si="7"/>
        <v>0</v>
      </c>
      <c r="R18" s="10">
        <f t="shared" ca="1" si="8"/>
        <v>9</v>
      </c>
      <c r="S18" s="10" t="str">
        <f t="shared" ca="1" si="9"/>
        <v>Có</v>
      </c>
      <c r="T18" s="10" t="str">
        <f t="shared" ca="1" si="10"/>
        <v>Có</v>
      </c>
      <c r="U18" s="10" t="str">
        <f t="shared" si="11"/>
        <v>Không</v>
      </c>
      <c r="V18" s="2" t="s">
        <v>72</v>
      </c>
      <c r="W18" s="4">
        <v>46142</v>
      </c>
      <c r="X18" s="8" t="str">
        <f t="shared" si="12"/>
        <v>Tháng 4</v>
      </c>
      <c r="Y18" s="8" t="str">
        <f t="shared" si="13"/>
        <v>Ấp Giồng Giữa A</v>
      </c>
    </row>
    <row r="19" spans="1:25" x14ac:dyDescent="0.25">
      <c r="A19" s="1" t="s">
        <v>73</v>
      </c>
      <c r="B19" s="2" t="s">
        <v>23</v>
      </c>
      <c r="C19" s="2" t="s">
        <v>62</v>
      </c>
      <c r="D19" s="10">
        <f t="shared" ca="1" si="0"/>
        <v>64</v>
      </c>
      <c r="E19" s="2" t="s">
        <v>26</v>
      </c>
      <c r="F19" s="3">
        <v>158</v>
      </c>
      <c r="G19" s="3">
        <v>58</v>
      </c>
      <c r="H19" s="11">
        <f t="shared" si="1"/>
        <v>23.233456176894723</v>
      </c>
      <c r="I19" s="2">
        <v>73</v>
      </c>
      <c r="J19" s="3">
        <v>130</v>
      </c>
      <c r="K19" s="3">
        <v>80</v>
      </c>
      <c r="L19" s="10">
        <f t="shared" si="2"/>
        <v>0</v>
      </c>
      <c r="M19" s="10">
        <f t="shared" ca="1" si="3"/>
        <v>2</v>
      </c>
      <c r="N19" s="10">
        <f t="shared" si="4"/>
        <v>0</v>
      </c>
      <c r="O19" s="10">
        <f t="shared" si="5"/>
        <v>3</v>
      </c>
      <c r="P19" s="10">
        <f t="shared" si="6"/>
        <v>0</v>
      </c>
      <c r="Q19" s="10">
        <f t="shared" si="7"/>
        <v>0</v>
      </c>
      <c r="R19" s="10">
        <f t="shared" ca="1" si="8"/>
        <v>5</v>
      </c>
      <c r="S19" s="10" t="str">
        <f t="shared" ca="1" si="9"/>
        <v>Không cần</v>
      </c>
      <c r="T19" s="10" t="str">
        <f t="shared" ca="1" si="10"/>
        <v>Không</v>
      </c>
      <c r="U19" s="10" t="str">
        <f t="shared" si="11"/>
        <v>Không</v>
      </c>
      <c r="V19" s="2" t="s">
        <v>74</v>
      </c>
      <c r="W19" s="4">
        <v>46142</v>
      </c>
      <c r="X19" s="8" t="str">
        <f t="shared" si="12"/>
        <v>Tháng 4</v>
      </c>
      <c r="Y19" s="8" t="str">
        <f t="shared" si="13"/>
        <v>ấp Biển Đông A</v>
      </c>
    </row>
    <row r="20" spans="1:25" x14ac:dyDescent="0.25">
      <c r="A20" s="1" t="s">
        <v>75</v>
      </c>
      <c r="B20" s="2" t="s">
        <v>30</v>
      </c>
      <c r="C20" s="2" t="s">
        <v>76</v>
      </c>
      <c r="D20" s="10">
        <f t="shared" ca="1" si="0"/>
        <v>68</v>
      </c>
      <c r="E20" s="2" t="s">
        <v>26</v>
      </c>
      <c r="F20" s="3">
        <v>168</v>
      </c>
      <c r="G20" s="3">
        <v>68</v>
      </c>
      <c r="H20" s="11">
        <f t="shared" si="1"/>
        <v>24.092970521541954</v>
      </c>
      <c r="I20" s="2">
        <v>91</v>
      </c>
      <c r="J20" s="3">
        <v>120</v>
      </c>
      <c r="K20" s="3">
        <v>80</v>
      </c>
      <c r="L20" s="10">
        <f t="shared" si="2"/>
        <v>2</v>
      </c>
      <c r="M20" s="10">
        <f t="shared" ca="1" si="3"/>
        <v>2</v>
      </c>
      <c r="N20" s="10">
        <f t="shared" si="4"/>
        <v>0</v>
      </c>
      <c r="O20" s="10">
        <f t="shared" si="5"/>
        <v>3</v>
      </c>
      <c r="P20" s="10">
        <f t="shared" si="6"/>
        <v>2</v>
      </c>
      <c r="Q20" s="10">
        <f t="shared" si="7"/>
        <v>0</v>
      </c>
      <c r="R20" s="10">
        <f t="shared" ca="1" si="8"/>
        <v>9</v>
      </c>
      <c r="S20" s="10" t="str">
        <f t="shared" ca="1" si="9"/>
        <v>Có</v>
      </c>
      <c r="T20" s="10" t="str">
        <f t="shared" ca="1" si="10"/>
        <v>Có</v>
      </c>
      <c r="U20" s="10" t="str">
        <f t="shared" si="11"/>
        <v>Không</v>
      </c>
      <c r="V20" s="2" t="s">
        <v>38</v>
      </c>
      <c r="W20" s="4">
        <v>46142</v>
      </c>
      <c r="X20" s="8" t="str">
        <f t="shared" si="12"/>
        <v>Tháng 4</v>
      </c>
      <c r="Y20" s="8" t="str">
        <f t="shared" si="13"/>
        <v>Ấp Biển Đông B</v>
      </c>
    </row>
    <row r="21" spans="1:25" x14ac:dyDescent="0.25">
      <c r="A21" s="1" t="s">
        <v>77</v>
      </c>
      <c r="B21" s="2" t="s">
        <v>23</v>
      </c>
      <c r="C21" s="2" t="s">
        <v>47</v>
      </c>
      <c r="D21" s="10">
        <f t="shared" ca="1" si="0"/>
        <v>55</v>
      </c>
      <c r="E21" s="2" t="s">
        <v>26</v>
      </c>
      <c r="F21" s="3">
        <v>150</v>
      </c>
      <c r="G21" s="3">
        <v>58</v>
      </c>
      <c r="H21" s="11">
        <f t="shared" si="1"/>
        <v>25.777777777777779</v>
      </c>
      <c r="I21" s="2">
        <v>90</v>
      </c>
      <c r="J21" s="3">
        <v>130</v>
      </c>
      <c r="K21" s="3">
        <v>80</v>
      </c>
      <c r="L21" s="10">
        <f t="shared" si="2"/>
        <v>0</v>
      </c>
      <c r="M21" s="10">
        <f t="shared" ca="1" si="3"/>
        <v>2</v>
      </c>
      <c r="N21" s="10">
        <f t="shared" si="4"/>
        <v>0</v>
      </c>
      <c r="O21" s="10">
        <f t="shared" si="5"/>
        <v>3</v>
      </c>
      <c r="P21" s="10">
        <f t="shared" si="6"/>
        <v>2</v>
      </c>
      <c r="Q21" s="10">
        <f t="shared" si="7"/>
        <v>0</v>
      </c>
      <c r="R21" s="10">
        <f t="shared" ca="1" si="8"/>
        <v>7</v>
      </c>
      <c r="S21" s="10" t="str">
        <f t="shared" ca="1" si="9"/>
        <v>Có</v>
      </c>
      <c r="T21" s="10" t="str">
        <f t="shared" ca="1" si="10"/>
        <v>Có</v>
      </c>
      <c r="U21" s="10" t="str">
        <f t="shared" si="11"/>
        <v>Không</v>
      </c>
      <c r="V21" s="2" t="s">
        <v>78</v>
      </c>
      <c r="W21" s="4">
        <v>46142</v>
      </c>
      <c r="X21" s="8" t="str">
        <f t="shared" si="12"/>
        <v>Tháng 4</v>
      </c>
      <c r="Y21" s="8" t="str">
        <f t="shared" si="13"/>
        <v>Ấp Cái Nước</v>
      </c>
    </row>
    <row r="22" spans="1:25" x14ac:dyDescent="0.25">
      <c r="A22" s="1" t="s">
        <v>79</v>
      </c>
      <c r="B22" s="2" t="s">
        <v>23</v>
      </c>
      <c r="C22" s="2" t="s">
        <v>80</v>
      </c>
      <c r="D22" s="10">
        <f t="shared" ca="1" si="0"/>
        <v>71</v>
      </c>
      <c r="E22" s="2" t="s">
        <v>26</v>
      </c>
      <c r="F22" s="3">
        <v>158</v>
      </c>
      <c r="G22" s="3">
        <v>58</v>
      </c>
      <c r="H22" s="11">
        <f t="shared" si="1"/>
        <v>23.233456176894723</v>
      </c>
      <c r="I22" s="2">
        <v>71</v>
      </c>
      <c r="J22" s="3">
        <v>120</v>
      </c>
      <c r="K22" s="3">
        <v>80</v>
      </c>
      <c r="L22" s="10">
        <f t="shared" si="2"/>
        <v>0</v>
      </c>
      <c r="M22" s="10">
        <f t="shared" ca="1" si="3"/>
        <v>2</v>
      </c>
      <c r="N22" s="10">
        <f t="shared" si="4"/>
        <v>0</v>
      </c>
      <c r="O22" s="10">
        <f t="shared" si="5"/>
        <v>3</v>
      </c>
      <c r="P22" s="10">
        <f t="shared" si="6"/>
        <v>0</v>
      </c>
      <c r="Q22" s="10">
        <f t="shared" si="7"/>
        <v>0</v>
      </c>
      <c r="R22" s="10">
        <f t="shared" ca="1" si="8"/>
        <v>5</v>
      </c>
      <c r="S22" s="10" t="str">
        <f t="shared" ca="1" si="9"/>
        <v>Không cần</v>
      </c>
      <c r="T22" s="10" t="str">
        <f t="shared" ca="1" si="10"/>
        <v>Không</v>
      </c>
      <c r="U22" s="10" t="str">
        <f t="shared" si="11"/>
        <v>Không</v>
      </c>
      <c r="V22" s="2" t="s">
        <v>38</v>
      </c>
      <c r="W22" s="4">
        <v>46142</v>
      </c>
      <c r="X22" s="8" t="str">
        <f t="shared" si="12"/>
        <v>Tháng 4</v>
      </c>
      <c r="Y22" s="8" t="str">
        <f t="shared" si="13"/>
        <v>Ấp Biển Đông B</v>
      </c>
    </row>
    <row r="23" spans="1:25" x14ac:dyDescent="0.25">
      <c r="A23" s="1" t="s">
        <v>81</v>
      </c>
      <c r="B23" s="2" t="s">
        <v>30</v>
      </c>
      <c r="C23" s="2" t="s">
        <v>82</v>
      </c>
      <c r="D23" s="10">
        <f t="shared" ca="1" si="0"/>
        <v>73</v>
      </c>
      <c r="E23" s="2" t="s">
        <v>25</v>
      </c>
      <c r="F23" s="3">
        <v>169</v>
      </c>
      <c r="G23" s="3">
        <v>68</v>
      </c>
      <c r="H23" s="11">
        <f t="shared" si="1"/>
        <v>23.808690171912751</v>
      </c>
      <c r="I23" s="2">
        <v>96</v>
      </c>
      <c r="J23" s="3">
        <v>130</v>
      </c>
      <c r="K23" s="3">
        <v>80</v>
      </c>
      <c r="L23" s="10">
        <f t="shared" si="2"/>
        <v>2</v>
      </c>
      <c r="M23" s="10">
        <f t="shared" ca="1" si="3"/>
        <v>2</v>
      </c>
      <c r="N23" s="10">
        <f t="shared" si="4"/>
        <v>4</v>
      </c>
      <c r="O23" s="10">
        <f t="shared" si="5"/>
        <v>3</v>
      </c>
      <c r="P23" s="10">
        <f t="shared" si="6"/>
        <v>2</v>
      </c>
      <c r="Q23" s="10">
        <f t="shared" si="7"/>
        <v>0</v>
      </c>
      <c r="R23" s="10">
        <f t="shared" ca="1" si="8"/>
        <v>13</v>
      </c>
      <c r="S23" s="10" t="str">
        <f t="shared" ca="1" si="9"/>
        <v>Có</v>
      </c>
      <c r="T23" s="10" t="str">
        <f t="shared" ca="1" si="10"/>
        <v>Có</v>
      </c>
      <c r="U23" s="10" t="str">
        <f t="shared" si="11"/>
        <v>Không</v>
      </c>
      <c r="V23" s="2" t="s">
        <v>32</v>
      </c>
      <c r="W23" s="4">
        <v>46142</v>
      </c>
      <c r="X23" s="8" t="str">
        <f t="shared" si="12"/>
        <v>Tháng 4</v>
      </c>
      <c r="Y23" s="8" t="str">
        <f t="shared" si="13"/>
        <v>Ấp Giồng Giữa B</v>
      </c>
    </row>
    <row r="24" spans="1:25" x14ac:dyDescent="0.25">
      <c r="A24" s="1" t="s">
        <v>83</v>
      </c>
      <c r="B24" s="2" t="s">
        <v>23</v>
      </c>
      <c r="C24" s="2" t="s">
        <v>84</v>
      </c>
      <c r="D24" s="10">
        <f t="shared" ca="1" si="0"/>
        <v>69</v>
      </c>
      <c r="E24" s="2" t="s">
        <v>26</v>
      </c>
      <c r="F24" s="3">
        <v>158</v>
      </c>
      <c r="G24" s="3">
        <v>58</v>
      </c>
      <c r="H24" s="11">
        <f t="shared" si="1"/>
        <v>23.233456176894723</v>
      </c>
      <c r="I24" s="2">
        <v>65</v>
      </c>
      <c r="J24" s="3">
        <v>150</v>
      </c>
      <c r="K24" s="3">
        <v>80</v>
      </c>
      <c r="L24" s="10">
        <f t="shared" si="2"/>
        <v>0</v>
      </c>
      <c r="M24" s="10">
        <f t="shared" ca="1" si="3"/>
        <v>2</v>
      </c>
      <c r="N24" s="10">
        <f t="shared" si="4"/>
        <v>0</v>
      </c>
      <c r="O24" s="10">
        <f t="shared" si="5"/>
        <v>3</v>
      </c>
      <c r="P24" s="10">
        <f t="shared" si="6"/>
        <v>0</v>
      </c>
      <c r="Q24" s="10">
        <f t="shared" si="7"/>
        <v>2</v>
      </c>
      <c r="R24" s="10">
        <f t="shared" ca="1" si="8"/>
        <v>7</v>
      </c>
      <c r="S24" s="10" t="str">
        <f t="shared" ca="1" si="9"/>
        <v>Có</v>
      </c>
      <c r="T24" s="10" t="str">
        <f t="shared" ca="1" si="10"/>
        <v>Có</v>
      </c>
      <c r="U24" s="10" t="str">
        <f t="shared" si="11"/>
        <v>Có</v>
      </c>
      <c r="V24" s="2" t="s">
        <v>38</v>
      </c>
      <c r="W24" s="4">
        <v>46142</v>
      </c>
      <c r="X24" s="8" t="str">
        <f t="shared" si="12"/>
        <v>Tháng 4</v>
      </c>
      <c r="Y24" s="8" t="str">
        <f t="shared" si="13"/>
        <v>Ấp Biển Đông B</v>
      </c>
    </row>
    <row r="25" spans="1:25" x14ac:dyDescent="0.25">
      <c r="A25" s="1" t="s">
        <v>85</v>
      </c>
      <c r="B25" s="2" t="s">
        <v>23</v>
      </c>
      <c r="C25" s="2" t="s">
        <v>45</v>
      </c>
      <c r="D25" s="10">
        <f t="shared" ca="1" si="0"/>
        <v>50</v>
      </c>
      <c r="E25" s="2" t="s">
        <v>26</v>
      </c>
      <c r="F25" s="3">
        <v>158</v>
      </c>
      <c r="G25" s="3">
        <v>58</v>
      </c>
      <c r="H25" s="11">
        <f t="shared" si="1"/>
        <v>23.233456176894723</v>
      </c>
      <c r="I25" s="2">
        <v>75</v>
      </c>
      <c r="J25" s="3">
        <v>130</v>
      </c>
      <c r="K25" s="3">
        <v>80</v>
      </c>
      <c r="L25" s="10">
        <f t="shared" si="2"/>
        <v>0</v>
      </c>
      <c r="M25" s="10">
        <f t="shared" ca="1" si="3"/>
        <v>2</v>
      </c>
      <c r="N25" s="10">
        <f t="shared" si="4"/>
        <v>0</v>
      </c>
      <c r="O25" s="10">
        <f t="shared" si="5"/>
        <v>3</v>
      </c>
      <c r="P25" s="10">
        <f t="shared" si="6"/>
        <v>0</v>
      </c>
      <c r="Q25" s="10">
        <f t="shared" si="7"/>
        <v>0</v>
      </c>
      <c r="R25" s="10">
        <f t="shared" ca="1" si="8"/>
        <v>5</v>
      </c>
      <c r="S25" s="10" t="str">
        <f t="shared" ca="1" si="9"/>
        <v>Không cần</v>
      </c>
      <c r="T25" s="10" t="str">
        <f t="shared" ca="1" si="10"/>
        <v>Không</v>
      </c>
      <c r="U25" s="10" t="str">
        <f t="shared" si="11"/>
        <v>Không</v>
      </c>
      <c r="V25" s="2" t="s">
        <v>68</v>
      </c>
      <c r="W25" s="4">
        <v>46142</v>
      </c>
      <c r="X25" s="8" t="str">
        <f t="shared" si="12"/>
        <v>Tháng 4</v>
      </c>
      <c r="Y25" s="8" t="str">
        <f t="shared" si="13"/>
        <v>Ấp Biển Tây B</v>
      </c>
    </row>
    <row r="26" spans="1:25" x14ac:dyDescent="0.25">
      <c r="A26" s="1" t="s">
        <v>86</v>
      </c>
      <c r="B26" s="2" t="s">
        <v>23</v>
      </c>
      <c r="C26" s="2" t="s">
        <v>87</v>
      </c>
      <c r="D26" s="10">
        <f t="shared" ca="1" si="0"/>
        <v>49</v>
      </c>
      <c r="E26" s="2" t="s">
        <v>25</v>
      </c>
      <c r="F26" s="3">
        <v>150</v>
      </c>
      <c r="G26" s="3">
        <v>58</v>
      </c>
      <c r="H26" s="11">
        <f t="shared" si="1"/>
        <v>25.777777777777779</v>
      </c>
      <c r="I26" s="2">
        <v>83</v>
      </c>
      <c r="J26" s="3">
        <v>140</v>
      </c>
      <c r="K26" s="3">
        <v>80</v>
      </c>
      <c r="L26" s="10">
        <f t="shared" si="2"/>
        <v>0</v>
      </c>
      <c r="M26" s="10">
        <f t="shared" ca="1" si="3"/>
        <v>1</v>
      </c>
      <c r="N26" s="10">
        <f t="shared" si="4"/>
        <v>4</v>
      </c>
      <c r="O26" s="10">
        <f t="shared" si="5"/>
        <v>3</v>
      </c>
      <c r="P26" s="10">
        <f t="shared" si="6"/>
        <v>2</v>
      </c>
      <c r="Q26" s="10">
        <f t="shared" si="7"/>
        <v>2</v>
      </c>
      <c r="R26" s="10">
        <f t="shared" ca="1" si="8"/>
        <v>12</v>
      </c>
      <c r="S26" s="10" t="str">
        <f t="shared" ca="1" si="9"/>
        <v>Có</v>
      </c>
      <c r="T26" s="10" t="str">
        <f t="shared" ca="1" si="10"/>
        <v>Có</v>
      </c>
      <c r="U26" s="10" t="str">
        <f t="shared" si="11"/>
        <v>Có</v>
      </c>
      <c r="V26" s="2" t="s">
        <v>88</v>
      </c>
      <c r="W26" s="4">
        <v>46142</v>
      </c>
      <c r="X26" s="8" t="str">
        <f t="shared" si="12"/>
        <v>Tháng 4</v>
      </c>
      <c r="Y26" s="8" t="str">
        <f t="shared" si="13"/>
        <v>Giồng Giữa</v>
      </c>
    </row>
    <row r="27" spans="1:25" x14ac:dyDescent="0.25">
      <c r="A27" s="1" t="s">
        <v>89</v>
      </c>
      <c r="B27" s="2" t="s">
        <v>23</v>
      </c>
      <c r="C27" s="2" t="s">
        <v>90</v>
      </c>
      <c r="D27" s="10">
        <f t="shared" ca="1" si="0"/>
        <v>54</v>
      </c>
      <c r="E27" s="2" t="s">
        <v>26</v>
      </c>
      <c r="F27" s="3">
        <v>156</v>
      </c>
      <c r="G27" s="3">
        <v>55</v>
      </c>
      <c r="H27" s="11">
        <f t="shared" si="1"/>
        <v>22.600262984878366</v>
      </c>
      <c r="I27" s="2">
        <v>73</v>
      </c>
      <c r="J27" s="3">
        <v>120</v>
      </c>
      <c r="K27" s="3">
        <v>80</v>
      </c>
      <c r="L27" s="10">
        <f t="shared" si="2"/>
        <v>0</v>
      </c>
      <c r="M27" s="10">
        <f t="shared" ca="1" si="3"/>
        <v>2</v>
      </c>
      <c r="N27" s="10">
        <f t="shared" si="4"/>
        <v>0</v>
      </c>
      <c r="O27" s="10">
        <f t="shared" si="5"/>
        <v>0</v>
      </c>
      <c r="P27" s="10">
        <f t="shared" si="6"/>
        <v>0</v>
      </c>
      <c r="Q27" s="10">
        <f t="shared" si="7"/>
        <v>0</v>
      </c>
      <c r="R27" s="10">
        <f t="shared" ca="1" si="8"/>
        <v>2</v>
      </c>
      <c r="S27" s="10" t="str">
        <f t="shared" ca="1" si="9"/>
        <v>Không cần</v>
      </c>
      <c r="T27" s="10" t="str">
        <f t="shared" ca="1" si="10"/>
        <v>Không</v>
      </c>
      <c r="U27" s="10" t="str">
        <f t="shared" si="11"/>
        <v>Không</v>
      </c>
      <c r="V27" s="2" t="s">
        <v>91</v>
      </c>
      <c r="W27" s="4">
        <v>46142</v>
      </c>
      <c r="X27" s="8" t="str">
        <f t="shared" si="12"/>
        <v>Tháng 4</v>
      </c>
      <c r="Y27" s="8" t="str">
        <f t="shared" si="13"/>
        <v>Ấp Giồng Giữa</v>
      </c>
    </row>
    <row r="28" spans="1:25" x14ac:dyDescent="0.25">
      <c r="A28" s="1" t="s">
        <v>92</v>
      </c>
      <c r="B28" s="2" t="s">
        <v>23</v>
      </c>
      <c r="C28" s="2" t="s">
        <v>93</v>
      </c>
      <c r="D28" s="10">
        <f t="shared" ca="1" si="0"/>
        <v>66</v>
      </c>
      <c r="E28" s="2" t="s">
        <v>26</v>
      </c>
      <c r="F28" s="3">
        <v>155</v>
      </c>
      <c r="G28" s="3">
        <v>58</v>
      </c>
      <c r="H28" s="11">
        <f t="shared" si="1"/>
        <v>24.141519250780433</v>
      </c>
      <c r="I28" s="2">
        <v>68</v>
      </c>
      <c r="J28" s="3">
        <v>120</v>
      </c>
      <c r="K28" s="3">
        <v>80</v>
      </c>
      <c r="L28" s="10">
        <f t="shared" si="2"/>
        <v>0</v>
      </c>
      <c r="M28" s="10">
        <f t="shared" ca="1" si="3"/>
        <v>2</v>
      </c>
      <c r="N28" s="10">
        <f t="shared" si="4"/>
        <v>0</v>
      </c>
      <c r="O28" s="10">
        <f t="shared" si="5"/>
        <v>3</v>
      </c>
      <c r="P28" s="10">
        <f t="shared" si="6"/>
        <v>0</v>
      </c>
      <c r="Q28" s="10">
        <f t="shared" si="7"/>
        <v>0</v>
      </c>
      <c r="R28" s="10">
        <f t="shared" ca="1" si="8"/>
        <v>5</v>
      </c>
      <c r="S28" s="10" t="str">
        <f t="shared" ca="1" si="9"/>
        <v>Không cần</v>
      </c>
      <c r="T28" s="10" t="str">
        <f t="shared" ca="1" si="10"/>
        <v>Không</v>
      </c>
      <c r="U28" s="10" t="str">
        <f t="shared" si="11"/>
        <v>Không</v>
      </c>
      <c r="V28" s="2" t="s">
        <v>218</v>
      </c>
      <c r="W28" s="4">
        <v>46142</v>
      </c>
      <c r="X28" s="8" t="str">
        <f t="shared" si="12"/>
        <v>Tháng 4</v>
      </c>
      <c r="Y28" s="8" t="str">
        <f t="shared" si="13"/>
        <v>Biển Đông B</v>
      </c>
    </row>
    <row r="29" spans="1:25" x14ac:dyDescent="0.25">
      <c r="A29" s="1" t="s">
        <v>95</v>
      </c>
      <c r="B29" s="2" t="s">
        <v>23</v>
      </c>
      <c r="C29" s="2" t="s">
        <v>80</v>
      </c>
      <c r="D29" s="10">
        <f t="shared" ca="1" si="0"/>
        <v>71</v>
      </c>
      <c r="E29" s="2" t="s">
        <v>26</v>
      </c>
      <c r="F29" s="3">
        <v>158</v>
      </c>
      <c r="G29" s="3">
        <v>58</v>
      </c>
      <c r="H29" s="11">
        <f t="shared" si="1"/>
        <v>23.233456176894723</v>
      </c>
      <c r="I29" s="2">
        <v>83</v>
      </c>
      <c r="J29" s="3">
        <v>120</v>
      </c>
      <c r="K29" s="3">
        <v>80</v>
      </c>
      <c r="L29" s="10">
        <f t="shared" si="2"/>
        <v>0</v>
      </c>
      <c r="M29" s="10">
        <f t="shared" ca="1" si="3"/>
        <v>2</v>
      </c>
      <c r="N29" s="10">
        <f t="shared" si="4"/>
        <v>0</v>
      </c>
      <c r="O29" s="10">
        <f t="shared" si="5"/>
        <v>3</v>
      </c>
      <c r="P29" s="10">
        <f t="shared" si="6"/>
        <v>2</v>
      </c>
      <c r="Q29" s="10">
        <f t="shared" si="7"/>
        <v>0</v>
      </c>
      <c r="R29" s="10">
        <f t="shared" ca="1" si="8"/>
        <v>7</v>
      </c>
      <c r="S29" s="10" t="str">
        <f t="shared" ca="1" si="9"/>
        <v>Có</v>
      </c>
      <c r="T29" s="10" t="str">
        <f t="shared" ca="1" si="10"/>
        <v>Có</v>
      </c>
      <c r="U29" s="10" t="str">
        <f t="shared" si="11"/>
        <v>Không</v>
      </c>
      <c r="V29" s="2" t="s">
        <v>51</v>
      </c>
      <c r="W29" s="4">
        <v>46142</v>
      </c>
      <c r="X29" s="8" t="str">
        <f t="shared" si="12"/>
        <v>Tháng 4</v>
      </c>
      <c r="Y29" s="8" t="str">
        <f t="shared" si="13"/>
        <v>Phường Hiệp Thành</v>
      </c>
    </row>
    <row r="30" spans="1:25" x14ac:dyDescent="0.25">
      <c r="A30" s="1" t="s">
        <v>96</v>
      </c>
      <c r="B30" s="2" t="s">
        <v>23</v>
      </c>
      <c r="C30" s="2" t="s">
        <v>97</v>
      </c>
      <c r="D30" s="10">
        <f t="shared" ca="1" si="0"/>
        <v>92</v>
      </c>
      <c r="E30" s="2" t="s">
        <v>26</v>
      </c>
      <c r="F30" s="3">
        <v>169</v>
      </c>
      <c r="G30" s="3">
        <v>68</v>
      </c>
      <c r="H30" s="11">
        <f t="shared" si="1"/>
        <v>23.808690171912751</v>
      </c>
      <c r="I30" s="2">
        <v>79</v>
      </c>
      <c r="J30" s="3">
        <v>120</v>
      </c>
      <c r="K30" s="3">
        <v>80</v>
      </c>
      <c r="L30" s="10">
        <f t="shared" si="2"/>
        <v>0</v>
      </c>
      <c r="M30" s="10">
        <f t="shared" ca="1" si="3"/>
        <v>2</v>
      </c>
      <c r="N30" s="10">
        <f t="shared" si="4"/>
        <v>0</v>
      </c>
      <c r="O30" s="10">
        <f t="shared" si="5"/>
        <v>3</v>
      </c>
      <c r="P30" s="10">
        <f t="shared" si="6"/>
        <v>0</v>
      </c>
      <c r="Q30" s="10">
        <f t="shared" si="7"/>
        <v>0</v>
      </c>
      <c r="R30" s="10">
        <f t="shared" ca="1" si="8"/>
        <v>5</v>
      </c>
      <c r="S30" s="10" t="str">
        <f t="shared" ca="1" si="9"/>
        <v>Không cần</v>
      </c>
      <c r="T30" s="10" t="str">
        <f t="shared" ca="1" si="10"/>
        <v>Không</v>
      </c>
      <c r="U30" s="10" t="str">
        <f t="shared" si="11"/>
        <v>Không</v>
      </c>
      <c r="V30" s="2" t="s">
        <v>51</v>
      </c>
      <c r="W30" s="4">
        <v>46142</v>
      </c>
      <c r="X30" s="8" t="str">
        <f t="shared" si="12"/>
        <v>Tháng 4</v>
      </c>
      <c r="Y30" s="8" t="str">
        <f t="shared" si="13"/>
        <v>Phường Hiệp Thành</v>
      </c>
    </row>
    <row r="31" spans="1:25" x14ac:dyDescent="0.25">
      <c r="A31" s="1" t="s">
        <v>98</v>
      </c>
      <c r="B31" s="2" t="s">
        <v>30</v>
      </c>
      <c r="C31" s="2" t="s">
        <v>84</v>
      </c>
      <c r="D31" s="10">
        <f t="shared" ca="1" si="0"/>
        <v>69</v>
      </c>
      <c r="E31" s="2" t="s">
        <v>26</v>
      </c>
      <c r="F31" s="3">
        <v>166</v>
      </c>
      <c r="G31" s="3">
        <v>58</v>
      </c>
      <c r="H31" s="11">
        <f t="shared" si="1"/>
        <v>21.048047612135289</v>
      </c>
      <c r="I31" s="2">
        <v>89</v>
      </c>
      <c r="J31" s="3">
        <v>120</v>
      </c>
      <c r="K31" s="3">
        <v>80</v>
      </c>
      <c r="L31" s="10">
        <f t="shared" si="2"/>
        <v>2</v>
      </c>
      <c r="M31" s="10">
        <f t="shared" ca="1" si="3"/>
        <v>2</v>
      </c>
      <c r="N31" s="10">
        <f t="shared" si="4"/>
        <v>0</v>
      </c>
      <c r="O31" s="10">
        <f t="shared" si="5"/>
        <v>0</v>
      </c>
      <c r="P31" s="10">
        <f t="shared" si="6"/>
        <v>0</v>
      </c>
      <c r="Q31" s="10">
        <f t="shared" si="7"/>
        <v>0</v>
      </c>
      <c r="R31" s="10">
        <f t="shared" ca="1" si="8"/>
        <v>4</v>
      </c>
      <c r="S31" s="10" t="str">
        <f t="shared" ca="1" si="9"/>
        <v>Không cần</v>
      </c>
      <c r="T31" s="10" t="str">
        <f t="shared" ca="1" si="10"/>
        <v>Không</v>
      </c>
      <c r="U31" s="10" t="str">
        <f t="shared" si="11"/>
        <v>Không</v>
      </c>
      <c r="V31" s="2" t="s">
        <v>99</v>
      </c>
      <c r="W31" s="2" t="s">
        <v>100</v>
      </c>
      <c r="X31" s="8" t="str">
        <f t="shared" si="12"/>
        <v>Tháng 3</v>
      </c>
      <c r="Y31" s="8" t="str">
        <f t="shared" si="13"/>
        <v>ấp Biển tây B</v>
      </c>
    </row>
    <row r="32" spans="1:25" x14ac:dyDescent="0.25">
      <c r="A32" s="1" t="s">
        <v>101</v>
      </c>
      <c r="B32" s="2" t="s">
        <v>30</v>
      </c>
      <c r="C32" s="2" t="s">
        <v>76</v>
      </c>
      <c r="D32" s="10">
        <f t="shared" ca="1" si="0"/>
        <v>68</v>
      </c>
      <c r="E32" s="2" t="s">
        <v>25</v>
      </c>
      <c r="F32" s="3">
        <v>160</v>
      </c>
      <c r="G32" s="3">
        <v>72</v>
      </c>
      <c r="H32" s="11">
        <f t="shared" si="1"/>
        <v>28.124999999999993</v>
      </c>
      <c r="I32" s="2">
        <v>85</v>
      </c>
      <c r="J32" s="3">
        <v>120</v>
      </c>
      <c r="K32" s="3">
        <v>80</v>
      </c>
      <c r="L32" s="10">
        <f t="shared" si="2"/>
        <v>2</v>
      </c>
      <c r="M32" s="10">
        <f t="shared" ca="1" si="3"/>
        <v>2</v>
      </c>
      <c r="N32" s="10">
        <f t="shared" si="4"/>
        <v>4</v>
      </c>
      <c r="O32" s="10">
        <f t="shared" si="5"/>
        <v>5</v>
      </c>
      <c r="P32" s="10">
        <f t="shared" si="6"/>
        <v>0</v>
      </c>
      <c r="Q32" s="10">
        <f t="shared" si="7"/>
        <v>0</v>
      </c>
      <c r="R32" s="10">
        <f t="shared" ca="1" si="8"/>
        <v>13</v>
      </c>
      <c r="S32" s="10" t="str">
        <f t="shared" ca="1" si="9"/>
        <v>Có</v>
      </c>
      <c r="T32" s="10" t="str">
        <f t="shared" ca="1" si="10"/>
        <v>Có</v>
      </c>
      <c r="U32" s="10" t="str">
        <f t="shared" si="11"/>
        <v>Không</v>
      </c>
      <c r="V32" s="2" t="s">
        <v>60</v>
      </c>
      <c r="W32" s="4">
        <v>46142</v>
      </c>
      <c r="X32" s="8" t="str">
        <f t="shared" si="12"/>
        <v>Tháng 4</v>
      </c>
      <c r="Y32" s="8" t="str">
        <f t="shared" si="13"/>
        <v>ấp Biển Đông A</v>
      </c>
    </row>
    <row r="33" spans="1:25" x14ac:dyDescent="0.25">
      <c r="A33" s="1" t="s">
        <v>102</v>
      </c>
      <c r="B33" s="2" t="s">
        <v>23</v>
      </c>
      <c r="C33" s="2" t="s">
        <v>80</v>
      </c>
      <c r="D33" s="10">
        <f t="shared" ca="1" si="0"/>
        <v>71</v>
      </c>
      <c r="E33" s="2" t="s">
        <v>26</v>
      </c>
      <c r="F33" s="3">
        <v>158</v>
      </c>
      <c r="G33" s="3">
        <v>58</v>
      </c>
      <c r="H33" s="11">
        <f t="shared" si="1"/>
        <v>23.233456176894723</v>
      </c>
      <c r="I33" s="2">
        <v>72</v>
      </c>
      <c r="J33" s="3">
        <v>130</v>
      </c>
      <c r="K33" s="3">
        <v>80</v>
      </c>
      <c r="L33" s="10">
        <f t="shared" si="2"/>
        <v>0</v>
      </c>
      <c r="M33" s="10">
        <f t="shared" ca="1" si="3"/>
        <v>2</v>
      </c>
      <c r="N33" s="10">
        <f t="shared" si="4"/>
        <v>0</v>
      </c>
      <c r="O33" s="10">
        <f t="shared" si="5"/>
        <v>3</v>
      </c>
      <c r="P33" s="10">
        <f t="shared" si="6"/>
        <v>0</v>
      </c>
      <c r="Q33" s="10">
        <f t="shared" si="7"/>
        <v>0</v>
      </c>
      <c r="R33" s="10">
        <f t="shared" ca="1" si="8"/>
        <v>5</v>
      </c>
      <c r="S33" s="10" t="str">
        <f t="shared" ca="1" si="9"/>
        <v>Không cần</v>
      </c>
      <c r="T33" s="10" t="str">
        <f t="shared" ca="1" si="10"/>
        <v>Không</v>
      </c>
      <c r="U33" s="10" t="str">
        <f t="shared" si="11"/>
        <v>Không</v>
      </c>
      <c r="V33" s="2" t="s">
        <v>103</v>
      </c>
      <c r="W33" s="4">
        <v>46142</v>
      </c>
      <c r="X33" s="8" t="str">
        <f t="shared" si="12"/>
        <v>Tháng 4</v>
      </c>
      <c r="Y33" s="8" t="str">
        <f t="shared" si="13"/>
        <v>Giồng Giữa B</v>
      </c>
    </row>
    <row r="34" spans="1:25" x14ac:dyDescent="0.25">
      <c r="A34" s="1" t="s">
        <v>104</v>
      </c>
      <c r="B34" s="2" t="s">
        <v>23</v>
      </c>
      <c r="C34" s="2" t="s">
        <v>105</v>
      </c>
      <c r="D34" s="10">
        <f t="shared" ca="1" si="0"/>
        <v>60</v>
      </c>
      <c r="E34" s="2" t="s">
        <v>26</v>
      </c>
      <c r="F34" s="3">
        <v>158</v>
      </c>
      <c r="G34" s="3">
        <v>58</v>
      </c>
      <c r="H34" s="11">
        <f t="shared" si="1"/>
        <v>23.233456176894723</v>
      </c>
      <c r="I34" s="2">
        <v>86</v>
      </c>
      <c r="J34" s="3">
        <v>150</v>
      </c>
      <c r="K34" s="3">
        <v>80</v>
      </c>
      <c r="L34" s="10">
        <f t="shared" si="2"/>
        <v>0</v>
      </c>
      <c r="M34" s="10">
        <f t="shared" ca="1" si="3"/>
        <v>2</v>
      </c>
      <c r="N34" s="10">
        <f t="shared" si="4"/>
        <v>0</v>
      </c>
      <c r="O34" s="10">
        <f t="shared" si="5"/>
        <v>3</v>
      </c>
      <c r="P34" s="10">
        <f t="shared" si="6"/>
        <v>2</v>
      </c>
      <c r="Q34" s="10">
        <f t="shared" si="7"/>
        <v>2</v>
      </c>
      <c r="R34" s="10">
        <f t="shared" ca="1" si="8"/>
        <v>9</v>
      </c>
      <c r="S34" s="10" t="str">
        <f t="shared" ca="1" si="9"/>
        <v>Có</v>
      </c>
      <c r="T34" s="10" t="str">
        <f t="shared" ca="1" si="10"/>
        <v>Có</v>
      </c>
      <c r="U34" s="10" t="str">
        <f t="shared" si="11"/>
        <v>Có</v>
      </c>
      <c r="V34" s="2" t="s">
        <v>106</v>
      </c>
      <c r="W34" s="4">
        <v>46142</v>
      </c>
      <c r="X34" s="8" t="str">
        <f t="shared" si="12"/>
        <v>Tháng 4</v>
      </c>
      <c r="Y34" s="8" t="str">
        <f t="shared" si="13"/>
        <v>xã Lai Hòa</v>
      </c>
    </row>
    <row r="35" spans="1:25" x14ac:dyDescent="0.25">
      <c r="A35" s="1" t="s">
        <v>107</v>
      </c>
      <c r="B35" s="2" t="s">
        <v>30</v>
      </c>
      <c r="C35" s="2" t="s">
        <v>50</v>
      </c>
      <c r="D35" s="10">
        <f t="shared" ca="1" si="0"/>
        <v>58</v>
      </c>
      <c r="E35" s="2" t="s">
        <v>25</v>
      </c>
      <c r="F35" s="3">
        <v>163</v>
      </c>
      <c r="G35" s="3">
        <v>69</v>
      </c>
      <c r="H35" s="11">
        <f t="shared" si="1"/>
        <v>25.970115548195267</v>
      </c>
      <c r="I35" s="2">
        <v>99</v>
      </c>
      <c r="J35" s="3">
        <v>120</v>
      </c>
      <c r="K35" s="3">
        <v>80</v>
      </c>
      <c r="L35" s="10">
        <f t="shared" si="2"/>
        <v>2</v>
      </c>
      <c r="M35" s="10">
        <f t="shared" ca="1" si="3"/>
        <v>2</v>
      </c>
      <c r="N35" s="10">
        <f t="shared" si="4"/>
        <v>4</v>
      </c>
      <c r="O35" s="10">
        <f t="shared" si="5"/>
        <v>3</v>
      </c>
      <c r="P35" s="10">
        <f t="shared" si="6"/>
        <v>2</v>
      </c>
      <c r="Q35" s="10">
        <f t="shared" si="7"/>
        <v>0</v>
      </c>
      <c r="R35" s="10">
        <f t="shared" ca="1" si="8"/>
        <v>13</v>
      </c>
      <c r="S35" s="10" t="str">
        <f t="shared" ca="1" si="9"/>
        <v>Có</v>
      </c>
      <c r="T35" s="10" t="str">
        <f t="shared" ca="1" si="10"/>
        <v>Có</v>
      </c>
      <c r="U35" s="10" t="str">
        <f t="shared" si="11"/>
        <v>Không</v>
      </c>
      <c r="V35" s="2" t="s">
        <v>108</v>
      </c>
      <c r="W35" s="4">
        <v>46081</v>
      </c>
      <c r="X35" s="8" t="str">
        <f t="shared" si="12"/>
        <v>Tháng 2</v>
      </c>
      <c r="Y35" s="8" t="str">
        <f t="shared" si="13"/>
        <v>Phường Hiệp Thành</v>
      </c>
    </row>
    <row r="36" spans="1:25" x14ac:dyDescent="0.25">
      <c r="A36" s="1" t="s">
        <v>109</v>
      </c>
      <c r="B36" s="2" t="s">
        <v>30</v>
      </c>
      <c r="C36" s="2" t="s">
        <v>110</v>
      </c>
      <c r="D36" s="10">
        <f t="shared" ca="1" si="0"/>
        <v>62</v>
      </c>
      <c r="E36" s="2" t="s">
        <v>26</v>
      </c>
      <c r="F36" s="3">
        <v>169</v>
      </c>
      <c r="G36" s="3">
        <v>68</v>
      </c>
      <c r="H36" s="11">
        <f t="shared" si="1"/>
        <v>23.808690171912751</v>
      </c>
      <c r="I36" s="2">
        <v>99</v>
      </c>
      <c r="J36" s="3">
        <v>140</v>
      </c>
      <c r="K36" s="3">
        <v>80</v>
      </c>
      <c r="L36" s="10">
        <f t="shared" si="2"/>
        <v>2</v>
      </c>
      <c r="M36" s="10">
        <f t="shared" ca="1" si="3"/>
        <v>2</v>
      </c>
      <c r="N36" s="10">
        <f t="shared" si="4"/>
        <v>0</v>
      </c>
      <c r="O36" s="10">
        <f t="shared" si="5"/>
        <v>3</v>
      </c>
      <c r="P36" s="10">
        <f t="shared" si="6"/>
        <v>2</v>
      </c>
      <c r="Q36" s="10">
        <f t="shared" si="7"/>
        <v>2</v>
      </c>
      <c r="R36" s="10">
        <f t="shared" ca="1" si="8"/>
        <v>11</v>
      </c>
      <c r="S36" s="10" t="str">
        <f t="shared" ca="1" si="9"/>
        <v>Có</v>
      </c>
      <c r="T36" s="10" t="str">
        <f t="shared" ca="1" si="10"/>
        <v>Có</v>
      </c>
      <c r="U36" s="10" t="str">
        <f t="shared" si="11"/>
        <v>Có</v>
      </c>
      <c r="V36" s="2" t="s">
        <v>111</v>
      </c>
      <c r="W36" s="4">
        <v>46142</v>
      </c>
      <c r="X36" s="8" t="str">
        <f t="shared" si="12"/>
        <v>Tháng 4</v>
      </c>
      <c r="Y36" s="8" t="str">
        <f t="shared" si="13"/>
        <v>Phường Vĩnh Trạch</v>
      </c>
    </row>
    <row r="37" spans="1:25" x14ac:dyDescent="0.25">
      <c r="A37" s="1" t="s">
        <v>112</v>
      </c>
      <c r="B37" s="2" t="s">
        <v>30</v>
      </c>
      <c r="C37" s="2" t="s">
        <v>59</v>
      </c>
      <c r="D37" s="10">
        <f t="shared" ca="1" si="0"/>
        <v>74</v>
      </c>
      <c r="E37" s="2" t="s">
        <v>26</v>
      </c>
      <c r="F37" s="3">
        <v>170</v>
      </c>
      <c r="G37" s="3">
        <v>57</v>
      </c>
      <c r="H37" s="11">
        <f t="shared" si="1"/>
        <v>19.723183391003463</v>
      </c>
      <c r="I37" s="2">
        <v>81</v>
      </c>
      <c r="J37" s="3">
        <v>120</v>
      </c>
      <c r="K37" s="3">
        <v>80</v>
      </c>
      <c r="L37" s="10">
        <f t="shared" si="2"/>
        <v>2</v>
      </c>
      <c r="M37" s="10">
        <f t="shared" ca="1" si="3"/>
        <v>2</v>
      </c>
      <c r="N37" s="10">
        <f t="shared" si="4"/>
        <v>0</v>
      </c>
      <c r="O37" s="10">
        <f t="shared" si="5"/>
        <v>0</v>
      </c>
      <c r="P37" s="10">
        <f t="shared" si="6"/>
        <v>0</v>
      </c>
      <c r="Q37" s="10">
        <f t="shared" si="7"/>
        <v>0</v>
      </c>
      <c r="R37" s="10">
        <f t="shared" ca="1" si="8"/>
        <v>4</v>
      </c>
      <c r="S37" s="10" t="str">
        <f t="shared" ca="1" si="9"/>
        <v>Không cần</v>
      </c>
      <c r="T37" s="10" t="str">
        <f t="shared" ca="1" si="10"/>
        <v>Không</v>
      </c>
      <c r="U37" s="10" t="str">
        <f t="shared" si="11"/>
        <v>Không</v>
      </c>
      <c r="V37" s="2" t="s">
        <v>113</v>
      </c>
      <c r="W37" s="4">
        <v>46081</v>
      </c>
      <c r="X37" s="8" t="str">
        <f t="shared" si="12"/>
        <v>Tháng 2</v>
      </c>
      <c r="Y37" s="8" t="str">
        <f t="shared" si="13"/>
        <v>Giống Nhãn</v>
      </c>
    </row>
    <row r="38" spans="1:25" x14ac:dyDescent="0.25">
      <c r="A38" s="1" t="s">
        <v>114</v>
      </c>
      <c r="B38" s="2" t="s">
        <v>23</v>
      </c>
      <c r="C38" s="2" t="s">
        <v>115</v>
      </c>
      <c r="D38" s="10">
        <f t="shared" ca="1" si="0"/>
        <v>40</v>
      </c>
      <c r="E38" s="2" t="s">
        <v>26</v>
      </c>
      <c r="F38" s="3">
        <v>158</v>
      </c>
      <c r="G38" s="3">
        <v>58</v>
      </c>
      <c r="H38" s="11">
        <f t="shared" si="1"/>
        <v>23.233456176894723</v>
      </c>
      <c r="I38" s="2">
        <v>66</v>
      </c>
      <c r="J38" s="3">
        <v>120</v>
      </c>
      <c r="K38" s="3">
        <v>80</v>
      </c>
      <c r="L38" s="10">
        <f t="shared" si="2"/>
        <v>0</v>
      </c>
      <c r="M38" s="10">
        <f t="shared" ca="1" si="3"/>
        <v>0</v>
      </c>
      <c r="N38" s="10">
        <f t="shared" si="4"/>
        <v>0</v>
      </c>
      <c r="O38" s="10">
        <f t="shared" si="5"/>
        <v>3</v>
      </c>
      <c r="P38" s="10">
        <f t="shared" si="6"/>
        <v>0</v>
      </c>
      <c r="Q38" s="10">
        <f t="shared" si="7"/>
        <v>0</v>
      </c>
      <c r="R38" s="10">
        <f t="shared" ca="1" si="8"/>
        <v>3</v>
      </c>
      <c r="S38" s="10" t="str">
        <f t="shared" ca="1" si="9"/>
        <v>Không cần</v>
      </c>
      <c r="T38" s="10" t="str">
        <f t="shared" ca="1" si="10"/>
        <v>Không</v>
      </c>
      <c r="U38" s="10" t="str">
        <f t="shared" si="11"/>
        <v>Không</v>
      </c>
      <c r="V38" s="2" t="s">
        <v>51</v>
      </c>
      <c r="W38" s="4">
        <v>46142</v>
      </c>
      <c r="X38" s="8" t="str">
        <f t="shared" si="12"/>
        <v>Tháng 4</v>
      </c>
      <c r="Y38" s="8" t="str">
        <f t="shared" si="13"/>
        <v>Phường Hiệp Thành</v>
      </c>
    </row>
    <row r="39" spans="1:25" x14ac:dyDescent="0.25">
      <c r="A39" s="1" t="s">
        <v>116</v>
      </c>
      <c r="B39" s="2" t="s">
        <v>23</v>
      </c>
      <c r="C39" s="2" t="s">
        <v>53</v>
      </c>
      <c r="D39" s="10">
        <f t="shared" ca="1" si="0"/>
        <v>72</v>
      </c>
      <c r="E39" s="2" t="s">
        <v>26</v>
      </c>
      <c r="F39" s="3">
        <v>160</v>
      </c>
      <c r="G39" s="3">
        <v>57</v>
      </c>
      <c r="H39" s="11">
        <f t="shared" si="1"/>
        <v>22.265624999999996</v>
      </c>
      <c r="I39" s="2">
        <v>89</v>
      </c>
      <c r="J39" s="3">
        <v>120</v>
      </c>
      <c r="K39" s="3">
        <v>80</v>
      </c>
      <c r="L39" s="10">
        <f t="shared" si="2"/>
        <v>0</v>
      </c>
      <c r="M39" s="10">
        <f t="shared" ca="1" si="3"/>
        <v>2</v>
      </c>
      <c r="N39" s="10">
        <f t="shared" si="4"/>
        <v>0</v>
      </c>
      <c r="O39" s="10">
        <f t="shared" si="5"/>
        <v>0</v>
      </c>
      <c r="P39" s="10">
        <f t="shared" si="6"/>
        <v>2</v>
      </c>
      <c r="Q39" s="10">
        <f t="shared" si="7"/>
        <v>0</v>
      </c>
      <c r="R39" s="10">
        <f t="shared" ca="1" si="8"/>
        <v>4</v>
      </c>
      <c r="S39" s="10" t="str">
        <f t="shared" ca="1" si="9"/>
        <v>Không cần</v>
      </c>
      <c r="T39" s="10" t="str">
        <f t="shared" ca="1" si="10"/>
        <v>Không</v>
      </c>
      <c r="U39" s="10" t="str">
        <f t="shared" si="11"/>
        <v>Không</v>
      </c>
      <c r="V39" s="2" t="s">
        <v>117</v>
      </c>
      <c r="W39" s="4">
        <v>46142</v>
      </c>
      <c r="X39" s="8" t="str">
        <f t="shared" si="12"/>
        <v>Tháng 4</v>
      </c>
      <c r="Y39" s="8" t="str">
        <f t="shared" si="13"/>
        <v>Khóm Đầu Lộ</v>
      </c>
    </row>
    <row r="40" spans="1:25" x14ac:dyDescent="0.25">
      <c r="A40" s="1" t="s">
        <v>118</v>
      </c>
      <c r="B40" s="2" t="s">
        <v>30</v>
      </c>
      <c r="C40" s="2" t="s">
        <v>82</v>
      </c>
      <c r="D40" s="10">
        <f t="shared" ca="1" si="0"/>
        <v>73</v>
      </c>
      <c r="E40" s="2" t="s">
        <v>26</v>
      </c>
      <c r="F40" s="3">
        <v>169</v>
      </c>
      <c r="G40" s="3">
        <v>68</v>
      </c>
      <c r="H40" s="11">
        <f t="shared" si="1"/>
        <v>23.808690171912751</v>
      </c>
      <c r="I40" s="2">
        <v>93</v>
      </c>
      <c r="J40" s="3">
        <v>120</v>
      </c>
      <c r="K40" s="3">
        <v>80</v>
      </c>
      <c r="L40" s="10">
        <f t="shared" si="2"/>
        <v>2</v>
      </c>
      <c r="M40" s="10">
        <f t="shared" ca="1" si="3"/>
        <v>2</v>
      </c>
      <c r="N40" s="10">
        <f t="shared" si="4"/>
        <v>0</v>
      </c>
      <c r="O40" s="10">
        <f t="shared" si="5"/>
        <v>3</v>
      </c>
      <c r="P40" s="10">
        <f t="shared" si="6"/>
        <v>2</v>
      </c>
      <c r="Q40" s="10">
        <f t="shared" si="7"/>
        <v>0</v>
      </c>
      <c r="R40" s="10">
        <f t="shared" ca="1" si="8"/>
        <v>9</v>
      </c>
      <c r="S40" s="10" t="str">
        <f t="shared" ca="1" si="9"/>
        <v>Có</v>
      </c>
      <c r="T40" s="10" t="str">
        <f t="shared" ca="1" si="10"/>
        <v>Có</v>
      </c>
      <c r="U40" s="10" t="str">
        <f t="shared" si="11"/>
        <v>Không</v>
      </c>
      <c r="V40" s="2" t="s">
        <v>68</v>
      </c>
      <c r="W40" s="4">
        <v>46142</v>
      </c>
      <c r="X40" s="8" t="str">
        <f t="shared" si="12"/>
        <v>Tháng 4</v>
      </c>
      <c r="Y40" s="8" t="str">
        <f t="shared" si="13"/>
        <v>Ấp Biển Tây B</v>
      </c>
    </row>
    <row r="41" spans="1:25" x14ac:dyDescent="0.25">
      <c r="A41" s="1" t="s">
        <v>119</v>
      </c>
      <c r="B41" s="2" t="s">
        <v>30</v>
      </c>
      <c r="C41" s="2" t="s">
        <v>47</v>
      </c>
      <c r="D41" s="10">
        <f t="shared" ca="1" si="0"/>
        <v>55</v>
      </c>
      <c r="E41" s="2" t="s">
        <v>26</v>
      </c>
      <c r="F41" s="3">
        <v>175</v>
      </c>
      <c r="G41" s="3">
        <v>73</v>
      </c>
      <c r="H41" s="11">
        <f t="shared" si="1"/>
        <v>23.836734693877553</v>
      </c>
      <c r="I41" s="2">
        <v>89</v>
      </c>
      <c r="J41" s="3">
        <v>130</v>
      </c>
      <c r="K41" s="3">
        <v>80</v>
      </c>
      <c r="L41" s="10">
        <f t="shared" si="2"/>
        <v>2</v>
      </c>
      <c r="M41" s="10">
        <f t="shared" ca="1" si="3"/>
        <v>2</v>
      </c>
      <c r="N41" s="10">
        <f t="shared" si="4"/>
        <v>0</v>
      </c>
      <c r="O41" s="10">
        <f t="shared" si="5"/>
        <v>3</v>
      </c>
      <c r="P41" s="10">
        <f t="shared" si="6"/>
        <v>0</v>
      </c>
      <c r="Q41" s="10">
        <f t="shared" si="7"/>
        <v>0</v>
      </c>
      <c r="R41" s="10">
        <f t="shared" ca="1" si="8"/>
        <v>7</v>
      </c>
      <c r="S41" s="10" t="str">
        <f t="shared" ca="1" si="9"/>
        <v>Có</v>
      </c>
      <c r="T41" s="10" t="str">
        <f t="shared" ca="1" si="10"/>
        <v>Có</v>
      </c>
      <c r="U41" s="10" t="str">
        <f t="shared" si="11"/>
        <v>Không</v>
      </c>
      <c r="V41" s="2" t="s">
        <v>120</v>
      </c>
      <c r="W41" s="4">
        <v>46142</v>
      </c>
      <c r="X41" s="8" t="str">
        <f t="shared" si="12"/>
        <v>Tháng 4</v>
      </c>
      <c r="Y41" s="8" t="str">
        <f t="shared" si="13"/>
        <v>Ấp Xóm Lẫm</v>
      </c>
    </row>
    <row r="42" spans="1:25" x14ac:dyDescent="0.25">
      <c r="A42" s="1" t="s">
        <v>121</v>
      </c>
      <c r="B42" s="2" t="s">
        <v>23</v>
      </c>
      <c r="C42" s="2" t="s">
        <v>53</v>
      </c>
      <c r="D42" s="10">
        <f t="shared" ca="1" si="0"/>
        <v>72</v>
      </c>
      <c r="E42" s="2" t="s">
        <v>26</v>
      </c>
      <c r="F42" s="3">
        <v>170</v>
      </c>
      <c r="G42" s="3">
        <v>57</v>
      </c>
      <c r="H42" s="11">
        <f t="shared" si="1"/>
        <v>19.723183391003463</v>
      </c>
      <c r="I42" s="2">
        <v>87</v>
      </c>
      <c r="J42" s="3">
        <v>120</v>
      </c>
      <c r="K42" s="3">
        <v>80</v>
      </c>
      <c r="L42" s="10">
        <f t="shared" si="2"/>
        <v>0</v>
      </c>
      <c r="M42" s="10">
        <f t="shared" ca="1" si="3"/>
        <v>2</v>
      </c>
      <c r="N42" s="10">
        <f t="shared" si="4"/>
        <v>0</v>
      </c>
      <c r="O42" s="10">
        <f t="shared" si="5"/>
        <v>0</v>
      </c>
      <c r="P42" s="10">
        <f t="shared" si="6"/>
        <v>2</v>
      </c>
      <c r="Q42" s="10">
        <f t="shared" si="7"/>
        <v>0</v>
      </c>
      <c r="R42" s="10">
        <f t="shared" ca="1" si="8"/>
        <v>4</v>
      </c>
      <c r="S42" s="10" t="str">
        <f t="shared" ca="1" si="9"/>
        <v>Không cần</v>
      </c>
      <c r="T42" s="10" t="str">
        <f t="shared" ca="1" si="10"/>
        <v>Không</v>
      </c>
      <c r="U42" s="10" t="str">
        <f t="shared" si="11"/>
        <v>Không</v>
      </c>
      <c r="V42" s="2" t="s">
        <v>122</v>
      </c>
      <c r="W42" s="4">
        <v>46142</v>
      </c>
      <c r="X42" s="8" t="str">
        <f t="shared" si="12"/>
        <v>Tháng 4</v>
      </c>
      <c r="Y42" s="8" t="str">
        <f t="shared" si="13"/>
        <v>Giồng Nhãn</v>
      </c>
    </row>
    <row r="43" spans="1:25" x14ac:dyDescent="0.25">
      <c r="A43" s="1" t="s">
        <v>123</v>
      </c>
      <c r="B43" s="2" t="s">
        <v>30</v>
      </c>
      <c r="C43" s="2" t="s">
        <v>50</v>
      </c>
      <c r="D43" s="10">
        <f t="shared" ca="1" si="0"/>
        <v>58</v>
      </c>
      <c r="E43" s="2" t="s">
        <v>26</v>
      </c>
      <c r="F43" s="3">
        <v>169</v>
      </c>
      <c r="G43" s="3">
        <v>68</v>
      </c>
      <c r="H43" s="11">
        <f t="shared" si="1"/>
        <v>23.808690171912751</v>
      </c>
      <c r="I43" s="2">
        <v>92</v>
      </c>
      <c r="J43" s="3">
        <v>130</v>
      </c>
      <c r="K43" s="3">
        <v>80</v>
      </c>
      <c r="L43" s="10">
        <f t="shared" si="2"/>
        <v>2</v>
      </c>
      <c r="M43" s="10">
        <f t="shared" ca="1" si="3"/>
        <v>2</v>
      </c>
      <c r="N43" s="10">
        <f t="shared" si="4"/>
        <v>0</v>
      </c>
      <c r="O43" s="10">
        <f t="shared" si="5"/>
        <v>3</v>
      </c>
      <c r="P43" s="10">
        <f t="shared" si="6"/>
        <v>2</v>
      </c>
      <c r="Q43" s="10">
        <f t="shared" si="7"/>
        <v>0</v>
      </c>
      <c r="R43" s="10">
        <f t="shared" ca="1" si="8"/>
        <v>9</v>
      </c>
      <c r="S43" s="10" t="str">
        <f t="shared" ca="1" si="9"/>
        <v>Có</v>
      </c>
      <c r="T43" s="10" t="str">
        <f t="shared" ca="1" si="10"/>
        <v>Có</v>
      </c>
      <c r="U43" s="10" t="str">
        <f t="shared" si="11"/>
        <v>Không</v>
      </c>
      <c r="V43" s="2" t="s">
        <v>70</v>
      </c>
      <c r="W43" s="4">
        <v>46142</v>
      </c>
      <c r="X43" s="8" t="str">
        <f t="shared" si="12"/>
        <v>Tháng 4</v>
      </c>
      <c r="Y43" s="8" t="str">
        <f t="shared" si="13"/>
        <v>Ấp Biển Tây A</v>
      </c>
    </row>
    <row r="44" spans="1:25" x14ac:dyDescent="0.25">
      <c r="A44" s="1" t="s">
        <v>124</v>
      </c>
      <c r="B44" s="2" t="s">
        <v>30</v>
      </c>
      <c r="C44" s="2" t="s">
        <v>62</v>
      </c>
      <c r="D44" s="10">
        <f t="shared" ca="1" si="0"/>
        <v>64</v>
      </c>
      <c r="E44" s="2" t="s">
        <v>26</v>
      </c>
      <c r="F44" s="3">
        <v>168</v>
      </c>
      <c r="G44" s="3">
        <v>68</v>
      </c>
      <c r="H44" s="11">
        <f t="shared" si="1"/>
        <v>24.092970521541954</v>
      </c>
      <c r="I44" s="2">
        <v>89</v>
      </c>
      <c r="J44" s="3">
        <v>120</v>
      </c>
      <c r="K44" s="3">
        <v>80</v>
      </c>
      <c r="L44" s="10">
        <f t="shared" si="2"/>
        <v>2</v>
      </c>
      <c r="M44" s="10">
        <f t="shared" ca="1" si="3"/>
        <v>2</v>
      </c>
      <c r="N44" s="10">
        <f t="shared" si="4"/>
        <v>0</v>
      </c>
      <c r="O44" s="10">
        <f t="shared" si="5"/>
        <v>3</v>
      </c>
      <c r="P44" s="10">
        <f t="shared" si="6"/>
        <v>0</v>
      </c>
      <c r="Q44" s="10">
        <f t="shared" si="7"/>
        <v>0</v>
      </c>
      <c r="R44" s="10">
        <f t="shared" ca="1" si="8"/>
        <v>7</v>
      </c>
      <c r="S44" s="10" t="str">
        <f t="shared" ca="1" si="9"/>
        <v>Có</v>
      </c>
      <c r="T44" s="10" t="str">
        <f t="shared" ca="1" si="10"/>
        <v>Có</v>
      </c>
      <c r="U44" s="10" t="str">
        <f t="shared" si="11"/>
        <v>Không</v>
      </c>
      <c r="V44" s="2" t="s">
        <v>60</v>
      </c>
      <c r="W44" s="4">
        <v>46142</v>
      </c>
      <c r="X44" s="8" t="str">
        <f t="shared" si="12"/>
        <v>Tháng 4</v>
      </c>
      <c r="Y44" s="8" t="str">
        <f t="shared" si="13"/>
        <v>ấp Biển Đông A</v>
      </c>
    </row>
    <row r="45" spans="1:25" x14ac:dyDescent="0.25">
      <c r="A45" s="1" t="s">
        <v>125</v>
      </c>
      <c r="B45" s="2" t="s">
        <v>23</v>
      </c>
      <c r="C45" s="2" t="s">
        <v>80</v>
      </c>
      <c r="D45" s="10">
        <f t="shared" ca="1" si="0"/>
        <v>71</v>
      </c>
      <c r="E45" s="2" t="s">
        <v>26</v>
      </c>
      <c r="F45" s="3">
        <v>158</v>
      </c>
      <c r="G45" s="3">
        <v>58</v>
      </c>
      <c r="H45" s="11">
        <f t="shared" si="1"/>
        <v>23.233456176894723</v>
      </c>
      <c r="I45" s="2">
        <v>81</v>
      </c>
      <c r="J45" s="3">
        <v>140</v>
      </c>
      <c r="K45" s="3">
        <v>80</v>
      </c>
      <c r="L45" s="10">
        <f t="shared" si="2"/>
        <v>0</v>
      </c>
      <c r="M45" s="10">
        <f t="shared" ca="1" si="3"/>
        <v>2</v>
      </c>
      <c r="N45" s="10">
        <f t="shared" si="4"/>
        <v>0</v>
      </c>
      <c r="O45" s="10">
        <f t="shared" si="5"/>
        <v>3</v>
      </c>
      <c r="P45" s="10">
        <f t="shared" si="6"/>
        <v>2</v>
      </c>
      <c r="Q45" s="10">
        <f t="shared" si="7"/>
        <v>2</v>
      </c>
      <c r="R45" s="10">
        <f t="shared" ca="1" si="8"/>
        <v>9</v>
      </c>
      <c r="S45" s="10" t="str">
        <f t="shared" ca="1" si="9"/>
        <v>Có</v>
      </c>
      <c r="T45" s="10" t="str">
        <f t="shared" ca="1" si="10"/>
        <v>Có</v>
      </c>
      <c r="U45" s="10" t="str">
        <f t="shared" si="11"/>
        <v>Có</v>
      </c>
      <c r="V45" s="2" t="s">
        <v>60</v>
      </c>
      <c r="W45" s="4">
        <v>46142</v>
      </c>
      <c r="X45" s="8" t="str">
        <f t="shared" si="12"/>
        <v>Tháng 4</v>
      </c>
      <c r="Y45" s="8" t="str">
        <f t="shared" si="13"/>
        <v>ấp Biển Đông A</v>
      </c>
    </row>
    <row r="46" spans="1:25" x14ac:dyDescent="0.25">
      <c r="A46" s="1" t="s">
        <v>126</v>
      </c>
      <c r="B46" s="2" t="s">
        <v>30</v>
      </c>
      <c r="C46" s="2" t="s">
        <v>127</v>
      </c>
      <c r="D46" s="10">
        <f t="shared" ca="1" si="0"/>
        <v>76</v>
      </c>
      <c r="E46" s="2" t="s">
        <v>26</v>
      </c>
      <c r="F46" s="3">
        <v>166</v>
      </c>
      <c r="G46" s="3">
        <v>56</v>
      </c>
      <c r="H46" s="11">
        <f t="shared" si="1"/>
        <v>20.322252866889244</v>
      </c>
      <c r="I46" s="2">
        <v>95</v>
      </c>
      <c r="J46" s="3">
        <v>120</v>
      </c>
      <c r="K46" s="3">
        <v>80</v>
      </c>
      <c r="L46" s="10">
        <f t="shared" si="2"/>
        <v>2</v>
      </c>
      <c r="M46" s="10">
        <f t="shared" ca="1" si="3"/>
        <v>2</v>
      </c>
      <c r="N46" s="10">
        <f t="shared" si="4"/>
        <v>0</v>
      </c>
      <c r="O46" s="10">
        <f t="shared" si="5"/>
        <v>0</v>
      </c>
      <c r="P46" s="10">
        <f t="shared" si="6"/>
        <v>2</v>
      </c>
      <c r="Q46" s="10">
        <f t="shared" si="7"/>
        <v>0</v>
      </c>
      <c r="R46" s="10">
        <f t="shared" ca="1" si="8"/>
        <v>6</v>
      </c>
      <c r="S46" s="10" t="str">
        <f t="shared" ca="1" si="9"/>
        <v>Có</v>
      </c>
      <c r="T46" s="10" t="str">
        <f t="shared" ca="1" si="10"/>
        <v>Có</v>
      </c>
      <c r="U46" s="10" t="str">
        <f t="shared" si="11"/>
        <v>Không</v>
      </c>
      <c r="V46" s="2" t="s">
        <v>128</v>
      </c>
      <c r="W46" s="4">
        <v>46142</v>
      </c>
      <c r="X46" s="8" t="str">
        <f t="shared" si="12"/>
        <v>Tháng 4</v>
      </c>
      <c r="Y46" s="8" t="str">
        <f t="shared" si="13"/>
        <v>ấp giồng nhãn</v>
      </c>
    </row>
    <row r="47" spans="1:25" x14ac:dyDescent="0.25">
      <c r="A47" s="1" t="s">
        <v>129</v>
      </c>
      <c r="B47" s="2" t="s">
        <v>23</v>
      </c>
      <c r="C47" s="2" t="s">
        <v>130</v>
      </c>
      <c r="D47" s="10">
        <f t="shared" ca="1" si="0"/>
        <v>57</v>
      </c>
      <c r="E47" s="2" t="s">
        <v>25</v>
      </c>
      <c r="F47" s="3">
        <v>150</v>
      </c>
      <c r="G47" s="3">
        <v>32</v>
      </c>
      <c r="H47" s="11">
        <f t="shared" si="1"/>
        <v>14.222222222222221</v>
      </c>
      <c r="I47" s="2">
        <v>73</v>
      </c>
      <c r="J47" s="3">
        <v>120</v>
      </c>
      <c r="K47" s="3">
        <v>80</v>
      </c>
      <c r="L47" s="10">
        <f t="shared" si="2"/>
        <v>0</v>
      </c>
      <c r="M47" s="10">
        <f t="shared" ca="1" si="3"/>
        <v>2</v>
      </c>
      <c r="N47" s="10">
        <f t="shared" si="4"/>
        <v>4</v>
      </c>
      <c r="O47" s="10">
        <f t="shared" si="5"/>
        <v>0</v>
      </c>
      <c r="P47" s="10">
        <f t="shared" si="6"/>
        <v>0</v>
      </c>
      <c r="Q47" s="10">
        <f t="shared" si="7"/>
        <v>0</v>
      </c>
      <c r="R47" s="10">
        <f t="shared" ca="1" si="8"/>
        <v>6</v>
      </c>
      <c r="S47" s="10" t="str">
        <f t="shared" ca="1" si="9"/>
        <v>Có</v>
      </c>
      <c r="T47" s="10" t="str">
        <f t="shared" ca="1" si="10"/>
        <v>Có</v>
      </c>
      <c r="U47" s="10" t="str">
        <f t="shared" si="11"/>
        <v>Không</v>
      </c>
      <c r="V47" s="2" t="s">
        <v>51</v>
      </c>
      <c r="W47" s="4">
        <v>46081</v>
      </c>
      <c r="X47" s="8" t="str">
        <f t="shared" si="12"/>
        <v>Tháng 2</v>
      </c>
      <c r="Y47" s="8" t="str">
        <f t="shared" si="13"/>
        <v>Phường Hiệp Thành</v>
      </c>
    </row>
    <row r="48" spans="1:25" x14ac:dyDescent="0.25">
      <c r="A48" s="1" t="s">
        <v>131</v>
      </c>
      <c r="B48" s="2" t="s">
        <v>23</v>
      </c>
      <c r="C48" s="2" t="s">
        <v>56</v>
      </c>
      <c r="D48" s="10">
        <f t="shared" ca="1" si="0"/>
        <v>65</v>
      </c>
      <c r="E48" s="2" t="s">
        <v>26</v>
      </c>
      <c r="F48" s="3">
        <v>165</v>
      </c>
      <c r="G48" s="3">
        <v>66</v>
      </c>
      <c r="H48" s="11">
        <f t="shared" si="1"/>
        <v>24.242424242424246</v>
      </c>
      <c r="I48" s="2">
        <v>75</v>
      </c>
      <c r="J48" s="3">
        <v>140</v>
      </c>
      <c r="K48" s="3">
        <v>80</v>
      </c>
      <c r="L48" s="10">
        <f t="shared" si="2"/>
        <v>0</v>
      </c>
      <c r="M48" s="10">
        <f t="shared" ca="1" si="3"/>
        <v>2</v>
      </c>
      <c r="N48" s="10">
        <f t="shared" si="4"/>
        <v>0</v>
      </c>
      <c r="O48" s="10">
        <f t="shared" si="5"/>
        <v>3</v>
      </c>
      <c r="P48" s="10">
        <f t="shared" si="6"/>
        <v>0</v>
      </c>
      <c r="Q48" s="10">
        <f t="shared" si="7"/>
        <v>2</v>
      </c>
      <c r="R48" s="10">
        <f t="shared" ca="1" si="8"/>
        <v>7</v>
      </c>
      <c r="S48" s="10" t="str">
        <f t="shared" ca="1" si="9"/>
        <v>Có</v>
      </c>
      <c r="T48" s="10" t="str">
        <f t="shared" ca="1" si="10"/>
        <v>Có</v>
      </c>
      <c r="U48" s="10" t="str">
        <f t="shared" si="11"/>
        <v>Có</v>
      </c>
      <c r="V48" s="2" t="s">
        <v>88</v>
      </c>
      <c r="W48" s="4">
        <v>46112</v>
      </c>
      <c r="X48" s="8" t="str">
        <f t="shared" si="12"/>
        <v>Tháng 3</v>
      </c>
      <c r="Y48" s="8" t="str">
        <f t="shared" si="13"/>
        <v>Giồng Giữa</v>
      </c>
    </row>
    <row r="49" spans="1:25" x14ac:dyDescent="0.25">
      <c r="A49" s="1" t="s">
        <v>132</v>
      </c>
      <c r="B49" s="2" t="s">
        <v>30</v>
      </c>
      <c r="C49" s="2" t="s">
        <v>133</v>
      </c>
      <c r="D49" s="10">
        <f t="shared" ca="1" si="0"/>
        <v>56</v>
      </c>
      <c r="E49" s="2" t="s">
        <v>25</v>
      </c>
      <c r="F49" s="3">
        <v>169</v>
      </c>
      <c r="G49" s="3">
        <v>68</v>
      </c>
      <c r="H49" s="11">
        <f t="shared" si="1"/>
        <v>23.808690171912751</v>
      </c>
      <c r="I49" s="2">
        <v>88</v>
      </c>
      <c r="J49" s="3">
        <v>130</v>
      </c>
      <c r="K49" s="3">
        <v>80</v>
      </c>
      <c r="L49" s="10">
        <f t="shared" si="2"/>
        <v>2</v>
      </c>
      <c r="M49" s="10">
        <f t="shared" ca="1" si="3"/>
        <v>2</v>
      </c>
      <c r="N49" s="10">
        <f t="shared" si="4"/>
        <v>4</v>
      </c>
      <c r="O49" s="10">
        <f t="shared" si="5"/>
        <v>3</v>
      </c>
      <c r="P49" s="10">
        <f t="shared" si="6"/>
        <v>0</v>
      </c>
      <c r="Q49" s="10">
        <f t="shared" si="7"/>
        <v>0</v>
      </c>
      <c r="R49" s="10">
        <f t="shared" ca="1" si="8"/>
        <v>11</v>
      </c>
      <c r="S49" s="10" t="str">
        <f t="shared" ca="1" si="9"/>
        <v>Có</v>
      </c>
      <c r="T49" s="10" t="str">
        <f t="shared" ca="1" si="10"/>
        <v>Có</v>
      </c>
      <c r="U49" s="10" t="str">
        <f t="shared" si="11"/>
        <v>Không</v>
      </c>
      <c r="V49" s="2" t="s">
        <v>51</v>
      </c>
      <c r="W49" s="4">
        <v>46112</v>
      </c>
      <c r="X49" s="8" t="str">
        <f t="shared" si="12"/>
        <v>Tháng 3</v>
      </c>
      <c r="Y49" s="8" t="str">
        <f t="shared" si="13"/>
        <v>Phường Hiệp Thành</v>
      </c>
    </row>
    <row r="50" spans="1:25" x14ac:dyDescent="0.25">
      <c r="A50" s="1" t="s">
        <v>134</v>
      </c>
      <c r="B50" s="2" t="s">
        <v>23</v>
      </c>
      <c r="C50" s="2" t="s">
        <v>90</v>
      </c>
      <c r="D50" s="10">
        <f t="shared" ca="1" si="0"/>
        <v>54</v>
      </c>
      <c r="E50" s="2" t="s">
        <v>26</v>
      </c>
      <c r="F50" s="3">
        <v>160</v>
      </c>
      <c r="G50" s="3">
        <v>62</v>
      </c>
      <c r="H50" s="11">
        <f t="shared" si="1"/>
        <v>24.218749999999996</v>
      </c>
      <c r="I50" s="2">
        <v>83</v>
      </c>
      <c r="J50" s="3">
        <v>120</v>
      </c>
      <c r="K50" s="3">
        <v>80</v>
      </c>
      <c r="L50" s="10">
        <f t="shared" si="2"/>
        <v>0</v>
      </c>
      <c r="M50" s="10">
        <f t="shared" ca="1" si="3"/>
        <v>2</v>
      </c>
      <c r="N50" s="10">
        <f t="shared" si="4"/>
        <v>0</v>
      </c>
      <c r="O50" s="10">
        <f t="shared" si="5"/>
        <v>3</v>
      </c>
      <c r="P50" s="10">
        <f t="shared" si="6"/>
        <v>2</v>
      </c>
      <c r="Q50" s="10">
        <f t="shared" si="7"/>
        <v>0</v>
      </c>
      <c r="R50" s="10">
        <f t="shared" ca="1" si="8"/>
        <v>7</v>
      </c>
      <c r="S50" s="10" t="str">
        <f t="shared" ca="1" si="9"/>
        <v>Có</v>
      </c>
      <c r="T50" s="10" t="str">
        <f t="shared" ca="1" si="10"/>
        <v>Có</v>
      </c>
      <c r="U50" s="10" t="str">
        <f t="shared" si="11"/>
        <v>Không</v>
      </c>
      <c r="V50" s="2" t="s">
        <v>135</v>
      </c>
      <c r="W50" s="4">
        <v>46142</v>
      </c>
      <c r="X50" s="8" t="str">
        <f t="shared" si="12"/>
        <v>Tháng 4</v>
      </c>
      <c r="Y50" s="8" t="str">
        <f t="shared" si="13"/>
        <v>Khóm Kinh Tế</v>
      </c>
    </row>
    <row r="51" spans="1:25" x14ac:dyDescent="0.25">
      <c r="A51" s="1" t="s">
        <v>136</v>
      </c>
      <c r="B51" s="2" t="s">
        <v>30</v>
      </c>
      <c r="C51" s="2" t="s">
        <v>42</v>
      </c>
      <c r="D51" s="10">
        <f t="shared" ca="1" si="0"/>
        <v>59</v>
      </c>
      <c r="E51" s="2" t="s">
        <v>26</v>
      </c>
      <c r="F51" s="3">
        <v>169</v>
      </c>
      <c r="G51" s="3">
        <v>68</v>
      </c>
      <c r="H51" s="11">
        <f t="shared" si="1"/>
        <v>23.808690171912751</v>
      </c>
      <c r="I51" s="2">
        <v>83</v>
      </c>
      <c r="J51" s="3">
        <v>120</v>
      </c>
      <c r="K51" s="3">
        <v>80</v>
      </c>
      <c r="L51" s="10">
        <f t="shared" si="2"/>
        <v>2</v>
      </c>
      <c r="M51" s="10">
        <f t="shared" ca="1" si="3"/>
        <v>2</v>
      </c>
      <c r="N51" s="10">
        <f t="shared" si="4"/>
        <v>0</v>
      </c>
      <c r="O51" s="10">
        <f t="shared" si="5"/>
        <v>3</v>
      </c>
      <c r="P51" s="10">
        <f t="shared" si="6"/>
        <v>0</v>
      </c>
      <c r="Q51" s="10">
        <f t="shared" si="7"/>
        <v>0</v>
      </c>
      <c r="R51" s="10">
        <f t="shared" ca="1" si="8"/>
        <v>7</v>
      </c>
      <c r="S51" s="10" t="str">
        <f t="shared" ca="1" si="9"/>
        <v>Có</v>
      </c>
      <c r="T51" s="10" t="str">
        <f t="shared" ca="1" si="10"/>
        <v>Có</v>
      </c>
      <c r="U51" s="10" t="str">
        <f t="shared" si="11"/>
        <v>Không</v>
      </c>
      <c r="V51" s="2" t="s">
        <v>51</v>
      </c>
      <c r="W51" s="4">
        <v>46142</v>
      </c>
      <c r="X51" s="8" t="str">
        <f t="shared" si="12"/>
        <v>Tháng 4</v>
      </c>
      <c r="Y51" s="8" t="str">
        <f t="shared" si="13"/>
        <v>Phường Hiệp Thành</v>
      </c>
    </row>
    <row r="52" spans="1:25" x14ac:dyDescent="0.25">
      <c r="A52" s="1" t="s">
        <v>137</v>
      </c>
      <c r="B52" s="2" t="s">
        <v>23</v>
      </c>
      <c r="C52" s="2" t="s">
        <v>138</v>
      </c>
      <c r="D52" s="10">
        <f t="shared" ca="1" si="0"/>
        <v>67</v>
      </c>
      <c r="E52" s="2" t="s">
        <v>26</v>
      </c>
      <c r="F52" s="3">
        <v>158</v>
      </c>
      <c r="G52" s="3">
        <v>58</v>
      </c>
      <c r="H52" s="11">
        <f t="shared" si="1"/>
        <v>23.233456176894723</v>
      </c>
      <c r="I52" s="2">
        <v>86</v>
      </c>
      <c r="J52" s="3">
        <v>160</v>
      </c>
      <c r="K52" s="3">
        <v>80</v>
      </c>
      <c r="L52" s="10">
        <f t="shared" si="2"/>
        <v>0</v>
      </c>
      <c r="M52" s="10">
        <f t="shared" ca="1" si="3"/>
        <v>2</v>
      </c>
      <c r="N52" s="10">
        <f t="shared" si="4"/>
        <v>0</v>
      </c>
      <c r="O52" s="10">
        <f t="shared" si="5"/>
        <v>3</v>
      </c>
      <c r="P52" s="10">
        <f t="shared" si="6"/>
        <v>2</v>
      </c>
      <c r="Q52" s="10">
        <f t="shared" si="7"/>
        <v>2</v>
      </c>
      <c r="R52" s="10">
        <f t="shared" ca="1" si="8"/>
        <v>9</v>
      </c>
      <c r="S52" s="10" t="str">
        <f t="shared" ca="1" si="9"/>
        <v>Có</v>
      </c>
      <c r="T52" s="10" t="str">
        <f t="shared" ca="1" si="10"/>
        <v>Có</v>
      </c>
      <c r="U52" s="10" t="str">
        <f t="shared" si="11"/>
        <v>Có</v>
      </c>
      <c r="V52" s="2" t="s">
        <v>38</v>
      </c>
      <c r="W52" s="4">
        <v>46142</v>
      </c>
      <c r="X52" s="8" t="str">
        <f t="shared" si="12"/>
        <v>Tháng 4</v>
      </c>
      <c r="Y52" s="8" t="str">
        <f t="shared" si="13"/>
        <v>Ấp Biển Đông B</v>
      </c>
    </row>
    <row r="53" spans="1:25" x14ac:dyDescent="0.25">
      <c r="A53" s="1" t="s">
        <v>139</v>
      </c>
      <c r="B53" s="2" t="s">
        <v>23</v>
      </c>
      <c r="C53" s="2" t="s">
        <v>40</v>
      </c>
      <c r="D53" s="10">
        <f t="shared" ca="1" si="0"/>
        <v>70</v>
      </c>
      <c r="E53" s="2" t="s">
        <v>25</v>
      </c>
      <c r="F53" s="3">
        <v>158</v>
      </c>
      <c r="G53" s="3">
        <v>58</v>
      </c>
      <c r="H53" s="11">
        <f t="shared" si="1"/>
        <v>23.233456176894723</v>
      </c>
      <c r="I53" s="2">
        <v>81</v>
      </c>
      <c r="J53" s="3">
        <v>140</v>
      </c>
      <c r="K53" s="3">
        <v>80</v>
      </c>
      <c r="L53" s="10">
        <f t="shared" si="2"/>
        <v>0</v>
      </c>
      <c r="M53" s="10">
        <f t="shared" ca="1" si="3"/>
        <v>2</v>
      </c>
      <c r="N53" s="10">
        <f t="shared" si="4"/>
        <v>4</v>
      </c>
      <c r="O53" s="10">
        <f t="shared" si="5"/>
        <v>3</v>
      </c>
      <c r="P53" s="10">
        <f t="shared" si="6"/>
        <v>2</v>
      </c>
      <c r="Q53" s="10">
        <f t="shared" si="7"/>
        <v>2</v>
      </c>
      <c r="R53" s="10">
        <f t="shared" ca="1" si="8"/>
        <v>13</v>
      </c>
      <c r="S53" s="10" t="str">
        <f t="shared" ca="1" si="9"/>
        <v>Có</v>
      </c>
      <c r="T53" s="10" t="str">
        <f t="shared" ca="1" si="10"/>
        <v>Có</v>
      </c>
      <c r="U53" s="10" t="str">
        <f t="shared" si="11"/>
        <v>Có</v>
      </c>
      <c r="V53" s="2" t="s">
        <v>140</v>
      </c>
      <c r="W53" s="4">
        <v>46142</v>
      </c>
      <c r="X53" s="8" t="str">
        <f t="shared" si="12"/>
        <v>Tháng 4</v>
      </c>
      <c r="Y53" s="8" t="str">
        <f t="shared" si="13"/>
        <v>Biển Tây A</v>
      </c>
    </row>
    <row r="54" spans="1:25" x14ac:dyDescent="0.25">
      <c r="A54" s="1" t="s">
        <v>141</v>
      </c>
      <c r="B54" s="2" t="s">
        <v>23</v>
      </c>
      <c r="C54" s="2" t="s">
        <v>93</v>
      </c>
      <c r="D54" s="10">
        <f t="shared" ca="1" si="0"/>
        <v>66</v>
      </c>
      <c r="E54" s="2" t="s">
        <v>26</v>
      </c>
      <c r="F54" s="3">
        <v>158</v>
      </c>
      <c r="G54" s="3">
        <v>58</v>
      </c>
      <c r="H54" s="11">
        <f t="shared" si="1"/>
        <v>23.233456176894723</v>
      </c>
      <c r="I54" s="2">
        <v>65</v>
      </c>
      <c r="J54" s="3">
        <v>130</v>
      </c>
      <c r="K54" s="3">
        <v>80</v>
      </c>
      <c r="L54" s="10">
        <f t="shared" si="2"/>
        <v>0</v>
      </c>
      <c r="M54" s="10">
        <f t="shared" ca="1" si="3"/>
        <v>2</v>
      </c>
      <c r="N54" s="10">
        <f t="shared" si="4"/>
        <v>0</v>
      </c>
      <c r="O54" s="10">
        <f t="shared" si="5"/>
        <v>3</v>
      </c>
      <c r="P54" s="10">
        <f t="shared" si="6"/>
        <v>0</v>
      </c>
      <c r="Q54" s="10">
        <f t="shared" si="7"/>
        <v>0</v>
      </c>
      <c r="R54" s="10">
        <f t="shared" ca="1" si="8"/>
        <v>5</v>
      </c>
      <c r="S54" s="10" t="str">
        <f t="shared" ca="1" si="9"/>
        <v>Không cần</v>
      </c>
      <c r="T54" s="10" t="str">
        <f t="shared" ca="1" si="10"/>
        <v>Không</v>
      </c>
      <c r="U54" s="10" t="str">
        <f t="shared" si="11"/>
        <v>Không</v>
      </c>
      <c r="V54" s="2" t="s">
        <v>51</v>
      </c>
      <c r="W54" s="4">
        <v>46142</v>
      </c>
      <c r="X54" s="8" t="str">
        <f t="shared" si="12"/>
        <v>Tháng 4</v>
      </c>
      <c r="Y54" s="8" t="str">
        <f t="shared" si="13"/>
        <v>Phường Hiệp Thành</v>
      </c>
    </row>
    <row r="55" spans="1:25" x14ac:dyDescent="0.25">
      <c r="A55" s="1" t="s">
        <v>142</v>
      </c>
      <c r="B55" s="2" t="s">
        <v>30</v>
      </c>
      <c r="C55" s="2" t="s">
        <v>93</v>
      </c>
      <c r="D55" s="10">
        <f t="shared" ca="1" si="0"/>
        <v>66</v>
      </c>
      <c r="E55" s="2" t="s">
        <v>26</v>
      </c>
      <c r="F55" s="3">
        <v>169</v>
      </c>
      <c r="G55" s="3">
        <v>68</v>
      </c>
      <c r="H55" s="11">
        <f t="shared" si="1"/>
        <v>23.808690171912751</v>
      </c>
      <c r="I55" s="2">
        <v>100</v>
      </c>
      <c r="J55" s="3">
        <v>160</v>
      </c>
      <c r="K55" s="3">
        <v>80</v>
      </c>
      <c r="L55" s="10">
        <f t="shared" si="2"/>
        <v>2</v>
      </c>
      <c r="M55" s="10">
        <f t="shared" ca="1" si="3"/>
        <v>2</v>
      </c>
      <c r="N55" s="10">
        <f t="shared" si="4"/>
        <v>0</v>
      </c>
      <c r="O55" s="10">
        <f t="shared" si="5"/>
        <v>3</v>
      </c>
      <c r="P55" s="10">
        <f t="shared" si="6"/>
        <v>2</v>
      </c>
      <c r="Q55" s="10">
        <f t="shared" si="7"/>
        <v>2</v>
      </c>
      <c r="R55" s="10">
        <f t="shared" ca="1" si="8"/>
        <v>11</v>
      </c>
      <c r="S55" s="10" t="str">
        <f t="shared" ca="1" si="9"/>
        <v>Có</v>
      </c>
      <c r="T55" s="10" t="str">
        <f t="shared" ca="1" si="10"/>
        <v>Có</v>
      </c>
      <c r="U55" s="10" t="str">
        <f t="shared" si="11"/>
        <v>Có</v>
      </c>
      <c r="V55" s="2" t="s">
        <v>70</v>
      </c>
      <c r="W55" s="4">
        <v>46142</v>
      </c>
      <c r="X55" s="8" t="str">
        <f t="shared" si="12"/>
        <v>Tháng 4</v>
      </c>
      <c r="Y55" s="8" t="str">
        <f t="shared" si="13"/>
        <v>Ấp Biển Tây A</v>
      </c>
    </row>
    <row r="56" spans="1:25" x14ac:dyDescent="0.25">
      <c r="A56" s="1" t="s">
        <v>143</v>
      </c>
      <c r="B56" s="2" t="s">
        <v>30</v>
      </c>
      <c r="C56" s="2" t="s">
        <v>31</v>
      </c>
      <c r="D56" s="10">
        <f t="shared" ca="1" si="0"/>
        <v>79</v>
      </c>
      <c r="E56" s="2" t="s">
        <v>26</v>
      </c>
      <c r="F56" s="3">
        <v>169</v>
      </c>
      <c r="G56" s="3">
        <v>69</v>
      </c>
      <c r="H56" s="11">
        <f t="shared" si="1"/>
        <v>24.158817968558527</v>
      </c>
      <c r="I56" s="2">
        <v>100</v>
      </c>
      <c r="J56" s="3">
        <v>140</v>
      </c>
      <c r="K56" s="3">
        <v>80</v>
      </c>
      <c r="L56" s="10">
        <f t="shared" si="2"/>
        <v>2</v>
      </c>
      <c r="M56" s="10">
        <f t="shared" ca="1" si="3"/>
        <v>2</v>
      </c>
      <c r="N56" s="10">
        <f t="shared" si="4"/>
        <v>0</v>
      </c>
      <c r="O56" s="10">
        <f t="shared" si="5"/>
        <v>3</v>
      </c>
      <c r="P56" s="10">
        <f t="shared" si="6"/>
        <v>2</v>
      </c>
      <c r="Q56" s="10">
        <f t="shared" si="7"/>
        <v>2</v>
      </c>
      <c r="R56" s="10">
        <f t="shared" ca="1" si="8"/>
        <v>11</v>
      </c>
      <c r="S56" s="10" t="str">
        <f t="shared" ca="1" si="9"/>
        <v>Có</v>
      </c>
      <c r="T56" s="10" t="str">
        <f t="shared" ca="1" si="10"/>
        <v>Có</v>
      </c>
      <c r="U56" s="10" t="str">
        <f t="shared" si="11"/>
        <v>Có</v>
      </c>
      <c r="V56" s="2" t="s">
        <v>28</v>
      </c>
      <c r="W56" s="4">
        <v>46081</v>
      </c>
      <c r="X56" s="8" t="str">
        <f t="shared" si="12"/>
        <v>Tháng 2</v>
      </c>
      <c r="Y56" s="8" t="str">
        <f t="shared" si="13"/>
        <v>Ấp Biển Đông A</v>
      </c>
    </row>
    <row r="57" spans="1:25" x14ac:dyDescent="0.25">
      <c r="A57" s="1" t="s">
        <v>144</v>
      </c>
      <c r="B57" s="2" t="s">
        <v>30</v>
      </c>
      <c r="C57" s="2" t="s">
        <v>56</v>
      </c>
      <c r="D57" s="10">
        <f t="shared" ca="1" si="0"/>
        <v>65</v>
      </c>
      <c r="E57" s="2" t="s">
        <v>25</v>
      </c>
      <c r="F57" s="3">
        <v>169</v>
      </c>
      <c r="G57" s="3">
        <v>69</v>
      </c>
      <c r="H57" s="11">
        <f t="shared" si="1"/>
        <v>24.158817968558527</v>
      </c>
      <c r="I57" s="2">
        <v>96</v>
      </c>
      <c r="J57" s="3">
        <v>140</v>
      </c>
      <c r="K57" s="3">
        <v>80</v>
      </c>
      <c r="L57" s="10">
        <f t="shared" si="2"/>
        <v>2</v>
      </c>
      <c r="M57" s="10">
        <f t="shared" ca="1" si="3"/>
        <v>2</v>
      </c>
      <c r="N57" s="10">
        <f t="shared" si="4"/>
        <v>4</v>
      </c>
      <c r="O57" s="10">
        <f t="shared" si="5"/>
        <v>3</v>
      </c>
      <c r="P57" s="10">
        <f t="shared" si="6"/>
        <v>2</v>
      </c>
      <c r="Q57" s="10">
        <f t="shared" si="7"/>
        <v>2</v>
      </c>
      <c r="R57" s="10">
        <f t="shared" ca="1" si="8"/>
        <v>15</v>
      </c>
      <c r="S57" s="10" t="str">
        <f t="shared" ca="1" si="9"/>
        <v>Có</v>
      </c>
      <c r="T57" s="10" t="str">
        <f t="shared" ca="1" si="10"/>
        <v>Có</v>
      </c>
      <c r="U57" s="10" t="str">
        <f t="shared" si="11"/>
        <v>Có</v>
      </c>
      <c r="V57" s="2" t="s">
        <v>28</v>
      </c>
      <c r="W57" s="4">
        <v>46081</v>
      </c>
      <c r="X57" s="8" t="str">
        <f t="shared" si="12"/>
        <v>Tháng 2</v>
      </c>
      <c r="Y57" s="8" t="str">
        <f t="shared" si="13"/>
        <v>Ấp Biển Đông A</v>
      </c>
    </row>
    <row r="58" spans="1:25" x14ac:dyDescent="0.25">
      <c r="A58" s="1" t="s">
        <v>145</v>
      </c>
      <c r="B58" s="2" t="s">
        <v>30</v>
      </c>
      <c r="C58" s="2" t="s">
        <v>146</v>
      </c>
      <c r="D58" s="10">
        <f t="shared" ca="1" si="0"/>
        <v>52</v>
      </c>
      <c r="E58" s="2" t="s">
        <v>25</v>
      </c>
      <c r="F58" s="3">
        <v>169</v>
      </c>
      <c r="G58" s="3">
        <v>69</v>
      </c>
      <c r="H58" s="11">
        <f t="shared" si="1"/>
        <v>24.158817968558527</v>
      </c>
      <c r="I58" s="2">
        <v>90</v>
      </c>
      <c r="J58" s="3">
        <v>160</v>
      </c>
      <c r="K58" s="3">
        <v>80</v>
      </c>
      <c r="L58" s="10">
        <f t="shared" si="2"/>
        <v>2</v>
      </c>
      <c r="M58" s="10">
        <f t="shared" ca="1" si="3"/>
        <v>2</v>
      </c>
      <c r="N58" s="10">
        <f t="shared" si="4"/>
        <v>4</v>
      </c>
      <c r="O58" s="10">
        <f t="shared" si="5"/>
        <v>3</v>
      </c>
      <c r="P58" s="10">
        <f t="shared" si="6"/>
        <v>2</v>
      </c>
      <c r="Q58" s="10">
        <f t="shared" si="7"/>
        <v>2</v>
      </c>
      <c r="R58" s="10">
        <f t="shared" ca="1" si="8"/>
        <v>15</v>
      </c>
      <c r="S58" s="10" t="str">
        <f t="shared" ca="1" si="9"/>
        <v>Có</v>
      </c>
      <c r="T58" s="10" t="str">
        <f t="shared" ca="1" si="10"/>
        <v>Có</v>
      </c>
      <c r="U58" s="10" t="str">
        <f t="shared" si="11"/>
        <v>Có</v>
      </c>
      <c r="V58" s="2" t="s">
        <v>147</v>
      </c>
      <c r="W58" s="4">
        <v>46081</v>
      </c>
      <c r="X58" s="8" t="str">
        <f t="shared" si="12"/>
        <v>Tháng 2</v>
      </c>
      <c r="Y58" s="8" t="str">
        <f t="shared" si="13"/>
        <v>ẤP BIỂN TÂY B</v>
      </c>
    </row>
    <row r="59" spans="1:25" x14ac:dyDescent="0.25">
      <c r="A59" s="1" t="s">
        <v>148</v>
      </c>
      <c r="B59" s="2" t="s">
        <v>23</v>
      </c>
      <c r="C59" s="2" t="s">
        <v>90</v>
      </c>
      <c r="D59" s="10">
        <f t="shared" ca="1" si="0"/>
        <v>54</v>
      </c>
      <c r="E59" s="2" t="s">
        <v>25</v>
      </c>
      <c r="F59" s="3">
        <v>158</v>
      </c>
      <c r="G59" s="3">
        <v>58</v>
      </c>
      <c r="H59" s="11">
        <f t="shared" si="1"/>
        <v>23.233456176894723</v>
      </c>
      <c r="I59" s="2">
        <v>88</v>
      </c>
      <c r="J59" s="3">
        <v>140</v>
      </c>
      <c r="K59" s="3">
        <v>80</v>
      </c>
      <c r="L59" s="10">
        <f t="shared" si="2"/>
        <v>0</v>
      </c>
      <c r="M59" s="10">
        <f t="shared" ca="1" si="3"/>
        <v>2</v>
      </c>
      <c r="N59" s="10">
        <f t="shared" si="4"/>
        <v>4</v>
      </c>
      <c r="O59" s="10">
        <f t="shared" si="5"/>
        <v>3</v>
      </c>
      <c r="P59" s="10">
        <f t="shared" si="6"/>
        <v>2</v>
      </c>
      <c r="Q59" s="10">
        <f t="shared" si="7"/>
        <v>2</v>
      </c>
      <c r="R59" s="10">
        <f t="shared" ca="1" si="8"/>
        <v>13</v>
      </c>
      <c r="S59" s="10" t="str">
        <f t="shared" ca="1" si="9"/>
        <v>Có</v>
      </c>
      <c r="T59" s="10" t="str">
        <f t="shared" ca="1" si="10"/>
        <v>Có</v>
      </c>
      <c r="U59" s="10" t="str">
        <f t="shared" si="11"/>
        <v>Có</v>
      </c>
      <c r="V59" s="2" t="s">
        <v>149</v>
      </c>
      <c r="W59" s="4">
        <v>46142</v>
      </c>
      <c r="X59" s="8" t="str">
        <f t="shared" si="12"/>
        <v>Tháng 4</v>
      </c>
      <c r="Y59" s="8" t="str">
        <f t="shared" si="13"/>
        <v>văn đức b</v>
      </c>
    </row>
    <row r="60" spans="1:25" x14ac:dyDescent="0.25">
      <c r="A60" s="1" t="s">
        <v>150</v>
      </c>
      <c r="B60" s="2" t="s">
        <v>30</v>
      </c>
      <c r="C60" s="2" t="s">
        <v>110</v>
      </c>
      <c r="D60" s="10">
        <f t="shared" ca="1" si="0"/>
        <v>62</v>
      </c>
      <c r="E60" s="2" t="s">
        <v>26</v>
      </c>
      <c r="F60" s="3">
        <v>167</v>
      </c>
      <c r="G60" s="3">
        <v>64</v>
      </c>
      <c r="H60" s="11">
        <f t="shared" si="1"/>
        <v>22.948115744558788</v>
      </c>
      <c r="I60" s="2">
        <v>85</v>
      </c>
      <c r="J60" s="3">
        <v>120</v>
      </c>
      <c r="K60" s="3">
        <v>80</v>
      </c>
      <c r="L60" s="10">
        <f t="shared" si="2"/>
        <v>2</v>
      </c>
      <c r="M60" s="10">
        <f t="shared" ca="1" si="3"/>
        <v>2</v>
      </c>
      <c r="N60" s="10">
        <f t="shared" si="4"/>
        <v>0</v>
      </c>
      <c r="O60" s="10">
        <f t="shared" si="5"/>
        <v>0</v>
      </c>
      <c r="P60" s="10">
        <f t="shared" si="6"/>
        <v>0</v>
      </c>
      <c r="Q60" s="10">
        <f t="shared" si="7"/>
        <v>0</v>
      </c>
      <c r="R60" s="10">
        <f t="shared" ca="1" si="8"/>
        <v>4</v>
      </c>
      <c r="S60" s="10" t="str">
        <f t="shared" ca="1" si="9"/>
        <v>Không cần</v>
      </c>
      <c r="T60" s="10" t="str">
        <f t="shared" ca="1" si="10"/>
        <v>Không</v>
      </c>
      <c r="U60" s="10" t="str">
        <f t="shared" si="11"/>
        <v>Không</v>
      </c>
      <c r="V60" s="2" t="s">
        <v>51</v>
      </c>
      <c r="W60" s="4">
        <v>46142</v>
      </c>
      <c r="X60" s="8" t="str">
        <f t="shared" si="12"/>
        <v>Tháng 4</v>
      </c>
      <c r="Y60" s="8" t="str">
        <f t="shared" si="13"/>
        <v>Phường Hiệp Thành</v>
      </c>
    </row>
    <row r="61" spans="1:25" x14ac:dyDescent="0.25">
      <c r="A61" s="1" t="s">
        <v>151</v>
      </c>
      <c r="B61" s="2" t="s">
        <v>30</v>
      </c>
      <c r="C61" s="2" t="s">
        <v>56</v>
      </c>
      <c r="D61" s="10">
        <f t="shared" ca="1" si="0"/>
        <v>65</v>
      </c>
      <c r="E61" s="2" t="s">
        <v>25</v>
      </c>
      <c r="F61" s="3">
        <v>170</v>
      </c>
      <c r="G61" s="3">
        <v>55</v>
      </c>
      <c r="H61" s="11">
        <f t="shared" si="1"/>
        <v>19.031141868512112</v>
      </c>
      <c r="I61" s="2">
        <v>76</v>
      </c>
      <c r="J61" s="3">
        <v>120</v>
      </c>
      <c r="K61" s="3">
        <v>80</v>
      </c>
      <c r="L61" s="10">
        <f t="shared" si="2"/>
        <v>2</v>
      </c>
      <c r="M61" s="10">
        <f t="shared" ca="1" si="3"/>
        <v>2</v>
      </c>
      <c r="N61" s="10">
        <f t="shared" si="4"/>
        <v>4</v>
      </c>
      <c r="O61" s="10">
        <f t="shared" si="5"/>
        <v>0</v>
      </c>
      <c r="P61" s="10">
        <f t="shared" si="6"/>
        <v>0</v>
      </c>
      <c r="Q61" s="10">
        <f t="shared" si="7"/>
        <v>0</v>
      </c>
      <c r="R61" s="10">
        <f t="shared" ca="1" si="8"/>
        <v>8</v>
      </c>
      <c r="S61" s="10" t="str">
        <f t="shared" ca="1" si="9"/>
        <v>Có</v>
      </c>
      <c r="T61" s="10" t="str">
        <f t="shared" ca="1" si="10"/>
        <v>Có</v>
      </c>
      <c r="U61" s="10" t="str">
        <f t="shared" si="11"/>
        <v>Không</v>
      </c>
      <c r="V61" s="2" t="s">
        <v>152</v>
      </c>
      <c r="W61" s="4">
        <v>46081</v>
      </c>
      <c r="X61" s="8" t="str">
        <f t="shared" si="12"/>
        <v>Tháng 2</v>
      </c>
      <c r="Y61" s="8" t="str">
        <f t="shared" si="13"/>
        <v>Khóm Giồng Giữa</v>
      </c>
    </row>
    <row r="62" spans="1:25" x14ac:dyDescent="0.25">
      <c r="A62" s="1" t="s">
        <v>153</v>
      </c>
      <c r="B62" s="2" t="s">
        <v>30</v>
      </c>
      <c r="C62" s="2" t="s">
        <v>110</v>
      </c>
      <c r="D62" s="10">
        <f t="shared" ca="1" si="0"/>
        <v>62</v>
      </c>
      <c r="E62" s="2" t="s">
        <v>26</v>
      </c>
      <c r="F62" s="3">
        <v>158</v>
      </c>
      <c r="G62" s="3">
        <v>58</v>
      </c>
      <c r="H62" s="11">
        <f t="shared" si="1"/>
        <v>23.233456176894723</v>
      </c>
      <c r="I62" s="2">
        <v>82</v>
      </c>
      <c r="J62" s="3">
        <v>150</v>
      </c>
      <c r="K62" s="3">
        <v>80</v>
      </c>
      <c r="L62" s="10">
        <f t="shared" si="2"/>
        <v>2</v>
      </c>
      <c r="M62" s="10">
        <f t="shared" ca="1" si="3"/>
        <v>2</v>
      </c>
      <c r="N62" s="10">
        <f t="shared" si="4"/>
        <v>0</v>
      </c>
      <c r="O62" s="10">
        <f t="shared" si="5"/>
        <v>3</v>
      </c>
      <c r="P62" s="10">
        <f t="shared" si="6"/>
        <v>0</v>
      </c>
      <c r="Q62" s="10">
        <f t="shared" si="7"/>
        <v>2</v>
      </c>
      <c r="R62" s="10">
        <f t="shared" ca="1" si="8"/>
        <v>9</v>
      </c>
      <c r="S62" s="10" t="str">
        <f t="shared" ca="1" si="9"/>
        <v>Có</v>
      </c>
      <c r="T62" s="10" t="str">
        <f t="shared" ca="1" si="10"/>
        <v>Có</v>
      </c>
      <c r="U62" s="10" t="str">
        <f t="shared" si="11"/>
        <v>Có</v>
      </c>
      <c r="V62" s="2" t="s">
        <v>60</v>
      </c>
      <c r="W62" s="4">
        <v>46142</v>
      </c>
      <c r="X62" s="8" t="str">
        <f t="shared" si="12"/>
        <v>Tháng 4</v>
      </c>
      <c r="Y62" s="8" t="str">
        <f t="shared" si="13"/>
        <v>ấp Biển Đông A</v>
      </c>
    </row>
    <row r="63" spans="1:25" x14ac:dyDescent="0.25">
      <c r="A63" s="1" t="s">
        <v>154</v>
      </c>
      <c r="B63" s="2" t="s">
        <v>23</v>
      </c>
      <c r="C63" s="2" t="s">
        <v>155</v>
      </c>
      <c r="D63" s="10">
        <f t="shared" ca="1" si="0"/>
        <v>53</v>
      </c>
      <c r="E63" s="2" t="s">
        <v>26</v>
      </c>
      <c r="F63" s="3">
        <v>158</v>
      </c>
      <c r="G63" s="3">
        <v>58</v>
      </c>
      <c r="H63" s="11">
        <f t="shared" si="1"/>
        <v>23.233456176894723</v>
      </c>
      <c r="I63" s="2">
        <v>67</v>
      </c>
      <c r="J63" s="3">
        <v>130</v>
      </c>
      <c r="K63" s="3">
        <v>80</v>
      </c>
      <c r="L63" s="10">
        <f t="shared" si="2"/>
        <v>0</v>
      </c>
      <c r="M63" s="10">
        <f t="shared" ca="1" si="3"/>
        <v>2</v>
      </c>
      <c r="N63" s="10">
        <f t="shared" si="4"/>
        <v>0</v>
      </c>
      <c r="O63" s="10">
        <f t="shared" si="5"/>
        <v>3</v>
      </c>
      <c r="P63" s="10">
        <f t="shared" si="6"/>
        <v>0</v>
      </c>
      <c r="Q63" s="10">
        <f t="shared" si="7"/>
        <v>0</v>
      </c>
      <c r="R63" s="10">
        <f t="shared" ca="1" si="8"/>
        <v>5</v>
      </c>
      <c r="S63" s="10" t="str">
        <f t="shared" ca="1" si="9"/>
        <v>Không cần</v>
      </c>
      <c r="T63" s="10" t="str">
        <f t="shared" ca="1" si="10"/>
        <v>Không</v>
      </c>
      <c r="U63" s="10" t="str">
        <f t="shared" si="11"/>
        <v>Không</v>
      </c>
      <c r="V63" s="2" t="s">
        <v>60</v>
      </c>
      <c r="W63" s="4">
        <v>46142</v>
      </c>
      <c r="X63" s="8" t="str">
        <f t="shared" si="12"/>
        <v>Tháng 4</v>
      </c>
      <c r="Y63" s="8" t="str">
        <f t="shared" si="13"/>
        <v>ấp Biển Đông A</v>
      </c>
    </row>
    <row r="64" spans="1:25" x14ac:dyDescent="0.25">
      <c r="A64" s="1" t="s">
        <v>156</v>
      </c>
      <c r="B64" s="2" t="s">
        <v>23</v>
      </c>
      <c r="C64" s="2" t="s">
        <v>110</v>
      </c>
      <c r="D64" s="10">
        <f t="shared" ca="1" si="0"/>
        <v>62</v>
      </c>
      <c r="E64" s="2" t="s">
        <v>26</v>
      </c>
      <c r="F64" s="3">
        <v>155</v>
      </c>
      <c r="G64" s="3">
        <v>59.5</v>
      </c>
      <c r="H64" s="11">
        <f t="shared" si="1"/>
        <v>24.765868886576481</v>
      </c>
      <c r="I64" s="2">
        <v>65</v>
      </c>
      <c r="J64" s="3">
        <v>120</v>
      </c>
      <c r="K64" s="3">
        <v>70</v>
      </c>
      <c r="L64" s="10">
        <f t="shared" si="2"/>
        <v>0</v>
      </c>
      <c r="M64" s="10">
        <f t="shared" ca="1" si="3"/>
        <v>2</v>
      </c>
      <c r="N64" s="10">
        <f t="shared" si="4"/>
        <v>0</v>
      </c>
      <c r="O64" s="10">
        <f t="shared" si="5"/>
        <v>3</v>
      </c>
      <c r="P64" s="10">
        <f t="shared" si="6"/>
        <v>0</v>
      </c>
      <c r="Q64" s="10">
        <f t="shared" si="7"/>
        <v>0</v>
      </c>
      <c r="R64" s="10">
        <f t="shared" ca="1" si="8"/>
        <v>5</v>
      </c>
      <c r="S64" s="10" t="str">
        <f t="shared" ca="1" si="9"/>
        <v>Không cần</v>
      </c>
      <c r="T64" s="10" t="str">
        <f t="shared" ca="1" si="10"/>
        <v>Không</v>
      </c>
      <c r="U64" s="10" t="str">
        <f t="shared" si="11"/>
        <v>Không</v>
      </c>
      <c r="V64" s="2" t="s">
        <v>157</v>
      </c>
      <c r="W64" s="4">
        <v>46112</v>
      </c>
      <c r="X64" s="8" t="str">
        <f t="shared" si="12"/>
        <v>Tháng 3</v>
      </c>
      <c r="Y64" s="8" t="str">
        <f t="shared" si="13"/>
        <v>Ấp 14</v>
      </c>
    </row>
    <row r="65" spans="1:25" x14ac:dyDescent="0.25">
      <c r="A65" s="1" t="s">
        <v>158</v>
      </c>
      <c r="B65" s="2" t="s">
        <v>23</v>
      </c>
      <c r="C65" s="2" t="s">
        <v>90</v>
      </c>
      <c r="D65" s="10">
        <f t="shared" ca="1" si="0"/>
        <v>54</v>
      </c>
      <c r="E65" s="2" t="s">
        <v>26</v>
      </c>
      <c r="F65" s="3">
        <v>158</v>
      </c>
      <c r="G65" s="3">
        <v>58</v>
      </c>
      <c r="H65" s="11">
        <f t="shared" si="1"/>
        <v>23.233456176894723</v>
      </c>
      <c r="I65" s="2">
        <v>83</v>
      </c>
      <c r="J65" s="3">
        <v>120</v>
      </c>
      <c r="K65" s="3">
        <v>70</v>
      </c>
      <c r="L65" s="10">
        <f t="shared" si="2"/>
        <v>0</v>
      </c>
      <c r="M65" s="10">
        <f t="shared" ca="1" si="3"/>
        <v>2</v>
      </c>
      <c r="N65" s="10">
        <f t="shared" si="4"/>
        <v>0</v>
      </c>
      <c r="O65" s="10">
        <f t="shared" si="5"/>
        <v>3</v>
      </c>
      <c r="P65" s="10">
        <f t="shared" si="6"/>
        <v>2</v>
      </c>
      <c r="Q65" s="10">
        <f t="shared" si="7"/>
        <v>0</v>
      </c>
      <c r="R65" s="10">
        <f t="shared" ca="1" si="8"/>
        <v>7</v>
      </c>
      <c r="S65" s="10" t="str">
        <f t="shared" ca="1" si="9"/>
        <v>Có</v>
      </c>
      <c r="T65" s="10" t="str">
        <f t="shared" ca="1" si="10"/>
        <v>Có</v>
      </c>
      <c r="U65" s="10" t="str">
        <f t="shared" si="11"/>
        <v>Không</v>
      </c>
      <c r="V65" s="2" t="s">
        <v>51</v>
      </c>
      <c r="W65" s="4">
        <v>46142</v>
      </c>
      <c r="X65" s="8" t="str">
        <f t="shared" si="12"/>
        <v>Tháng 4</v>
      </c>
      <c r="Y65" s="8" t="str">
        <f t="shared" si="13"/>
        <v>Phường Hiệp Thành</v>
      </c>
    </row>
    <row r="66" spans="1:25" x14ac:dyDescent="0.25">
      <c r="A66" s="1" t="s">
        <v>159</v>
      </c>
      <c r="B66" s="2" t="s">
        <v>23</v>
      </c>
      <c r="C66" s="2" t="s">
        <v>42</v>
      </c>
      <c r="D66" s="10">
        <f t="shared" ca="1" si="0"/>
        <v>59</v>
      </c>
      <c r="E66" s="2" t="s">
        <v>26</v>
      </c>
      <c r="F66" s="3">
        <v>160</v>
      </c>
      <c r="G66" s="3">
        <v>85</v>
      </c>
      <c r="H66" s="11">
        <f t="shared" si="1"/>
        <v>33.203124999999993</v>
      </c>
      <c r="I66" s="2">
        <v>72</v>
      </c>
      <c r="J66" s="3">
        <v>120</v>
      </c>
      <c r="K66" s="3">
        <v>70</v>
      </c>
      <c r="L66" s="10">
        <f t="shared" si="2"/>
        <v>0</v>
      </c>
      <c r="M66" s="10">
        <f t="shared" ca="1" si="3"/>
        <v>2</v>
      </c>
      <c r="N66" s="10">
        <f t="shared" si="4"/>
        <v>0</v>
      </c>
      <c r="O66" s="10">
        <f t="shared" si="5"/>
        <v>5</v>
      </c>
      <c r="P66" s="10">
        <f t="shared" si="6"/>
        <v>0</v>
      </c>
      <c r="Q66" s="10">
        <f t="shared" si="7"/>
        <v>0</v>
      </c>
      <c r="R66" s="10">
        <f t="shared" ca="1" si="8"/>
        <v>7</v>
      </c>
      <c r="S66" s="10" t="str">
        <f t="shared" ca="1" si="9"/>
        <v>Có</v>
      </c>
      <c r="T66" s="10" t="str">
        <f t="shared" ca="1" si="10"/>
        <v>Có</v>
      </c>
      <c r="U66" s="10" t="str">
        <f t="shared" si="11"/>
        <v>Không</v>
      </c>
      <c r="V66" s="2" t="s">
        <v>160</v>
      </c>
      <c r="W66" s="4">
        <v>46142</v>
      </c>
      <c r="X66" s="8" t="str">
        <f t="shared" si="12"/>
        <v>Tháng 4</v>
      </c>
      <c r="Y66" s="8" t="str">
        <f t="shared" si="13"/>
        <v>Ấp Giồng Nhãn</v>
      </c>
    </row>
    <row r="67" spans="1:25" x14ac:dyDescent="0.25">
      <c r="A67" s="1" t="s">
        <v>161</v>
      </c>
      <c r="B67" s="2" t="s">
        <v>30</v>
      </c>
      <c r="C67" s="2" t="s">
        <v>34</v>
      </c>
      <c r="D67" s="10">
        <f t="shared" ref="D67:D130" ca="1" si="14">DATEDIF(C67,TODAY(),"Y")</f>
        <v>78</v>
      </c>
      <c r="E67" s="2" t="s">
        <v>26</v>
      </c>
      <c r="F67" s="3">
        <v>170</v>
      </c>
      <c r="G67" s="3">
        <v>50</v>
      </c>
      <c r="H67" s="11">
        <f t="shared" ref="H67:H130" si="15">G67/((F67/100)*(F67/100))</f>
        <v>17.301038062283737</v>
      </c>
      <c r="I67" s="2">
        <v>96</v>
      </c>
      <c r="J67" s="3">
        <v>130</v>
      </c>
      <c r="K67" s="3">
        <v>80</v>
      </c>
      <c r="L67" s="10">
        <f t="shared" ref="L67:L130" si="16">IF(B67="Nữ",0,2)</f>
        <v>2</v>
      </c>
      <c r="M67" s="10">
        <f t="shared" ref="M67:M130" ca="1" si="17">IF(D67&lt;45,0,IF(D67&lt;=49,1,2))</f>
        <v>2</v>
      </c>
      <c r="N67" s="10">
        <f t="shared" ref="N67:N130" si="18">IF(E67="Có",4,0)</f>
        <v>0</v>
      </c>
      <c r="O67" s="10">
        <f t="shared" ref="O67:O130" si="19">IF(H67&lt;23,0,IF(H67&lt;27.5,3,5))</f>
        <v>0</v>
      </c>
      <c r="P67" s="10">
        <f t="shared" ref="P67:P130" si="20">IF(OR(AND(B67="Nam",I67&gt;=90),AND(B67="Nữ",I67&gt;=80)),2,0)</f>
        <v>2</v>
      </c>
      <c r="Q67" s="10">
        <f t="shared" ref="Q67:Q130" si="21">IF(OR(J67&gt;=140,K67&gt;=90),2,0)</f>
        <v>0</v>
      </c>
      <c r="R67" s="10">
        <f t="shared" ref="R67:R130" ca="1" si="22">SUM(L67:Q67)</f>
        <v>6</v>
      </c>
      <c r="S67" s="10" t="str">
        <f t="shared" ref="S67:S130" ca="1" si="23">IF((R67)&gt;=6,"Có","Không cần")</f>
        <v>Có</v>
      </c>
      <c r="T67" s="10" t="str">
        <f t="shared" ref="T67:T130" ca="1" si="24">IF((R67)&gt;=6,"Có","Không")</f>
        <v>Có</v>
      </c>
      <c r="U67" s="10" t="str">
        <f t="shared" ref="U67:U130" si="25">IF(OR(J67&gt;=140,K67&gt;=90),"Có","Không")</f>
        <v>Không</v>
      </c>
      <c r="V67" s="2" t="s">
        <v>122</v>
      </c>
      <c r="W67" s="4">
        <v>46112</v>
      </c>
      <c r="X67" s="8" t="str">
        <f t="shared" ref="X67:X130" si="26">"Tháng "&amp;MONTH(W67)</f>
        <v>Tháng 3</v>
      </c>
      <c r="Y67" s="8" t="str">
        <f t="shared" ref="Y67:Y130" si="27">LEFT(V67,FIND(",",V67)-1)</f>
        <v>Giồng Nhãn</v>
      </c>
    </row>
    <row r="68" spans="1:25" x14ac:dyDescent="0.25">
      <c r="A68" s="1" t="s">
        <v>162</v>
      </c>
      <c r="B68" s="2" t="s">
        <v>23</v>
      </c>
      <c r="C68" s="2" t="s">
        <v>163</v>
      </c>
      <c r="D68" s="10">
        <f t="shared" ca="1" si="14"/>
        <v>46</v>
      </c>
      <c r="E68" s="2" t="s">
        <v>26</v>
      </c>
      <c r="F68" s="3">
        <v>158</v>
      </c>
      <c r="G68" s="3">
        <v>58</v>
      </c>
      <c r="H68" s="11">
        <f t="shared" si="15"/>
        <v>23.233456176894723</v>
      </c>
      <c r="I68" s="2">
        <v>68</v>
      </c>
      <c r="J68" s="3">
        <v>130</v>
      </c>
      <c r="K68" s="3">
        <v>80</v>
      </c>
      <c r="L68" s="10">
        <f t="shared" si="16"/>
        <v>0</v>
      </c>
      <c r="M68" s="10">
        <f t="shared" ca="1" si="17"/>
        <v>1</v>
      </c>
      <c r="N68" s="10">
        <f t="shared" si="18"/>
        <v>0</v>
      </c>
      <c r="O68" s="10">
        <f t="shared" si="19"/>
        <v>3</v>
      </c>
      <c r="P68" s="10">
        <f t="shared" si="20"/>
        <v>0</v>
      </c>
      <c r="Q68" s="10">
        <f t="shared" si="21"/>
        <v>0</v>
      </c>
      <c r="R68" s="10">
        <f t="shared" ca="1" si="22"/>
        <v>4</v>
      </c>
      <c r="S68" s="10" t="str">
        <f t="shared" ca="1" si="23"/>
        <v>Không cần</v>
      </c>
      <c r="T68" s="10" t="str">
        <f t="shared" ca="1" si="24"/>
        <v>Không</v>
      </c>
      <c r="U68" s="10" t="str">
        <f t="shared" si="25"/>
        <v>Không</v>
      </c>
      <c r="V68" s="2" t="s">
        <v>164</v>
      </c>
      <c r="W68" s="4">
        <v>46142</v>
      </c>
      <c r="X68" s="8" t="str">
        <f t="shared" si="26"/>
        <v>Tháng 4</v>
      </c>
      <c r="Y68" s="8" t="str">
        <f t="shared" si="27"/>
        <v>ấp Biển Đông B</v>
      </c>
    </row>
    <row r="69" spans="1:25" x14ac:dyDescent="0.25">
      <c r="A69" s="1" t="s">
        <v>165</v>
      </c>
      <c r="B69" s="2" t="s">
        <v>30</v>
      </c>
      <c r="C69" s="2" t="s">
        <v>110</v>
      </c>
      <c r="D69" s="10">
        <f t="shared" ca="1" si="14"/>
        <v>62</v>
      </c>
      <c r="E69" s="2" t="s">
        <v>26</v>
      </c>
      <c r="F69" s="3">
        <v>160</v>
      </c>
      <c r="G69" s="3">
        <v>56</v>
      </c>
      <c r="H69" s="11">
        <f t="shared" si="15"/>
        <v>21.874999999999996</v>
      </c>
      <c r="I69" s="2">
        <v>77</v>
      </c>
      <c r="J69" s="3">
        <v>120</v>
      </c>
      <c r="K69" s="3">
        <v>80</v>
      </c>
      <c r="L69" s="10">
        <f t="shared" si="16"/>
        <v>2</v>
      </c>
      <c r="M69" s="10">
        <f t="shared" ca="1" si="17"/>
        <v>2</v>
      </c>
      <c r="N69" s="10">
        <f t="shared" si="18"/>
        <v>0</v>
      </c>
      <c r="O69" s="10">
        <f t="shared" si="19"/>
        <v>0</v>
      </c>
      <c r="P69" s="10">
        <f t="shared" si="20"/>
        <v>0</v>
      </c>
      <c r="Q69" s="10">
        <f t="shared" si="21"/>
        <v>0</v>
      </c>
      <c r="R69" s="10">
        <f t="shared" ca="1" si="22"/>
        <v>4</v>
      </c>
      <c r="S69" s="10" t="str">
        <f t="shared" ca="1" si="23"/>
        <v>Không cần</v>
      </c>
      <c r="T69" s="10" t="str">
        <f t="shared" ca="1" si="24"/>
        <v>Không</v>
      </c>
      <c r="U69" s="10" t="str">
        <f t="shared" si="25"/>
        <v>Không</v>
      </c>
      <c r="V69" s="2" t="s">
        <v>166</v>
      </c>
      <c r="W69" s="4">
        <v>46142</v>
      </c>
      <c r="X69" s="8" t="str">
        <f t="shared" si="26"/>
        <v>Tháng 4</v>
      </c>
      <c r="Y69" s="8" t="str">
        <f t="shared" si="27"/>
        <v>khóm Giồng Nhãn</v>
      </c>
    </row>
    <row r="70" spans="1:25" x14ac:dyDescent="0.25">
      <c r="A70" s="1" t="s">
        <v>167</v>
      </c>
      <c r="B70" s="2" t="s">
        <v>23</v>
      </c>
      <c r="C70" s="2" t="s">
        <v>42</v>
      </c>
      <c r="D70" s="10">
        <f t="shared" ca="1" si="14"/>
        <v>59</v>
      </c>
      <c r="E70" s="2" t="s">
        <v>26</v>
      </c>
      <c r="F70" s="3">
        <v>155</v>
      </c>
      <c r="G70" s="3">
        <v>53</v>
      </c>
      <c r="H70" s="11">
        <f t="shared" si="15"/>
        <v>22.060353798126947</v>
      </c>
      <c r="I70" s="2">
        <v>78</v>
      </c>
      <c r="J70" s="3">
        <v>120</v>
      </c>
      <c r="K70" s="3">
        <v>80</v>
      </c>
      <c r="L70" s="10">
        <f t="shared" si="16"/>
        <v>0</v>
      </c>
      <c r="M70" s="10">
        <f t="shared" ca="1" si="17"/>
        <v>2</v>
      </c>
      <c r="N70" s="10">
        <f t="shared" si="18"/>
        <v>0</v>
      </c>
      <c r="O70" s="10">
        <f t="shared" si="19"/>
        <v>0</v>
      </c>
      <c r="P70" s="10">
        <f t="shared" si="20"/>
        <v>0</v>
      </c>
      <c r="Q70" s="10">
        <f t="shared" si="21"/>
        <v>0</v>
      </c>
      <c r="R70" s="10">
        <f t="shared" ca="1" si="22"/>
        <v>2</v>
      </c>
      <c r="S70" s="10" t="str">
        <f t="shared" ca="1" si="23"/>
        <v>Không cần</v>
      </c>
      <c r="T70" s="10" t="str">
        <f t="shared" ca="1" si="24"/>
        <v>Không</v>
      </c>
      <c r="U70" s="10" t="str">
        <f t="shared" si="25"/>
        <v>Không</v>
      </c>
      <c r="V70" s="2" t="s">
        <v>168</v>
      </c>
      <c r="W70" s="4">
        <v>46142</v>
      </c>
      <c r="X70" s="8" t="str">
        <f t="shared" si="26"/>
        <v>Tháng 4</v>
      </c>
      <c r="Y70" s="8" t="str">
        <f t="shared" si="27"/>
        <v>giồng Nhãn</v>
      </c>
    </row>
    <row r="71" spans="1:25" x14ac:dyDescent="0.25">
      <c r="A71" s="1" t="s">
        <v>169</v>
      </c>
      <c r="B71" s="2" t="s">
        <v>30</v>
      </c>
      <c r="C71" s="2" t="s">
        <v>31</v>
      </c>
      <c r="D71" s="10">
        <f t="shared" ca="1" si="14"/>
        <v>79</v>
      </c>
      <c r="E71" s="2" t="s">
        <v>25</v>
      </c>
      <c r="F71" s="3">
        <v>158</v>
      </c>
      <c r="G71" s="3">
        <v>65</v>
      </c>
      <c r="H71" s="11">
        <f t="shared" si="15"/>
        <v>26.037493991347535</v>
      </c>
      <c r="I71" s="2">
        <v>96</v>
      </c>
      <c r="J71" s="3">
        <v>120</v>
      </c>
      <c r="K71" s="3">
        <v>70</v>
      </c>
      <c r="L71" s="10">
        <f t="shared" si="16"/>
        <v>2</v>
      </c>
      <c r="M71" s="10">
        <f t="shared" ca="1" si="17"/>
        <v>2</v>
      </c>
      <c r="N71" s="10">
        <f t="shared" si="18"/>
        <v>4</v>
      </c>
      <c r="O71" s="10">
        <f t="shared" si="19"/>
        <v>3</v>
      </c>
      <c r="P71" s="10">
        <f t="shared" si="20"/>
        <v>2</v>
      </c>
      <c r="Q71" s="10">
        <f t="shared" si="21"/>
        <v>0</v>
      </c>
      <c r="R71" s="10">
        <f t="shared" ca="1" si="22"/>
        <v>13</v>
      </c>
      <c r="S71" s="10" t="str">
        <f t="shared" ca="1" si="23"/>
        <v>Có</v>
      </c>
      <c r="T71" s="10" t="str">
        <f t="shared" ca="1" si="24"/>
        <v>Có</v>
      </c>
      <c r="U71" s="10" t="str">
        <f t="shared" si="25"/>
        <v>Không</v>
      </c>
      <c r="V71" s="2" t="s">
        <v>170</v>
      </c>
      <c r="W71" s="4">
        <v>46142</v>
      </c>
      <c r="X71" s="8" t="str">
        <f t="shared" si="26"/>
        <v>Tháng 4</v>
      </c>
      <c r="Y71" s="8" t="str">
        <f t="shared" si="27"/>
        <v>bưu điện</v>
      </c>
    </row>
    <row r="72" spans="1:25" x14ac:dyDescent="0.25">
      <c r="A72" s="1" t="s">
        <v>171</v>
      </c>
      <c r="B72" s="2" t="s">
        <v>30</v>
      </c>
      <c r="C72" s="2" t="s">
        <v>53</v>
      </c>
      <c r="D72" s="10">
        <f t="shared" ca="1" si="14"/>
        <v>72</v>
      </c>
      <c r="E72" s="2" t="s">
        <v>26</v>
      </c>
      <c r="F72" s="3">
        <v>155</v>
      </c>
      <c r="G72" s="3">
        <v>64</v>
      </c>
      <c r="H72" s="11">
        <f t="shared" si="15"/>
        <v>26.638917793964616</v>
      </c>
      <c r="I72" s="2">
        <v>97</v>
      </c>
      <c r="J72" s="3">
        <v>120</v>
      </c>
      <c r="K72" s="3">
        <v>80</v>
      </c>
      <c r="L72" s="10">
        <f t="shared" si="16"/>
        <v>2</v>
      </c>
      <c r="M72" s="10">
        <f t="shared" ca="1" si="17"/>
        <v>2</v>
      </c>
      <c r="N72" s="10">
        <f t="shared" si="18"/>
        <v>0</v>
      </c>
      <c r="O72" s="10">
        <f t="shared" si="19"/>
        <v>3</v>
      </c>
      <c r="P72" s="10">
        <f t="shared" si="20"/>
        <v>2</v>
      </c>
      <c r="Q72" s="10">
        <f t="shared" si="21"/>
        <v>0</v>
      </c>
      <c r="R72" s="10">
        <f t="shared" ca="1" si="22"/>
        <v>9</v>
      </c>
      <c r="S72" s="10" t="str">
        <f t="shared" ca="1" si="23"/>
        <v>Có</v>
      </c>
      <c r="T72" s="10" t="str">
        <f t="shared" ca="1" si="24"/>
        <v>Có</v>
      </c>
      <c r="U72" s="10" t="str">
        <f t="shared" si="25"/>
        <v>Không</v>
      </c>
      <c r="V72" s="2" t="s">
        <v>172</v>
      </c>
      <c r="W72" s="4">
        <v>46112</v>
      </c>
      <c r="X72" s="8" t="str">
        <f t="shared" si="26"/>
        <v>Tháng 3</v>
      </c>
      <c r="Y72" s="8" t="str">
        <f t="shared" si="27"/>
        <v>Khóm Bờ Tây</v>
      </c>
    </row>
    <row r="73" spans="1:25" x14ac:dyDescent="0.25">
      <c r="A73" s="1" t="s">
        <v>173</v>
      </c>
      <c r="B73" s="2" t="s">
        <v>30</v>
      </c>
      <c r="C73" s="2" t="s">
        <v>110</v>
      </c>
      <c r="D73" s="10">
        <f t="shared" ca="1" si="14"/>
        <v>62</v>
      </c>
      <c r="E73" s="2" t="s">
        <v>26</v>
      </c>
      <c r="F73" s="3">
        <v>180</v>
      </c>
      <c r="G73" s="3">
        <v>71</v>
      </c>
      <c r="H73" s="11">
        <f t="shared" si="15"/>
        <v>21.913580246913579</v>
      </c>
      <c r="I73" s="2">
        <v>86</v>
      </c>
      <c r="J73" s="3">
        <v>120</v>
      </c>
      <c r="K73" s="3">
        <v>80</v>
      </c>
      <c r="L73" s="10">
        <f t="shared" si="16"/>
        <v>2</v>
      </c>
      <c r="M73" s="10">
        <f t="shared" ca="1" si="17"/>
        <v>2</v>
      </c>
      <c r="N73" s="10">
        <f t="shared" si="18"/>
        <v>0</v>
      </c>
      <c r="O73" s="10">
        <f t="shared" si="19"/>
        <v>0</v>
      </c>
      <c r="P73" s="10">
        <f t="shared" si="20"/>
        <v>0</v>
      </c>
      <c r="Q73" s="10">
        <f t="shared" si="21"/>
        <v>0</v>
      </c>
      <c r="R73" s="10">
        <f t="shared" ca="1" si="22"/>
        <v>4</v>
      </c>
      <c r="S73" s="10" t="str">
        <f t="shared" ca="1" si="23"/>
        <v>Không cần</v>
      </c>
      <c r="T73" s="10" t="str">
        <f t="shared" ca="1" si="24"/>
        <v>Không</v>
      </c>
      <c r="U73" s="10" t="str">
        <f t="shared" si="25"/>
        <v>Không</v>
      </c>
      <c r="V73" s="2" t="s">
        <v>174</v>
      </c>
      <c r="W73" s="4">
        <v>46142</v>
      </c>
      <c r="X73" s="8" t="str">
        <f t="shared" si="26"/>
        <v>Tháng 4</v>
      </c>
      <c r="Y73" s="8" t="str">
        <f t="shared" si="27"/>
        <v>khóm Giồng giữa</v>
      </c>
    </row>
    <row r="74" spans="1:25" x14ac:dyDescent="0.25">
      <c r="A74" s="1" t="s">
        <v>175</v>
      </c>
      <c r="B74" s="2" t="s">
        <v>30</v>
      </c>
      <c r="C74" s="2" t="s">
        <v>84</v>
      </c>
      <c r="D74" s="10">
        <f t="shared" ca="1" si="14"/>
        <v>69</v>
      </c>
      <c r="E74" s="2" t="s">
        <v>26</v>
      </c>
      <c r="F74" s="3">
        <v>169</v>
      </c>
      <c r="G74" s="3">
        <v>68</v>
      </c>
      <c r="H74" s="11">
        <f t="shared" si="15"/>
        <v>23.808690171912751</v>
      </c>
      <c r="I74" s="2">
        <v>75</v>
      </c>
      <c r="J74" s="3">
        <v>160</v>
      </c>
      <c r="K74" s="3">
        <v>80</v>
      </c>
      <c r="L74" s="10">
        <f t="shared" si="16"/>
        <v>2</v>
      </c>
      <c r="M74" s="10">
        <f t="shared" ca="1" si="17"/>
        <v>2</v>
      </c>
      <c r="N74" s="10">
        <f t="shared" si="18"/>
        <v>0</v>
      </c>
      <c r="O74" s="10">
        <f t="shared" si="19"/>
        <v>3</v>
      </c>
      <c r="P74" s="10">
        <f t="shared" si="20"/>
        <v>0</v>
      </c>
      <c r="Q74" s="10">
        <f t="shared" si="21"/>
        <v>2</v>
      </c>
      <c r="R74" s="10">
        <f t="shared" ca="1" si="22"/>
        <v>9</v>
      </c>
      <c r="S74" s="10" t="str">
        <f t="shared" ca="1" si="23"/>
        <v>Có</v>
      </c>
      <c r="T74" s="10" t="str">
        <f t="shared" ca="1" si="24"/>
        <v>Có</v>
      </c>
      <c r="U74" s="10" t="str">
        <f t="shared" si="25"/>
        <v>Có</v>
      </c>
      <c r="V74" s="2" t="s">
        <v>68</v>
      </c>
      <c r="W74" s="4">
        <v>46112</v>
      </c>
      <c r="X74" s="8" t="str">
        <f t="shared" si="26"/>
        <v>Tháng 3</v>
      </c>
      <c r="Y74" s="8" t="str">
        <f t="shared" si="27"/>
        <v>Ấp Biển Tây B</v>
      </c>
    </row>
    <row r="75" spans="1:25" x14ac:dyDescent="0.25">
      <c r="A75" s="1" t="s">
        <v>176</v>
      </c>
      <c r="B75" s="2" t="s">
        <v>23</v>
      </c>
      <c r="C75" s="2" t="s">
        <v>130</v>
      </c>
      <c r="D75" s="10">
        <f t="shared" ca="1" si="14"/>
        <v>57</v>
      </c>
      <c r="E75" s="2" t="s">
        <v>25</v>
      </c>
      <c r="F75" s="3">
        <v>158</v>
      </c>
      <c r="G75" s="3">
        <v>58</v>
      </c>
      <c r="H75" s="11">
        <f t="shared" si="15"/>
        <v>23.233456176894723</v>
      </c>
      <c r="I75" s="2">
        <v>82</v>
      </c>
      <c r="J75" s="3">
        <v>140</v>
      </c>
      <c r="K75" s="3">
        <v>80</v>
      </c>
      <c r="L75" s="10">
        <f t="shared" si="16"/>
        <v>0</v>
      </c>
      <c r="M75" s="10">
        <f t="shared" ca="1" si="17"/>
        <v>2</v>
      </c>
      <c r="N75" s="10">
        <f t="shared" si="18"/>
        <v>4</v>
      </c>
      <c r="O75" s="10">
        <f t="shared" si="19"/>
        <v>3</v>
      </c>
      <c r="P75" s="10">
        <f t="shared" si="20"/>
        <v>2</v>
      </c>
      <c r="Q75" s="10">
        <f t="shared" si="21"/>
        <v>2</v>
      </c>
      <c r="R75" s="10">
        <f t="shared" ca="1" si="22"/>
        <v>13</v>
      </c>
      <c r="S75" s="10" t="str">
        <f t="shared" ca="1" si="23"/>
        <v>Có</v>
      </c>
      <c r="T75" s="10" t="str">
        <f t="shared" ca="1" si="24"/>
        <v>Có</v>
      </c>
      <c r="U75" s="10" t="str">
        <f t="shared" si="25"/>
        <v>Có</v>
      </c>
      <c r="V75" s="2" t="s">
        <v>38</v>
      </c>
      <c r="W75" s="4">
        <v>46112</v>
      </c>
      <c r="X75" s="8" t="str">
        <f t="shared" si="26"/>
        <v>Tháng 3</v>
      </c>
      <c r="Y75" s="8" t="str">
        <f t="shared" si="27"/>
        <v>Ấp Biển Đông B</v>
      </c>
    </row>
    <row r="76" spans="1:25" x14ac:dyDescent="0.25">
      <c r="A76" s="1" t="s">
        <v>177</v>
      </c>
      <c r="B76" s="2" t="s">
        <v>23</v>
      </c>
      <c r="C76" s="2" t="s">
        <v>40</v>
      </c>
      <c r="D76" s="10">
        <f t="shared" ca="1" si="14"/>
        <v>70</v>
      </c>
      <c r="E76" s="2" t="s">
        <v>26</v>
      </c>
      <c r="F76" s="3">
        <v>158</v>
      </c>
      <c r="G76" s="3">
        <v>58</v>
      </c>
      <c r="H76" s="11">
        <f t="shared" si="15"/>
        <v>23.233456176894723</v>
      </c>
      <c r="I76" s="2">
        <v>88</v>
      </c>
      <c r="J76" s="3">
        <v>120</v>
      </c>
      <c r="K76" s="3">
        <v>80</v>
      </c>
      <c r="L76" s="10">
        <f t="shared" si="16"/>
        <v>0</v>
      </c>
      <c r="M76" s="10">
        <f t="shared" ca="1" si="17"/>
        <v>2</v>
      </c>
      <c r="N76" s="10">
        <f t="shared" si="18"/>
        <v>0</v>
      </c>
      <c r="O76" s="10">
        <f t="shared" si="19"/>
        <v>3</v>
      </c>
      <c r="P76" s="10">
        <f t="shared" si="20"/>
        <v>2</v>
      </c>
      <c r="Q76" s="10">
        <f t="shared" si="21"/>
        <v>0</v>
      </c>
      <c r="R76" s="10">
        <f t="shared" ca="1" si="22"/>
        <v>7</v>
      </c>
      <c r="S76" s="10" t="str">
        <f t="shared" ca="1" si="23"/>
        <v>Có</v>
      </c>
      <c r="T76" s="10" t="str">
        <f t="shared" ca="1" si="24"/>
        <v>Có</v>
      </c>
      <c r="U76" s="10" t="str">
        <f t="shared" si="25"/>
        <v>Không</v>
      </c>
      <c r="V76" s="2" t="s">
        <v>122</v>
      </c>
      <c r="W76" s="4">
        <v>46142</v>
      </c>
      <c r="X76" s="8" t="str">
        <f t="shared" si="26"/>
        <v>Tháng 4</v>
      </c>
      <c r="Y76" s="8" t="str">
        <f t="shared" si="27"/>
        <v>Giồng Nhãn</v>
      </c>
    </row>
    <row r="77" spans="1:25" x14ac:dyDescent="0.25">
      <c r="A77" s="1" t="s">
        <v>178</v>
      </c>
      <c r="B77" s="2" t="s">
        <v>30</v>
      </c>
      <c r="C77" s="2" t="s">
        <v>42</v>
      </c>
      <c r="D77" s="10">
        <f t="shared" ca="1" si="14"/>
        <v>59</v>
      </c>
      <c r="E77" s="2" t="s">
        <v>26</v>
      </c>
      <c r="F77" s="3">
        <v>169</v>
      </c>
      <c r="G77" s="3">
        <v>68</v>
      </c>
      <c r="H77" s="11">
        <f t="shared" si="15"/>
        <v>23.808690171912751</v>
      </c>
      <c r="I77" s="2">
        <v>88</v>
      </c>
      <c r="J77" s="3">
        <v>120</v>
      </c>
      <c r="K77" s="3">
        <v>80</v>
      </c>
      <c r="L77" s="10">
        <f t="shared" si="16"/>
        <v>2</v>
      </c>
      <c r="M77" s="10">
        <f t="shared" ca="1" si="17"/>
        <v>2</v>
      </c>
      <c r="N77" s="10">
        <f t="shared" si="18"/>
        <v>0</v>
      </c>
      <c r="O77" s="10">
        <f t="shared" si="19"/>
        <v>3</v>
      </c>
      <c r="P77" s="10">
        <f t="shared" si="20"/>
        <v>0</v>
      </c>
      <c r="Q77" s="10">
        <f t="shared" si="21"/>
        <v>0</v>
      </c>
      <c r="R77" s="10">
        <f t="shared" ca="1" si="22"/>
        <v>7</v>
      </c>
      <c r="S77" s="10" t="str">
        <f t="shared" ca="1" si="23"/>
        <v>Có</v>
      </c>
      <c r="T77" s="10" t="str">
        <f t="shared" ca="1" si="24"/>
        <v>Có</v>
      </c>
      <c r="U77" s="10" t="str">
        <f t="shared" si="25"/>
        <v>Không</v>
      </c>
      <c r="V77" s="2" t="s">
        <v>70</v>
      </c>
      <c r="W77" s="4">
        <v>46142</v>
      </c>
      <c r="X77" s="8" t="str">
        <f t="shared" si="26"/>
        <v>Tháng 4</v>
      </c>
      <c r="Y77" s="8" t="str">
        <f t="shared" si="27"/>
        <v>Ấp Biển Tây A</v>
      </c>
    </row>
    <row r="78" spans="1:25" x14ac:dyDescent="0.25">
      <c r="A78" s="1" t="s">
        <v>179</v>
      </c>
      <c r="B78" s="2" t="s">
        <v>30</v>
      </c>
      <c r="C78" s="2" t="s">
        <v>93</v>
      </c>
      <c r="D78" s="10">
        <f t="shared" ca="1" si="14"/>
        <v>66</v>
      </c>
      <c r="E78" s="2" t="s">
        <v>25</v>
      </c>
      <c r="F78" s="3">
        <v>165</v>
      </c>
      <c r="G78" s="3">
        <v>57</v>
      </c>
      <c r="H78" s="11">
        <f t="shared" si="15"/>
        <v>20.936639118457304</v>
      </c>
      <c r="I78" s="2">
        <v>89</v>
      </c>
      <c r="J78" s="3">
        <v>120</v>
      </c>
      <c r="K78" s="3">
        <v>80</v>
      </c>
      <c r="L78" s="10">
        <f t="shared" si="16"/>
        <v>2</v>
      </c>
      <c r="M78" s="10">
        <f t="shared" ca="1" si="17"/>
        <v>2</v>
      </c>
      <c r="N78" s="10">
        <f t="shared" si="18"/>
        <v>4</v>
      </c>
      <c r="O78" s="10">
        <f t="shared" si="19"/>
        <v>0</v>
      </c>
      <c r="P78" s="10">
        <f t="shared" si="20"/>
        <v>0</v>
      </c>
      <c r="Q78" s="10">
        <f t="shared" si="21"/>
        <v>0</v>
      </c>
      <c r="R78" s="10">
        <f t="shared" ca="1" si="22"/>
        <v>8</v>
      </c>
      <c r="S78" s="10" t="str">
        <f t="shared" ca="1" si="23"/>
        <v>Có</v>
      </c>
      <c r="T78" s="10" t="str">
        <f t="shared" ca="1" si="24"/>
        <v>Có</v>
      </c>
      <c r="U78" s="10" t="str">
        <f t="shared" si="25"/>
        <v>Không</v>
      </c>
      <c r="V78" s="2" t="s">
        <v>180</v>
      </c>
      <c r="W78" s="4">
        <v>46112</v>
      </c>
      <c r="X78" s="8" t="str">
        <f t="shared" si="26"/>
        <v>Tháng 3</v>
      </c>
      <c r="Y78" s="8" t="str">
        <f t="shared" si="27"/>
        <v>ấp Nhà Lầu 2</v>
      </c>
    </row>
    <row r="79" spans="1:25" x14ac:dyDescent="0.25">
      <c r="A79" s="1" t="s">
        <v>181</v>
      </c>
      <c r="B79" s="2" t="s">
        <v>23</v>
      </c>
      <c r="C79" s="2" t="s">
        <v>110</v>
      </c>
      <c r="D79" s="10">
        <f t="shared" ca="1" si="14"/>
        <v>62</v>
      </c>
      <c r="E79" s="2" t="s">
        <v>26</v>
      </c>
      <c r="F79" s="3">
        <v>158</v>
      </c>
      <c r="G79" s="3">
        <v>58</v>
      </c>
      <c r="H79" s="11">
        <f t="shared" si="15"/>
        <v>23.233456176894723</v>
      </c>
      <c r="I79" s="2">
        <v>73</v>
      </c>
      <c r="J79" s="3">
        <v>120</v>
      </c>
      <c r="K79" s="3">
        <v>80</v>
      </c>
      <c r="L79" s="10">
        <f t="shared" si="16"/>
        <v>0</v>
      </c>
      <c r="M79" s="10">
        <f t="shared" ca="1" si="17"/>
        <v>2</v>
      </c>
      <c r="N79" s="10">
        <f t="shared" si="18"/>
        <v>0</v>
      </c>
      <c r="O79" s="10">
        <f t="shared" si="19"/>
        <v>3</v>
      </c>
      <c r="P79" s="10">
        <f t="shared" si="20"/>
        <v>0</v>
      </c>
      <c r="Q79" s="10">
        <f t="shared" si="21"/>
        <v>0</v>
      </c>
      <c r="R79" s="10">
        <f t="shared" ca="1" si="22"/>
        <v>5</v>
      </c>
      <c r="S79" s="10" t="str">
        <f t="shared" ca="1" si="23"/>
        <v>Không cần</v>
      </c>
      <c r="T79" s="10" t="str">
        <f t="shared" ca="1" si="24"/>
        <v>Không</v>
      </c>
      <c r="U79" s="10" t="str">
        <f t="shared" si="25"/>
        <v>Không</v>
      </c>
      <c r="V79" s="2" t="s">
        <v>32</v>
      </c>
      <c r="W79" s="4">
        <v>46142</v>
      </c>
      <c r="X79" s="8" t="str">
        <f t="shared" si="26"/>
        <v>Tháng 4</v>
      </c>
      <c r="Y79" s="8" t="str">
        <f t="shared" si="27"/>
        <v>Ấp Giồng Giữa B</v>
      </c>
    </row>
    <row r="80" spans="1:25" x14ac:dyDescent="0.25">
      <c r="A80" s="1" t="s">
        <v>182</v>
      </c>
      <c r="B80" s="2" t="s">
        <v>23</v>
      </c>
      <c r="C80" s="2" t="s">
        <v>110</v>
      </c>
      <c r="D80" s="10">
        <f t="shared" ca="1" si="14"/>
        <v>62</v>
      </c>
      <c r="E80" s="2" t="s">
        <v>26</v>
      </c>
      <c r="F80" s="3">
        <v>158</v>
      </c>
      <c r="G80" s="3">
        <v>58</v>
      </c>
      <c r="H80" s="11">
        <f t="shared" si="15"/>
        <v>23.233456176894723</v>
      </c>
      <c r="I80" s="2">
        <v>68</v>
      </c>
      <c r="J80" s="3">
        <v>120</v>
      </c>
      <c r="K80" s="3">
        <v>80</v>
      </c>
      <c r="L80" s="10">
        <f t="shared" si="16"/>
        <v>0</v>
      </c>
      <c r="M80" s="10">
        <f t="shared" ca="1" si="17"/>
        <v>2</v>
      </c>
      <c r="N80" s="10">
        <f t="shared" si="18"/>
        <v>0</v>
      </c>
      <c r="O80" s="10">
        <f t="shared" si="19"/>
        <v>3</v>
      </c>
      <c r="P80" s="10">
        <f t="shared" si="20"/>
        <v>0</v>
      </c>
      <c r="Q80" s="10">
        <f t="shared" si="21"/>
        <v>0</v>
      </c>
      <c r="R80" s="10">
        <f t="shared" ca="1" si="22"/>
        <v>5</v>
      </c>
      <c r="S80" s="10" t="str">
        <f t="shared" ca="1" si="23"/>
        <v>Không cần</v>
      </c>
      <c r="T80" s="10" t="str">
        <f t="shared" ca="1" si="24"/>
        <v>Không</v>
      </c>
      <c r="U80" s="10" t="str">
        <f t="shared" si="25"/>
        <v>Không</v>
      </c>
      <c r="V80" s="2" t="s">
        <v>32</v>
      </c>
      <c r="W80" s="4">
        <v>46142</v>
      </c>
      <c r="X80" s="8" t="str">
        <f t="shared" si="26"/>
        <v>Tháng 4</v>
      </c>
      <c r="Y80" s="8" t="str">
        <f t="shared" si="27"/>
        <v>Ấp Giồng Giữa B</v>
      </c>
    </row>
    <row r="81" spans="1:25" x14ac:dyDescent="0.25">
      <c r="A81" s="1" t="s">
        <v>183</v>
      </c>
      <c r="B81" s="2" t="s">
        <v>23</v>
      </c>
      <c r="C81" s="2" t="s">
        <v>67</v>
      </c>
      <c r="D81" s="10">
        <f t="shared" ca="1" si="14"/>
        <v>48</v>
      </c>
      <c r="E81" s="2" t="s">
        <v>26</v>
      </c>
      <c r="F81" s="3">
        <v>158</v>
      </c>
      <c r="G81" s="3">
        <v>58</v>
      </c>
      <c r="H81" s="11">
        <f t="shared" si="15"/>
        <v>23.233456176894723</v>
      </c>
      <c r="I81" s="2">
        <v>76</v>
      </c>
      <c r="J81" s="3">
        <v>120</v>
      </c>
      <c r="K81" s="3">
        <v>80</v>
      </c>
      <c r="L81" s="10">
        <f t="shared" si="16"/>
        <v>0</v>
      </c>
      <c r="M81" s="10">
        <f t="shared" ca="1" si="17"/>
        <v>1</v>
      </c>
      <c r="N81" s="10">
        <f t="shared" si="18"/>
        <v>0</v>
      </c>
      <c r="O81" s="10">
        <f t="shared" si="19"/>
        <v>3</v>
      </c>
      <c r="P81" s="10">
        <f t="shared" si="20"/>
        <v>0</v>
      </c>
      <c r="Q81" s="10">
        <f t="shared" si="21"/>
        <v>0</v>
      </c>
      <c r="R81" s="10">
        <f t="shared" ca="1" si="22"/>
        <v>4</v>
      </c>
      <c r="S81" s="10" t="str">
        <f t="shared" ca="1" si="23"/>
        <v>Không cần</v>
      </c>
      <c r="T81" s="10" t="str">
        <f t="shared" ca="1" si="24"/>
        <v>Không</v>
      </c>
      <c r="U81" s="10" t="str">
        <f t="shared" si="25"/>
        <v>Không</v>
      </c>
      <c r="V81" s="2" t="s">
        <v>184</v>
      </c>
      <c r="W81" s="4">
        <v>46112</v>
      </c>
      <c r="X81" s="8" t="str">
        <f t="shared" si="26"/>
        <v>Tháng 3</v>
      </c>
      <c r="Y81" s="8" t="str">
        <f t="shared" si="27"/>
        <v>Ấp Giồng Giữa B</v>
      </c>
    </row>
    <row r="82" spans="1:25" x14ac:dyDescent="0.25">
      <c r="A82" s="1" t="s">
        <v>185</v>
      </c>
      <c r="B82" s="2" t="s">
        <v>30</v>
      </c>
      <c r="C82" s="2" t="s">
        <v>62</v>
      </c>
      <c r="D82" s="10">
        <f t="shared" ca="1" si="14"/>
        <v>64</v>
      </c>
      <c r="E82" s="2" t="s">
        <v>26</v>
      </c>
      <c r="F82" s="3">
        <v>169</v>
      </c>
      <c r="G82" s="3">
        <v>68</v>
      </c>
      <c r="H82" s="11">
        <f t="shared" si="15"/>
        <v>23.808690171912751</v>
      </c>
      <c r="I82" s="2">
        <v>83</v>
      </c>
      <c r="J82" s="3">
        <v>120</v>
      </c>
      <c r="K82" s="3">
        <v>80</v>
      </c>
      <c r="L82" s="10">
        <f t="shared" si="16"/>
        <v>2</v>
      </c>
      <c r="M82" s="10">
        <f t="shared" ca="1" si="17"/>
        <v>2</v>
      </c>
      <c r="N82" s="10">
        <f t="shared" si="18"/>
        <v>0</v>
      </c>
      <c r="O82" s="10">
        <f t="shared" si="19"/>
        <v>3</v>
      </c>
      <c r="P82" s="10">
        <f t="shared" si="20"/>
        <v>0</v>
      </c>
      <c r="Q82" s="10">
        <f t="shared" si="21"/>
        <v>0</v>
      </c>
      <c r="R82" s="10">
        <f t="shared" ca="1" si="22"/>
        <v>7</v>
      </c>
      <c r="S82" s="10" t="str">
        <f t="shared" ca="1" si="23"/>
        <v>Có</v>
      </c>
      <c r="T82" s="10" t="str">
        <f t="shared" ca="1" si="24"/>
        <v>Có</v>
      </c>
      <c r="U82" s="10" t="str">
        <f t="shared" si="25"/>
        <v>Không</v>
      </c>
      <c r="V82" s="2" t="s">
        <v>51</v>
      </c>
      <c r="W82" s="4">
        <v>46142</v>
      </c>
      <c r="X82" s="8" t="str">
        <f t="shared" si="26"/>
        <v>Tháng 4</v>
      </c>
      <c r="Y82" s="8" t="str">
        <f t="shared" si="27"/>
        <v>Phường Hiệp Thành</v>
      </c>
    </row>
    <row r="83" spans="1:25" x14ac:dyDescent="0.25">
      <c r="A83" s="1" t="s">
        <v>186</v>
      </c>
      <c r="B83" s="2" t="s">
        <v>30</v>
      </c>
      <c r="C83" s="2" t="s">
        <v>40</v>
      </c>
      <c r="D83" s="10">
        <f t="shared" ca="1" si="14"/>
        <v>70</v>
      </c>
      <c r="E83" s="2" t="s">
        <v>26</v>
      </c>
      <c r="F83" s="3">
        <v>160</v>
      </c>
      <c r="G83" s="3">
        <v>60</v>
      </c>
      <c r="H83" s="11">
        <f t="shared" si="15"/>
        <v>23.437499999999996</v>
      </c>
      <c r="I83" s="2">
        <v>100</v>
      </c>
      <c r="J83" s="3">
        <v>120</v>
      </c>
      <c r="K83" s="3">
        <v>80</v>
      </c>
      <c r="L83" s="10">
        <f t="shared" si="16"/>
        <v>2</v>
      </c>
      <c r="M83" s="10">
        <f t="shared" ca="1" si="17"/>
        <v>2</v>
      </c>
      <c r="N83" s="10">
        <f t="shared" si="18"/>
        <v>0</v>
      </c>
      <c r="O83" s="10">
        <f t="shared" si="19"/>
        <v>3</v>
      </c>
      <c r="P83" s="10">
        <f t="shared" si="20"/>
        <v>2</v>
      </c>
      <c r="Q83" s="10">
        <f t="shared" si="21"/>
        <v>0</v>
      </c>
      <c r="R83" s="10">
        <f t="shared" ca="1" si="22"/>
        <v>9</v>
      </c>
      <c r="S83" s="10" t="str">
        <f t="shared" ca="1" si="23"/>
        <v>Có</v>
      </c>
      <c r="T83" s="10" t="str">
        <f t="shared" ca="1" si="24"/>
        <v>Có</v>
      </c>
      <c r="U83" s="10" t="str">
        <f t="shared" si="25"/>
        <v>Không</v>
      </c>
      <c r="V83" s="2" t="s">
        <v>51</v>
      </c>
      <c r="W83" s="4">
        <v>46142</v>
      </c>
      <c r="X83" s="8" t="str">
        <f t="shared" si="26"/>
        <v>Tháng 4</v>
      </c>
      <c r="Y83" s="8" t="str">
        <f t="shared" si="27"/>
        <v>Phường Hiệp Thành</v>
      </c>
    </row>
    <row r="84" spans="1:25" x14ac:dyDescent="0.25">
      <c r="A84" s="1" t="s">
        <v>187</v>
      </c>
      <c r="B84" s="2" t="s">
        <v>30</v>
      </c>
      <c r="C84" s="2" t="s">
        <v>188</v>
      </c>
      <c r="D84" s="10">
        <f t="shared" ca="1" si="14"/>
        <v>63</v>
      </c>
      <c r="E84" s="2" t="s">
        <v>26</v>
      </c>
      <c r="F84" s="3">
        <v>160</v>
      </c>
      <c r="G84" s="3">
        <v>60</v>
      </c>
      <c r="H84" s="11">
        <f t="shared" si="15"/>
        <v>23.437499999999996</v>
      </c>
      <c r="I84" s="2">
        <v>98</v>
      </c>
      <c r="J84" s="3">
        <v>120</v>
      </c>
      <c r="K84" s="3">
        <v>80</v>
      </c>
      <c r="L84" s="10">
        <f t="shared" si="16"/>
        <v>2</v>
      </c>
      <c r="M84" s="10">
        <f t="shared" ca="1" si="17"/>
        <v>2</v>
      </c>
      <c r="N84" s="10">
        <f t="shared" si="18"/>
        <v>0</v>
      </c>
      <c r="O84" s="10">
        <f t="shared" si="19"/>
        <v>3</v>
      </c>
      <c r="P84" s="10">
        <f t="shared" si="20"/>
        <v>2</v>
      </c>
      <c r="Q84" s="10">
        <f t="shared" si="21"/>
        <v>0</v>
      </c>
      <c r="R84" s="10">
        <f t="shared" ca="1" si="22"/>
        <v>9</v>
      </c>
      <c r="S84" s="10" t="str">
        <f t="shared" ca="1" si="23"/>
        <v>Có</v>
      </c>
      <c r="T84" s="10" t="str">
        <f t="shared" ca="1" si="24"/>
        <v>Có</v>
      </c>
      <c r="U84" s="10" t="str">
        <f t="shared" si="25"/>
        <v>Không</v>
      </c>
      <c r="V84" s="2" t="s">
        <v>189</v>
      </c>
      <c r="W84" s="4">
        <v>46142</v>
      </c>
      <c r="X84" s="8" t="str">
        <f t="shared" si="26"/>
        <v>Tháng 4</v>
      </c>
      <c r="Y84" s="8" t="str">
        <f t="shared" si="27"/>
        <v>Ấp Giồng Nhãn</v>
      </c>
    </row>
    <row r="85" spans="1:25" x14ac:dyDescent="0.25">
      <c r="A85" s="1" t="s">
        <v>190</v>
      </c>
      <c r="B85" s="2" t="s">
        <v>23</v>
      </c>
      <c r="C85" s="2" t="s">
        <v>110</v>
      </c>
      <c r="D85" s="10">
        <f t="shared" ca="1" si="14"/>
        <v>62</v>
      </c>
      <c r="E85" s="2" t="s">
        <v>26</v>
      </c>
      <c r="F85" s="3">
        <v>165</v>
      </c>
      <c r="G85" s="3">
        <v>67</v>
      </c>
      <c r="H85" s="11">
        <f t="shared" si="15"/>
        <v>24.609733700642796</v>
      </c>
      <c r="I85" s="2">
        <v>65</v>
      </c>
      <c r="J85" s="3">
        <v>120</v>
      </c>
      <c r="K85" s="3">
        <v>80</v>
      </c>
      <c r="L85" s="10">
        <f t="shared" si="16"/>
        <v>0</v>
      </c>
      <c r="M85" s="10">
        <f t="shared" ca="1" si="17"/>
        <v>2</v>
      </c>
      <c r="N85" s="10">
        <f t="shared" si="18"/>
        <v>0</v>
      </c>
      <c r="O85" s="10">
        <f t="shared" si="19"/>
        <v>3</v>
      </c>
      <c r="P85" s="10">
        <f t="shared" si="20"/>
        <v>0</v>
      </c>
      <c r="Q85" s="10">
        <f t="shared" si="21"/>
        <v>0</v>
      </c>
      <c r="R85" s="10">
        <f t="shared" ca="1" si="22"/>
        <v>5</v>
      </c>
      <c r="S85" s="10" t="str">
        <f t="shared" ca="1" si="23"/>
        <v>Không cần</v>
      </c>
      <c r="T85" s="10" t="str">
        <f t="shared" ca="1" si="24"/>
        <v>Không</v>
      </c>
      <c r="U85" s="10" t="str">
        <f t="shared" si="25"/>
        <v>Không</v>
      </c>
      <c r="V85" s="2" t="s">
        <v>160</v>
      </c>
      <c r="W85" s="4">
        <v>46142</v>
      </c>
      <c r="X85" s="8" t="str">
        <f t="shared" si="26"/>
        <v>Tháng 4</v>
      </c>
      <c r="Y85" s="8" t="str">
        <f t="shared" si="27"/>
        <v>Ấp Giồng Nhãn</v>
      </c>
    </row>
    <row r="86" spans="1:25" x14ac:dyDescent="0.25">
      <c r="A86" s="1" t="s">
        <v>191</v>
      </c>
      <c r="B86" s="2" t="s">
        <v>23</v>
      </c>
      <c r="C86" s="2" t="s">
        <v>40</v>
      </c>
      <c r="D86" s="10">
        <f t="shared" ca="1" si="14"/>
        <v>70</v>
      </c>
      <c r="E86" s="2" t="s">
        <v>26</v>
      </c>
      <c r="F86" s="3">
        <v>160</v>
      </c>
      <c r="G86" s="3">
        <v>67</v>
      </c>
      <c r="H86" s="11">
        <f t="shared" si="15"/>
        <v>26.171874999999996</v>
      </c>
      <c r="I86" s="2">
        <v>75</v>
      </c>
      <c r="J86" s="3">
        <v>120</v>
      </c>
      <c r="K86" s="3">
        <v>80</v>
      </c>
      <c r="L86" s="10">
        <f t="shared" si="16"/>
        <v>0</v>
      </c>
      <c r="M86" s="10">
        <f t="shared" ca="1" si="17"/>
        <v>2</v>
      </c>
      <c r="N86" s="10">
        <f t="shared" si="18"/>
        <v>0</v>
      </c>
      <c r="O86" s="10">
        <f t="shared" si="19"/>
        <v>3</v>
      </c>
      <c r="P86" s="10">
        <f t="shared" si="20"/>
        <v>0</v>
      </c>
      <c r="Q86" s="10">
        <f t="shared" si="21"/>
        <v>0</v>
      </c>
      <c r="R86" s="10">
        <f t="shared" ca="1" si="22"/>
        <v>5</v>
      </c>
      <c r="S86" s="10" t="str">
        <f t="shared" ca="1" si="23"/>
        <v>Không cần</v>
      </c>
      <c r="T86" s="10" t="str">
        <f t="shared" ca="1" si="24"/>
        <v>Không</v>
      </c>
      <c r="U86" s="10" t="str">
        <f t="shared" si="25"/>
        <v>Không</v>
      </c>
      <c r="V86" s="2" t="s">
        <v>192</v>
      </c>
      <c r="W86" s="4">
        <v>46142</v>
      </c>
      <c r="X86" s="8" t="str">
        <f t="shared" si="26"/>
        <v>Tháng 4</v>
      </c>
      <c r="Y86" s="8" t="str">
        <f t="shared" si="27"/>
        <v>Khóm Giồng Nhãn</v>
      </c>
    </row>
    <row r="87" spans="1:25" x14ac:dyDescent="0.25">
      <c r="A87" s="1" t="s">
        <v>193</v>
      </c>
      <c r="B87" s="2" t="s">
        <v>30</v>
      </c>
      <c r="C87" s="2" t="s">
        <v>194</v>
      </c>
      <c r="D87" s="10">
        <f t="shared" ca="1" si="14"/>
        <v>95</v>
      </c>
      <c r="E87" s="2" t="s">
        <v>25</v>
      </c>
      <c r="F87" s="3">
        <v>169</v>
      </c>
      <c r="G87" s="3">
        <v>58</v>
      </c>
      <c r="H87" s="11">
        <f t="shared" si="15"/>
        <v>20.307412205454995</v>
      </c>
      <c r="I87" s="2">
        <v>87</v>
      </c>
      <c r="J87" s="3">
        <v>120</v>
      </c>
      <c r="K87" s="3">
        <v>80</v>
      </c>
      <c r="L87" s="10">
        <f t="shared" si="16"/>
        <v>2</v>
      </c>
      <c r="M87" s="10">
        <f t="shared" ca="1" si="17"/>
        <v>2</v>
      </c>
      <c r="N87" s="10">
        <f t="shared" si="18"/>
        <v>4</v>
      </c>
      <c r="O87" s="10">
        <f t="shared" si="19"/>
        <v>0</v>
      </c>
      <c r="P87" s="10">
        <f t="shared" si="20"/>
        <v>0</v>
      </c>
      <c r="Q87" s="10">
        <f t="shared" si="21"/>
        <v>0</v>
      </c>
      <c r="R87" s="10">
        <f t="shared" ca="1" si="22"/>
        <v>8</v>
      </c>
      <c r="S87" s="10" t="str">
        <f t="shared" ca="1" si="23"/>
        <v>Có</v>
      </c>
      <c r="T87" s="10" t="str">
        <f t="shared" ca="1" si="24"/>
        <v>Có</v>
      </c>
      <c r="U87" s="10" t="str">
        <f t="shared" si="25"/>
        <v>Không</v>
      </c>
      <c r="V87" s="2" t="s">
        <v>195</v>
      </c>
      <c r="W87" s="4">
        <v>46112</v>
      </c>
      <c r="X87" s="8" t="str">
        <f t="shared" si="26"/>
        <v>Tháng 3</v>
      </c>
      <c r="Y87" s="8" t="str">
        <f t="shared" si="27"/>
        <v>Hòa Hiệp</v>
      </c>
    </row>
    <row r="88" spans="1:25" x14ac:dyDescent="0.25">
      <c r="A88" s="1" t="s">
        <v>196</v>
      </c>
      <c r="B88" s="2" t="s">
        <v>23</v>
      </c>
      <c r="C88" s="2" t="s">
        <v>37</v>
      </c>
      <c r="D88" s="10">
        <f t="shared" ca="1" si="14"/>
        <v>75</v>
      </c>
      <c r="E88" s="2" t="s">
        <v>26</v>
      </c>
      <c r="F88" s="3">
        <v>158</v>
      </c>
      <c r="G88" s="3">
        <v>58</v>
      </c>
      <c r="H88" s="11">
        <f t="shared" si="15"/>
        <v>23.233456176894723</v>
      </c>
      <c r="I88" s="2">
        <v>90</v>
      </c>
      <c r="J88" s="3">
        <v>150</v>
      </c>
      <c r="K88" s="3">
        <v>80</v>
      </c>
      <c r="L88" s="10">
        <f t="shared" si="16"/>
        <v>0</v>
      </c>
      <c r="M88" s="10">
        <f t="shared" ca="1" si="17"/>
        <v>2</v>
      </c>
      <c r="N88" s="10">
        <f t="shared" si="18"/>
        <v>0</v>
      </c>
      <c r="O88" s="10">
        <f t="shared" si="19"/>
        <v>3</v>
      </c>
      <c r="P88" s="10">
        <f t="shared" si="20"/>
        <v>2</v>
      </c>
      <c r="Q88" s="10">
        <f t="shared" si="21"/>
        <v>2</v>
      </c>
      <c r="R88" s="10">
        <f t="shared" ca="1" si="22"/>
        <v>9</v>
      </c>
      <c r="S88" s="10" t="str">
        <f t="shared" ca="1" si="23"/>
        <v>Có</v>
      </c>
      <c r="T88" s="10" t="str">
        <f t="shared" ca="1" si="24"/>
        <v>Có</v>
      </c>
      <c r="U88" s="10" t="str">
        <f t="shared" si="25"/>
        <v>Có</v>
      </c>
      <c r="V88" s="2" t="s">
        <v>70</v>
      </c>
      <c r="W88" s="4">
        <v>46142</v>
      </c>
      <c r="X88" s="8" t="str">
        <f t="shared" si="26"/>
        <v>Tháng 4</v>
      </c>
      <c r="Y88" s="8" t="str">
        <f t="shared" si="27"/>
        <v>Ấp Biển Tây A</v>
      </c>
    </row>
    <row r="89" spans="1:25" x14ac:dyDescent="0.25">
      <c r="A89" s="1" t="s">
        <v>197</v>
      </c>
      <c r="B89" s="2" t="s">
        <v>30</v>
      </c>
      <c r="C89" s="2" t="s">
        <v>67</v>
      </c>
      <c r="D89" s="10">
        <f t="shared" ca="1" si="14"/>
        <v>48</v>
      </c>
      <c r="E89" s="2" t="s">
        <v>26</v>
      </c>
      <c r="F89" s="3">
        <v>158</v>
      </c>
      <c r="G89" s="3">
        <v>58</v>
      </c>
      <c r="H89" s="11">
        <f t="shared" si="15"/>
        <v>23.233456176894723</v>
      </c>
      <c r="I89" s="2">
        <v>79</v>
      </c>
      <c r="J89" s="3">
        <v>140</v>
      </c>
      <c r="K89" s="3">
        <v>80</v>
      </c>
      <c r="L89" s="10">
        <f t="shared" si="16"/>
        <v>2</v>
      </c>
      <c r="M89" s="10">
        <f t="shared" ca="1" si="17"/>
        <v>1</v>
      </c>
      <c r="N89" s="10">
        <f t="shared" si="18"/>
        <v>0</v>
      </c>
      <c r="O89" s="10">
        <f t="shared" si="19"/>
        <v>3</v>
      </c>
      <c r="P89" s="10">
        <f t="shared" si="20"/>
        <v>0</v>
      </c>
      <c r="Q89" s="10">
        <f t="shared" si="21"/>
        <v>2</v>
      </c>
      <c r="R89" s="10">
        <f t="shared" ca="1" si="22"/>
        <v>8</v>
      </c>
      <c r="S89" s="10" t="str">
        <f t="shared" ca="1" si="23"/>
        <v>Có</v>
      </c>
      <c r="T89" s="10" t="str">
        <f t="shared" ca="1" si="24"/>
        <v>Có</v>
      </c>
      <c r="U89" s="10" t="str">
        <f t="shared" si="25"/>
        <v>Có</v>
      </c>
      <c r="V89" s="2" t="s">
        <v>28</v>
      </c>
      <c r="W89" s="4">
        <v>46112</v>
      </c>
      <c r="X89" s="8" t="str">
        <f t="shared" si="26"/>
        <v>Tháng 3</v>
      </c>
      <c r="Y89" s="8" t="str">
        <f t="shared" si="27"/>
        <v>Ấp Biển Đông A</v>
      </c>
    </row>
    <row r="90" spans="1:25" x14ac:dyDescent="0.25">
      <c r="A90" s="1" t="s">
        <v>198</v>
      </c>
      <c r="B90" s="2" t="s">
        <v>23</v>
      </c>
      <c r="C90" s="2" t="s">
        <v>62</v>
      </c>
      <c r="D90" s="10">
        <f t="shared" ca="1" si="14"/>
        <v>64</v>
      </c>
      <c r="E90" s="2" t="s">
        <v>26</v>
      </c>
      <c r="F90" s="3">
        <v>158</v>
      </c>
      <c r="G90" s="3">
        <v>58</v>
      </c>
      <c r="H90" s="11">
        <f t="shared" si="15"/>
        <v>23.233456176894723</v>
      </c>
      <c r="I90" s="2">
        <v>76</v>
      </c>
      <c r="J90" s="3">
        <v>130</v>
      </c>
      <c r="K90" s="3">
        <v>80</v>
      </c>
      <c r="L90" s="10">
        <f t="shared" si="16"/>
        <v>0</v>
      </c>
      <c r="M90" s="10">
        <f t="shared" ca="1" si="17"/>
        <v>2</v>
      </c>
      <c r="N90" s="10">
        <f t="shared" si="18"/>
        <v>0</v>
      </c>
      <c r="O90" s="10">
        <f t="shared" si="19"/>
        <v>3</v>
      </c>
      <c r="P90" s="10">
        <f t="shared" si="20"/>
        <v>0</v>
      </c>
      <c r="Q90" s="10">
        <f t="shared" si="21"/>
        <v>0</v>
      </c>
      <c r="R90" s="10">
        <f t="shared" ca="1" si="22"/>
        <v>5</v>
      </c>
      <c r="S90" s="10" t="str">
        <f t="shared" ca="1" si="23"/>
        <v>Không cần</v>
      </c>
      <c r="T90" s="10" t="str">
        <f t="shared" ca="1" si="24"/>
        <v>Không</v>
      </c>
      <c r="U90" s="10" t="str">
        <f t="shared" si="25"/>
        <v>Không</v>
      </c>
      <c r="V90" s="2" t="s">
        <v>51</v>
      </c>
      <c r="W90" s="4">
        <v>46142</v>
      </c>
      <c r="X90" s="8" t="str">
        <f t="shared" si="26"/>
        <v>Tháng 4</v>
      </c>
      <c r="Y90" s="8" t="str">
        <f t="shared" si="27"/>
        <v>Phường Hiệp Thành</v>
      </c>
    </row>
    <row r="91" spans="1:25" x14ac:dyDescent="0.25">
      <c r="A91" s="1" t="s">
        <v>199</v>
      </c>
      <c r="B91" s="2" t="s">
        <v>23</v>
      </c>
      <c r="C91" s="2" t="s">
        <v>42</v>
      </c>
      <c r="D91" s="10">
        <f t="shared" ca="1" si="14"/>
        <v>59</v>
      </c>
      <c r="E91" s="2" t="s">
        <v>26</v>
      </c>
      <c r="F91" s="3">
        <v>158</v>
      </c>
      <c r="G91" s="3">
        <v>58</v>
      </c>
      <c r="H91" s="11">
        <f t="shared" si="15"/>
        <v>23.233456176894723</v>
      </c>
      <c r="I91" s="2">
        <v>73</v>
      </c>
      <c r="J91" s="3">
        <v>120</v>
      </c>
      <c r="K91" s="3">
        <v>80</v>
      </c>
      <c r="L91" s="10">
        <f t="shared" si="16"/>
        <v>0</v>
      </c>
      <c r="M91" s="10">
        <f t="shared" ca="1" si="17"/>
        <v>2</v>
      </c>
      <c r="N91" s="10">
        <f t="shared" si="18"/>
        <v>0</v>
      </c>
      <c r="O91" s="10">
        <f t="shared" si="19"/>
        <v>3</v>
      </c>
      <c r="P91" s="10">
        <f t="shared" si="20"/>
        <v>0</v>
      </c>
      <c r="Q91" s="10">
        <f t="shared" si="21"/>
        <v>0</v>
      </c>
      <c r="R91" s="10">
        <f t="shared" ca="1" si="22"/>
        <v>5</v>
      </c>
      <c r="S91" s="10" t="str">
        <f t="shared" ca="1" si="23"/>
        <v>Không cần</v>
      </c>
      <c r="T91" s="10" t="str">
        <f t="shared" ca="1" si="24"/>
        <v>Không</v>
      </c>
      <c r="U91" s="10" t="str">
        <f t="shared" si="25"/>
        <v>Không</v>
      </c>
      <c r="V91" s="2" t="s">
        <v>68</v>
      </c>
      <c r="W91" s="4">
        <v>46142</v>
      </c>
      <c r="X91" s="8" t="str">
        <f t="shared" si="26"/>
        <v>Tháng 4</v>
      </c>
      <c r="Y91" s="8" t="str">
        <f t="shared" si="27"/>
        <v>Ấp Biển Tây B</v>
      </c>
    </row>
    <row r="92" spans="1:25" x14ac:dyDescent="0.25">
      <c r="A92" s="1" t="s">
        <v>200</v>
      </c>
      <c r="B92" s="2" t="s">
        <v>23</v>
      </c>
      <c r="C92" s="2" t="s">
        <v>127</v>
      </c>
      <c r="D92" s="10">
        <f t="shared" ca="1" si="14"/>
        <v>76</v>
      </c>
      <c r="E92" s="2" t="s">
        <v>26</v>
      </c>
      <c r="F92" s="3">
        <v>158</v>
      </c>
      <c r="G92" s="3">
        <v>58</v>
      </c>
      <c r="H92" s="11">
        <f t="shared" si="15"/>
        <v>23.233456176894723</v>
      </c>
      <c r="I92" s="2">
        <v>72</v>
      </c>
      <c r="J92" s="3">
        <v>120</v>
      </c>
      <c r="K92" s="3">
        <v>80</v>
      </c>
      <c r="L92" s="10">
        <f t="shared" si="16"/>
        <v>0</v>
      </c>
      <c r="M92" s="10">
        <f t="shared" ca="1" si="17"/>
        <v>2</v>
      </c>
      <c r="N92" s="10">
        <f t="shared" si="18"/>
        <v>0</v>
      </c>
      <c r="O92" s="10">
        <f t="shared" si="19"/>
        <v>3</v>
      </c>
      <c r="P92" s="10">
        <f t="shared" si="20"/>
        <v>0</v>
      </c>
      <c r="Q92" s="10">
        <f t="shared" si="21"/>
        <v>0</v>
      </c>
      <c r="R92" s="10">
        <f t="shared" ca="1" si="22"/>
        <v>5</v>
      </c>
      <c r="S92" s="10" t="str">
        <f t="shared" ca="1" si="23"/>
        <v>Không cần</v>
      </c>
      <c r="T92" s="10" t="str">
        <f t="shared" ca="1" si="24"/>
        <v>Không</v>
      </c>
      <c r="U92" s="10" t="str">
        <f t="shared" si="25"/>
        <v>Không</v>
      </c>
      <c r="V92" s="2" t="s">
        <v>68</v>
      </c>
      <c r="W92" s="4">
        <v>46112</v>
      </c>
      <c r="X92" s="8" t="str">
        <f t="shared" si="26"/>
        <v>Tháng 3</v>
      </c>
      <c r="Y92" s="8" t="str">
        <f t="shared" si="27"/>
        <v>Ấp Biển Tây B</v>
      </c>
    </row>
    <row r="93" spans="1:25" x14ac:dyDescent="0.25">
      <c r="A93" s="1" t="s">
        <v>201</v>
      </c>
      <c r="B93" s="2" t="s">
        <v>30</v>
      </c>
      <c r="C93" s="2" t="s">
        <v>110</v>
      </c>
      <c r="D93" s="10">
        <f t="shared" ca="1" si="14"/>
        <v>62</v>
      </c>
      <c r="E93" s="2" t="s">
        <v>26</v>
      </c>
      <c r="F93" s="3">
        <v>170</v>
      </c>
      <c r="G93" s="3">
        <v>85</v>
      </c>
      <c r="H93" s="11">
        <f t="shared" si="15"/>
        <v>29.411764705882355</v>
      </c>
      <c r="I93" s="2">
        <v>91</v>
      </c>
      <c r="J93" s="3">
        <v>120</v>
      </c>
      <c r="K93" s="3">
        <v>70</v>
      </c>
      <c r="L93" s="10">
        <f t="shared" si="16"/>
        <v>2</v>
      </c>
      <c r="M93" s="10">
        <f t="shared" ca="1" si="17"/>
        <v>2</v>
      </c>
      <c r="N93" s="10">
        <f t="shared" si="18"/>
        <v>0</v>
      </c>
      <c r="O93" s="10">
        <f t="shared" si="19"/>
        <v>5</v>
      </c>
      <c r="P93" s="10">
        <f t="shared" si="20"/>
        <v>2</v>
      </c>
      <c r="Q93" s="10">
        <f t="shared" si="21"/>
        <v>0</v>
      </c>
      <c r="R93" s="10">
        <f t="shared" ca="1" si="22"/>
        <v>11</v>
      </c>
      <c r="S93" s="10" t="str">
        <f t="shared" ca="1" si="23"/>
        <v>Có</v>
      </c>
      <c r="T93" s="10" t="str">
        <f t="shared" ca="1" si="24"/>
        <v>Có</v>
      </c>
      <c r="U93" s="10" t="str">
        <f t="shared" si="25"/>
        <v>Không</v>
      </c>
      <c r="V93" s="2" t="s">
        <v>70</v>
      </c>
      <c r="W93" s="4">
        <v>46112</v>
      </c>
      <c r="X93" s="8" t="str">
        <f t="shared" si="26"/>
        <v>Tháng 3</v>
      </c>
      <c r="Y93" s="8" t="str">
        <f t="shared" si="27"/>
        <v>Ấp Biển Tây A</v>
      </c>
    </row>
    <row r="94" spans="1:25" x14ac:dyDescent="0.25">
      <c r="A94" s="1" t="s">
        <v>202</v>
      </c>
      <c r="B94" s="2" t="s">
        <v>23</v>
      </c>
      <c r="C94" s="2" t="s">
        <v>203</v>
      </c>
      <c r="D94" s="10">
        <f t="shared" ca="1" si="14"/>
        <v>43</v>
      </c>
      <c r="E94" s="2" t="s">
        <v>25</v>
      </c>
      <c r="F94" s="3">
        <v>150</v>
      </c>
      <c r="G94" s="3">
        <v>75</v>
      </c>
      <c r="H94" s="11">
        <f t="shared" si="15"/>
        <v>33.333333333333336</v>
      </c>
      <c r="I94" s="2">
        <v>65</v>
      </c>
      <c r="J94" s="3">
        <v>150</v>
      </c>
      <c r="K94" s="3">
        <v>90</v>
      </c>
      <c r="L94" s="10">
        <f t="shared" si="16"/>
        <v>0</v>
      </c>
      <c r="M94" s="10">
        <f t="shared" ca="1" si="17"/>
        <v>0</v>
      </c>
      <c r="N94" s="10">
        <f t="shared" si="18"/>
        <v>4</v>
      </c>
      <c r="O94" s="10">
        <f t="shared" si="19"/>
        <v>5</v>
      </c>
      <c r="P94" s="10">
        <f t="shared" si="20"/>
        <v>0</v>
      </c>
      <c r="Q94" s="10">
        <f t="shared" si="21"/>
        <v>2</v>
      </c>
      <c r="R94" s="10">
        <f t="shared" ca="1" si="22"/>
        <v>11</v>
      </c>
      <c r="S94" s="10" t="str">
        <f t="shared" ca="1" si="23"/>
        <v>Có</v>
      </c>
      <c r="T94" s="10" t="str">
        <f t="shared" ca="1" si="24"/>
        <v>Có</v>
      </c>
      <c r="U94" s="10" t="str">
        <f t="shared" si="25"/>
        <v>Có</v>
      </c>
      <c r="V94" s="2" t="s">
        <v>172</v>
      </c>
      <c r="W94" s="4">
        <v>46112</v>
      </c>
      <c r="X94" s="8" t="str">
        <f t="shared" si="26"/>
        <v>Tháng 3</v>
      </c>
      <c r="Y94" s="8" t="str">
        <f t="shared" si="27"/>
        <v>Khóm Bờ Tây</v>
      </c>
    </row>
    <row r="95" spans="1:25" x14ac:dyDescent="0.25">
      <c r="A95" s="1" t="s">
        <v>204</v>
      </c>
      <c r="B95" s="2" t="s">
        <v>23</v>
      </c>
      <c r="C95" s="2" t="s">
        <v>127</v>
      </c>
      <c r="D95" s="10">
        <f t="shared" ca="1" si="14"/>
        <v>76</v>
      </c>
      <c r="E95" s="2" t="s">
        <v>26</v>
      </c>
      <c r="F95" s="3">
        <v>150</v>
      </c>
      <c r="G95" s="3">
        <v>40</v>
      </c>
      <c r="H95" s="11">
        <f t="shared" si="15"/>
        <v>17.777777777777779</v>
      </c>
      <c r="I95" s="2">
        <v>74</v>
      </c>
      <c r="J95" s="3">
        <v>130</v>
      </c>
      <c r="K95" s="3">
        <v>80</v>
      </c>
      <c r="L95" s="10">
        <f t="shared" si="16"/>
        <v>0</v>
      </c>
      <c r="M95" s="10">
        <f t="shared" ca="1" si="17"/>
        <v>2</v>
      </c>
      <c r="N95" s="10">
        <f t="shared" si="18"/>
        <v>0</v>
      </c>
      <c r="O95" s="10">
        <f t="shared" si="19"/>
        <v>0</v>
      </c>
      <c r="P95" s="10">
        <f t="shared" si="20"/>
        <v>0</v>
      </c>
      <c r="Q95" s="10">
        <f t="shared" si="21"/>
        <v>0</v>
      </c>
      <c r="R95" s="10">
        <f t="shared" ca="1" si="22"/>
        <v>2</v>
      </c>
      <c r="S95" s="10" t="str">
        <f t="shared" ca="1" si="23"/>
        <v>Không cần</v>
      </c>
      <c r="T95" s="10" t="str">
        <f t="shared" ca="1" si="24"/>
        <v>Không</v>
      </c>
      <c r="U95" s="10" t="str">
        <f t="shared" si="25"/>
        <v>Không</v>
      </c>
      <c r="V95" s="2" t="s">
        <v>51</v>
      </c>
      <c r="W95" s="4">
        <v>46142</v>
      </c>
      <c r="X95" s="8" t="str">
        <f t="shared" si="26"/>
        <v>Tháng 4</v>
      </c>
      <c r="Y95" s="8" t="str">
        <f t="shared" si="27"/>
        <v>Phường Hiệp Thành</v>
      </c>
    </row>
    <row r="96" spans="1:25" x14ac:dyDescent="0.25">
      <c r="A96" s="1" t="s">
        <v>205</v>
      </c>
      <c r="B96" s="2" t="s">
        <v>23</v>
      </c>
      <c r="C96" s="2" t="s">
        <v>93</v>
      </c>
      <c r="D96" s="10">
        <f t="shared" ca="1" si="14"/>
        <v>66</v>
      </c>
      <c r="E96" s="2" t="s">
        <v>26</v>
      </c>
      <c r="F96" s="3">
        <v>158</v>
      </c>
      <c r="G96" s="3">
        <v>58</v>
      </c>
      <c r="H96" s="11">
        <f t="shared" si="15"/>
        <v>23.233456176894723</v>
      </c>
      <c r="I96" s="2">
        <v>88</v>
      </c>
      <c r="J96" s="3">
        <v>120</v>
      </c>
      <c r="K96" s="3">
        <v>80</v>
      </c>
      <c r="L96" s="10">
        <f t="shared" si="16"/>
        <v>0</v>
      </c>
      <c r="M96" s="10">
        <f t="shared" ca="1" si="17"/>
        <v>2</v>
      </c>
      <c r="N96" s="10">
        <f t="shared" si="18"/>
        <v>0</v>
      </c>
      <c r="O96" s="10">
        <f t="shared" si="19"/>
        <v>3</v>
      </c>
      <c r="P96" s="10">
        <f t="shared" si="20"/>
        <v>2</v>
      </c>
      <c r="Q96" s="10">
        <f t="shared" si="21"/>
        <v>0</v>
      </c>
      <c r="R96" s="10">
        <f t="shared" ca="1" si="22"/>
        <v>7</v>
      </c>
      <c r="S96" s="10" t="str">
        <f t="shared" ca="1" si="23"/>
        <v>Có</v>
      </c>
      <c r="T96" s="10" t="str">
        <f t="shared" ca="1" si="24"/>
        <v>Có</v>
      </c>
      <c r="U96" s="10" t="str">
        <f t="shared" si="25"/>
        <v>Không</v>
      </c>
      <c r="V96" s="2" t="s">
        <v>206</v>
      </c>
      <c r="W96" s="4">
        <v>46142</v>
      </c>
      <c r="X96" s="8" t="str">
        <f t="shared" si="26"/>
        <v>Tháng 4</v>
      </c>
      <c r="Y96" s="8" t="str">
        <f t="shared" si="27"/>
        <v>Prey Chóp B</v>
      </c>
    </row>
    <row r="97" spans="1:25" x14ac:dyDescent="0.25">
      <c r="A97" s="1" t="s">
        <v>207</v>
      </c>
      <c r="B97" s="2" t="s">
        <v>23</v>
      </c>
      <c r="C97" s="2" t="s">
        <v>76</v>
      </c>
      <c r="D97" s="10">
        <f t="shared" ca="1" si="14"/>
        <v>68</v>
      </c>
      <c r="E97" s="2" t="s">
        <v>25</v>
      </c>
      <c r="F97" s="3">
        <v>172</v>
      </c>
      <c r="G97" s="3">
        <v>65</v>
      </c>
      <c r="H97" s="11">
        <f t="shared" si="15"/>
        <v>21.971335857220122</v>
      </c>
      <c r="I97" s="2">
        <v>72</v>
      </c>
      <c r="J97" s="3">
        <v>130</v>
      </c>
      <c r="K97" s="3">
        <v>80</v>
      </c>
      <c r="L97" s="10">
        <f t="shared" si="16"/>
        <v>0</v>
      </c>
      <c r="M97" s="10">
        <f t="shared" ca="1" si="17"/>
        <v>2</v>
      </c>
      <c r="N97" s="10">
        <f t="shared" si="18"/>
        <v>4</v>
      </c>
      <c r="O97" s="10">
        <f t="shared" si="19"/>
        <v>0</v>
      </c>
      <c r="P97" s="10">
        <f t="shared" si="20"/>
        <v>0</v>
      </c>
      <c r="Q97" s="10">
        <f t="shared" si="21"/>
        <v>0</v>
      </c>
      <c r="R97" s="10">
        <f t="shared" ca="1" si="22"/>
        <v>6</v>
      </c>
      <c r="S97" s="10" t="str">
        <f t="shared" ca="1" si="23"/>
        <v>Có</v>
      </c>
      <c r="T97" s="10" t="str">
        <f t="shared" ca="1" si="24"/>
        <v>Có</v>
      </c>
      <c r="U97" s="10" t="str">
        <f t="shared" si="25"/>
        <v>Không</v>
      </c>
      <c r="V97" s="2" t="s">
        <v>122</v>
      </c>
      <c r="W97" s="4">
        <v>46142</v>
      </c>
      <c r="X97" s="8" t="str">
        <f t="shared" si="26"/>
        <v>Tháng 4</v>
      </c>
      <c r="Y97" s="8" t="str">
        <f t="shared" si="27"/>
        <v>Giồng Nhãn</v>
      </c>
    </row>
    <row r="98" spans="1:25" x14ac:dyDescent="0.25">
      <c r="A98" s="1" t="s">
        <v>208</v>
      </c>
      <c r="B98" s="2" t="s">
        <v>23</v>
      </c>
      <c r="C98" s="2" t="s">
        <v>53</v>
      </c>
      <c r="D98" s="10">
        <f t="shared" ca="1" si="14"/>
        <v>72</v>
      </c>
      <c r="E98" s="2" t="s">
        <v>26</v>
      </c>
      <c r="F98" s="3">
        <v>158</v>
      </c>
      <c r="G98" s="3">
        <v>58</v>
      </c>
      <c r="H98" s="11">
        <f t="shared" si="15"/>
        <v>23.233456176894723</v>
      </c>
      <c r="I98" s="2">
        <v>65</v>
      </c>
      <c r="J98" s="3">
        <v>120</v>
      </c>
      <c r="K98" s="3">
        <v>80</v>
      </c>
      <c r="L98" s="10">
        <f t="shared" si="16"/>
        <v>0</v>
      </c>
      <c r="M98" s="10">
        <f t="shared" ca="1" si="17"/>
        <v>2</v>
      </c>
      <c r="N98" s="10">
        <f t="shared" si="18"/>
        <v>0</v>
      </c>
      <c r="O98" s="10">
        <f t="shared" si="19"/>
        <v>3</v>
      </c>
      <c r="P98" s="10">
        <f t="shared" si="20"/>
        <v>0</v>
      </c>
      <c r="Q98" s="10">
        <f t="shared" si="21"/>
        <v>0</v>
      </c>
      <c r="R98" s="10">
        <f t="shared" ca="1" si="22"/>
        <v>5</v>
      </c>
      <c r="S98" s="10" t="str">
        <f t="shared" ca="1" si="23"/>
        <v>Không cần</v>
      </c>
      <c r="T98" s="10" t="str">
        <f t="shared" ca="1" si="24"/>
        <v>Không</v>
      </c>
      <c r="U98" s="10" t="str">
        <f t="shared" si="25"/>
        <v>Không</v>
      </c>
      <c r="V98" s="2" t="s">
        <v>140</v>
      </c>
      <c r="W98" s="4">
        <v>46142</v>
      </c>
      <c r="X98" s="8" t="str">
        <f t="shared" si="26"/>
        <v>Tháng 4</v>
      </c>
      <c r="Y98" s="8" t="str">
        <f t="shared" si="27"/>
        <v>Biển Tây A</v>
      </c>
    </row>
    <row r="99" spans="1:25" x14ac:dyDescent="0.25">
      <c r="A99" s="1" t="s">
        <v>209</v>
      </c>
      <c r="B99" s="2" t="s">
        <v>23</v>
      </c>
      <c r="C99" s="2" t="s">
        <v>76</v>
      </c>
      <c r="D99" s="10">
        <f t="shared" ca="1" si="14"/>
        <v>68</v>
      </c>
      <c r="E99" s="2" t="s">
        <v>26</v>
      </c>
      <c r="F99" s="3">
        <v>158</v>
      </c>
      <c r="G99" s="3">
        <v>58</v>
      </c>
      <c r="H99" s="11">
        <f t="shared" si="15"/>
        <v>23.233456176894723</v>
      </c>
      <c r="I99" s="2">
        <v>72</v>
      </c>
      <c r="J99" s="3">
        <v>120</v>
      </c>
      <c r="K99" s="3">
        <v>80</v>
      </c>
      <c r="L99" s="10">
        <f t="shared" si="16"/>
        <v>0</v>
      </c>
      <c r="M99" s="10">
        <f t="shared" ca="1" si="17"/>
        <v>2</v>
      </c>
      <c r="N99" s="10">
        <f t="shared" si="18"/>
        <v>0</v>
      </c>
      <c r="O99" s="10">
        <f t="shared" si="19"/>
        <v>3</v>
      </c>
      <c r="P99" s="10">
        <f t="shared" si="20"/>
        <v>0</v>
      </c>
      <c r="Q99" s="10">
        <f t="shared" si="21"/>
        <v>0</v>
      </c>
      <c r="R99" s="10">
        <f t="shared" ca="1" si="22"/>
        <v>5</v>
      </c>
      <c r="S99" s="10" t="str">
        <f t="shared" ca="1" si="23"/>
        <v>Không cần</v>
      </c>
      <c r="T99" s="10" t="str">
        <f t="shared" ca="1" si="24"/>
        <v>Không</v>
      </c>
      <c r="U99" s="10" t="str">
        <f t="shared" si="25"/>
        <v>Không</v>
      </c>
      <c r="V99" s="2" t="s">
        <v>210</v>
      </c>
      <c r="W99" s="4">
        <v>46142</v>
      </c>
      <c r="X99" s="8" t="str">
        <f t="shared" si="26"/>
        <v>Tháng 4</v>
      </c>
      <c r="Y99" s="8" t="str">
        <f t="shared" si="27"/>
        <v>Biển Đông A</v>
      </c>
    </row>
    <row r="100" spans="1:25" x14ac:dyDescent="0.25">
      <c r="A100" s="1" t="s">
        <v>211</v>
      </c>
      <c r="B100" s="2" t="s">
        <v>30</v>
      </c>
      <c r="C100" s="2" t="s">
        <v>80</v>
      </c>
      <c r="D100" s="10">
        <f t="shared" ca="1" si="14"/>
        <v>71</v>
      </c>
      <c r="E100" s="2" t="s">
        <v>26</v>
      </c>
      <c r="F100" s="3">
        <v>170</v>
      </c>
      <c r="G100" s="3">
        <v>70</v>
      </c>
      <c r="H100" s="11">
        <f t="shared" si="15"/>
        <v>24.221453287197235</v>
      </c>
      <c r="I100" s="2">
        <v>76</v>
      </c>
      <c r="J100" s="3">
        <v>120</v>
      </c>
      <c r="K100" s="3">
        <v>70</v>
      </c>
      <c r="L100" s="10">
        <f t="shared" si="16"/>
        <v>2</v>
      </c>
      <c r="M100" s="10">
        <f t="shared" ca="1" si="17"/>
        <v>2</v>
      </c>
      <c r="N100" s="10">
        <f t="shared" si="18"/>
        <v>0</v>
      </c>
      <c r="O100" s="10">
        <f t="shared" si="19"/>
        <v>3</v>
      </c>
      <c r="P100" s="10">
        <f t="shared" si="20"/>
        <v>0</v>
      </c>
      <c r="Q100" s="10">
        <f t="shared" si="21"/>
        <v>0</v>
      </c>
      <c r="R100" s="10">
        <f t="shared" ca="1" si="22"/>
        <v>7</v>
      </c>
      <c r="S100" s="10" t="str">
        <f t="shared" ca="1" si="23"/>
        <v>Có</v>
      </c>
      <c r="T100" s="10" t="str">
        <f t="shared" ca="1" si="24"/>
        <v>Có</v>
      </c>
      <c r="U100" s="10" t="str">
        <f t="shared" si="25"/>
        <v>Không</v>
      </c>
      <c r="V100" s="2" t="s">
        <v>91</v>
      </c>
      <c r="W100" s="4">
        <v>46142</v>
      </c>
      <c r="X100" s="8" t="str">
        <f t="shared" si="26"/>
        <v>Tháng 4</v>
      </c>
      <c r="Y100" s="8" t="str">
        <f t="shared" si="27"/>
        <v>Ấp Giồng Giữa</v>
      </c>
    </row>
    <row r="101" spans="1:25" x14ac:dyDescent="0.25">
      <c r="A101" s="1" t="s">
        <v>212</v>
      </c>
      <c r="B101" s="2" t="s">
        <v>30</v>
      </c>
      <c r="C101" s="2" t="s">
        <v>90</v>
      </c>
      <c r="D101" s="10">
        <f t="shared" ca="1" si="14"/>
        <v>54</v>
      </c>
      <c r="E101" s="2" t="s">
        <v>25</v>
      </c>
      <c r="F101" s="3">
        <v>169</v>
      </c>
      <c r="G101" s="3">
        <v>68</v>
      </c>
      <c r="H101" s="11">
        <f t="shared" si="15"/>
        <v>23.808690171912751</v>
      </c>
      <c r="I101" s="2">
        <v>96</v>
      </c>
      <c r="J101" s="3">
        <v>120</v>
      </c>
      <c r="K101" s="3">
        <v>80</v>
      </c>
      <c r="L101" s="10">
        <f t="shared" si="16"/>
        <v>2</v>
      </c>
      <c r="M101" s="10">
        <f t="shared" ca="1" si="17"/>
        <v>2</v>
      </c>
      <c r="N101" s="10">
        <f t="shared" si="18"/>
        <v>4</v>
      </c>
      <c r="O101" s="10">
        <f t="shared" si="19"/>
        <v>3</v>
      </c>
      <c r="P101" s="10">
        <f t="shared" si="20"/>
        <v>2</v>
      </c>
      <c r="Q101" s="10">
        <f t="shared" si="21"/>
        <v>0</v>
      </c>
      <c r="R101" s="10">
        <f t="shared" ca="1" si="22"/>
        <v>13</v>
      </c>
      <c r="S101" s="10" t="str">
        <f t="shared" ca="1" si="23"/>
        <v>Có</v>
      </c>
      <c r="T101" s="10" t="str">
        <f t="shared" ca="1" si="24"/>
        <v>Có</v>
      </c>
      <c r="U101" s="10" t="str">
        <f t="shared" si="25"/>
        <v>Không</v>
      </c>
      <c r="V101" s="2" t="s">
        <v>51</v>
      </c>
      <c r="W101" s="4">
        <v>46142</v>
      </c>
      <c r="X101" s="8" t="str">
        <f t="shared" si="26"/>
        <v>Tháng 4</v>
      </c>
      <c r="Y101" s="8" t="str">
        <f t="shared" si="27"/>
        <v>Phường Hiệp Thành</v>
      </c>
    </row>
    <row r="102" spans="1:25" x14ac:dyDescent="0.25">
      <c r="A102" s="1" t="s">
        <v>213</v>
      </c>
      <c r="B102" s="2" t="s">
        <v>23</v>
      </c>
      <c r="C102" s="2" t="s">
        <v>59</v>
      </c>
      <c r="D102" s="10">
        <f t="shared" ca="1" si="14"/>
        <v>74</v>
      </c>
      <c r="E102" s="2" t="s">
        <v>26</v>
      </c>
      <c r="F102" s="3">
        <v>158</v>
      </c>
      <c r="G102" s="3">
        <v>58</v>
      </c>
      <c r="H102" s="11">
        <f t="shared" si="15"/>
        <v>23.233456176894723</v>
      </c>
      <c r="I102" s="2">
        <v>69</v>
      </c>
      <c r="J102" s="3">
        <v>150</v>
      </c>
      <c r="K102" s="3">
        <v>80</v>
      </c>
      <c r="L102" s="10">
        <f t="shared" si="16"/>
        <v>0</v>
      </c>
      <c r="M102" s="10">
        <f t="shared" ca="1" si="17"/>
        <v>2</v>
      </c>
      <c r="N102" s="10">
        <f t="shared" si="18"/>
        <v>0</v>
      </c>
      <c r="O102" s="10">
        <f t="shared" si="19"/>
        <v>3</v>
      </c>
      <c r="P102" s="10">
        <f t="shared" si="20"/>
        <v>0</v>
      </c>
      <c r="Q102" s="10">
        <f t="shared" si="21"/>
        <v>2</v>
      </c>
      <c r="R102" s="10">
        <f t="shared" ca="1" si="22"/>
        <v>7</v>
      </c>
      <c r="S102" s="10" t="str">
        <f t="shared" ca="1" si="23"/>
        <v>Có</v>
      </c>
      <c r="T102" s="10" t="str">
        <f t="shared" ca="1" si="24"/>
        <v>Có</v>
      </c>
      <c r="U102" s="10" t="str">
        <f t="shared" si="25"/>
        <v>Có</v>
      </c>
      <c r="V102" s="2" t="s">
        <v>28</v>
      </c>
      <c r="W102" s="4">
        <v>46142</v>
      </c>
      <c r="X102" s="8" t="str">
        <f t="shared" si="26"/>
        <v>Tháng 4</v>
      </c>
      <c r="Y102" s="8" t="str">
        <f t="shared" si="27"/>
        <v>Ấp Biển Đông A</v>
      </c>
    </row>
    <row r="103" spans="1:25" x14ac:dyDescent="0.25">
      <c r="A103" s="1" t="s">
        <v>214</v>
      </c>
      <c r="B103" s="2" t="s">
        <v>30</v>
      </c>
      <c r="C103" s="2" t="s">
        <v>45</v>
      </c>
      <c r="D103" s="10">
        <f t="shared" ca="1" si="14"/>
        <v>50</v>
      </c>
      <c r="E103" s="2" t="s">
        <v>25</v>
      </c>
      <c r="F103" s="3">
        <v>165</v>
      </c>
      <c r="G103" s="3">
        <v>55</v>
      </c>
      <c r="H103" s="11">
        <f t="shared" si="15"/>
        <v>20.202020202020204</v>
      </c>
      <c r="I103" s="2">
        <v>88</v>
      </c>
      <c r="J103" s="3">
        <v>120</v>
      </c>
      <c r="K103" s="3">
        <v>70</v>
      </c>
      <c r="L103" s="10">
        <f t="shared" si="16"/>
        <v>2</v>
      </c>
      <c r="M103" s="10">
        <f t="shared" ca="1" si="17"/>
        <v>2</v>
      </c>
      <c r="N103" s="10">
        <f t="shared" si="18"/>
        <v>4</v>
      </c>
      <c r="O103" s="10">
        <f t="shared" si="19"/>
        <v>0</v>
      </c>
      <c r="P103" s="10">
        <f t="shared" si="20"/>
        <v>0</v>
      </c>
      <c r="Q103" s="10">
        <f t="shared" si="21"/>
        <v>0</v>
      </c>
      <c r="R103" s="10">
        <f t="shared" ca="1" si="22"/>
        <v>8</v>
      </c>
      <c r="S103" s="10" t="str">
        <f t="shared" ca="1" si="23"/>
        <v>Có</v>
      </c>
      <c r="T103" s="10" t="str">
        <f t="shared" ca="1" si="24"/>
        <v>Có</v>
      </c>
      <c r="U103" s="10" t="str">
        <f t="shared" si="25"/>
        <v>Không</v>
      </c>
      <c r="V103" s="2" t="s">
        <v>215</v>
      </c>
      <c r="W103" s="4">
        <v>46142</v>
      </c>
      <c r="X103" s="8" t="str">
        <f t="shared" si="26"/>
        <v>Tháng 4</v>
      </c>
      <c r="Y103" s="8" t="str">
        <f t="shared" si="27"/>
        <v>Giồng Nhãn A</v>
      </c>
    </row>
    <row r="104" spans="1:25" x14ac:dyDescent="0.25">
      <c r="A104" s="1" t="s">
        <v>216</v>
      </c>
      <c r="B104" s="2" t="s">
        <v>23</v>
      </c>
      <c r="C104" s="2" t="s">
        <v>62</v>
      </c>
      <c r="D104" s="10">
        <f t="shared" ca="1" si="14"/>
        <v>64</v>
      </c>
      <c r="E104" s="2" t="s">
        <v>26</v>
      </c>
      <c r="F104" s="3">
        <v>158</v>
      </c>
      <c r="G104" s="3">
        <v>58</v>
      </c>
      <c r="H104" s="11">
        <f t="shared" si="15"/>
        <v>23.233456176894723</v>
      </c>
      <c r="I104" s="2">
        <v>71</v>
      </c>
      <c r="J104" s="3">
        <v>120</v>
      </c>
      <c r="K104" s="3">
        <v>80</v>
      </c>
      <c r="L104" s="10">
        <f t="shared" si="16"/>
        <v>0</v>
      </c>
      <c r="M104" s="10">
        <f t="shared" ca="1" si="17"/>
        <v>2</v>
      </c>
      <c r="N104" s="10">
        <f t="shared" si="18"/>
        <v>0</v>
      </c>
      <c r="O104" s="10">
        <f t="shared" si="19"/>
        <v>3</v>
      </c>
      <c r="P104" s="10">
        <f t="shared" si="20"/>
        <v>0</v>
      </c>
      <c r="Q104" s="10">
        <f t="shared" si="21"/>
        <v>0</v>
      </c>
      <c r="R104" s="10">
        <f t="shared" ca="1" si="22"/>
        <v>5</v>
      </c>
      <c r="S104" s="10" t="str">
        <f t="shared" ca="1" si="23"/>
        <v>Không cần</v>
      </c>
      <c r="T104" s="10" t="str">
        <f t="shared" ca="1" si="24"/>
        <v>Không</v>
      </c>
      <c r="U104" s="10" t="str">
        <f t="shared" si="25"/>
        <v>Không</v>
      </c>
      <c r="V104" s="2" t="s">
        <v>51</v>
      </c>
      <c r="W104" s="4">
        <v>46142</v>
      </c>
      <c r="X104" s="8" t="str">
        <f t="shared" si="26"/>
        <v>Tháng 4</v>
      </c>
      <c r="Y104" s="8" t="str">
        <f t="shared" si="27"/>
        <v>Phường Hiệp Thành</v>
      </c>
    </row>
    <row r="105" spans="1:25" x14ac:dyDescent="0.25">
      <c r="A105" s="1" t="s">
        <v>217</v>
      </c>
      <c r="B105" s="2" t="s">
        <v>30</v>
      </c>
      <c r="C105" s="2" t="s">
        <v>110</v>
      </c>
      <c r="D105" s="10">
        <f t="shared" ca="1" si="14"/>
        <v>62</v>
      </c>
      <c r="E105" s="2" t="s">
        <v>26</v>
      </c>
      <c r="F105" s="3">
        <v>169</v>
      </c>
      <c r="G105" s="3">
        <v>68</v>
      </c>
      <c r="H105" s="11">
        <f t="shared" si="15"/>
        <v>23.808690171912751</v>
      </c>
      <c r="I105" s="2">
        <v>80</v>
      </c>
      <c r="J105" s="3">
        <v>140</v>
      </c>
      <c r="K105" s="3">
        <v>80</v>
      </c>
      <c r="L105" s="10">
        <f t="shared" si="16"/>
        <v>2</v>
      </c>
      <c r="M105" s="10">
        <f t="shared" ca="1" si="17"/>
        <v>2</v>
      </c>
      <c r="N105" s="10">
        <f t="shared" si="18"/>
        <v>0</v>
      </c>
      <c r="O105" s="10">
        <f t="shared" si="19"/>
        <v>3</v>
      </c>
      <c r="P105" s="10">
        <f t="shared" si="20"/>
        <v>0</v>
      </c>
      <c r="Q105" s="10">
        <f t="shared" si="21"/>
        <v>2</v>
      </c>
      <c r="R105" s="10">
        <f t="shared" ca="1" si="22"/>
        <v>9</v>
      </c>
      <c r="S105" s="10" t="str">
        <f t="shared" ca="1" si="23"/>
        <v>Có</v>
      </c>
      <c r="T105" s="10" t="str">
        <f t="shared" ca="1" si="24"/>
        <v>Có</v>
      </c>
      <c r="U105" s="10" t="str">
        <f t="shared" si="25"/>
        <v>Có</v>
      </c>
      <c r="V105" s="2" t="s">
        <v>218</v>
      </c>
      <c r="W105" s="4">
        <v>46142</v>
      </c>
      <c r="X105" s="8" t="str">
        <f t="shared" si="26"/>
        <v>Tháng 4</v>
      </c>
      <c r="Y105" s="8" t="str">
        <f t="shared" si="27"/>
        <v>Biển Đông B</v>
      </c>
    </row>
    <row r="106" spans="1:25" x14ac:dyDescent="0.25">
      <c r="A106" s="1" t="s">
        <v>219</v>
      </c>
      <c r="B106" s="2" t="s">
        <v>30</v>
      </c>
      <c r="C106" s="2" t="s">
        <v>93</v>
      </c>
      <c r="D106" s="10">
        <f t="shared" ca="1" si="14"/>
        <v>66</v>
      </c>
      <c r="E106" s="2" t="s">
        <v>26</v>
      </c>
      <c r="F106" s="3">
        <v>169</v>
      </c>
      <c r="G106" s="3">
        <v>68</v>
      </c>
      <c r="H106" s="11">
        <f t="shared" si="15"/>
        <v>23.808690171912751</v>
      </c>
      <c r="I106" s="2">
        <v>99</v>
      </c>
      <c r="J106" s="3">
        <v>120</v>
      </c>
      <c r="K106" s="3">
        <v>80</v>
      </c>
      <c r="L106" s="10">
        <f t="shared" si="16"/>
        <v>2</v>
      </c>
      <c r="M106" s="10">
        <f t="shared" ca="1" si="17"/>
        <v>2</v>
      </c>
      <c r="N106" s="10">
        <f t="shared" si="18"/>
        <v>0</v>
      </c>
      <c r="O106" s="10">
        <f t="shared" si="19"/>
        <v>3</v>
      </c>
      <c r="P106" s="10">
        <f t="shared" si="20"/>
        <v>2</v>
      </c>
      <c r="Q106" s="10">
        <f t="shared" si="21"/>
        <v>0</v>
      </c>
      <c r="R106" s="10">
        <f t="shared" ca="1" si="22"/>
        <v>9</v>
      </c>
      <c r="S106" s="10" t="str">
        <f t="shared" ca="1" si="23"/>
        <v>Có</v>
      </c>
      <c r="T106" s="10" t="str">
        <f t="shared" ca="1" si="24"/>
        <v>Có</v>
      </c>
      <c r="U106" s="10" t="str">
        <f t="shared" si="25"/>
        <v>Không</v>
      </c>
      <c r="V106" s="2" t="s">
        <v>38</v>
      </c>
      <c r="W106" s="4">
        <v>46142</v>
      </c>
      <c r="X106" s="8" t="str">
        <f t="shared" si="26"/>
        <v>Tháng 4</v>
      </c>
      <c r="Y106" s="8" t="str">
        <f t="shared" si="27"/>
        <v>Ấp Biển Đông B</v>
      </c>
    </row>
    <row r="107" spans="1:25" x14ac:dyDescent="0.25">
      <c r="A107" s="1" t="s">
        <v>220</v>
      </c>
      <c r="B107" s="2" t="s">
        <v>30</v>
      </c>
      <c r="C107" s="2" t="s">
        <v>93</v>
      </c>
      <c r="D107" s="10">
        <f t="shared" ca="1" si="14"/>
        <v>66</v>
      </c>
      <c r="E107" s="2" t="s">
        <v>26</v>
      </c>
      <c r="F107" s="3">
        <v>169</v>
      </c>
      <c r="G107" s="3">
        <v>68</v>
      </c>
      <c r="H107" s="11">
        <f t="shared" si="15"/>
        <v>23.808690171912751</v>
      </c>
      <c r="I107" s="2">
        <v>76</v>
      </c>
      <c r="J107" s="3">
        <v>130</v>
      </c>
      <c r="K107" s="3">
        <v>80</v>
      </c>
      <c r="L107" s="10">
        <f t="shared" si="16"/>
        <v>2</v>
      </c>
      <c r="M107" s="10">
        <f t="shared" ca="1" si="17"/>
        <v>2</v>
      </c>
      <c r="N107" s="10">
        <f t="shared" si="18"/>
        <v>0</v>
      </c>
      <c r="O107" s="10">
        <f t="shared" si="19"/>
        <v>3</v>
      </c>
      <c r="P107" s="10">
        <f t="shared" si="20"/>
        <v>0</v>
      </c>
      <c r="Q107" s="10">
        <f t="shared" si="21"/>
        <v>0</v>
      </c>
      <c r="R107" s="10">
        <f t="shared" ca="1" si="22"/>
        <v>7</v>
      </c>
      <c r="S107" s="10" t="str">
        <f t="shared" ca="1" si="23"/>
        <v>Có</v>
      </c>
      <c r="T107" s="10" t="str">
        <f t="shared" ca="1" si="24"/>
        <v>Có</v>
      </c>
      <c r="U107" s="10" t="str">
        <f t="shared" si="25"/>
        <v>Không</v>
      </c>
      <c r="V107" s="2" t="s">
        <v>140</v>
      </c>
      <c r="W107" s="4">
        <v>46142</v>
      </c>
      <c r="X107" s="8" t="str">
        <f t="shared" si="26"/>
        <v>Tháng 4</v>
      </c>
      <c r="Y107" s="8" t="str">
        <f t="shared" si="27"/>
        <v>Biển Tây A</v>
      </c>
    </row>
    <row r="108" spans="1:25" x14ac:dyDescent="0.25">
      <c r="A108" s="1" t="s">
        <v>221</v>
      </c>
      <c r="B108" s="2" t="s">
        <v>23</v>
      </c>
      <c r="C108" s="2" t="s">
        <v>50</v>
      </c>
      <c r="D108" s="10">
        <f t="shared" ca="1" si="14"/>
        <v>58</v>
      </c>
      <c r="E108" s="2" t="s">
        <v>25</v>
      </c>
      <c r="F108" s="3">
        <v>158</v>
      </c>
      <c r="G108" s="3">
        <v>58</v>
      </c>
      <c r="H108" s="11">
        <f t="shared" si="15"/>
        <v>23.233456176894723</v>
      </c>
      <c r="I108" s="2">
        <v>86</v>
      </c>
      <c r="J108" s="3">
        <v>140</v>
      </c>
      <c r="K108" s="3">
        <v>80</v>
      </c>
      <c r="L108" s="10">
        <f t="shared" si="16"/>
        <v>0</v>
      </c>
      <c r="M108" s="10">
        <f t="shared" ca="1" si="17"/>
        <v>2</v>
      </c>
      <c r="N108" s="10">
        <f t="shared" si="18"/>
        <v>4</v>
      </c>
      <c r="O108" s="10">
        <f t="shared" si="19"/>
        <v>3</v>
      </c>
      <c r="P108" s="10">
        <f t="shared" si="20"/>
        <v>2</v>
      </c>
      <c r="Q108" s="10">
        <f t="shared" si="21"/>
        <v>2</v>
      </c>
      <c r="R108" s="10">
        <f t="shared" ca="1" si="22"/>
        <v>13</v>
      </c>
      <c r="S108" s="10" t="str">
        <f t="shared" ca="1" si="23"/>
        <v>Có</v>
      </c>
      <c r="T108" s="10" t="str">
        <f t="shared" ca="1" si="24"/>
        <v>Có</v>
      </c>
      <c r="U108" s="10" t="str">
        <f t="shared" si="25"/>
        <v>Có</v>
      </c>
      <c r="V108" s="2" t="s">
        <v>70</v>
      </c>
      <c r="W108" s="4">
        <v>46142</v>
      </c>
      <c r="X108" s="8" t="str">
        <f t="shared" si="26"/>
        <v>Tháng 4</v>
      </c>
      <c r="Y108" s="8" t="str">
        <f t="shared" si="27"/>
        <v>Ấp Biển Tây A</v>
      </c>
    </row>
    <row r="109" spans="1:25" x14ac:dyDescent="0.25">
      <c r="A109" s="1" t="s">
        <v>222</v>
      </c>
      <c r="B109" s="2" t="s">
        <v>23</v>
      </c>
      <c r="C109" s="2" t="s">
        <v>115</v>
      </c>
      <c r="D109" s="10">
        <f t="shared" ca="1" si="14"/>
        <v>40</v>
      </c>
      <c r="E109" s="2" t="s">
        <v>26</v>
      </c>
      <c r="F109" s="3">
        <v>160</v>
      </c>
      <c r="G109" s="3">
        <v>65</v>
      </c>
      <c r="H109" s="11">
        <f t="shared" si="15"/>
        <v>25.390624999999996</v>
      </c>
      <c r="I109" s="2">
        <v>88</v>
      </c>
      <c r="J109" s="3">
        <v>120</v>
      </c>
      <c r="K109" s="3">
        <v>70</v>
      </c>
      <c r="L109" s="10">
        <f t="shared" si="16"/>
        <v>0</v>
      </c>
      <c r="M109" s="10">
        <f t="shared" ca="1" si="17"/>
        <v>0</v>
      </c>
      <c r="N109" s="10">
        <f t="shared" si="18"/>
        <v>0</v>
      </c>
      <c r="O109" s="10">
        <f t="shared" si="19"/>
        <v>3</v>
      </c>
      <c r="P109" s="10">
        <f t="shared" si="20"/>
        <v>2</v>
      </c>
      <c r="Q109" s="10">
        <f t="shared" si="21"/>
        <v>0</v>
      </c>
      <c r="R109" s="10">
        <f t="shared" ca="1" si="22"/>
        <v>5</v>
      </c>
      <c r="S109" s="10" t="str">
        <f t="shared" ca="1" si="23"/>
        <v>Không cần</v>
      </c>
      <c r="T109" s="10" t="str">
        <f t="shared" ca="1" si="24"/>
        <v>Không</v>
      </c>
      <c r="U109" s="10" t="str">
        <f t="shared" si="25"/>
        <v>Không</v>
      </c>
      <c r="V109" s="2" t="s">
        <v>223</v>
      </c>
      <c r="W109" s="4">
        <v>46142</v>
      </c>
      <c r="X109" s="8" t="str">
        <f t="shared" si="26"/>
        <v>Tháng 4</v>
      </c>
      <c r="Y109" s="8" t="str">
        <f t="shared" si="27"/>
        <v>Vĩnh Lộc</v>
      </c>
    </row>
    <row r="110" spans="1:25" x14ac:dyDescent="0.25">
      <c r="A110" s="1" t="s">
        <v>224</v>
      </c>
      <c r="B110" s="2" t="s">
        <v>23</v>
      </c>
      <c r="C110" s="2" t="s">
        <v>84</v>
      </c>
      <c r="D110" s="10">
        <f t="shared" ca="1" si="14"/>
        <v>69</v>
      </c>
      <c r="E110" s="2" t="s">
        <v>26</v>
      </c>
      <c r="F110" s="3">
        <v>158</v>
      </c>
      <c r="G110" s="3">
        <v>58</v>
      </c>
      <c r="H110" s="11">
        <f t="shared" si="15"/>
        <v>23.233456176894723</v>
      </c>
      <c r="I110" s="2">
        <v>74</v>
      </c>
      <c r="J110" s="3">
        <v>150</v>
      </c>
      <c r="K110" s="3">
        <v>80</v>
      </c>
      <c r="L110" s="10">
        <f t="shared" si="16"/>
        <v>0</v>
      </c>
      <c r="M110" s="10">
        <f t="shared" ca="1" si="17"/>
        <v>2</v>
      </c>
      <c r="N110" s="10">
        <f t="shared" si="18"/>
        <v>0</v>
      </c>
      <c r="O110" s="10">
        <f t="shared" si="19"/>
        <v>3</v>
      </c>
      <c r="P110" s="10">
        <f t="shared" si="20"/>
        <v>0</v>
      </c>
      <c r="Q110" s="10">
        <f t="shared" si="21"/>
        <v>2</v>
      </c>
      <c r="R110" s="10">
        <f t="shared" ca="1" si="22"/>
        <v>7</v>
      </c>
      <c r="S110" s="10" t="str">
        <f t="shared" ca="1" si="23"/>
        <v>Có</v>
      </c>
      <c r="T110" s="10" t="str">
        <f t="shared" ca="1" si="24"/>
        <v>Có</v>
      </c>
      <c r="U110" s="10" t="str">
        <f t="shared" si="25"/>
        <v>Có</v>
      </c>
      <c r="V110" s="2" t="s">
        <v>140</v>
      </c>
      <c r="W110" s="4">
        <v>46142</v>
      </c>
      <c r="X110" s="8" t="str">
        <f t="shared" si="26"/>
        <v>Tháng 4</v>
      </c>
      <c r="Y110" s="8" t="str">
        <f t="shared" si="27"/>
        <v>Biển Tây A</v>
      </c>
    </row>
    <row r="111" spans="1:25" x14ac:dyDescent="0.25">
      <c r="A111" s="1" t="s">
        <v>225</v>
      </c>
      <c r="B111" s="2" t="s">
        <v>23</v>
      </c>
      <c r="C111" s="2" t="s">
        <v>50</v>
      </c>
      <c r="D111" s="10">
        <f t="shared" ca="1" si="14"/>
        <v>58</v>
      </c>
      <c r="E111" s="2" t="s">
        <v>26</v>
      </c>
      <c r="F111" s="3">
        <v>158</v>
      </c>
      <c r="G111" s="3">
        <v>58</v>
      </c>
      <c r="H111" s="11">
        <f t="shared" si="15"/>
        <v>23.233456176894723</v>
      </c>
      <c r="I111" s="2">
        <v>90</v>
      </c>
      <c r="J111" s="3">
        <v>150</v>
      </c>
      <c r="K111" s="3">
        <v>80</v>
      </c>
      <c r="L111" s="10">
        <f t="shared" si="16"/>
        <v>0</v>
      </c>
      <c r="M111" s="10">
        <f t="shared" ca="1" si="17"/>
        <v>2</v>
      </c>
      <c r="N111" s="10">
        <f t="shared" si="18"/>
        <v>0</v>
      </c>
      <c r="O111" s="10">
        <f t="shared" si="19"/>
        <v>3</v>
      </c>
      <c r="P111" s="10">
        <f t="shared" si="20"/>
        <v>2</v>
      </c>
      <c r="Q111" s="10">
        <f t="shared" si="21"/>
        <v>2</v>
      </c>
      <c r="R111" s="10">
        <f t="shared" ca="1" si="22"/>
        <v>9</v>
      </c>
      <c r="S111" s="10" t="str">
        <f t="shared" ca="1" si="23"/>
        <v>Có</v>
      </c>
      <c r="T111" s="10" t="str">
        <f t="shared" ca="1" si="24"/>
        <v>Có</v>
      </c>
      <c r="U111" s="10" t="str">
        <f t="shared" si="25"/>
        <v>Có</v>
      </c>
      <c r="V111" s="2" t="s">
        <v>149</v>
      </c>
      <c r="W111" s="4">
        <v>46142</v>
      </c>
      <c r="X111" s="8" t="str">
        <f t="shared" si="26"/>
        <v>Tháng 4</v>
      </c>
      <c r="Y111" s="8" t="str">
        <f t="shared" si="27"/>
        <v>văn đức b</v>
      </c>
    </row>
    <row r="112" spans="1:25" x14ac:dyDescent="0.25">
      <c r="A112" s="1" t="s">
        <v>226</v>
      </c>
      <c r="B112" s="2" t="s">
        <v>23</v>
      </c>
      <c r="C112" s="2" t="s">
        <v>64</v>
      </c>
      <c r="D112" s="10">
        <f t="shared" ca="1" si="14"/>
        <v>42</v>
      </c>
      <c r="E112" s="2" t="s">
        <v>26</v>
      </c>
      <c r="F112" s="3">
        <v>158</v>
      </c>
      <c r="G112" s="3">
        <v>58</v>
      </c>
      <c r="H112" s="11">
        <f t="shared" si="15"/>
        <v>23.233456176894723</v>
      </c>
      <c r="I112" s="2">
        <v>69</v>
      </c>
      <c r="J112" s="3">
        <v>120</v>
      </c>
      <c r="K112" s="3">
        <v>80</v>
      </c>
      <c r="L112" s="10">
        <f t="shared" si="16"/>
        <v>0</v>
      </c>
      <c r="M112" s="10">
        <f t="shared" ca="1" si="17"/>
        <v>0</v>
      </c>
      <c r="N112" s="10">
        <f t="shared" si="18"/>
        <v>0</v>
      </c>
      <c r="O112" s="10">
        <f t="shared" si="19"/>
        <v>3</v>
      </c>
      <c r="P112" s="10">
        <f t="shared" si="20"/>
        <v>0</v>
      </c>
      <c r="Q112" s="10">
        <f t="shared" si="21"/>
        <v>0</v>
      </c>
      <c r="R112" s="10">
        <f t="shared" ca="1" si="22"/>
        <v>3</v>
      </c>
      <c r="S112" s="10" t="str">
        <f t="shared" ca="1" si="23"/>
        <v>Không cần</v>
      </c>
      <c r="T112" s="10" t="str">
        <f t="shared" ca="1" si="24"/>
        <v>Không</v>
      </c>
      <c r="U112" s="10" t="str">
        <f t="shared" si="25"/>
        <v>Không</v>
      </c>
      <c r="V112" s="2" t="s">
        <v>54</v>
      </c>
      <c r="W112" s="4">
        <v>46142</v>
      </c>
      <c r="X112" s="8" t="str">
        <f t="shared" si="26"/>
        <v>Tháng 4</v>
      </c>
      <c r="Y112" s="8" t="str">
        <f t="shared" si="27"/>
        <v>Khóm 3</v>
      </c>
    </row>
    <row r="113" spans="1:25" x14ac:dyDescent="0.25">
      <c r="A113" s="1" t="s">
        <v>227</v>
      </c>
      <c r="B113" s="2" t="s">
        <v>23</v>
      </c>
      <c r="C113" s="2" t="s">
        <v>82</v>
      </c>
      <c r="D113" s="10">
        <f t="shared" ca="1" si="14"/>
        <v>73</v>
      </c>
      <c r="E113" s="2" t="s">
        <v>26</v>
      </c>
      <c r="F113" s="3">
        <v>158</v>
      </c>
      <c r="G113" s="3">
        <v>58</v>
      </c>
      <c r="H113" s="11">
        <f t="shared" si="15"/>
        <v>23.233456176894723</v>
      </c>
      <c r="I113" s="2">
        <v>85</v>
      </c>
      <c r="J113" s="3">
        <v>150</v>
      </c>
      <c r="K113" s="3">
        <v>80</v>
      </c>
      <c r="L113" s="10">
        <f t="shared" si="16"/>
        <v>0</v>
      </c>
      <c r="M113" s="10">
        <f t="shared" ca="1" si="17"/>
        <v>2</v>
      </c>
      <c r="N113" s="10">
        <f t="shared" si="18"/>
        <v>0</v>
      </c>
      <c r="O113" s="10">
        <f t="shared" si="19"/>
        <v>3</v>
      </c>
      <c r="P113" s="10">
        <f t="shared" si="20"/>
        <v>2</v>
      </c>
      <c r="Q113" s="10">
        <f t="shared" si="21"/>
        <v>2</v>
      </c>
      <c r="R113" s="10">
        <f t="shared" ca="1" si="22"/>
        <v>9</v>
      </c>
      <c r="S113" s="10" t="str">
        <f t="shared" ca="1" si="23"/>
        <v>Có</v>
      </c>
      <c r="T113" s="10" t="str">
        <f t="shared" ca="1" si="24"/>
        <v>Có</v>
      </c>
      <c r="U113" s="10" t="str">
        <f t="shared" si="25"/>
        <v>Có</v>
      </c>
      <c r="V113" s="2" t="s">
        <v>38</v>
      </c>
      <c r="W113" s="4">
        <v>46142</v>
      </c>
      <c r="X113" s="8" t="str">
        <f t="shared" si="26"/>
        <v>Tháng 4</v>
      </c>
      <c r="Y113" s="8" t="str">
        <f t="shared" si="27"/>
        <v>Ấp Biển Đông B</v>
      </c>
    </row>
    <row r="114" spans="1:25" x14ac:dyDescent="0.25">
      <c r="A114" s="1" t="s">
        <v>228</v>
      </c>
      <c r="B114" s="2" t="s">
        <v>23</v>
      </c>
      <c r="C114" s="2" t="s">
        <v>90</v>
      </c>
      <c r="D114" s="10">
        <f t="shared" ca="1" si="14"/>
        <v>54</v>
      </c>
      <c r="E114" s="2" t="s">
        <v>26</v>
      </c>
      <c r="F114" s="3">
        <v>164</v>
      </c>
      <c r="G114" s="3">
        <v>61</v>
      </c>
      <c r="H114" s="11">
        <f t="shared" si="15"/>
        <v>22.679952409280194</v>
      </c>
      <c r="I114" s="2">
        <v>90</v>
      </c>
      <c r="J114" s="3">
        <v>120</v>
      </c>
      <c r="K114" s="3">
        <v>80</v>
      </c>
      <c r="L114" s="10">
        <f t="shared" si="16"/>
        <v>0</v>
      </c>
      <c r="M114" s="10">
        <f t="shared" ca="1" si="17"/>
        <v>2</v>
      </c>
      <c r="N114" s="10">
        <f t="shared" si="18"/>
        <v>0</v>
      </c>
      <c r="O114" s="10">
        <f t="shared" si="19"/>
        <v>0</v>
      </c>
      <c r="P114" s="10">
        <f t="shared" si="20"/>
        <v>2</v>
      </c>
      <c r="Q114" s="10">
        <f t="shared" si="21"/>
        <v>0</v>
      </c>
      <c r="R114" s="10">
        <f t="shared" ca="1" si="22"/>
        <v>4</v>
      </c>
      <c r="S114" s="10" t="str">
        <f t="shared" ca="1" si="23"/>
        <v>Không cần</v>
      </c>
      <c r="T114" s="10" t="str">
        <f t="shared" ca="1" si="24"/>
        <v>Không</v>
      </c>
      <c r="U114" s="10" t="str">
        <f t="shared" si="25"/>
        <v>Không</v>
      </c>
      <c r="V114" s="2" t="s">
        <v>229</v>
      </c>
      <c r="W114" s="4">
        <v>46081</v>
      </c>
      <c r="X114" s="8" t="str">
        <f t="shared" si="26"/>
        <v>Tháng 2</v>
      </c>
      <c r="Y114" s="8" t="str">
        <f t="shared" si="27"/>
        <v>Xã Vĩnh Trạch Đông</v>
      </c>
    </row>
    <row r="115" spans="1:25" x14ac:dyDescent="0.25">
      <c r="A115" s="1" t="s">
        <v>230</v>
      </c>
      <c r="B115" s="2" t="s">
        <v>30</v>
      </c>
      <c r="C115" s="2" t="s">
        <v>84</v>
      </c>
      <c r="D115" s="10">
        <f t="shared" ca="1" si="14"/>
        <v>69</v>
      </c>
      <c r="E115" s="2" t="s">
        <v>26</v>
      </c>
      <c r="F115" s="3">
        <v>167</v>
      </c>
      <c r="G115" s="3">
        <v>66</v>
      </c>
      <c r="H115" s="11">
        <f t="shared" si="15"/>
        <v>23.665244361576249</v>
      </c>
      <c r="I115" s="2">
        <v>91</v>
      </c>
      <c r="J115" s="3">
        <v>120</v>
      </c>
      <c r="K115" s="3">
        <v>80</v>
      </c>
      <c r="L115" s="10">
        <f t="shared" si="16"/>
        <v>2</v>
      </c>
      <c r="M115" s="10">
        <f t="shared" ca="1" si="17"/>
        <v>2</v>
      </c>
      <c r="N115" s="10">
        <f t="shared" si="18"/>
        <v>0</v>
      </c>
      <c r="O115" s="10">
        <f t="shared" si="19"/>
        <v>3</v>
      </c>
      <c r="P115" s="10">
        <f t="shared" si="20"/>
        <v>2</v>
      </c>
      <c r="Q115" s="10">
        <f t="shared" si="21"/>
        <v>0</v>
      </c>
      <c r="R115" s="10">
        <f t="shared" ca="1" si="22"/>
        <v>9</v>
      </c>
      <c r="S115" s="10" t="str">
        <f t="shared" ca="1" si="23"/>
        <v>Có</v>
      </c>
      <c r="T115" s="10" t="str">
        <f t="shared" ca="1" si="24"/>
        <v>Có</v>
      </c>
      <c r="U115" s="10" t="str">
        <f t="shared" si="25"/>
        <v>Không</v>
      </c>
      <c r="V115" s="2" t="s">
        <v>32</v>
      </c>
      <c r="W115" s="4">
        <v>46081</v>
      </c>
      <c r="X115" s="8" t="str">
        <f t="shared" si="26"/>
        <v>Tháng 2</v>
      </c>
      <c r="Y115" s="8" t="str">
        <f t="shared" si="27"/>
        <v>Ấp Giồng Giữa B</v>
      </c>
    </row>
    <row r="116" spans="1:25" x14ac:dyDescent="0.25">
      <c r="A116" s="1" t="s">
        <v>231</v>
      </c>
      <c r="B116" s="2" t="s">
        <v>30</v>
      </c>
      <c r="C116" s="2" t="s">
        <v>127</v>
      </c>
      <c r="D116" s="10">
        <f t="shared" ca="1" si="14"/>
        <v>76</v>
      </c>
      <c r="E116" s="2" t="s">
        <v>26</v>
      </c>
      <c r="F116" s="3">
        <v>170</v>
      </c>
      <c r="G116" s="3">
        <v>60</v>
      </c>
      <c r="H116" s="11">
        <f t="shared" si="15"/>
        <v>20.761245674740486</v>
      </c>
      <c r="I116" s="2">
        <v>78</v>
      </c>
      <c r="J116" s="3">
        <v>120</v>
      </c>
      <c r="K116" s="3">
        <v>70</v>
      </c>
      <c r="L116" s="10">
        <f t="shared" si="16"/>
        <v>2</v>
      </c>
      <c r="M116" s="10">
        <f t="shared" ca="1" si="17"/>
        <v>2</v>
      </c>
      <c r="N116" s="10">
        <f t="shared" si="18"/>
        <v>0</v>
      </c>
      <c r="O116" s="10">
        <f t="shared" si="19"/>
        <v>0</v>
      </c>
      <c r="P116" s="10">
        <f t="shared" si="20"/>
        <v>0</v>
      </c>
      <c r="Q116" s="10">
        <f t="shared" si="21"/>
        <v>0</v>
      </c>
      <c r="R116" s="10">
        <f t="shared" ca="1" si="22"/>
        <v>4</v>
      </c>
      <c r="S116" s="10" t="str">
        <f t="shared" ca="1" si="23"/>
        <v>Không cần</v>
      </c>
      <c r="T116" s="10" t="str">
        <f t="shared" ca="1" si="24"/>
        <v>Không</v>
      </c>
      <c r="U116" s="10" t="str">
        <f t="shared" si="25"/>
        <v>Không</v>
      </c>
      <c r="V116" s="2" t="s">
        <v>232</v>
      </c>
      <c r="W116" s="4">
        <v>46112</v>
      </c>
      <c r="X116" s="8" t="str">
        <f t="shared" si="26"/>
        <v>Tháng 3</v>
      </c>
      <c r="Y116" s="8" t="str">
        <f t="shared" si="27"/>
        <v>buu diên</v>
      </c>
    </row>
    <row r="117" spans="1:25" x14ac:dyDescent="0.25">
      <c r="A117" s="1" t="s">
        <v>233</v>
      </c>
      <c r="B117" s="2" t="s">
        <v>23</v>
      </c>
      <c r="C117" s="2" t="s">
        <v>56</v>
      </c>
      <c r="D117" s="10">
        <f t="shared" ca="1" si="14"/>
        <v>65</v>
      </c>
      <c r="E117" s="2" t="s">
        <v>26</v>
      </c>
      <c r="F117" s="3">
        <v>158</v>
      </c>
      <c r="G117" s="3">
        <v>58</v>
      </c>
      <c r="H117" s="11">
        <f t="shared" si="15"/>
        <v>23.233456176894723</v>
      </c>
      <c r="I117" s="2">
        <v>85</v>
      </c>
      <c r="J117" s="3">
        <v>120</v>
      </c>
      <c r="K117" s="3">
        <v>80</v>
      </c>
      <c r="L117" s="10">
        <f t="shared" si="16"/>
        <v>0</v>
      </c>
      <c r="M117" s="10">
        <f t="shared" ca="1" si="17"/>
        <v>2</v>
      </c>
      <c r="N117" s="10">
        <f t="shared" si="18"/>
        <v>0</v>
      </c>
      <c r="O117" s="10">
        <f t="shared" si="19"/>
        <v>3</v>
      </c>
      <c r="P117" s="10">
        <f t="shared" si="20"/>
        <v>2</v>
      </c>
      <c r="Q117" s="10">
        <f t="shared" si="21"/>
        <v>0</v>
      </c>
      <c r="R117" s="10">
        <f t="shared" ca="1" si="22"/>
        <v>7</v>
      </c>
      <c r="S117" s="10" t="str">
        <f t="shared" ca="1" si="23"/>
        <v>Có</v>
      </c>
      <c r="T117" s="10" t="str">
        <f t="shared" ca="1" si="24"/>
        <v>Có</v>
      </c>
      <c r="U117" s="10" t="str">
        <f t="shared" si="25"/>
        <v>Không</v>
      </c>
      <c r="V117" s="2" t="s">
        <v>234</v>
      </c>
      <c r="W117" s="4">
        <v>46112</v>
      </c>
      <c r="X117" s="8" t="str">
        <f t="shared" si="26"/>
        <v>Tháng 3</v>
      </c>
      <c r="Y117" s="8" t="str">
        <f t="shared" si="27"/>
        <v>ấp Biển Đông B</v>
      </c>
    </row>
    <row r="118" spans="1:25" x14ac:dyDescent="0.25">
      <c r="A118" s="1" t="s">
        <v>235</v>
      </c>
      <c r="B118" s="2" t="s">
        <v>23</v>
      </c>
      <c r="C118" s="2" t="s">
        <v>133</v>
      </c>
      <c r="D118" s="10">
        <f t="shared" ca="1" si="14"/>
        <v>56</v>
      </c>
      <c r="E118" s="2" t="s">
        <v>25</v>
      </c>
      <c r="F118" s="3">
        <v>150</v>
      </c>
      <c r="G118" s="3">
        <v>58</v>
      </c>
      <c r="H118" s="11">
        <f t="shared" si="15"/>
        <v>25.777777777777779</v>
      </c>
      <c r="I118" s="2">
        <v>67</v>
      </c>
      <c r="J118" s="3">
        <v>120</v>
      </c>
      <c r="K118" s="3">
        <v>80</v>
      </c>
      <c r="L118" s="10">
        <f t="shared" si="16"/>
        <v>0</v>
      </c>
      <c r="M118" s="10">
        <f t="shared" ca="1" si="17"/>
        <v>2</v>
      </c>
      <c r="N118" s="10">
        <f t="shared" si="18"/>
        <v>4</v>
      </c>
      <c r="O118" s="10">
        <f t="shared" si="19"/>
        <v>3</v>
      </c>
      <c r="P118" s="10">
        <f t="shared" si="20"/>
        <v>0</v>
      </c>
      <c r="Q118" s="10">
        <f t="shared" si="21"/>
        <v>0</v>
      </c>
      <c r="R118" s="10">
        <f t="shared" ca="1" si="22"/>
        <v>9</v>
      </c>
      <c r="S118" s="10" t="str">
        <f t="shared" ca="1" si="23"/>
        <v>Có</v>
      </c>
      <c r="T118" s="10" t="str">
        <f t="shared" ca="1" si="24"/>
        <v>Có</v>
      </c>
      <c r="U118" s="10" t="str">
        <f t="shared" si="25"/>
        <v>Không</v>
      </c>
      <c r="V118" s="2" t="s">
        <v>91</v>
      </c>
      <c r="W118" s="4">
        <v>46142</v>
      </c>
      <c r="X118" s="8" t="str">
        <f t="shared" si="26"/>
        <v>Tháng 4</v>
      </c>
      <c r="Y118" s="8" t="str">
        <f t="shared" si="27"/>
        <v>Ấp Giồng Giữa</v>
      </c>
    </row>
    <row r="119" spans="1:25" x14ac:dyDescent="0.25">
      <c r="A119" s="1" t="s">
        <v>236</v>
      </c>
      <c r="B119" s="2" t="s">
        <v>30</v>
      </c>
      <c r="C119" s="2" t="s">
        <v>64</v>
      </c>
      <c r="D119" s="10">
        <f t="shared" ca="1" si="14"/>
        <v>42</v>
      </c>
      <c r="E119" s="2" t="s">
        <v>26</v>
      </c>
      <c r="F119" s="3">
        <v>169</v>
      </c>
      <c r="G119" s="3">
        <v>58</v>
      </c>
      <c r="H119" s="11">
        <f t="shared" si="15"/>
        <v>20.307412205454995</v>
      </c>
      <c r="I119" s="2">
        <v>84</v>
      </c>
      <c r="J119" s="3">
        <v>110</v>
      </c>
      <c r="K119" s="3">
        <v>80</v>
      </c>
      <c r="L119" s="10">
        <f t="shared" si="16"/>
        <v>2</v>
      </c>
      <c r="M119" s="10">
        <f t="shared" ca="1" si="17"/>
        <v>0</v>
      </c>
      <c r="N119" s="10">
        <f t="shared" si="18"/>
        <v>0</v>
      </c>
      <c r="O119" s="10">
        <f t="shared" si="19"/>
        <v>0</v>
      </c>
      <c r="P119" s="10">
        <f t="shared" si="20"/>
        <v>0</v>
      </c>
      <c r="Q119" s="10">
        <f t="shared" si="21"/>
        <v>0</v>
      </c>
      <c r="R119" s="10">
        <f t="shared" ca="1" si="22"/>
        <v>2</v>
      </c>
      <c r="S119" s="10" t="str">
        <f t="shared" ca="1" si="23"/>
        <v>Không cần</v>
      </c>
      <c r="T119" s="10" t="str">
        <f t="shared" ca="1" si="24"/>
        <v>Không</v>
      </c>
      <c r="U119" s="10" t="str">
        <f t="shared" si="25"/>
        <v>Không</v>
      </c>
      <c r="V119" s="2" t="s">
        <v>68</v>
      </c>
      <c r="W119" s="4">
        <v>46142</v>
      </c>
      <c r="X119" s="8" t="str">
        <f t="shared" si="26"/>
        <v>Tháng 4</v>
      </c>
      <c r="Y119" s="8" t="str">
        <f t="shared" si="27"/>
        <v>Ấp Biển Tây B</v>
      </c>
    </row>
    <row r="120" spans="1:25" x14ac:dyDescent="0.25">
      <c r="A120" s="1" t="s">
        <v>237</v>
      </c>
      <c r="B120" s="2" t="s">
        <v>23</v>
      </c>
      <c r="C120" s="2" t="s">
        <v>53</v>
      </c>
      <c r="D120" s="10">
        <f t="shared" ca="1" si="14"/>
        <v>72</v>
      </c>
      <c r="E120" s="2" t="s">
        <v>26</v>
      </c>
      <c r="F120" s="3">
        <v>158</v>
      </c>
      <c r="G120" s="3">
        <v>58</v>
      </c>
      <c r="H120" s="11">
        <f t="shared" si="15"/>
        <v>23.233456176894723</v>
      </c>
      <c r="I120" s="2">
        <v>82</v>
      </c>
      <c r="J120" s="3">
        <v>140</v>
      </c>
      <c r="K120" s="3">
        <v>80</v>
      </c>
      <c r="L120" s="10">
        <f t="shared" si="16"/>
        <v>0</v>
      </c>
      <c r="M120" s="10">
        <f t="shared" ca="1" si="17"/>
        <v>2</v>
      </c>
      <c r="N120" s="10">
        <f t="shared" si="18"/>
        <v>0</v>
      </c>
      <c r="O120" s="10">
        <f t="shared" si="19"/>
        <v>3</v>
      </c>
      <c r="P120" s="10">
        <f t="shared" si="20"/>
        <v>2</v>
      </c>
      <c r="Q120" s="10">
        <f t="shared" si="21"/>
        <v>2</v>
      </c>
      <c r="R120" s="10">
        <f t="shared" ca="1" si="22"/>
        <v>9</v>
      </c>
      <c r="S120" s="10" t="str">
        <f t="shared" ca="1" si="23"/>
        <v>Có</v>
      </c>
      <c r="T120" s="10" t="str">
        <f t="shared" ca="1" si="24"/>
        <v>Có</v>
      </c>
      <c r="U120" s="10" t="str">
        <f t="shared" si="25"/>
        <v>Có</v>
      </c>
      <c r="V120" s="2" t="s">
        <v>51</v>
      </c>
      <c r="W120" s="4">
        <v>46142</v>
      </c>
      <c r="X120" s="8" t="str">
        <f t="shared" si="26"/>
        <v>Tháng 4</v>
      </c>
      <c r="Y120" s="8" t="str">
        <f t="shared" si="27"/>
        <v>Phường Hiệp Thành</v>
      </c>
    </row>
    <row r="121" spans="1:25" x14ac:dyDescent="0.25">
      <c r="A121" s="1" t="s">
        <v>238</v>
      </c>
      <c r="B121" s="2" t="s">
        <v>23</v>
      </c>
      <c r="C121" s="2" t="s">
        <v>87</v>
      </c>
      <c r="D121" s="10">
        <f t="shared" ca="1" si="14"/>
        <v>49</v>
      </c>
      <c r="E121" s="2" t="s">
        <v>26</v>
      </c>
      <c r="F121" s="3">
        <v>170</v>
      </c>
      <c r="G121" s="3">
        <v>60</v>
      </c>
      <c r="H121" s="11">
        <f t="shared" si="15"/>
        <v>20.761245674740486</v>
      </c>
      <c r="I121" s="2">
        <v>88</v>
      </c>
      <c r="J121" s="3">
        <v>120</v>
      </c>
      <c r="K121" s="3">
        <v>70</v>
      </c>
      <c r="L121" s="10">
        <f t="shared" si="16"/>
        <v>0</v>
      </c>
      <c r="M121" s="10">
        <f t="shared" ca="1" si="17"/>
        <v>1</v>
      </c>
      <c r="N121" s="10">
        <f t="shared" si="18"/>
        <v>0</v>
      </c>
      <c r="O121" s="10">
        <f t="shared" si="19"/>
        <v>0</v>
      </c>
      <c r="P121" s="10">
        <f t="shared" si="20"/>
        <v>2</v>
      </c>
      <c r="Q121" s="10">
        <f t="shared" si="21"/>
        <v>0</v>
      </c>
      <c r="R121" s="10">
        <f t="shared" ca="1" si="22"/>
        <v>3</v>
      </c>
      <c r="S121" s="10" t="str">
        <f t="shared" ca="1" si="23"/>
        <v>Không cần</v>
      </c>
      <c r="T121" s="10" t="str">
        <f t="shared" ca="1" si="24"/>
        <v>Không</v>
      </c>
      <c r="U121" s="10" t="str">
        <f t="shared" si="25"/>
        <v>Không</v>
      </c>
      <c r="V121" s="2" t="s">
        <v>239</v>
      </c>
      <c r="W121" s="4">
        <v>46081</v>
      </c>
      <c r="X121" s="8" t="str">
        <f t="shared" si="26"/>
        <v>Tháng 2</v>
      </c>
      <c r="Y121" s="8" t="str">
        <f t="shared" si="27"/>
        <v>Xóm Lẫm</v>
      </c>
    </row>
    <row r="122" spans="1:25" x14ac:dyDescent="0.25">
      <c r="A122" s="1" t="s">
        <v>240</v>
      </c>
      <c r="B122" s="2" t="s">
        <v>30</v>
      </c>
      <c r="C122" s="2" t="s">
        <v>62</v>
      </c>
      <c r="D122" s="10">
        <f t="shared" ca="1" si="14"/>
        <v>64</v>
      </c>
      <c r="E122" s="2" t="s">
        <v>26</v>
      </c>
      <c r="F122" s="3">
        <v>169</v>
      </c>
      <c r="G122" s="3">
        <v>68</v>
      </c>
      <c r="H122" s="11">
        <f t="shared" si="15"/>
        <v>23.808690171912751</v>
      </c>
      <c r="I122" s="2">
        <v>76</v>
      </c>
      <c r="J122" s="3">
        <v>150</v>
      </c>
      <c r="K122" s="3">
        <v>80</v>
      </c>
      <c r="L122" s="10">
        <f t="shared" si="16"/>
        <v>2</v>
      </c>
      <c r="M122" s="10">
        <f t="shared" ca="1" si="17"/>
        <v>2</v>
      </c>
      <c r="N122" s="10">
        <f t="shared" si="18"/>
        <v>0</v>
      </c>
      <c r="O122" s="10">
        <f t="shared" si="19"/>
        <v>3</v>
      </c>
      <c r="P122" s="10">
        <f t="shared" si="20"/>
        <v>0</v>
      </c>
      <c r="Q122" s="10">
        <f t="shared" si="21"/>
        <v>2</v>
      </c>
      <c r="R122" s="10">
        <f t="shared" ca="1" si="22"/>
        <v>9</v>
      </c>
      <c r="S122" s="10" t="str">
        <f t="shared" ca="1" si="23"/>
        <v>Có</v>
      </c>
      <c r="T122" s="10" t="str">
        <f t="shared" ca="1" si="24"/>
        <v>Có</v>
      </c>
      <c r="U122" s="10" t="str">
        <f t="shared" si="25"/>
        <v>Có</v>
      </c>
      <c r="V122" s="2" t="s">
        <v>70</v>
      </c>
      <c r="W122" s="4">
        <v>46142</v>
      </c>
      <c r="X122" s="8" t="str">
        <f t="shared" si="26"/>
        <v>Tháng 4</v>
      </c>
      <c r="Y122" s="8" t="str">
        <f t="shared" si="27"/>
        <v>Ấp Biển Tây A</v>
      </c>
    </row>
    <row r="123" spans="1:25" x14ac:dyDescent="0.25">
      <c r="A123" s="1" t="s">
        <v>241</v>
      </c>
      <c r="B123" s="2" t="s">
        <v>23</v>
      </c>
      <c r="C123" s="2" t="s">
        <v>93</v>
      </c>
      <c r="D123" s="10">
        <f t="shared" ca="1" si="14"/>
        <v>66</v>
      </c>
      <c r="E123" s="2" t="s">
        <v>26</v>
      </c>
      <c r="F123" s="3">
        <v>158</v>
      </c>
      <c r="G123" s="3">
        <v>58</v>
      </c>
      <c r="H123" s="11">
        <f t="shared" si="15"/>
        <v>23.233456176894723</v>
      </c>
      <c r="I123" s="2">
        <v>88</v>
      </c>
      <c r="J123" s="3">
        <v>140</v>
      </c>
      <c r="K123" s="3">
        <v>80</v>
      </c>
      <c r="L123" s="10">
        <f t="shared" si="16"/>
        <v>0</v>
      </c>
      <c r="M123" s="10">
        <f t="shared" ca="1" si="17"/>
        <v>2</v>
      </c>
      <c r="N123" s="10">
        <f t="shared" si="18"/>
        <v>0</v>
      </c>
      <c r="O123" s="10">
        <f t="shared" si="19"/>
        <v>3</v>
      </c>
      <c r="P123" s="10">
        <f t="shared" si="20"/>
        <v>2</v>
      </c>
      <c r="Q123" s="10">
        <f t="shared" si="21"/>
        <v>2</v>
      </c>
      <c r="R123" s="10">
        <f t="shared" ca="1" si="22"/>
        <v>9</v>
      </c>
      <c r="S123" s="10" t="str">
        <f t="shared" ca="1" si="23"/>
        <v>Có</v>
      </c>
      <c r="T123" s="10" t="str">
        <f t="shared" ca="1" si="24"/>
        <v>Có</v>
      </c>
      <c r="U123" s="10" t="str">
        <f t="shared" si="25"/>
        <v>Có</v>
      </c>
      <c r="V123" s="2" t="s">
        <v>65</v>
      </c>
      <c r="W123" s="4">
        <v>46142</v>
      </c>
      <c r="X123" s="8" t="str">
        <f t="shared" si="26"/>
        <v>Tháng 4</v>
      </c>
      <c r="Y123" s="8" t="str">
        <f t="shared" si="27"/>
        <v>Biển Tây B</v>
      </c>
    </row>
    <row r="124" spans="1:25" x14ac:dyDescent="0.25">
      <c r="A124" s="1" t="s">
        <v>242</v>
      </c>
      <c r="B124" s="2" t="s">
        <v>30</v>
      </c>
      <c r="C124" s="2" t="s">
        <v>67</v>
      </c>
      <c r="D124" s="10">
        <f t="shared" ca="1" si="14"/>
        <v>48</v>
      </c>
      <c r="E124" s="2" t="s">
        <v>26</v>
      </c>
      <c r="F124" s="3">
        <v>169</v>
      </c>
      <c r="G124" s="3">
        <v>68</v>
      </c>
      <c r="H124" s="11">
        <f t="shared" si="15"/>
        <v>23.808690171912751</v>
      </c>
      <c r="I124" s="2">
        <v>95</v>
      </c>
      <c r="J124" s="3">
        <v>130</v>
      </c>
      <c r="K124" s="3">
        <v>80</v>
      </c>
      <c r="L124" s="10">
        <f t="shared" si="16"/>
        <v>2</v>
      </c>
      <c r="M124" s="10">
        <f t="shared" ca="1" si="17"/>
        <v>1</v>
      </c>
      <c r="N124" s="10">
        <f t="shared" si="18"/>
        <v>0</v>
      </c>
      <c r="O124" s="10">
        <f t="shared" si="19"/>
        <v>3</v>
      </c>
      <c r="P124" s="10">
        <f t="shared" si="20"/>
        <v>2</v>
      </c>
      <c r="Q124" s="10">
        <f t="shared" si="21"/>
        <v>0</v>
      </c>
      <c r="R124" s="10">
        <f t="shared" ca="1" si="22"/>
        <v>8</v>
      </c>
      <c r="S124" s="10" t="str">
        <f t="shared" ca="1" si="23"/>
        <v>Có</v>
      </c>
      <c r="T124" s="10" t="str">
        <f t="shared" ca="1" si="24"/>
        <v>Có</v>
      </c>
      <c r="U124" s="10" t="str">
        <f t="shared" si="25"/>
        <v>Không</v>
      </c>
      <c r="V124" s="2" t="s">
        <v>243</v>
      </c>
      <c r="W124" s="4">
        <v>46142</v>
      </c>
      <c r="X124" s="8" t="str">
        <f t="shared" si="26"/>
        <v>Tháng 4</v>
      </c>
      <c r="Y124" s="8" t="str">
        <f t="shared" si="27"/>
        <v>ấp Giồng Giữa B</v>
      </c>
    </row>
    <row r="125" spans="1:25" x14ac:dyDescent="0.25">
      <c r="A125" s="1" t="s">
        <v>244</v>
      </c>
      <c r="B125" s="2" t="s">
        <v>30</v>
      </c>
      <c r="C125" s="2" t="s">
        <v>76</v>
      </c>
      <c r="D125" s="10">
        <f t="shared" ca="1" si="14"/>
        <v>68</v>
      </c>
      <c r="E125" s="2" t="s">
        <v>25</v>
      </c>
      <c r="F125" s="3">
        <v>169</v>
      </c>
      <c r="G125" s="3">
        <v>68</v>
      </c>
      <c r="H125" s="11">
        <f t="shared" si="15"/>
        <v>23.808690171912751</v>
      </c>
      <c r="I125" s="2">
        <v>88</v>
      </c>
      <c r="J125" s="3">
        <v>130</v>
      </c>
      <c r="K125" s="3">
        <v>80</v>
      </c>
      <c r="L125" s="10">
        <f t="shared" si="16"/>
        <v>2</v>
      </c>
      <c r="M125" s="10">
        <f t="shared" ca="1" si="17"/>
        <v>2</v>
      </c>
      <c r="N125" s="10">
        <f t="shared" si="18"/>
        <v>4</v>
      </c>
      <c r="O125" s="10">
        <f t="shared" si="19"/>
        <v>3</v>
      </c>
      <c r="P125" s="10">
        <f t="shared" si="20"/>
        <v>0</v>
      </c>
      <c r="Q125" s="10">
        <f t="shared" si="21"/>
        <v>0</v>
      </c>
      <c r="R125" s="10">
        <f t="shared" ca="1" si="22"/>
        <v>11</v>
      </c>
      <c r="S125" s="10" t="str">
        <f t="shared" ca="1" si="23"/>
        <v>Có</v>
      </c>
      <c r="T125" s="10" t="str">
        <f t="shared" ca="1" si="24"/>
        <v>Có</v>
      </c>
      <c r="U125" s="10" t="str">
        <f t="shared" si="25"/>
        <v>Không</v>
      </c>
      <c r="V125" s="2" t="s">
        <v>68</v>
      </c>
      <c r="W125" s="4">
        <v>46142</v>
      </c>
      <c r="X125" s="8" t="str">
        <f t="shared" si="26"/>
        <v>Tháng 4</v>
      </c>
      <c r="Y125" s="8" t="str">
        <f t="shared" si="27"/>
        <v>Ấp Biển Tây B</v>
      </c>
    </row>
    <row r="126" spans="1:25" x14ac:dyDescent="0.25">
      <c r="A126" s="1" t="s">
        <v>245</v>
      </c>
      <c r="B126" s="2" t="s">
        <v>23</v>
      </c>
      <c r="C126" s="2" t="s">
        <v>59</v>
      </c>
      <c r="D126" s="10">
        <f t="shared" ca="1" si="14"/>
        <v>74</v>
      </c>
      <c r="E126" s="2" t="s">
        <v>26</v>
      </c>
      <c r="F126" s="3">
        <v>158</v>
      </c>
      <c r="G126" s="3">
        <v>58</v>
      </c>
      <c r="H126" s="11">
        <f t="shared" si="15"/>
        <v>23.233456176894723</v>
      </c>
      <c r="I126" s="2">
        <v>66</v>
      </c>
      <c r="J126" s="3">
        <v>120</v>
      </c>
      <c r="K126" s="3">
        <v>80</v>
      </c>
      <c r="L126" s="10">
        <f t="shared" si="16"/>
        <v>0</v>
      </c>
      <c r="M126" s="10">
        <f t="shared" ca="1" si="17"/>
        <v>2</v>
      </c>
      <c r="N126" s="10">
        <f t="shared" si="18"/>
        <v>0</v>
      </c>
      <c r="O126" s="10">
        <f t="shared" si="19"/>
        <v>3</v>
      </c>
      <c r="P126" s="10">
        <f t="shared" si="20"/>
        <v>0</v>
      </c>
      <c r="Q126" s="10">
        <f t="shared" si="21"/>
        <v>0</v>
      </c>
      <c r="R126" s="10">
        <f t="shared" ca="1" si="22"/>
        <v>5</v>
      </c>
      <c r="S126" s="10" t="str">
        <f t="shared" ca="1" si="23"/>
        <v>Không cần</v>
      </c>
      <c r="T126" s="10" t="str">
        <f t="shared" ca="1" si="24"/>
        <v>Không</v>
      </c>
      <c r="U126" s="10" t="str">
        <f t="shared" si="25"/>
        <v>Không</v>
      </c>
      <c r="V126" s="2" t="s">
        <v>246</v>
      </c>
      <c r="W126" s="4">
        <v>46142</v>
      </c>
      <c r="X126" s="8" t="str">
        <f t="shared" si="26"/>
        <v>Tháng 4</v>
      </c>
      <c r="Y126" s="8" t="str">
        <f t="shared" si="27"/>
        <v>ấp Biển Tây B</v>
      </c>
    </row>
    <row r="127" spans="1:25" x14ac:dyDescent="0.25">
      <c r="A127" s="1" t="s">
        <v>247</v>
      </c>
      <c r="B127" s="2" t="s">
        <v>30</v>
      </c>
      <c r="C127" s="2" t="s">
        <v>40</v>
      </c>
      <c r="D127" s="10">
        <f t="shared" ca="1" si="14"/>
        <v>70</v>
      </c>
      <c r="E127" s="2" t="s">
        <v>25</v>
      </c>
      <c r="F127" s="3">
        <v>169</v>
      </c>
      <c r="G127" s="3">
        <v>68</v>
      </c>
      <c r="H127" s="11">
        <f t="shared" si="15"/>
        <v>23.808690171912751</v>
      </c>
      <c r="I127" s="2">
        <v>96</v>
      </c>
      <c r="J127" s="3">
        <v>140</v>
      </c>
      <c r="K127" s="3">
        <v>80</v>
      </c>
      <c r="L127" s="10">
        <f t="shared" si="16"/>
        <v>2</v>
      </c>
      <c r="M127" s="10">
        <f t="shared" ca="1" si="17"/>
        <v>2</v>
      </c>
      <c r="N127" s="10">
        <f t="shared" si="18"/>
        <v>4</v>
      </c>
      <c r="O127" s="10">
        <f t="shared" si="19"/>
        <v>3</v>
      </c>
      <c r="P127" s="10">
        <f t="shared" si="20"/>
        <v>2</v>
      </c>
      <c r="Q127" s="10">
        <f t="shared" si="21"/>
        <v>2</v>
      </c>
      <c r="R127" s="10">
        <f t="shared" ca="1" si="22"/>
        <v>15</v>
      </c>
      <c r="S127" s="10" t="str">
        <f t="shared" ca="1" si="23"/>
        <v>Có</v>
      </c>
      <c r="T127" s="10" t="str">
        <f t="shared" ca="1" si="24"/>
        <v>Có</v>
      </c>
      <c r="U127" s="10" t="str">
        <f t="shared" si="25"/>
        <v>Có</v>
      </c>
      <c r="V127" s="2" t="s">
        <v>48</v>
      </c>
      <c r="W127" s="4">
        <v>46142</v>
      </c>
      <c r="X127" s="8" t="str">
        <f t="shared" si="26"/>
        <v>Tháng 4</v>
      </c>
      <c r="Y127" s="8" t="str">
        <f t="shared" si="27"/>
        <v>ấp Giồng Giữa A</v>
      </c>
    </row>
    <row r="128" spans="1:25" x14ac:dyDescent="0.25">
      <c r="A128" s="1" t="s">
        <v>248</v>
      </c>
      <c r="B128" s="2" t="s">
        <v>23</v>
      </c>
      <c r="C128" s="2" t="s">
        <v>45</v>
      </c>
      <c r="D128" s="10">
        <f t="shared" ca="1" si="14"/>
        <v>50</v>
      </c>
      <c r="E128" s="2" t="s">
        <v>26</v>
      </c>
      <c r="F128" s="3">
        <v>158</v>
      </c>
      <c r="G128" s="3">
        <v>58</v>
      </c>
      <c r="H128" s="11">
        <f t="shared" si="15"/>
        <v>23.233456176894723</v>
      </c>
      <c r="I128" s="2">
        <v>72</v>
      </c>
      <c r="J128" s="3">
        <v>140</v>
      </c>
      <c r="K128" s="3">
        <v>80</v>
      </c>
      <c r="L128" s="10">
        <f t="shared" si="16"/>
        <v>0</v>
      </c>
      <c r="M128" s="10">
        <f t="shared" ca="1" si="17"/>
        <v>2</v>
      </c>
      <c r="N128" s="10">
        <f t="shared" si="18"/>
        <v>0</v>
      </c>
      <c r="O128" s="10">
        <f t="shared" si="19"/>
        <v>3</v>
      </c>
      <c r="P128" s="10">
        <f t="shared" si="20"/>
        <v>0</v>
      </c>
      <c r="Q128" s="10">
        <f t="shared" si="21"/>
        <v>2</v>
      </c>
      <c r="R128" s="10">
        <f t="shared" ca="1" si="22"/>
        <v>7</v>
      </c>
      <c r="S128" s="10" t="str">
        <f t="shared" ca="1" si="23"/>
        <v>Có</v>
      </c>
      <c r="T128" s="10" t="str">
        <f t="shared" ca="1" si="24"/>
        <v>Có</v>
      </c>
      <c r="U128" s="10" t="str">
        <f t="shared" si="25"/>
        <v>Có</v>
      </c>
      <c r="V128" s="2" t="s">
        <v>210</v>
      </c>
      <c r="W128" s="4">
        <v>46081</v>
      </c>
      <c r="X128" s="8" t="str">
        <f t="shared" si="26"/>
        <v>Tháng 2</v>
      </c>
      <c r="Y128" s="8" t="str">
        <f t="shared" si="27"/>
        <v>Biển Đông A</v>
      </c>
    </row>
    <row r="129" spans="1:25" x14ac:dyDescent="0.25">
      <c r="A129" s="1" t="s">
        <v>249</v>
      </c>
      <c r="B129" s="2" t="s">
        <v>30</v>
      </c>
      <c r="C129" s="2" t="s">
        <v>105</v>
      </c>
      <c r="D129" s="10">
        <f t="shared" ca="1" si="14"/>
        <v>60</v>
      </c>
      <c r="E129" s="2" t="s">
        <v>26</v>
      </c>
      <c r="F129" s="3">
        <v>169</v>
      </c>
      <c r="G129" s="3">
        <v>68</v>
      </c>
      <c r="H129" s="11">
        <f t="shared" si="15"/>
        <v>23.808690171912751</v>
      </c>
      <c r="I129" s="2">
        <v>99</v>
      </c>
      <c r="J129" s="3">
        <v>120</v>
      </c>
      <c r="K129" s="3">
        <v>80</v>
      </c>
      <c r="L129" s="10">
        <f t="shared" si="16"/>
        <v>2</v>
      </c>
      <c r="M129" s="10">
        <f t="shared" ca="1" si="17"/>
        <v>2</v>
      </c>
      <c r="N129" s="10">
        <f t="shared" si="18"/>
        <v>0</v>
      </c>
      <c r="O129" s="10">
        <f t="shared" si="19"/>
        <v>3</v>
      </c>
      <c r="P129" s="10">
        <f t="shared" si="20"/>
        <v>2</v>
      </c>
      <c r="Q129" s="10">
        <f t="shared" si="21"/>
        <v>0</v>
      </c>
      <c r="R129" s="10">
        <f t="shared" ca="1" si="22"/>
        <v>9</v>
      </c>
      <c r="S129" s="10" t="str">
        <f t="shared" ca="1" si="23"/>
        <v>Có</v>
      </c>
      <c r="T129" s="10" t="str">
        <f t="shared" ca="1" si="24"/>
        <v>Có</v>
      </c>
      <c r="U129" s="10" t="str">
        <f t="shared" si="25"/>
        <v>Không</v>
      </c>
      <c r="V129" s="2" t="s">
        <v>32</v>
      </c>
      <c r="W129" s="4">
        <v>46142</v>
      </c>
      <c r="X129" s="8" t="str">
        <f t="shared" si="26"/>
        <v>Tháng 4</v>
      </c>
      <c r="Y129" s="8" t="str">
        <f t="shared" si="27"/>
        <v>Ấp Giồng Giữa B</v>
      </c>
    </row>
    <row r="130" spans="1:25" x14ac:dyDescent="0.25">
      <c r="A130" s="1" t="s">
        <v>250</v>
      </c>
      <c r="B130" s="2" t="s">
        <v>23</v>
      </c>
      <c r="C130" s="2" t="s">
        <v>82</v>
      </c>
      <c r="D130" s="10">
        <f t="shared" ca="1" si="14"/>
        <v>73</v>
      </c>
      <c r="E130" s="2" t="s">
        <v>25</v>
      </c>
      <c r="F130" s="3">
        <v>158</v>
      </c>
      <c r="G130" s="3">
        <v>58</v>
      </c>
      <c r="H130" s="11">
        <f t="shared" si="15"/>
        <v>23.233456176894723</v>
      </c>
      <c r="I130" s="2">
        <v>88</v>
      </c>
      <c r="J130" s="3">
        <v>150</v>
      </c>
      <c r="K130" s="3">
        <v>80</v>
      </c>
      <c r="L130" s="10">
        <f t="shared" si="16"/>
        <v>0</v>
      </c>
      <c r="M130" s="10">
        <f t="shared" ca="1" si="17"/>
        <v>2</v>
      </c>
      <c r="N130" s="10">
        <f t="shared" si="18"/>
        <v>4</v>
      </c>
      <c r="O130" s="10">
        <f t="shared" si="19"/>
        <v>3</v>
      </c>
      <c r="P130" s="10">
        <f t="shared" si="20"/>
        <v>2</v>
      </c>
      <c r="Q130" s="10">
        <f t="shared" si="21"/>
        <v>2</v>
      </c>
      <c r="R130" s="10">
        <f t="shared" ca="1" si="22"/>
        <v>13</v>
      </c>
      <c r="S130" s="10" t="str">
        <f t="shared" ca="1" si="23"/>
        <v>Có</v>
      </c>
      <c r="T130" s="10" t="str">
        <f t="shared" ca="1" si="24"/>
        <v>Có</v>
      </c>
      <c r="U130" s="10" t="str">
        <f t="shared" si="25"/>
        <v>Có</v>
      </c>
      <c r="V130" s="2" t="s">
        <v>251</v>
      </c>
      <c r="W130" s="4">
        <v>46112</v>
      </c>
      <c r="X130" s="8" t="str">
        <f t="shared" si="26"/>
        <v>Tháng 3</v>
      </c>
      <c r="Y130" s="8" t="str">
        <f t="shared" si="27"/>
        <v>giồng giữa</v>
      </c>
    </row>
    <row r="131" spans="1:25" x14ac:dyDescent="0.25">
      <c r="A131" s="1" t="s">
        <v>252</v>
      </c>
      <c r="B131" s="2" t="s">
        <v>23</v>
      </c>
      <c r="C131" s="2" t="s">
        <v>110</v>
      </c>
      <c r="D131" s="10">
        <f t="shared" ref="D131:D194" ca="1" si="28">DATEDIF(C131,TODAY(),"Y")</f>
        <v>62</v>
      </c>
      <c r="E131" s="2" t="s">
        <v>26</v>
      </c>
      <c r="F131" s="3">
        <v>158</v>
      </c>
      <c r="G131" s="3">
        <v>58</v>
      </c>
      <c r="H131" s="11">
        <f t="shared" ref="H131:H194" si="29">G131/((F131/100)*(F131/100))</f>
        <v>23.233456176894723</v>
      </c>
      <c r="I131" s="2">
        <v>84</v>
      </c>
      <c r="J131" s="3">
        <v>130</v>
      </c>
      <c r="K131" s="3">
        <v>80</v>
      </c>
      <c r="L131" s="10">
        <f t="shared" ref="L131:L194" si="30">IF(B131="Nữ",0,2)</f>
        <v>0</v>
      </c>
      <c r="M131" s="10">
        <f t="shared" ref="M131:M194" ca="1" si="31">IF(D131&lt;45,0,IF(D131&lt;=49,1,2))</f>
        <v>2</v>
      </c>
      <c r="N131" s="10">
        <f t="shared" ref="N131:N194" si="32">IF(E131="Có",4,0)</f>
        <v>0</v>
      </c>
      <c r="O131" s="10">
        <f t="shared" ref="O131:O194" si="33">IF(H131&lt;23,0,IF(H131&lt;27.5,3,5))</f>
        <v>3</v>
      </c>
      <c r="P131" s="10">
        <f t="shared" ref="P131:P194" si="34">IF(OR(AND(B131="Nam",I131&gt;=90),AND(B131="Nữ",I131&gt;=80)),2,0)</f>
        <v>2</v>
      </c>
      <c r="Q131" s="10">
        <f t="shared" ref="Q131:Q194" si="35">IF(OR(J131&gt;=140,K131&gt;=90),2,0)</f>
        <v>0</v>
      </c>
      <c r="R131" s="10">
        <f t="shared" ref="R131:R194" ca="1" si="36">SUM(L131:Q131)</f>
        <v>7</v>
      </c>
      <c r="S131" s="10" t="str">
        <f t="shared" ref="S131:S194" ca="1" si="37">IF((R131)&gt;=6,"Có","Không cần")</f>
        <v>Có</v>
      </c>
      <c r="T131" s="10" t="str">
        <f t="shared" ref="T131:T194" ca="1" si="38">IF((R131)&gt;=6,"Có","Không")</f>
        <v>Có</v>
      </c>
      <c r="U131" s="10" t="str">
        <f t="shared" ref="U131:U194" si="39">IF(OR(J131&gt;=140,K131&gt;=90),"Có","Không")</f>
        <v>Không</v>
      </c>
      <c r="V131" s="2" t="s">
        <v>32</v>
      </c>
      <c r="W131" s="4">
        <v>46142</v>
      </c>
      <c r="X131" s="8" t="str">
        <f t="shared" ref="X131:X194" si="40">"Tháng "&amp;MONTH(W131)</f>
        <v>Tháng 4</v>
      </c>
      <c r="Y131" s="8" t="str">
        <f t="shared" ref="Y131:Y194" si="41">LEFT(V131,FIND(",",V131)-1)</f>
        <v>Ấp Giồng Giữa B</v>
      </c>
    </row>
    <row r="132" spans="1:25" x14ac:dyDescent="0.25">
      <c r="A132" s="1" t="s">
        <v>253</v>
      </c>
      <c r="B132" s="2" t="s">
        <v>23</v>
      </c>
      <c r="C132" s="2" t="s">
        <v>188</v>
      </c>
      <c r="D132" s="10">
        <f t="shared" ca="1" si="28"/>
        <v>63</v>
      </c>
      <c r="E132" s="2" t="s">
        <v>26</v>
      </c>
      <c r="F132" s="3">
        <v>158</v>
      </c>
      <c r="G132" s="3">
        <v>58</v>
      </c>
      <c r="H132" s="11">
        <f t="shared" si="29"/>
        <v>23.233456176894723</v>
      </c>
      <c r="I132" s="2">
        <v>66</v>
      </c>
      <c r="J132" s="3">
        <v>130</v>
      </c>
      <c r="K132" s="3">
        <v>80</v>
      </c>
      <c r="L132" s="10">
        <f t="shared" si="30"/>
        <v>0</v>
      </c>
      <c r="M132" s="10">
        <f t="shared" ca="1" si="31"/>
        <v>2</v>
      </c>
      <c r="N132" s="10">
        <f t="shared" si="32"/>
        <v>0</v>
      </c>
      <c r="O132" s="10">
        <f t="shared" si="33"/>
        <v>3</v>
      </c>
      <c r="P132" s="10">
        <f t="shared" si="34"/>
        <v>0</v>
      </c>
      <c r="Q132" s="10">
        <f t="shared" si="35"/>
        <v>0</v>
      </c>
      <c r="R132" s="10">
        <f t="shared" ca="1" si="36"/>
        <v>5</v>
      </c>
      <c r="S132" s="10" t="str">
        <f t="shared" ca="1" si="37"/>
        <v>Không cần</v>
      </c>
      <c r="T132" s="10" t="str">
        <f t="shared" ca="1" si="38"/>
        <v>Không</v>
      </c>
      <c r="U132" s="10" t="str">
        <f t="shared" si="39"/>
        <v>Không</v>
      </c>
      <c r="V132" s="2" t="s">
        <v>254</v>
      </c>
      <c r="W132" s="4">
        <v>46142</v>
      </c>
      <c r="X132" s="8" t="str">
        <f t="shared" si="40"/>
        <v>Tháng 4</v>
      </c>
      <c r="Y132" s="8" t="e">
        <f>LEFT(V132,FIND(",",V132)-1)</f>
        <v>#VALUE!</v>
      </c>
    </row>
    <row r="133" spans="1:25" x14ac:dyDescent="0.25">
      <c r="A133" s="1" t="s">
        <v>255</v>
      </c>
      <c r="B133" s="2" t="s">
        <v>23</v>
      </c>
      <c r="C133" s="2" t="s">
        <v>256</v>
      </c>
      <c r="D133" s="10">
        <f t="shared" ca="1" si="28"/>
        <v>41</v>
      </c>
      <c r="E133" s="2" t="s">
        <v>26</v>
      </c>
      <c r="F133" s="3">
        <v>160</v>
      </c>
      <c r="G133" s="3">
        <v>60</v>
      </c>
      <c r="H133" s="11">
        <f t="shared" si="29"/>
        <v>23.437499999999996</v>
      </c>
      <c r="I133" s="2">
        <v>70</v>
      </c>
      <c r="J133" s="3">
        <v>120</v>
      </c>
      <c r="K133" s="3">
        <v>70</v>
      </c>
      <c r="L133" s="10">
        <f t="shared" si="30"/>
        <v>0</v>
      </c>
      <c r="M133" s="10">
        <f t="shared" ca="1" si="31"/>
        <v>0</v>
      </c>
      <c r="N133" s="10">
        <f t="shared" si="32"/>
        <v>0</v>
      </c>
      <c r="O133" s="10">
        <f t="shared" si="33"/>
        <v>3</v>
      </c>
      <c r="P133" s="10">
        <f t="shared" si="34"/>
        <v>0</v>
      </c>
      <c r="Q133" s="10">
        <f t="shared" si="35"/>
        <v>0</v>
      </c>
      <c r="R133" s="10">
        <f t="shared" ca="1" si="36"/>
        <v>3</v>
      </c>
      <c r="S133" s="10" t="str">
        <f t="shared" ca="1" si="37"/>
        <v>Không cần</v>
      </c>
      <c r="T133" s="10" t="str">
        <f t="shared" ca="1" si="38"/>
        <v>Không</v>
      </c>
      <c r="U133" s="10" t="str">
        <f t="shared" si="39"/>
        <v>Không</v>
      </c>
      <c r="V133" s="2" t="s">
        <v>257</v>
      </c>
      <c r="W133" s="4">
        <v>46142</v>
      </c>
      <c r="X133" s="8" t="str">
        <f t="shared" si="40"/>
        <v>Tháng 4</v>
      </c>
      <c r="Y133" s="8" t="str">
        <f t="shared" si="41"/>
        <v>Cây Thẻ</v>
      </c>
    </row>
    <row r="134" spans="1:25" x14ac:dyDescent="0.25">
      <c r="A134" s="1" t="s">
        <v>258</v>
      </c>
      <c r="B134" s="2" t="s">
        <v>30</v>
      </c>
      <c r="C134" s="2" t="s">
        <v>130</v>
      </c>
      <c r="D134" s="10">
        <f t="shared" ca="1" si="28"/>
        <v>57</v>
      </c>
      <c r="E134" s="2" t="s">
        <v>26</v>
      </c>
      <c r="F134" s="3">
        <v>172</v>
      </c>
      <c r="G134" s="3">
        <v>86</v>
      </c>
      <c r="H134" s="11">
        <f t="shared" si="29"/>
        <v>29.069767441860467</v>
      </c>
      <c r="I134" s="2">
        <v>93</v>
      </c>
      <c r="J134" s="3">
        <v>130</v>
      </c>
      <c r="K134" s="3">
        <v>80</v>
      </c>
      <c r="L134" s="10">
        <f t="shared" si="30"/>
        <v>2</v>
      </c>
      <c r="M134" s="10">
        <f t="shared" ca="1" si="31"/>
        <v>2</v>
      </c>
      <c r="N134" s="10">
        <f t="shared" si="32"/>
        <v>0</v>
      </c>
      <c r="O134" s="10">
        <f t="shared" si="33"/>
        <v>5</v>
      </c>
      <c r="P134" s="10">
        <f t="shared" si="34"/>
        <v>2</v>
      </c>
      <c r="Q134" s="10">
        <f t="shared" si="35"/>
        <v>0</v>
      </c>
      <c r="R134" s="10">
        <f t="shared" ca="1" si="36"/>
        <v>11</v>
      </c>
      <c r="S134" s="10" t="str">
        <f t="shared" ca="1" si="37"/>
        <v>Có</v>
      </c>
      <c r="T134" s="10" t="str">
        <f t="shared" ca="1" si="38"/>
        <v>Có</v>
      </c>
      <c r="U134" s="10" t="str">
        <f t="shared" si="39"/>
        <v>Không</v>
      </c>
      <c r="V134" s="2" t="s">
        <v>88</v>
      </c>
      <c r="W134" s="4">
        <v>46142</v>
      </c>
      <c r="X134" s="8" t="str">
        <f t="shared" si="40"/>
        <v>Tháng 4</v>
      </c>
      <c r="Y134" s="8" t="str">
        <f t="shared" si="41"/>
        <v>Giồng Giữa</v>
      </c>
    </row>
    <row r="135" spans="1:25" x14ac:dyDescent="0.25">
      <c r="A135" s="1" t="s">
        <v>259</v>
      </c>
      <c r="B135" s="2" t="s">
        <v>23</v>
      </c>
      <c r="C135" s="2" t="s">
        <v>84</v>
      </c>
      <c r="D135" s="10">
        <f t="shared" ca="1" si="28"/>
        <v>69</v>
      </c>
      <c r="E135" s="2" t="s">
        <v>26</v>
      </c>
      <c r="F135" s="3">
        <v>158</v>
      </c>
      <c r="G135" s="3">
        <v>58</v>
      </c>
      <c r="H135" s="11">
        <f t="shared" si="29"/>
        <v>23.233456176894723</v>
      </c>
      <c r="I135" s="2">
        <v>86</v>
      </c>
      <c r="J135" s="3">
        <v>140</v>
      </c>
      <c r="K135" s="3">
        <v>80</v>
      </c>
      <c r="L135" s="10">
        <f t="shared" si="30"/>
        <v>0</v>
      </c>
      <c r="M135" s="10">
        <f t="shared" ca="1" si="31"/>
        <v>2</v>
      </c>
      <c r="N135" s="10">
        <f t="shared" si="32"/>
        <v>0</v>
      </c>
      <c r="O135" s="10">
        <f t="shared" si="33"/>
        <v>3</v>
      </c>
      <c r="P135" s="10">
        <f t="shared" si="34"/>
        <v>2</v>
      </c>
      <c r="Q135" s="10">
        <f t="shared" si="35"/>
        <v>2</v>
      </c>
      <c r="R135" s="10">
        <f t="shared" ca="1" si="36"/>
        <v>9</v>
      </c>
      <c r="S135" s="10" t="str">
        <f t="shared" ca="1" si="37"/>
        <v>Có</v>
      </c>
      <c r="T135" s="10" t="str">
        <f t="shared" ca="1" si="38"/>
        <v>Có</v>
      </c>
      <c r="U135" s="10" t="str">
        <f t="shared" si="39"/>
        <v>Có</v>
      </c>
      <c r="V135" s="2" t="s">
        <v>38</v>
      </c>
      <c r="W135" s="4">
        <v>46142</v>
      </c>
      <c r="X135" s="8" t="str">
        <f t="shared" si="40"/>
        <v>Tháng 4</v>
      </c>
      <c r="Y135" s="8" t="str">
        <f t="shared" si="41"/>
        <v>Ấp Biển Đông B</v>
      </c>
    </row>
    <row r="136" spans="1:25" x14ac:dyDescent="0.25">
      <c r="A136" s="1" t="s">
        <v>260</v>
      </c>
      <c r="B136" s="2" t="s">
        <v>23</v>
      </c>
      <c r="C136" s="2" t="s">
        <v>90</v>
      </c>
      <c r="D136" s="10">
        <f t="shared" ca="1" si="28"/>
        <v>54</v>
      </c>
      <c r="E136" s="2" t="s">
        <v>26</v>
      </c>
      <c r="F136" s="3">
        <v>160</v>
      </c>
      <c r="G136" s="3">
        <v>55</v>
      </c>
      <c r="H136" s="11">
        <f t="shared" si="29"/>
        <v>21.484374999999996</v>
      </c>
      <c r="I136" s="2">
        <v>74</v>
      </c>
      <c r="J136" s="3">
        <v>120</v>
      </c>
      <c r="K136" s="3">
        <v>70</v>
      </c>
      <c r="L136" s="10">
        <f t="shared" si="30"/>
        <v>0</v>
      </c>
      <c r="M136" s="10">
        <f t="shared" ca="1" si="31"/>
        <v>2</v>
      </c>
      <c r="N136" s="10">
        <f t="shared" si="32"/>
        <v>0</v>
      </c>
      <c r="O136" s="10">
        <f t="shared" si="33"/>
        <v>0</v>
      </c>
      <c r="P136" s="10">
        <f t="shared" si="34"/>
        <v>0</v>
      </c>
      <c r="Q136" s="10">
        <f t="shared" si="35"/>
        <v>0</v>
      </c>
      <c r="R136" s="10">
        <f t="shared" ca="1" si="36"/>
        <v>2</v>
      </c>
      <c r="S136" s="10" t="str">
        <f t="shared" ca="1" si="37"/>
        <v>Không cần</v>
      </c>
      <c r="T136" s="10" t="str">
        <f t="shared" ca="1" si="38"/>
        <v>Không</v>
      </c>
      <c r="U136" s="10" t="str">
        <f t="shared" si="39"/>
        <v>Không</v>
      </c>
      <c r="V136" s="2" t="s">
        <v>215</v>
      </c>
      <c r="W136" s="4">
        <v>46081</v>
      </c>
      <c r="X136" s="8" t="str">
        <f t="shared" si="40"/>
        <v>Tháng 2</v>
      </c>
      <c r="Y136" s="8" t="str">
        <f t="shared" si="41"/>
        <v>Giồng Nhãn A</v>
      </c>
    </row>
    <row r="137" spans="1:25" x14ac:dyDescent="0.25">
      <c r="A137" s="1" t="s">
        <v>261</v>
      </c>
      <c r="B137" s="2" t="s">
        <v>23</v>
      </c>
      <c r="C137" s="2" t="s">
        <v>56</v>
      </c>
      <c r="D137" s="10">
        <f t="shared" ca="1" si="28"/>
        <v>65</v>
      </c>
      <c r="E137" s="2" t="s">
        <v>26</v>
      </c>
      <c r="F137" s="3">
        <v>158</v>
      </c>
      <c r="G137" s="3">
        <v>58</v>
      </c>
      <c r="H137" s="11">
        <f t="shared" si="29"/>
        <v>23.233456176894723</v>
      </c>
      <c r="I137" s="2">
        <v>84</v>
      </c>
      <c r="J137" s="3">
        <v>130</v>
      </c>
      <c r="K137" s="3">
        <v>80</v>
      </c>
      <c r="L137" s="10">
        <f t="shared" si="30"/>
        <v>0</v>
      </c>
      <c r="M137" s="10">
        <f t="shared" ca="1" si="31"/>
        <v>2</v>
      </c>
      <c r="N137" s="10">
        <f t="shared" si="32"/>
        <v>0</v>
      </c>
      <c r="O137" s="10">
        <f t="shared" si="33"/>
        <v>3</v>
      </c>
      <c r="P137" s="10">
        <f t="shared" si="34"/>
        <v>2</v>
      </c>
      <c r="Q137" s="10">
        <f t="shared" si="35"/>
        <v>0</v>
      </c>
      <c r="R137" s="10">
        <f t="shared" ca="1" si="36"/>
        <v>7</v>
      </c>
      <c r="S137" s="10" t="str">
        <f t="shared" ca="1" si="37"/>
        <v>Có</v>
      </c>
      <c r="T137" s="10" t="str">
        <f t="shared" ca="1" si="38"/>
        <v>Có</v>
      </c>
      <c r="U137" s="10" t="str">
        <f t="shared" si="39"/>
        <v>Không</v>
      </c>
      <c r="V137" s="2" t="s">
        <v>68</v>
      </c>
      <c r="W137" s="4">
        <v>46142</v>
      </c>
      <c r="X137" s="8" t="str">
        <f t="shared" si="40"/>
        <v>Tháng 4</v>
      </c>
      <c r="Y137" s="8" t="str">
        <f t="shared" si="41"/>
        <v>Ấp Biển Tây B</v>
      </c>
    </row>
    <row r="138" spans="1:25" x14ac:dyDescent="0.25">
      <c r="A138" s="1" t="s">
        <v>262</v>
      </c>
      <c r="B138" s="2" t="s">
        <v>23</v>
      </c>
      <c r="C138" s="2" t="s">
        <v>90</v>
      </c>
      <c r="D138" s="10">
        <f t="shared" ca="1" si="28"/>
        <v>54</v>
      </c>
      <c r="E138" s="2" t="s">
        <v>26</v>
      </c>
      <c r="F138" s="3">
        <v>154</v>
      </c>
      <c r="G138" s="3">
        <v>49</v>
      </c>
      <c r="H138" s="11">
        <f t="shared" si="29"/>
        <v>20.66115702479339</v>
      </c>
      <c r="I138" s="2">
        <v>80</v>
      </c>
      <c r="J138" s="3">
        <v>140</v>
      </c>
      <c r="K138" s="3">
        <v>80</v>
      </c>
      <c r="L138" s="10">
        <f t="shared" si="30"/>
        <v>0</v>
      </c>
      <c r="M138" s="10">
        <f t="shared" ca="1" si="31"/>
        <v>2</v>
      </c>
      <c r="N138" s="10">
        <f t="shared" si="32"/>
        <v>0</v>
      </c>
      <c r="O138" s="10">
        <f t="shared" si="33"/>
        <v>0</v>
      </c>
      <c r="P138" s="10">
        <f t="shared" si="34"/>
        <v>2</v>
      </c>
      <c r="Q138" s="10">
        <f t="shared" si="35"/>
        <v>2</v>
      </c>
      <c r="R138" s="10">
        <f t="shared" ca="1" si="36"/>
        <v>6</v>
      </c>
      <c r="S138" s="10" t="str">
        <f t="shared" ca="1" si="37"/>
        <v>Có</v>
      </c>
      <c r="T138" s="10" t="str">
        <f t="shared" ca="1" si="38"/>
        <v>Có</v>
      </c>
      <c r="U138" s="10" t="str">
        <f t="shared" si="39"/>
        <v>Có</v>
      </c>
      <c r="V138" s="2" t="s">
        <v>51</v>
      </c>
      <c r="W138" s="4">
        <v>46081</v>
      </c>
      <c r="X138" s="8" t="str">
        <f t="shared" si="40"/>
        <v>Tháng 2</v>
      </c>
      <c r="Y138" s="8" t="str">
        <f t="shared" si="41"/>
        <v>Phường Hiệp Thành</v>
      </c>
    </row>
    <row r="139" spans="1:25" x14ac:dyDescent="0.25">
      <c r="A139" s="1" t="s">
        <v>263</v>
      </c>
      <c r="B139" s="2" t="s">
        <v>30</v>
      </c>
      <c r="C139" s="2" t="s">
        <v>110</v>
      </c>
      <c r="D139" s="10">
        <f t="shared" ca="1" si="28"/>
        <v>62</v>
      </c>
      <c r="E139" s="2" t="s">
        <v>26</v>
      </c>
      <c r="F139" s="3">
        <v>160</v>
      </c>
      <c r="G139" s="3">
        <v>60</v>
      </c>
      <c r="H139" s="11">
        <f t="shared" si="29"/>
        <v>23.437499999999996</v>
      </c>
      <c r="I139" s="2">
        <v>84</v>
      </c>
      <c r="J139" s="3">
        <v>140</v>
      </c>
      <c r="K139" s="3">
        <v>90</v>
      </c>
      <c r="L139" s="10">
        <f t="shared" si="30"/>
        <v>2</v>
      </c>
      <c r="M139" s="10">
        <f t="shared" ca="1" si="31"/>
        <v>2</v>
      </c>
      <c r="N139" s="10">
        <f t="shared" si="32"/>
        <v>0</v>
      </c>
      <c r="O139" s="10">
        <f t="shared" si="33"/>
        <v>3</v>
      </c>
      <c r="P139" s="10">
        <f t="shared" si="34"/>
        <v>0</v>
      </c>
      <c r="Q139" s="10">
        <f t="shared" si="35"/>
        <v>2</v>
      </c>
      <c r="R139" s="10">
        <f t="shared" ca="1" si="36"/>
        <v>9</v>
      </c>
      <c r="S139" s="10" t="str">
        <f t="shared" ca="1" si="37"/>
        <v>Có</v>
      </c>
      <c r="T139" s="10" t="str">
        <f t="shared" ca="1" si="38"/>
        <v>Có</v>
      </c>
      <c r="U139" s="10" t="str">
        <f t="shared" si="39"/>
        <v>Có</v>
      </c>
      <c r="V139" s="2" t="s">
        <v>264</v>
      </c>
      <c r="W139" s="4">
        <v>46142</v>
      </c>
      <c r="X139" s="8" t="str">
        <f t="shared" si="40"/>
        <v>Tháng 4</v>
      </c>
      <c r="Y139" s="8" t="str">
        <f t="shared" si="41"/>
        <v>Số 207B/5</v>
      </c>
    </row>
    <row r="140" spans="1:25" x14ac:dyDescent="0.25">
      <c r="A140" s="1" t="s">
        <v>265</v>
      </c>
      <c r="B140" s="2" t="s">
        <v>23</v>
      </c>
      <c r="C140" s="2" t="s">
        <v>59</v>
      </c>
      <c r="D140" s="10">
        <f t="shared" ca="1" si="28"/>
        <v>74</v>
      </c>
      <c r="E140" s="2" t="s">
        <v>26</v>
      </c>
      <c r="F140" s="3">
        <v>158</v>
      </c>
      <c r="G140" s="3">
        <v>58</v>
      </c>
      <c r="H140" s="11">
        <f t="shared" si="29"/>
        <v>23.233456176894723</v>
      </c>
      <c r="I140" s="2">
        <v>77</v>
      </c>
      <c r="J140" s="3">
        <v>130</v>
      </c>
      <c r="K140" s="3">
        <v>80</v>
      </c>
      <c r="L140" s="10">
        <f t="shared" si="30"/>
        <v>0</v>
      </c>
      <c r="M140" s="10">
        <f t="shared" ca="1" si="31"/>
        <v>2</v>
      </c>
      <c r="N140" s="10">
        <f t="shared" si="32"/>
        <v>0</v>
      </c>
      <c r="O140" s="10">
        <f t="shared" si="33"/>
        <v>3</v>
      </c>
      <c r="P140" s="10">
        <f t="shared" si="34"/>
        <v>0</v>
      </c>
      <c r="Q140" s="10">
        <f t="shared" si="35"/>
        <v>0</v>
      </c>
      <c r="R140" s="10">
        <f t="shared" ca="1" si="36"/>
        <v>5</v>
      </c>
      <c r="S140" s="10" t="str">
        <f t="shared" ca="1" si="37"/>
        <v>Không cần</v>
      </c>
      <c r="T140" s="10" t="str">
        <f t="shared" ca="1" si="38"/>
        <v>Không</v>
      </c>
      <c r="U140" s="10" t="str">
        <f t="shared" si="39"/>
        <v>Không</v>
      </c>
      <c r="V140" s="2" t="s">
        <v>51</v>
      </c>
      <c r="W140" s="4">
        <v>46142</v>
      </c>
      <c r="X140" s="8" t="str">
        <f t="shared" si="40"/>
        <v>Tháng 4</v>
      </c>
      <c r="Y140" s="8" t="str">
        <f t="shared" si="41"/>
        <v>Phường Hiệp Thành</v>
      </c>
    </row>
    <row r="141" spans="1:25" x14ac:dyDescent="0.25">
      <c r="A141" s="1" t="s">
        <v>267</v>
      </c>
      <c r="B141" s="2" t="s">
        <v>30</v>
      </c>
      <c r="C141" s="2" t="s">
        <v>268</v>
      </c>
      <c r="D141" s="10">
        <f t="shared" ca="1" si="28"/>
        <v>44</v>
      </c>
      <c r="E141" s="2" t="s">
        <v>26</v>
      </c>
      <c r="F141" s="3">
        <v>160</v>
      </c>
      <c r="G141" s="3">
        <v>68</v>
      </c>
      <c r="H141" s="11">
        <f t="shared" si="29"/>
        <v>26.562499999999996</v>
      </c>
      <c r="I141" s="2">
        <v>93</v>
      </c>
      <c r="J141" s="3">
        <v>120</v>
      </c>
      <c r="K141" s="3">
        <v>80</v>
      </c>
      <c r="L141" s="10">
        <f t="shared" si="30"/>
        <v>2</v>
      </c>
      <c r="M141" s="10">
        <f t="shared" ca="1" si="31"/>
        <v>0</v>
      </c>
      <c r="N141" s="10">
        <f t="shared" si="32"/>
        <v>0</v>
      </c>
      <c r="O141" s="10">
        <f t="shared" si="33"/>
        <v>3</v>
      </c>
      <c r="P141" s="10">
        <f t="shared" si="34"/>
        <v>2</v>
      </c>
      <c r="Q141" s="10">
        <f t="shared" si="35"/>
        <v>0</v>
      </c>
      <c r="R141" s="10">
        <f t="shared" ca="1" si="36"/>
        <v>7</v>
      </c>
      <c r="S141" s="10" t="str">
        <f t="shared" ca="1" si="37"/>
        <v>Có</v>
      </c>
      <c r="T141" s="10" t="str">
        <f t="shared" ca="1" si="38"/>
        <v>Có</v>
      </c>
      <c r="U141" s="10" t="str">
        <f t="shared" si="39"/>
        <v>Không</v>
      </c>
      <c r="V141" s="2" t="s">
        <v>51</v>
      </c>
      <c r="W141" s="4">
        <v>46142</v>
      </c>
      <c r="X141" s="8" t="str">
        <f t="shared" si="40"/>
        <v>Tháng 4</v>
      </c>
      <c r="Y141" s="8" t="str">
        <f t="shared" si="41"/>
        <v>Phường Hiệp Thành</v>
      </c>
    </row>
    <row r="142" spans="1:25" x14ac:dyDescent="0.25">
      <c r="A142" s="1" t="s">
        <v>269</v>
      </c>
      <c r="B142" s="2" t="s">
        <v>23</v>
      </c>
      <c r="C142" s="2" t="s">
        <v>110</v>
      </c>
      <c r="D142" s="10">
        <f t="shared" ca="1" si="28"/>
        <v>62</v>
      </c>
      <c r="E142" s="2" t="s">
        <v>26</v>
      </c>
      <c r="F142" s="3">
        <v>150</v>
      </c>
      <c r="G142" s="3">
        <v>79</v>
      </c>
      <c r="H142" s="11">
        <f t="shared" si="29"/>
        <v>35.111111111111114</v>
      </c>
      <c r="I142" s="2">
        <v>78</v>
      </c>
      <c r="J142" s="3">
        <v>120</v>
      </c>
      <c r="K142" s="3">
        <v>70</v>
      </c>
      <c r="L142" s="10">
        <f t="shared" si="30"/>
        <v>0</v>
      </c>
      <c r="M142" s="10">
        <f t="shared" ca="1" si="31"/>
        <v>2</v>
      </c>
      <c r="N142" s="10">
        <f t="shared" si="32"/>
        <v>0</v>
      </c>
      <c r="O142" s="10">
        <f t="shared" si="33"/>
        <v>5</v>
      </c>
      <c r="P142" s="10">
        <f t="shared" si="34"/>
        <v>0</v>
      </c>
      <c r="Q142" s="10">
        <f t="shared" si="35"/>
        <v>0</v>
      </c>
      <c r="R142" s="10">
        <f t="shared" ca="1" si="36"/>
        <v>7</v>
      </c>
      <c r="S142" s="10" t="str">
        <f t="shared" ca="1" si="37"/>
        <v>Có</v>
      </c>
      <c r="T142" s="10" t="str">
        <f t="shared" ca="1" si="38"/>
        <v>Có</v>
      </c>
      <c r="U142" s="10" t="str">
        <f t="shared" si="39"/>
        <v>Không</v>
      </c>
      <c r="V142" s="2" t="s">
        <v>51</v>
      </c>
      <c r="W142" s="4">
        <v>46142</v>
      </c>
      <c r="X142" s="8" t="str">
        <f t="shared" si="40"/>
        <v>Tháng 4</v>
      </c>
      <c r="Y142" s="8" t="str">
        <f t="shared" si="41"/>
        <v>Phường Hiệp Thành</v>
      </c>
    </row>
    <row r="143" spans="1:25" x14ac:dyDescent="0.25">
      <c r="A143" s="1" t="s">
        <v>270</v>
      </c>
      <c r="B143" s="2" t="s">
        <v>23</v>
      </c>
      <c r="C143" s="2" t="s">
        <v>34</v>
      </c>
      <c r="D143" s="10">
        <f t="shared" ca="1" si="28"/>
        <v>78</v>
      </c>
      <c r="E143" s="2" t="s">
        <v>26</v>
      </c>
      <c r="F143" s="3">
        <v>160</v>
      </c>
      <c r="G143" s="3">
        <v>48</v>
      </c>
      <c r="H143" s="11">
        <f t="shared" si="29"/>
        <v>18.749999999999996</v>
      </c>
      <c r="I143" s="2">
        <v>74</v>
      </c>
      <c r="J143" s="3">
        <v>120</v>
      </c>
      <c r="K143" s="3">
        <v>70</v>
      </c>
      <c r="L143" s="10">
        <f t="shared" si="30"/>
        <v>0</v>
      </c>
      <c r="M143" s="10">
        <f t="shared" ca="1" si="31"/>
        <v>2</v>
      </c>
      <c r="N143" s="10">
        <f t="shared" si="32"/>
        <v>0</v>
      </c>
      <c r="O143" s="10">
        <f t="shared" si="33"/>
        <v>0</v>
      </c>
      <c r="P143" s="10">
        <f t="shared" si="34"/>
        <v>0</v>
      </c>
      <c r="Q143" s="10">
        <f t="shared" si="35"/>
        <v>0</v>
      </c>
      <c r="R143" s="10">
        <f t="shared" ca="1" si="36"/>
        <v>2</v>
      </c>
      <c r="S143" s="10" t="str">
        <f t="shared" ca="1" si="37"/>
        <v>Không cần</v>
      </c>
      <c r="T143" s="10" t="str">
        <f t="shared" ca="1" si="38"/>
        <v>Không</v>
      </c>
      <c r="U143" s="10" t="str">
        <f t="shared" si="39"/>
        <v>Không</v>
      </c>
      <c r="V143" s="2" t="s">
        <v>51</v>
      </c>
      <c r="W143" s="4">
        <v>46142</v>
      </c>
      <c r="X143" s="8" t="str">
        <f t="shared" si="40"/>
        <v>Tháng 4</v>
      </c>
      <c r="Y143" s="8" t="str">
        <f t="shared" si="41"/>
        <v>Phường Hiệp Thành</v>
      </c>
    </row>
    <row r="144" spans="1:25" x14ac:dyDescent="0.25">
      <c r="A144" s="1" t="s">
        <v>271</v>
      </c>
      <c r="B144" s="2" t="s">
        <v>23</v>
      </c>
      <c r="C144" s="2" t="s">
        <v>34</v>
      </c>
      <c r="D144" s="10">
        <f t="shared" ca="1" si="28"/>
        <v>78</v>
      </c>
      <c r="E144" s="2" t="s">
        <v>26</v>
      </c>
      <c r="F144" s="3">
        <v>158</v>
      </c>
      <c r="G144" s="3">
        <v>42</v>
      </c>
      <c r="H144" s="11">
        <f t="shared" si="29"/>
        <v>16.824226886716868</v>
      </c>
      <c r="I144" s="2">
        <v>65</v>
      </c>
      <c r="J144" s="3">
        <v>110</v>
      </c>
      <c r="K144" s="3">
        <v>70</v>
      </c>
      <c r="L144" s="10">
        <f t="shared" si="30"/>
        <v>0</v>
      </c>
      <c r="M144" s="10">
        <f t="shared" ca="1" si="31"/>
        <v>2</v>
      </c>
      <c r="N144" s="10">
        <f t="shared" si="32"/>
        <v>0</v>
      </c>
      <c r="O144" s="10">
        <f t="shared" si="33"/>
        <v>0</v>
      </c>
      <c r="P144" s="10">
        <f t="shared" si="34"/>
        <v>0</v>
      </c>
      <c r="Q144" s="10">
        <f t="shared" si="35"/>
        <v>0</v>
      </c>
      <c r="R144" s="10">
        <f t="shared" ca="1" si="36"/>
        <v>2</v>
      </c>
      <c r="S144" s="10" t="str">
        <f t="shared" ca="1" si="37"/>
        <v>Không cần</v>
      </c>
      <c r="T144" s="10" t="str">
        <f t="shared" ca="1" si="38"/>
        <v>Không</v>
      </c>
      <c r="U144" s="10" t="str">
        <f t="shared" si="39"/>
        <v>Không</v>
      </c>
      <c r="V144" s="2" t="s">
        <v>51</v>
      </c>
      <c r="W144" s="4">
        <v>46112</v>
      </c>
      <c r="X144" s="8" t="str">
        <f t="shared" si="40"/>
        <v>Tháng 3</v>
      </c>
      <c r="Y144" s="8" t="str">
        <f t="shared" si="41"/>
        <v>Phường Hiệp Thành</v>
      </c>
    </row>
    <row r="145" spans="1:25" x14ac:dyDescent="0.25">
      <c r="A145" s="1" t="s">
        <v>272</v>
      </c>
      <c r="B145" s="2" t="s">
        <v>30</v>
      </c>
      <c r="C145" s="2" t="s">
        <v>273</v>
      </c>
      <c r="D145" s="10">
        <f t="shared" ca="1" si="28"/>
        <v>47</v>
      </c>
      <c r="E145" s="2" t="s">
        <v>26</v>
      </c>
      <c r="F145" s="3">
        <v>165</v>
      </c>
      <c r="G145" s="3">
        <v>52</v>
      </c>
      <c r="H145" s="11">
        <f t="shared" si="29"/>
        <v>19.100091827364558</v>
      </c>
      <c r="I145" s="2">
        <v>82</v>
      </c>
      <c r="J145" s="3">
        <v>120</v>
      </c>
      <c r="K145" s="3">
        <v>70</v>
      </c>
      <c r="L145" s="10">
        <f t="shared" si="30"/>
        <v>2</v>
      </c>
      <c r="M145" s="10">
        <f t="shared" ca="1" si="31"/>
        <v>1</v>
      </c>
      <c r="N145" s="10">
        <f t="shared" si="32"/>
        <v>0</v>
      </c>
      <c r="O145" s="10">
        <f t="shared" si="33"/>
        <v>0</v>
      </c>
      <c r="P145" s="10">
        <f t="shared" si="34"/>
        <v>0</v>
      </c>
      <c r="Q145" s="10">
        <f t="shared" si="35"/>
        <v>0</v>
      </c>
      <c r="R145" s="10">
        <f t="shared" ca="1" si="36"/>
        <v>3</v>
      </c>
      <c r="S145" s="10" t="str">
        <f t="shared" ca="1" si="37"/>
        <v>Không cần</v>
      </c>
      <c r="T145" s="10" t="str">
        <f t="shared" ca="1" si="38"/>
        <v>Không</v>
      </c>
      <c r="U145" s="10" t="str">
        <f t="shared" si="39"/>
        <v>Không</v>
      </c>
      <c r="V145" s="2" t="s">
        <v>51</v>
      </c>
      <c r="W145" s="4">
        <v>46112</v>
      </c>
      <c r="X145" s="8" t="str">
        <f t="shared" si="40"/>
        <v>Tháng 3</v>
      </c>
      <c r="Y145" s="8" t="str">
        <f t="shared" si="41"/>
        <v>Phường Hiệp Thành</v>
      </c>
    </row>
    <row r="146" spans="1:25" x14ac:dyDescent="0.25">
      <c r="A146" s="1" t="s">
        <v>274</v>
      </c>
      <c r="B146" s="2" t="s">
        <v>23</v>
      </c>
      <c r="C146" s="2" t="s">
        <v>138</v>
      </c>
      <c r="D146" s="10">
        <f t="shared" ca="1" si="28"/>
        <v>67</v>
      </c>
      <c r="E146" s="2" t="s">
        <v>26</v>
      </c>
      <c r="F146" s="3">
        <v>158</v>
      </c>
      <c r="G146" s="3">
        <v>58</v>
      </c>
      <c r="H146" s="11">
        <f t="shared" si="29"/>
        <v>23.233456176894723</v>
      </c>
      <c r="I146" s="2">
        <v>85</v>
      </c>
      <c r="J146" s="3">
        <v>120</v>
      </c>
      <c r="K146" s="3">
        <v>80</v>
      </c>
      <c r="L146" s="10">
        <f t="shared" si="30"/>
        <v>0</v>
      </c>
      <c r="M146" s="10">
        <f t="shared" ca="1" si="31"/>
        <v>2</v>
      </c>
      <c r="N146" s="10">
        <f t="shared" si="32"/>
        <v>0</v>
      </c>
      <c r="O146" s="10">
        <f t="shared" si="33"/>
        <v>3</v>
      </c>
      <c r="P146" s="10">
        <f t="shared" si="34"/>
        <v>2</v>
      </c>
      <c r="Q146" s="10">
        <f t="shared" si="35"/>
        <v>0</v>
      </c>
      <c r="R146" s="10">
        <f t="shared" ca="1" si="36"/>
        <v>7</v>
      </c>
      <c r="S146" s="10" t="str">
        <f t="shared" ca="1" si="37"/>
        <v>Có</v>
      </c>
      <c r="T146" s="10" t="str">
        <f t="shared" ca="1" si="38"/>
        <v>Có</v>
      </c>
      <c r="U146" s="10" t="str">
        <f t="shared" si="39"/>
        <v>Không</v>
      </c>
      <c r="V146" s="2" t="s">
        <v>234</v>
      </c>
      <c r="W146" s="4">
        <v>46142</v>
      </c>
      <c r="X146" s="8" t="str">
        <f t="shared" si="40"/>
        <v>Tháng 4</v>
      </c>
      <c r="Y146" s="8" t="str">
        <f t="shared" si="41"/>
        <v>ấp Biển Đông B</v>
      </c>
    </row>
    <row r="147" spans="1:25" x14ac:dyDescent="0.25">
      <c r="A147" s="1" t="s">
        <v>275</v>
      </c>
      <c r="B147" s="2" t="s">
        <v>23</v>
      </c>
      <c r="C147" s="2" t="s">
        <v>47</v>
      </c>
      <c r="D147" s="10">
        <f t="shared" ca="1" si="28"/>
        <v>55</v>
      </c>
      <c r="E147" s="2" t="s">
        <v>26</v>
      </c>
      <c r="F147" s="3">
        <v>158</v>
      </c>
      <c r="G147" s="3">
        <v>58</v>
      </c>
      <c r="H147" s="11">
        <f t="shared" si="29"/>
        <v>23.233456176894723</v>
      </c>
      <c r="I147" s="2">
        <v>72</v>
      </c>
      <c r="J147" s="3">
        <v>140</v>
      </c>
      <c r="K147" s="3">
        <v>80</v>
      </c>
      <c r="L147" s="10">
        <f t="shared" si="30"/>
        <v>0</v>
      </c>
      <c r="M147" s="10">
        <f t="shared" ca="1" si="31"/>
        <v>2</v>
      </c>
      <c r="N147" s="10">
        <f t="shared" si="32"/>
        <v>0</v>
      </c>
      <c r="O147" s="10">
        <f t="shared" si="33"/>
        <v>3</v>
      </c>
      <c r="P147" s="10">
        <f t="shared" si="34"/>
        <v>0</v>
      </c>
      <c r="Q147" s="10">
        <f t="shared" si="35"/>
        <v>2</v>
      </c>
      <c r="R147" s="10">
        <f t="shared" ca="1" si="36"/>
        <v>7</v>
      </c>
      <c r="S147" s="10" t="str">
        <f t="shared" ca="1" si="37"/>
        <v>Có</v>
      </c>
      <c r="T147" s="10" t="str">
        <f t="shared" ca="1" si="38"/>
        <v>Có</v>
      </c>
      <c r="U147" s="10" t="str">
        <f t="shared" si="39"/>
        <v>Có</v>
      </c>
      <c r="V147" s="2" t="s">
        <v>234</v>
      </c>
      <c r="W147" s="4">
        <v>46112</v>
      </c>
      <c r="X147" s="8" t="str">
        <f t="shared" si="40"/>
        <v>Tháng 3</v>
      </c>
      <c r="Y147" s="8" t="str">
        <f t="shared" si="41"/>
        <v>ấp Biển Đông B</v>
      </c>
    </row>
    <row r="148" spans="1:25" x14ac:dyDescent="0.25">
      <c r="A148" s="1" t="s">
        <v>276</v>
      </c>
      <c r="B148" s="2" t="s">
        <v>23</v>
      </c>
      <c r="C148" s="2" t="s">
        <v>87</v>
      </c>
      <c r="D148" s="10">
        <f t="shared" ca="1" si="28"/>
        <v>49</v>
      </c>
      <c r="E148" s="2" t="s">
        <v>26</v>
      </c>
      <c r="F148" s="3">
        <v>158</v>
      </c>
      <c r="G148" s="3">
        <v>58</v>
      </c>
      <c r="H148" s="11">
        <f t="shared" si="29"/>
        <v>23.233456176894723</v>
      </c>
      <c r="I148" s="2">
        <v>76</v>
      </c>
      <c r="J148" s="3">
        <v>120</v>
      </c>
      <c r="K148" s="3">
        <v>80</v>
      </c>
      <c r="L148" s="10">
        <f t="shared" si="30"/>
        <v>0</v>
      </c>
      <c r="M148" s="10">
        <f t="shared" ca="1" si="31"/>
        <v>1</v>
      </c>
      <c r="N148" s="10">
        <f t="shared" si="32"/>
        <v>0</v>
      </c>
      <c r="O148" s="10">
        <f t="shared" si="33"/>
        <v>3</v>
      </c>
      <c r="P148" s="10">
        <f t="shared" si="34"/>
        <v>0</v>
      </c>
      <c r="Q148" s="10">
        <f t="shared" si="35"/>
        <v>0</v>
      </c>
      <c r="R148" s="10">
        <f t="shared" ca="1" si="36"/>
        <v>4</v>
      </c>
      <c r="S148" s="10" t="str">
        <f t="shared" ca="1" si="37"/>
        <v>Không cần</v>
      </c>
      <c r="T148" s="10" t="str">
        <f t="shared" ca="1" si="38"/>
        <v>Không</v>
      </c>
      <c r="U148" s="10" t="str">
        <f t="shared" si="39"/>
        <v>Không</v>
      </c>
      <c r="V148" s="2" t="s">
        <v>277</v>
      </c>
      <c r="W148" s="4">
        <v>46142</v>
      </c>
      <c r="X148" s="8" t="str">
        <f t="shared" si="40"/>
        <v>Tháng 4</v>
      </c>
      <c r="Y148" s="8" t="str">
        <f t="shared" si="41"/>
        <v>TP - Ấp Giồng Giữa B</v>
      </c>
    </row>
    <row r="149" spans="1:25" x14ac:dyDescent="0.25">
      <c r="A149" s="1" t="s">
        <v>278</v>
      </c>
      <c r="B149" s="2" t="s">
        <v>30</v>
      </c>
      <c r="C149" s="2" t="s">
        <v>155</v>
      </c>
      <c r="D149" s="10">
        <f t="shared" ca="1" si="28"/>
        <v>53</v>
      </c>
      <c r="E149" s="2" t="s">
        <v>26</v>
      </c>
      <c r="F149" s="3">
        <v>169</v>
      </c>
      <c r="G149" s="3">
        <v>69</v>
      </c>
      <c r="H149" s="11">
        <f t="shared" si="29"/>
        <v>24.158817968558527</v>
      </c>
      <c r="I149" s="2">
        <v>94</v>
      </c>
      <c r="J149" s="3">
        <v>120</v>
      </c>
      <c r="K149" s="3">
        <v>80</v>
      </c>
      <c r="L149" s="10">
        <f t="shared" si="30"/>
        <v>2</v>
      </c>
      <c r="M149" s="10">
        <f t="shared" ca="1" si="31"/>
        <v>2</v>
      </c>
      <c r="N149" s="10">
        <f t="shared" si="32"/>
        <v>0</v>
      </c>
      <c r="O149" s="10">
        <f t="shared" si="33"/>
        <v>3</v>
      </c>
      <c r="P149" s="10">
        <f t="shared" si="34"/>
        <v>2</v>
      </c>
      <c r="Q149" s="10">
        <f t="shared" si="35"/>
        <v>0</v>
      </c>
      <c r="R149" s="10">
        <f t="shared" ca="1" si="36"/>
        <v>9</v>
      </c>
      <c r="S149" s="10" t="str">
        <f t="shared" ca="1" si="37"/>
        <v>Có</v>
      </c>
      <c r="T149" s="10" t="str">
        <f t="shared" ca="1" si="38"/>
        <v>Có</v>
      </c>
      <c r="U149" s="10" t="str">
        <f t="shared" si="39"/>
        <v>Không</v>
      </c>
      <c r="V149" s="2" t="s">
        <v>234</v>
      </c>
      <c r="W149" s="4">
        <v>46112</v>
      </c>
      <c r="X149" s="8" t="str">
        <f t="shared" si="40"/>
        <v>Tháng 3</v>
      </c>
      <c r="Y149" s="8" t="str">
        <f t="shared" si="41"/>
        <v>ấp Biển Đông B</v>
      </c>
    </row>
    <row r="150" spans="1:25" x14ac:dyDescent="0.25">
      <c r="A150" s="1" t="s">
        <v>279</v>
      </c>
      <c r="B150" s="2" t="s">
        <v>23</v>
      </c>
      <c r="C150" s="2" t="s">
        <v>47</v>
      </c>
      <c r="D150" s="10">
        <f t="shared" ca="1" si="28"/>
        <v>55</v>
      </c>
      <c r="E150" s="2" t="s">
        <v>25</v>
      </c>
      <c r="F150" s="3">
        <v>158</v>
      </c>
      <c r="G150" s="3">
        <v>58</v>
      </c>
      <c r="H150" s="11">
        <f t="shared" si="29"/>
        <v>23.233456176894723</v>
      </c>
      <c r="I150" s="2">
        <v>66</v>
      </c>
      <c r="J150" s="3">
        <v>120</v>
      </c>
      <c r="K150" s="3">
        <v>80</v>
      </c>
      <c r="L150" s="10">
        <f t="shared" si="30"/>
        <v>0</v>
      </c>
      <c r="M150" s="10">
        <f t="shared" ca="1" si="31"/>
        <v>2</v>
      </c>
      <c r="N150" s="10">
        <f t="shared" si="32"/>
        <v>4</v>
      </c>
      <c r="O150" s="10">
        <f t="shared" si="33"/>
        <v>3</v>
      </c>
      <c r="P150" s="10">
        <f t="shared" si="34"/>
        <v>0</v>
      </c>
      <c r="Q150" s="10">
        <f t="shared" si="35"/>
        <v>0</v>
      </c>
      <c r="R150" s="10">
        <f t="shared" ca="1" si="36"/>
        <v>9</v>
      </c>
      <c r="S150" s="10" t="str">
        <f t="shared" ca="1" si="37"/>
        <v>Có</v>
      </c>
      <c r="T150" s="10" t="str">
        <f t="shared" ca="1" si="38"/>
        <v>Có</v>
      </c>
      <c r="U150" s="10" t="str">
        <f t="shared" si="39"/>
        <v>Không</v>
      </c>
      <c r="V150" s="2" t="s">
        <v>32</v>
      </c>
      <c r="W150" s="4">
        <v>46142</v>
      </c>
      <c r="X150" s="8" t="str">
        <f t="shared" si="40"/>
        <v>Tháng 4</v>
      </c>
      <c r="Y150" s="8" t="str">
        <f t="shared" si="41"/>
        <v>Ấp Giồng Giữa B</v>
      </c>
    </row>
    <row r="151" spans="1:25" x14ac:dyDescent="0.25">
      <c r="A151" s="1" t="s">
        <v>280</v>
      </c>
      <c r="B151" s="2" t="s">
        <v>30</v>
      </c>
      <c r="C151" s="2" t="s">
        <v>37</v>
      </c>
      <c r="D151" s="10">
        <f t="shared" ca="1" si="28"/>
        <v>75</v>
      </c>
      <c r="E151" s="2" t="s">
        <v>26</v>
      </c>
      <c r="F151" s="3">
        <v>169</v>
      </c>
      <c r="G151" s="3">
        <v>68</v>
      </c>
      <c r="H151" s="11">
        <f t="shared" si="29"/>
        <v>23.808690171912751</v>
      </c>
      <c r="I151" s="2">
        <v>94</v>
      </c>
      <c r="J151" s="3">
        <v>140</v>
      </c>
      <c r="K151" s="3">
        <v>80</v>
      </c>
      <c r="L151" s="10">
        <f t="shared" si="30"/>
        <v>2</v>
      </c>
      <c r="M151" s="10">
        <f t="shared" ca="1" si="31"/>
        <v>2</v>
      </c>
      <c r="N151" s="10">
        <f t="shared" si="32"/>
        <v>0</v>
      </c>
      <c r="O151" s="10">
        <f t="shared" si="33"/>
        <v>3</v>
      </c>
      <c r="P151" s="10">
        <f t="shared" si="34"/>
        <v>2</v>
      </c>
      <c r="Q151" s="10">
        <f t="shared" si="35"/>
        <v>2</v>
      </c>
      <c r="R151" s="10">
        <f t="shared" ca="1" si="36"/>
        <v>11</v>
      </c>
      <c r="S151" s="10" t="str">
        <f t="shared" ca="1" si="37"/>
        <v>Có</v>
      </c>
      <c r="T151" s="10" t="str">
        <f t="shared" ca="1" si="38"/>
        <v>Có</v>
      </c>
      <c r="U151" s="10" t="str">
        <f t="shared" si="39"/>
        <v>Có</v>
      </c>
      <c r="V151" s="2" t="s">
        <v>38</v>
      </c>
      <c r="W151" s="4">
        <v>46112</v>
      </c>
      <c r="X151" s="8" t="str">
        <f t="shared" si="40"/>
        <v>Tháng 3</v>
      </c>
      <c r="Y151" s="8" t="str">
        <f t="shared" si="41"/>
        <v>Ấp Biển Đông B</v>
      </c>
    </row>
    <row r="152" spans="1:25" x14ac:dyDescent="0.25">
      <c r="A152" s="1" t="s">
        <v>281</v>
      </c>
      <c r="B152" s="2" t="s">
        <v>30</v>
      </c>
      <c r="C152" s="2" t="s">
        <v>163</v>
      </c>
      <c r="D152" s="10">
        <f t="shared" ca="1" si="28"/>
        <v>46</v>
      </c>
      <c r="E152" s="2" t="s">
        <v>26</v>
      </c>
      <c r="F152" s="3">
        <v>162</v>
      </c>
      <c r="G152" s="3">
        <v>65</v>
      </c>
      <c r="H152" s="11">
        <f t="shared" si="29"/>
        <v>24.767565919829291</v>
      </c>
      <c r="I152" s="2">
        <v>89</v>
      </c>
      <c r="J152" s="3">
        <v>120</v>
      </c>
      <c r="K152" s="3">
        <v>70</v>
      </c>
      <c r="L152" s="10">
        <f t="shared" si="30"/>
        <v>2</v>
      </c>
      <c r="M152" s="10">
        <f t="shared" ca="1" si="31"/>
        <v>1</v>
      </c>
      <c r="N152" s="10">
        <f t="shared" si="32"/>
        <v>0</v>
      </c>
      <c r="O152" s="10">
        <f t="shared" si="33"/>
        <v>3</v>
      </c>
      <c r="P152" s="10">
        <f t="shared" si="34"/>
        <v>0</v>
      </c>
      <c r="Q152" s="10">
        <f t="shared" si="35"/>
        <v>0</v>
      </c>
      <c r="R152" s="10">
        <f t="shared" ca="1" si="36"/>
        <v>6</v>
      </c>
      <c r="S152" s="10" t="str">
        <f t="shared" ca="1" si="37"/>
        <v>Có</v>
      </c>
      <c r="T152" s="10" t="str">
        <f t="shared" ca="1" si="38"/>
        <v>Có</v>
      </c>
      <c r="U152" s="10" t="str">
        <f t="shared" si="39"/>
        <v>Không</v>
      </c>
      <c r="V152" s="2" t="s">
        <v>51</v>
      </c>
      <c r="W152" s="4">
        <v>46112</v>
      </c>
      <c r="X152" s="8" t="str">
        <f t="shared" si="40"/>
        <v>Tháng 3</v>
      </c>
      <c r="Y152" s="8" t="str">
        <f t="shared" si="41"/>
        <v>Phường Hiệp Thành</v>
      </c>
    </row>
    <row r="153" spans="1:25" x14ac:dyDescent="0.25">
      <c r="A153" s="1" t="s">
        <v>282</v>
      </c>
      <c r="B153" s="2" t="s">
        <v>30</v>
      </c>
      <c r="C153" s="2" t="s">
        <v>93</v>
      </c>
      <c r="D153" s="10">
        <f t="shared" ca="1" si="28"/>
        <v>66</v>
      </c>
      <c r="E153" s="2" t="s">
        <v>26</v>
      </c>
      <c r="F153" s="3">
        <v>169</v>
      </c>
      <c r="G153" s="3">
        <v>68</v>
      </c>
      <c r="H153" s="11">
        <f t="shared" si="29"/>
        <v>23.808690171912751</v>
      </c>
      <c r="I153" s="2">
        <v>90</v>
      </c>
      <c r="J153" s="3">
        <v>120</v>
      </c>
      <c r="K153" s="3">
        <v>80</v>
      </c>
      <c r="L153" s="10">
        <f t="shared" si="30"/>
        <v>2</v>
      </c>
      <c r="M153" s="10">
        <f t="shared" ca="1" si="31"/>
        <v>2</v>
      </c>
      <c r="N153" s="10">
        <f t="shared" si="32"/>
        <v>0</v>
      </c>
      <c r="O153" s="10">
        <f t="shared" si="33"/>
        <v>3</v>
      </c>
      <c r="P153" s="10">
        <f t="shared" si="34"/>
        <v>2</v>
      </c>
      <c r="Q153" s="10">
        <f t="shared" si="35"/>
        <v>0</v>
      </c>
      <c r="R153" s="10">
        <f t="shared" ca="1" si="36"/>
        <v>9</v>
      </c>
      <c r="S153" s="10" t="str">
        <f t="shared" ca="1" si="37"/>
        <v>Có</v>
      </c>
      <c r="T153" s="10" t="str">
        <f t="shared" ca="1" si="38"/>
        <v>Có</v>
      </c>
      <c r="U153" s="10" t="str">
        <f t="shared" si="39"/>
        <v>Không</v>
      </c>
      <c r="V153" s="2" t="s">
        <v>60</v>
      </c>
      <c r="W153" s="4">
        <v>46142</v>
      </c>
      <c r="X153" s="8" t="str">
        <f t="shared" si="40"/>
        <v>Tháng 4</v>
      </c>
      <c r="Y153" s="8" t="str">
        <f t="shared" si="41"/>
        <v>ấp Biển Đông A</v>
      </c>
    </row>
    <row r="154" spans="1:25" x14ac:dyDescent="0.25">
      <c r="A154" s="1" t="s">
        <v>283</v>
      </c>
      <c r="B154" s="2" t="s">
        <v>23</v>
      </c>
      <c r="C154" s="2" t="s">
        <v>188</v>
      </c>
      <c r="D154" s="10">
        <f t="shared" ca="1" si="28"/>
        <v>63</v>
      </c>
      <c r="E154" s="2" t="s">
        <v>26</v>
      </c>
      <c r="F154" s="3">
        <v>158</v>
      </c>
      <c r="G154" s="3">
        <v>65</v>
      </c>
      <c r="H154" s="11">
        <f t="shared" si="29"/>
        <v>26.037493991347535</v>
      </c>
      <c r="I154" s="2">
        <v>76</v>
      </c>
      <c r="J154" s="3">
        <v>130</v>
      </c>
      <c r="K154" s="3">
        <v>80</v>
      </c>
      <c r="L154" s="10">
        <f t="shared" si="30"/>
        <v>0</v>
      </c>
      <c r="M154" s="10">
        <f t="shared" ca="1" si="31"/>
        <v>2</v>
      </c>
      <c r="N154" s="10">
        <f t="shared" si="32"/>
        <v>0</v>
      </c>
      <c r="O154" s="10">
        <f t="shared" si="33"/>
        <v>3</v>
      </c>
      <c r="P154" s="10">
        <f t="shared" si="34"/>
        <v>0</v>
      </c>
      <c r="Q154" s="10">
        <f t="shared" si="35"/>
        <v>0</v>
      </c>
      <c r="R154" s="10">
        <f t="shared" ca="1" si="36"/>
        <v>5</v>
      </c>
      <c r="S154" s="10" t="str">
        <f t="shared" ca="1" si="37"/>
        <v>Không cần</v>
      </c>
      <c r="T154" s="10" t="str">
        <f t="shared" ca="1" si="38"/>
        <v>Không</v>
      </c>
      <c r="U154" s="10" t="str">
        <f t="shared" si="39"/>
        <v>Không</v>
      </c>
      <c r="V154" s="2" t="s">
        <v>51</v>
      </c>
      <c r="W154" s="4">
        <v>46142</v>
      </c>
      <c r="X154" s="8" t="str">
        <f t="shared" si="40"/>
        <v>Tháng 4</v>
      </c>
      <c r="Y154" s="8" t="str">
        <f t="shared" si="41"/>
        <v>Phường Hiệp Thành</v>
      </c>
    </row>
    <row r="155" spans="1:25" x14ac:dyDescent="0.25">
      <c r="A155" s="1" t="s">
        <v>284</v>
      </c>
      <c r="B155" s="2" t="s">
        <v>23</v>
      </c>
      <c r="C155" s="2" t="s">
        <v>53</v>
      </c>
      <c r="D155" s="10">
        <f t="shared" ca="1" si="28"/>
        <v>72</v>
      </c>
      <c r="E155" s="2" t="s">
        <v>26</v>
      </c>
      <c r="F155" s="3">
        <v>158</v>
      </c>
      <c r="G155" s="3">
        <v>58</v>
      </c>
      <c r="H155" s="11">
        <f t="shared" si="29"/>
        <v>23.233456176894723</v>
      </c>
      <c r="I155" s="2">
        <v>79</v>
      </c>
      <c r="J155" s="3">
        <v>130</v>
      </c>
      <c r="K155" s="3">
        <v>80</v>
      </c>
      <c r="L155" s="10">
        <f t="shared" si="30"/>
        <v>0</v>
      </c>
      <c r="M155" s="10">
        <f t="shared" ca="1" si="31"/>
        <v>2</v>
      </c>
      <c r="N155" s="10">
        <f t="shared" si="32"/>
        <v>0</v>
      </c>
      <c r="O155" s="10">
        <f t="shared" si="33"/>
        <v>3</v>
      </c>
      <c r="P155" s="10">
        <f t="shared" si="34"/>
        <v>0</v>
      </c>
      <c r="Q155" s="10">
        <f t="shared" si="35"/>
        <v>0</v>
      </c>
      <c r="R155" s="10">
        <f t="shared" ca="1" si="36"/>
        <v>5</v>
      </c>
      <c r="S155" s="10" t="str">
        <f t="shared" ca="1" si="37"/>
        <v>Không cần</v>
      </c>
      <c r="T155" s="10" t="str">
        <f t="shared" ca="1" si="38"/>
        <v>Không</v>
      </c>
      <c r="U155" s="10" t="str">
        <f t="shared" si="39"/>
        <v>Không</v>
      </c>
      <c r="V155" s="2" t="s">
        <v>38</v>
      </c>
      <c r="W155" s="4">
        <v>46142</v>
      </c>
      <c r="X155" s="8" t="str">
        <f t="shared" si="40"/>
        <v>Tháng 4</v>
      </c>
      <c r="Y155" s="8" t="str">
        <f t="shared" si="41"/>
        <v>Ấp Biển Đông B</v>
      </c>
    </row>
    <row r="156" spans="1:25" x14ac:dyDescent="0.25">
      <c r="A156" s="1" t="s">
        <v>285</v>
      </c>
      <c r="B156" s="2" t="s">
        <v>30</v>
      </c>
      <c r="C156" s="2" t="s">
        <v>62</v>
      </c>
      <c r="D156" s="10">
        <f t="shared" ca="1" si="28"/>
        <v>64</v>
      </c>
      <c r="E156" s="2" t="s">
        <v>26</v>
      </c>
      <c r="F156" s="3">
        <v>160</v>
      </c>
      <c r="G156" s="3">
        <v>50</v>
      </c>
      <c r="H156" s="11">
        <f t="shared" si="29"/>
        <v>19.531249999999996</v>
      </c>
      <c r="I156" s="2">
        <v>77</v>
      </c>
      <c r="J156" s="3">
        <v>120</v>
      </c>
      <c r="K156" s="3">
        <v>70</v>
      </c>
      <c r="L156" s="10">
        <f t="shared" si="30"/>
        <v>2</v>
      </c>
      <c r="M156" s="10">
        <f t="shared" ca="1" si="31"/>
        <v>2</v>
      </c>
      <c r="N156" s="10">
        <f t="shared" si="32"/>
        <v>0</v>
      </c>
      <c r="O156" s="10">
        <f t="shared" si="33"/>
        <v>0</v>
      </c>
      <c r="P156" s="10">
        <f t="shared" si="34"/>
        <v>0</v>
      </c>
      <c r="Q156" s="10">
        <f t="shared" si="35"/>
        <v>0</v>
      </c>
      <c r="R156" s="10">
        <f t="shared" ca="1" si="36"/>
        <v>4</v>
      </c>
      <c r="S156" s="10" t="str">
        <f t="shared" ca="1" si="37"/>
        <v>Không cần</v>
      </c>
      <c r="T156" s="10" t="str">
        <f t="shared" ca="1" si="38"/>
        <v>Không</v>
      </c>
      <c r="U156" s="10" t="str">
        <f t="shared" si="39"/>
        <v>Không</v>
      </c>
      <c r="V156" s="2" t="s">
        <v>91</v>
      </c>
      <c r="W156" s="4">
        <v>46142</v>
      </c>
      <c r="X156" s="8" t="str">
        <f t="shared" si="40"/>
        <v>Tháng 4</v>
      </c>
      <c r="Y156" s="8" t="str">
        <f t="shared" si="41"/>
        <v>Ấp Giồng Giữa</v>
      </c>
    </row>
    <row r="157" spans="1:25" x14ac:dyDescent="0.25">
      <c r="A157" s="1" t="s">
        <v>286</v>
      </c>
      <c r="B157" s="2" t="s">
        <v>23</v>
      </c>
      <c r="C157" s="2" t="s">
        <v>47</v>
      </c>
      <c r="D157" s="10">
        <f t="shared" ca="1" si="28"/>
        <v>55</v>
      </c>
      <c r="E157" s="2" t="s">
        <v>26</v>
      </c>
      <c r="F157" s="3">
        <v>158</v>
      </c>
      <c r="G157" s="3">
        <v>58</v>
      </c>
      <c r="H157" s="11">
        <f t="shared" si="29"/>
        <v>23.233456176894723</v>
      </c>
      <c r="I157" s="2">
        <v>75</v>
      </c>
      <c r="J157" s="3">
        <v>100</v>
      </c>
      <c r="K157" s="3">
        <v>60</v>
      </c>
      <c r="L157" s="10">
        <f t="shared" si="30"/>
        <v>0</v>
      </c>
      <c r="M157" s="10">
        <f t="shared" ca="1" si="31"/>
        <v>2</v>
      </c>
      <c r="N157" s="10">
        <f t="shared" si="32"/>
        <v>0</v>
      </c>
      <c r="O157" s="10">
        <f t="shared" si="33"/>
        <v>3</v>
      </c>
      <c r="P157" s="10">
        <f t="shared" si="34"/>
        <v>0</v>
      </c>
      <c r="Q157" s="10">
        <f t="shared" si="35"/>
        <v>0</v>
      </c>
      <c r="R157" s="10">
        <f t="shared" ca="1" si="36"/>
        <v>5</v>
      </c>
      <c r="S157" s="10" t="str">
        <f t="shared" ca="1" si="37"/>
        <v>Không cần</v>
      </c>
      <c r="T157" s="10" t="str">
        <f t="shared" ca="1" si="38"/>
        <v>Không</v>
      </c>
      <c r="U157" s="10" t="str">
        <f t="shared" si="39"/>
        <v>Không</v>
      </c>
      <c r="V157" s="2" t="s">
        <v>234</v>
      </c>
      <c r="W157" s="4">
        <v>46142</v>
      </c>
      <c r="X157" s="8" t="str">
        <f t="shared" si="40"/>
        <v>Tháng 4</v>
      </c>
      <c r="Y157" s="8" t="str">
        <f t="shared" si="41"/>
        <v>ấp Biển Đông B</v>
      </c>
    </row>
    <row r="158" spans="1:25" x14ac:dyDescent="0.25">
      <c r="A158" s="1" t="s">
        <v>287</v>
      </c>
      <c r="B158" s="2" t="s">
        <v>23</v>
      </c>
      <c r="C158" s="2" t="s">
        <v>133</v>
      </c>
      <c r="D158" s="10">
        <f t="shared" ca="1" si="28"/>
        <v>56</v>
      </c>
      <c r="E158" s="2" t="s">
        <v>26</v>
      </c>
      <c r="F158" s="3">
        <v>158</v>
      </c>
      <c r="G158" s="3">
        <v>58</v>
      </c>
      <c r="H158" s="11">
        <f t="shared" si="29"/>
        <v>23.233456176894723</v>
      </c>
      <c r="I158" s="2">
        <v>67</v>
      </c>
      <c r="J158" s="3">
        <v>130</v>
      </c>
      <c r="K158" s="3">
        <v>80</v>
      </c>
      <c r="L158" s="10">
        <f t="shared" si="30"/>
        <v>0</v>
      </c>
      <c r="M158" s="10">
        <f t="shared" ca="1" si="31"/>
        <v>2</v>
      </c>
      <c r="N158" s="10">
        <f t="shared" si="32"/>
        <v>0</v>
      </c>
      <c r="O158" s="10">
        <f t="shared" si="33"/>
        <v>3</v>
      </c>
      <c r="P158" s="10">
        <f t="shared" si="34"/>
        <v>0</v>
      </c>
      <c r="Q158" s="10">
        <f t="shared" si="35"/>
        <v>0</v>
      </c>
      <c r="R158" s="10">
        <f t="shared" ca="1" si="36"/>
        <v>5</v>
      </c>
      <c r="S158" s="10" t="str">
        <f t="shared" ca="1" si="37"/>
        <v>Không cần</v>
      </c>
      <c r="T158" s="10" t="str">
        <f t="shared" ca="1" si="38"/>
        <v>Không</v>
      </c>
      <c r="U158" s="10" t="str">
        <f t="shared" si="39"/>
        <v>Không</v>
      </c>
      <c r="V158" s="2" t="s">
        <v>68</v>
      </c>
      <c r="W158" s="4">
        <v>46142</v>
      </c>
      <c r="X158" s="8" t="str">
        <f t="shared" si="40"/>
        <v>Tháng 4</v>
      </c>
      <c r="Y158" s="8" t="str">
        <f t="shared" si="41"/>
        <v>Ấp Biển Tây B</v>
      </c>
    </row>
    <row r="159" spans="1:25" x14ac:dyDescent="0.25">
      <c r="A159" s="1" t="s">
        <v>288</v>
      </c>
      <c r="B159" s="2" t="s">
        <v>30</v>
      </c>
      <c r="C159" s="2" t="s">
        <v>87</v>
      </c>
      <c r="D159" s="10">
        <f t="shared" ca="1" si="28"/>
        <v>49</v>
      </c>
      <c r="E159" s="2" t="s">
        <v>26</v>
      </c>
      <c r="F159" s="3">
        <v>160</v>
      </c>
      <c r="G159" s="3">
        <v>65</v>
      </c>
      <c r="H159" s="11">
        <f t="shared" si="29"/>
        <v>25.390624999999996</v>
      </c>
      <c r="I159" s="2">
        <v>91</v>
      </c>
      <c r="J159" s="3">
        <v>120</v>
      </c>
      <c r="K159" s="3">
        <v>70</v>
      </c>
      <c r="L159" s="10">
        <f t="shared" si="30"/>
        <v>2</v>
      </c>
      <c r="M159" s="10">
        <f t="shared" ca="1" si="31"/>
        <v>1</v>
      </c>
      <c r="N159" s="10">
        <f t="shared" si="32"/>
        <v>0</v>
      </c>
      <c r="O159" s="10">
        <f t="shared" si="33"/>
        <v>3</v>
      </c>
      <c r="P159" s="10">
        <f t="shared" si="34"/>
        <v>2</v>
      </c>
      <c r="Q159" s="10">
        <f t="shared" si="35"/>
        <v>0</v>
      </c>
      <c r="R159" s="10">
        <f t="shared" ca="1" si="36"/>
        <v>8</v>
      </c>
      <c r="S159" s="10" t="str">
        <f t="shared" ca="1" si="37"/>
        <v>Có</v>
      </c>
      <c r="T159" s="10" t="str">
        <f t="shared" ca="1" si="38"/>
        <v>Có</v>
      </c>
      <c r="U159" s="10" t="str">
        <f t="shared" si="39"/>
        <v>Không</v>
      </c>
      <c r="V159" s="2" t="s">
        <v>88</v>
      </c>
      <c r="W159" s="4">
        <v>46142</v>
      </c>
      <c r="X159" s="8" t="str">
        <f t="shared" si="40"/>
        <v>Tháng 4</v>
      </c>
      <c r="Y159" s="8" t="str">
        <f t="shared" si="41"/>
        <v>Giồng Giữa</v>
      </c>
    </row>
    <row r="160" spans="1:25" x14ac:dyDescent="0.25">
      <c r="A160" s="1" t="s">
        <v>289</v>
      </c>
      <c r="B160" s="2" t="s">
        <v>23</v>
      </c>
      <c r="C160" s="2" t="s">
        <v>64</v>
      </c>
      <c r="D160" s="10">
        <f t="shared" ca="1" si="28"/>
        <v>42</v>
      </c>
      <c r="E160" s="2" t="s">
        <v>25</v>
      </c>
      <c r="F160" s="3">
        <v>160</v>
      </c>
      <c r="G160" s="3">
        <v>55</v>
      </c>
      <c r="H160" s="11">
        <f t="shared" si="29"/>
        <v>21.484374999999996</v>
      </c>
      <c r="I160" s="2">
        <v>85</v>
      </c>
      <c r="J160" s="3">
        <v>120</v>
      </c>
      <c r="K160" s="3">
        <v>70</v>
      </c>
      <c r="L160" s="10">
        <f t="shared" si="30"/>
        <v>0</v>
      </c>
      <c r="M160" s="10">
        <f t="shared" ca="1" si="31"/>
        <v>0</v>
      </c>
      <c r="N160" s="10">
        <f t="shared" si="32"/>
        <v>4</v>
      </c>
      <c r="O160" s="10">
        <f t="shared" si="33"/>
        <v>0</v>
      </c>
      <c r="P160" s="10">
        <f t="shared" si="34"/>
        <v>2</v>
      </c>
      <c r="Q160" s="10">
        <f t="shared" si="35"/>
        <v>0</v>
      </c>
      <c r="R160" s="10">
        <f t="shared" ca="1" si="36"/>
        <v>6</v>
      </c>
      <c r="S160" s="10" t="str">
        <f t="shared" ca="1" si="37"/>
        <v>Có</v>
      </c>
      <c r="T160" s="10" t="str">
        <f t="shared" ca="1" si="38"/>
        <v>Có</v>
      </c>
      <c r="U160" s="10" t="str">
        <f t="shared" si="39"/>
        <v>Không</v>
      </c>
      <c r="V160" s="2" t="s">
        <v>51</v>
      </c>
      <c r="W160" s="4">
        <v>46142</v>
      </c>
      <c r="X160" s="8" t="str">
        <f t="shared" si="40"/>
        <v>Tháng 4</v>
      </c>
      <c r="Y160" s="8" t="str">
        <f t="shared" si="41"/>
        <v>Phường Hiệp Thành</v>
      </c>
    </row>
    <row r="161" spans="1:25" x14ac:dyDescent="0.25">
      <c r="A161" s="1" t="s">
        <v>290</v>
      </c>
      <c r="B161" s="2" t="s">
        <v>23</v>
      </c>
      <c r="C161" s="2" t="s">
        <v>127</v>
      </c>
      <c r="D161" s="10">
        <f t="shared" ca="1" si="28"/>
        <v>76</v>
      </c>
      <c r="E161" s="2" t="s">
        <v>26</v>
      </c>
      <c r="F161" s="3">
        <v>158</v>
      </c>
      <c r="G161" s="3">
        <v>58</v>
      </c>
      <c r="H161" s="11">
        <f t="shared" si="29"/>
        <v>23.233456176894723</v>
      </c>
      <c r="I161" s="2">
        <v>73</v>
      </c>
      <c r="J161" s="3">
        <v>130</v>
      </c>
      <c r="K161" s="3">
        <v>80</v>
      </c>
      <c r="L161" s="10">
        <f t="shared" si="30"/>
        <v>0</v>
      </c>
      <c r="M161" s="10">
        <f t="shared" ca="1" si="31"/>
        <v>2</v>
      </c>
      <c r="N161" s="10">
        <f t="shared" si="32"/>
        <v>0</v>
      </c>
      <c r="O161" s="10">
        <f t="shared" si="33"/>
        <v>3</v>
      </c>
      <c r="P161" s="10">
        <f t="shared" si="34"/>
        <v>0</v>
      </c>
      <c r="Q161" s="10">
        <f t="shared" si="35"/>
        <v>0</v>
      </c>
      <c r="R161" s="10">
        <f t="shared" ca="1" si="36"/>
        <v>5</v>
      </c>
      <c r="S161" s="10" t="str">
        <f t="shared" ca="1" si="37"/>
        <v>Không cần</v>
      </c>
      <c r="T161" s="10" t="str">
        <f t="shared" ca="1" si="38"/>
        <v>Không</v>
      </c>
      <c r="U161" s="10" t="str">
        <f t="shared" si="39"/>
        <v>Không</v>
      </c>
      <c r="V161" s="2" t="s">
        <v>291</v>
      </c>
      <c r="W161" s="4">
        <v>46142</v>
      </c>
      <c r="X161" s="8" t="str">
        <f t="shared" si="40"/>
        <v>Tháng 4</v>
      </c>
      <c r="Y161" s="8" t="str">
        <f t="shared" si="41"/>
        <v>Ấp 15</v>
      </c>
    </row>
    <row r="162" spans="1:25" x14ac:dyDescent="0.25">
      <c r="A162" s="1" t="s">
        <v>292</v>
      </c>
      <c r="B162" s="2" t="s">
        <v>23</v>
      </c>
      <c r="C162" s="2" t="s">
        <v>138</v>
      </c>
      <c r="D162" s="10">
        <f t="shared" ca="1" si="28"/>
        <v>67</v>
      </c>
      <c r="E162" s="2" t="s">
        <v>25</v>
      </c>
      <c r="F162" s="3">
        <v>150</v>
      </c>
      <c r="G162" s="3">
        <v>50</v>
      </c>
      <c r="H162" s="11">
        <f t="shared" si="29"/>
        <v>22.222222222222221</v>
      </c>
      <c r="I162" s="2">
        <v>86</v>
      </c>
      <c r="J162" s="3">
        <v>120</v>
      </c>
      <c r="K162" s="3">
        <v>80</v>
      </c>
      <c r="L162" s="10">
        <f t="shared" si="30"/>
        <v>0</v>
      </c>
      <c r="M162" s="10">
        <f t="shared" ca="1" si="31"/>
        <v>2</v>
      </c>
      <c r="N162" s="10">
        <f t="shared" si="32"/>
        <v>4</v>
      </c>
      <c r="O162" s="10">
        <f t="shared" si="33"/>
        <v>0</v>
      </c>
      <c r="P162" s="10">
        <f t="shared" si="34"/>
        <v>2</v>
      </c>
      <c r="Q162" s="10">
        <f t="shared" si="35"/>
        <v>0</v>
      </c>
      <c r="R162" s="10">
        <f t="shared" ca="1" si="36"/>
        <v>8</v>
      </c>
      <c r="S162" s="10" t="str">
        <f t="shared" ca="1" si="37"/>
        <v>Có</v>
      </c>
      <c r="T162" s="10" t="str">
        <f t="shared" ca="1" si="38"/>
        <v>Có</v>
      </c>
      <c r="U162" s="10" t="str">
        <f t="shared" si="39"/>
        <v>Không</v>
      </c>
      <c r="V162" s="2" t="s">
        <v>160</v>
      </c>
      <c r="W162" s="4">
        <v>46142</v>
      </c>
      <c r="X162" s="8" t="str">
        <f t="shared" si="40"/>
        <v>Tháng 4</v>
      </c>
      <c r="Y162" s="8" t="str">
        <f t="shared" si="41"/>
        <v>Ấp Giồng Nhãn</v>
      </c>
    </row>
    <row r="163" spans="1:25" x14ac:dyDescent="0.25">
      <c r="A163" s="1" t="s">
        <v>293</v>
      </c>
      <c r="B163" s="2" t="s">
        <v>30</v>
      </c>
      <c r="C163" s="2" t="s">
        <v>93</v>
      </c>
      <c r="D163" s="10">
        <f t="shared" ca="1" si="28"/>
        <v>66</v>
      </c>
      <c r="E163" s="2" t="s">
        <v>25</v>
      </c>
      <c r="F163" s="3">
        <v>169</v>
      </c>
      <c r="G163" s="3">
        <v>68</v>
      </c>
      <c r="H163" s="11">
        <f t="shared" si="29"/>
        <v>23.808690171912751</v>
      </c>
      <c r="I163" s="2">
        <v>80</v>
      </c>
      <c r="J163" s="3">
        <v>140</v>
      </c>
      <c r="K163" s="3">
        <v>80</v>
      </c>
      <c r="L163" s="10">
        <f t="shared" si="30"/>
        <v>2</v>
      </c>
      <c r="M163" s="10">
        <f t="shared" ca="1" si="31"/>
        <v>2</v>
      </c>
      <c r="N163" s="10">
        <f t="shared" si="32"/>
        <v>4</v>
      </c>
      <c r="O163" s="10">
        <f t="shared" si="33"/>
        <v>3</v>
      </c>
      <c r="P163" s="10">
        <f t="shared" si="34"/>
        <v>0</v>
      </c>
      <c r="Q163" s="10">
        <f t="shared" si="35"/>
        <v>2</v>
      </c>
      <c r="R163" s="10">
        <f t="shared" ca="1" si="36"/>
        <v>13</v>
      </c>
      <c r="S163" s="10" t="str">
        <f t="shared" ca="1" si="37"/>
        <v>Có</v>
      </c>
      <c r="T163" s="10" t="str">
        <f t="shared" ca="1" si="38"/>
        <v>Có</v>
      </c>
      <c r="U163" s="10" t="str">
        <f t="shared" si="39"/>
        <v>Có</v>
      </c>
      <c r="V163" s="2" t="s">
        <v>294</v>
      </c>
      <c r="W163" s="4">
        <v>46142</v>
      </c>
      <c r="X163" s="8" t="str">
        <f t="shared" si="40"/>
        <v>Tháng 4</v>
      </c>
      <c r="Y163" s="8" t="str">
        <f t="shared" si="41"/>
        <v>Phường Mỹ Xuyên</v>
      </c>
    </row>
    <row r="164" spans="1:25" x14ac:dyDescent="0.25">
      <c r="A164" s="1" t="s">
        <v>295</v>
      </c>
      <c r="B164" s="2" t="s">
        <v>30</v>
      </c>
      <c r="C164" s="2" t="s">
        <v>37</v>
      </c>
      <c r="D164" s="10">
        <f t="shared" ca="1" si="28"/>
        <v>75</v>
      </c>
      <c r="E164" s="2" t="s">
        <v>25</v>
      </c>
      <c r="F164" s="3">
        <v>169</v>
      </c>
      <c r="G164" s="3">
        <v>68</v>
      </c>
      <c r="H164" s="11">
        <f t="shared" si="29"/>
        <v>23.808690171912751</v>
      </c>
      <c r="I164" s="2">
        <v>96</v>
      </c>
      <c r="J164" s="3">
        <v>150</v>
      </c>
      <c r="K164" s="3">
        <v>80</v>
      </c>
      <c r="L164" s="10">
        <f t="shared" si="30"/>
        <v>2</v>
      </c>
      <c r="M164" s="10">
        <f t="shared" ca="1" si="31"/>
        <v>2</v>
      </c>
      <c r="N164" s="10">
        <f t="shared" si="32"/>
        <v>4</v>
      </c>
      <c r="O164" s="10">
        <f t="shared" si="33"/>
        <v>3</v>
      </c>
      <c r="P164" s="10">
        <f t="shared" si="34"/>
        <v>2</v>
      </c>
      <c r="Q164" s="10">
        <f t="shared" si="35"/>
        <v>2</v>
      </c>
      <c r="R164" s="10">
        <f t="shared" ca="1" si="36"/>
        <v>15</v>
      </c>
      <c r="S164" s="10" t="str">
        <f t="shared" ca="1" si="37"/>
        <v>Có</v>
      </c>
      <c r="T164" s="10" t="str">
        <f t="shared" ca="1" si="38"/>
        <v>Có</v>
      </c>
      <c r="U164" s="10" t="str">
        <f t="shared" si="39"/>
        <v>Có</v>
      </c>
      <c r="V164" s="2" t="s">
        <v>38</v>
      </c>
      <c r="W164" s="4">
        <v>46142</v>
      </c>
      <c r="X164" s="8" t="str">
        <f t="shared" si="40"/>
        <v>Tháng 4</v>
      </c>
      <c r="Y164" s="8" t="str">
        <f t="shared" si="41"/>
        <v>Ấp Biển Đông B</v>
      </c>
    </row>
    <row r="165" spans="1:25" x14ac:dyDescent="0.25">
      <c r="A165" s="1" t="s">
        <v>296</v>
      </c>
      <c r="B165" s="2" t="s">
        <v>23</v>
      </c>
      <c r="C165" s="2" t="s">
        <v>82</v>
      </c>
      <c r="D165" s="10">
        <f t="shared" ca="1" si="28"/>
        <v>73</v>
      </c>
      <c r="E165" s="2" t="s">
        <v>26</v>
      </c>
      <c r="F165" s="3">
        <v>158</v>
      </c>
      <c r="G165" s="3">
        <v>58</v>
      </c>
      <c r="H165" s="11">
        <f t="shared" si="29"/>
        <v>23.233456176894723</v>
      </c>
      <c r="I165" s="2">
        <v>76</v>
      </c>
      <c r="J165" s="3">
        <v>120</v>
      </c>
      <c r="K165" s="3">
        <v>80</v>
      </c>
      <c r="L165" s="10">
        <f t="shared" si="30"/>
        <v>0</v>
      </c>
      <c r="M165" s="10">
        <f t="shared" ca="1" si="31"/>
        <v>2</v>
      </c>
      <c r="N165" s="10">
        <f t="shared" si="32"/>
        <v>0</v>
      </c>
      <c r="O165" s="10">
        <f t="shared" si="33"/>
        <v>3</v>
      </c>
      <c r="P165" s="10">
        <f t="shared" si="34"/>
        <v>0</v>
      </c>
      <c r="Q165" s="10">
        <f t="shared" si="35"/>
        <v>0</v>
      </c>
      <c r="R165" s="10">
        <f t="shared" ca="1" si="36"/>
        <v>5</v>
      </c>
      <c r="S165" s="10" t="str">
        <f t="shared" ca="1" si="37"/>
        <v>Không cần</v>
      </c>
      <c r="T165" s="10" t="str">
        <f t="shared" ca="1" si="38"/>
        <v>Không</v>
      </c>
      <c r="U165" s="10" t="str">
        <f t="shared" si="39"/>
        <v>Không</v>
      </c>
      <c r="V165" s="2" t="s">
        <v>51</v>
      </c>
      <c r="W165" s="4">
        <v>46142</v>
      </c>
      <c r="X165" s="8" t="str">
        <f t="shared" si="40"/>
        <v>Tháng 4</v>
      </c>
      <c r="Y165" s="8" t="str">
        <f t="shared" si="41"/>
        <v>Phường Hiệp Thành</v>
      </c>
    </row>
    <row r="166" spans="1:25" x14ac:dyDescent="0.25">
      <c r="A166" s="1" t="s">
        <v>297</v>
      </c>
      <c r="B166" s="2" t="s">
        <v>23</v>
      </c>
      <c r="C166" s="2" t="s">
        <v>93</v>
      </c>
      <c r="D166" s="10">
        <f t="shared" ca="1" si="28"/>
        <v>66</v>
      </c>
      <c r="E166" s="2" t="s">
        <v>26</v>
      </c>
      <c r="F166" s="3">
        <v>158</v>
      </c>
      <c r="G166" s="3">
        <v>58</v>
      </c>
      <c r="H166" s="11">
        <f t="shared" si="29"/>
        <v>23.233456176894723</v>
      </c>
      <c r="I166" s="2">
        <v>68</v>
      </c>
      <c r="J166" s="3">
        <v>130</v>
      </c>
      <c r="K166" s="3">
        <v>80</v>
      </c>
      <c r="L166" s="10">
        <f t="shared" si="30"/>
        <v>0</v>
      </c>
      <c r="M166" s="10">
        <f t="shared" ca="1" si="31"/>
        <v>2</v>
      </c>
      <c r="N166" s="10">
        <f t="shared" si="32"/>
        <v>0</v>
      </c>
      <c r="O166" s="10">
        <f t="shared" si="33"/>
        <v>3</v>
      </c>
      <c r="P166" s="10">
        <f t="shared" si="34"/>
        <v>0</v>
      </c>
      <c r="Q166" s="10">
        <f t="shared" si="35"/>
        <v>0</v>
      </c>
      <c r="R166" s="10">
        <f t="shared" ca="1" si="36"/>
        <v>5</v>
      </c>
      <c r="S166" s="10" t="str">
        <f t="shared" ca="1" si="37"/>
        <v>Không cần</v>
      </c>
      <c r="T166" s="10" t="str">
        <f t="shared" ca="1" si="38"/>
        <v>Không</v>
      </c>
      <c r="U166" s="10" t="str">
        <f t="shared" si="39"/>
        <v>Không</v>
      </c>
      <c r="V166" s="2" t="s">
        <v>298</v>
      </c>
      <c r="W166" s="4">
        <v>46142</v>
      </c>
      <c r="X166" s="8" t="str">
        <f t="shared" si="40"/>
        <v>Tháng 4</v>
      </c>
      <c r="Y166" s="8" t="str">
        <f t="shared" si="41"/>
        <v>ấp Biển Tây A</v>
      </c>
    </row>
    <row r="167" spans="1:25" x14ac:dyDescent="0.25">
      <c r="A167" s="1" t="s">
        <v>299</v>
      </c>
      <c r="B167" s="2" t="s">
        <v>23</v>
      </c>
      <c r="C167" s="2" t="s">
        <v>300</v>
      </c>
      <c r="D167" s="10">
        <f t="shared" ca="1" si="28"/>
        <v>80</v>
      </c>
      <c r="E167" s="2" t="s">
        <v>26</v>
      </c>
      <c r="F167" s="3">
        <v>158</v>
      </c>
      <c r="G167" s="3">
        <v>58</v>
      </c>
      <c r="H167" s="11">
        <f t="shared" si="29"/>
        <v>23.233456176894723</v>
      </c>
      <c r="I167" s="2">
        <v>79</v>
      </c>
      <c r="J167" s="3">
        <v>150</v>
      </c>
      <c r="K167" s="3">
        <v>80</v>
      </c>
      <c r="L167" s="10">
        <f t="shared" si="30"/>
        <v>0</v>
      </c>
      <c r="M167" s="10">
        <f t="shared" ca="1" si="31"/>
        <v>2</v>
      </c>
      <c r="N167" s="10">
        <f t="shared" si="32"/>
        <v>0</v>
      </c>
      <c r="O167" s="10">
        <f t="shared" si="33"/>
        <v>3</v>
      </c>
      <c r="P167" s="10">
        <f t="shared" si="34"/>
        <v>0</v>
      </c>
      <c r="Q167" s="10">
        <f t="shared" si="35"/>
        <v>2</v>
      </c>
      <c r="R167" s="10">
        <f t="shared" ca="1" si="36"/>
        <v>7</v>
      </c>
      <c r="S167" s="10" t="str">
        <f t="shared" ca="1" si="37"/>
        <v>Có</v>
      </c>
      <c r="T167" s="10" t="str">
        <f t="shared" ca="1" si="38"/>
        <v>Có</v>
      </c>
      <c r="U167" s="10" t="str">
        <f t="shared" si="39"/>
        <v>Có</v>
      </c>
      <c r="V167" s="2" t="s">
        <v>38</v>
      </c>
      <c r="W167" s="4">
        <v>46142</v>
      </c>
      <c r="X167" s="8" t="str">
        <f t="shared" si="40"/>
        <v>Tháng 4</v>
      </c>
      <c r="Y167" s="8" t="str">
        <f t="shared" si="41"/>
        <v>Ấp Biển Đông B</v>
      </c>
    </row>
    <row r="168" spans="1:25" x14ac:dyDescent="0.25">
      <c r="A168" s="1" t="s">
        <v>301</v>
      </c>
      <c r="B168" s="2" t="s">
        <v>30</v>
      </c>
      <c r="C168" s="2" t="s">
        <v>47</v>
      </c>
      <c r="D168" s="10">
        <f t="shared" ca="1" si="28"/>
        <v>55</v>
      </c>
      <c r="E168" s="2" t="s">
        <v>26</v>
      </c>
      <c r="F168" s="3">
        <v>170</v>
      </c>
      <c r="G168" s="3">
        <v>70</v>
      </c>
      <c r="H168" s="11">
        <f t="shared" si="29"/>
        <v>24.221453287197235</v>
      </c>
      <c r="I168" s="2">
        <v>79</v>
      </c>
      <c r="J168" s="3">
        <v>130</v>
      </c>
      <c r="K168" s="3">
        <v>80</v>
      </c>
      <c r="L168" s="10">
        <f t="shared" si="30"/>
        <v>2</v>
      </c>
      <c r="M168" s="10">
        <f t="shared" ca="1" si="31"/>
        <v>2</v>
      </c>
      <c r="N168" s="10">
        <f t="shared" si="32"/>
        <v>0</v>
      </c>
      <c r="O168" s="10">
        <f t="shared" si="33"/>
        <v>3</v>
      </c>
      <c r="P168" s="10">
        <f t="shared" si="34"/>
        <v>0</v>
      </c>
      <c r="Q168" s="10">
        <f t="shared" si="35"/>
        <v>0</v>
      </c>
      <c r="R168" s="10">
        <f t="shared" ca="1" si="36"/>
        <v>7</v>
      </c>
      <c r="S168" s="10" t="str">
        <f t="shared" ca="1" si="37"/>
        <v>Có</v>
      </c>
      <c r="T168" s="10" t="str">
        <f t="shared" ca="1" si="38"/>
        <v>Có</v>
      </c>
      <c r="U168" s="10" t="str">
        <f t="shared" si="39"/>
        <v>Không</v>
      </c>
      <c r="V168" s="2" t="s">
        <v>302</v>
      </c>
      <c r="W168" s="4">
        <v>46142</v>
      </c>
      <c r="X168" s="8" t="str">
        <f t="shared" si="40"/>
        <v>Tháng 4</v>
      </c>
      <c r="Y168" s="8" t="str">
        <f t="shared" si="41"/>
        <v>giồng nhãn</v>
      </c>
    </row>
    <row r="169" spans="1:25" x14ac:dyDescent="0.25">
      <c r="A169" s="1" t="s">
        <v>303</v>
      </c>
      <c r="B169" s="2" t="s">
        <v>23</v>
      </c>
      <c r="C169" s="2" t="s">
        <v>110</v>
      </c>
      <c r="D169" s="10">
        <f t="shared" ca="1" si="28"/>
        <v>62</v>
      </c>
      <c r="E169" s="2" t="s">
        <v>26</v>
      </c>
      <c r="F169" s="3">
        <v>158</v>
      </c>
      <c r="G169" s="3">
        <v>58</v>
      </c>
      <c r="H169" s="11">
        <f t="shared" si="29"/>
        <v>23.233456176894723</v>
      </c>
      <c r="I169" s="2">
        <v>65</v>
      </c>
      <c r="J169" s="3">
        <v>140</v>
      </c>
      <c r="K169" s="3">
        <v>80</v>
      </c>
      <c r="L169" s="10">
        <f t="shared" si="30"/>
        <v>0</v>
      </c>
      <c r="M169" s="10">
        <f t="shared" ca="1" si="31"/>
        <v>2</v>
      </c>
      <c r="N169" s="10">
        <f t="shared" si="32"/>
        <v>0</v>
      </c>
      <c r="O169" s="10">
        <f t="shared" si="33"/>
        <v>3</v>
      </c>
      <c r="P169" s="10">
        <f t="shared" si="34"/>
        <v>0</v>
      </c>
      <c r="Q169" s="10">
        <f t="shared" si="35"/>
        <v>2</v>
      </c>
      <c r="R169" s="10">
        <f t="shared" ca="1" si="36"/>
        <v>7</v>
      </c>
      <c r="S169" s="10" t="str">
        <f t="shared" ca="1" si="37"/>
        <v>Có</v>
      </c>
      <c r="T169" s="10" t="str">
        <f t="shared" ca="1" si="38"/>
        <v>Có</v>
      </c>
      <c r="U169" s="10" t="str">
        <f t="shared" si="39"/>
        <v>Có</v>
      </c>
      <c r="V169" s="2" t="s">
        <v>70</v>
      </c>
      <c r="W169" s="4">
        <v>46142</v>
      </c>
      <c r="X169" s="8" t="str">
        <f t="shared" si="40"/>
        <v>Tháng 4</v>
      </c>
      <c r="Y169" s="8" t="str">
        <f t="shared" si="41"/>
        <v>Ấp Biển Tây A</v>
      </c>
    </row>
    <row r="170" spans="1:25" x14ac:dyDescent="0.25">
      <c r="A170" s="1" t="s">
        <v>304</v>
      </c>
      <c r="B170" s="2" t="s">
        <v>23</v>
      </c>
      <c r="C170" s="2" t="s">
        <v>155</v>
      </c>
      <c r="D170" s="10">
        <f t="shared" ca="1" si="28"/>
        <v>53</v>
      </c>
      <c r="E170" s="2" t="s">
        <v>26</v>
      </c>
      <c r="F170" s="3">
        <v>158</v>
      </c>
      <c r="G170" s="3">
        <v>60</v>
      </c>
      <c r="H170" s="11">
        <f t="shared" si="29"/>
        <v>24.034609838166958</v>
      </c>
      <c r="I170" s="2">
        <v>85</v>
      </c>
      <c r="J170" s="3">
        <v>130</v>
      </c>
      <c r="K170" s="3">
        <v>70</v>
      </c>
      <c r="L170" s="10">
        <f t="shared" si="30"/>
        <v>0</v>
      </c>
      <c r="M170" s="10">
        <f t="shared" ca="1" si="31"/>
        <v>2</v>
      </c>
      <c r="N170" s="10">
        <f t="shared" si="32"/>
        <v>0</v>
      </c>
      <c r="O170" s="10">
        <f t="shared" si="33"/>
        <v>3</v>
      </c>
      <c r="P170" s="10">
        <f t="shared" si="34"/>
        <v>2</v>
      </c>
      <c r="Q170" s="10">
        <f t="shared" si="35"/>
        <v>0</v>
      </c>
      <c r="R170" s="10">
        <f t="shared" ca="1" si="36"/>
        <v>7</v>
      </c>
      <c r="S170" s="10" t="str">
        <f t="shared" ca="1" si="37"/>
        <v>Có</v>
      </c>
      <c r="T170" s="10" t="str">
        <f t="shared" ca="1" si="38"/>
        <v>Có</v>
      </c>
      <c r="U170" s="10" t="str">
        <f t="shared" si="39"/>
        <v>Không</v>
      </c>
      <c r="V170" s="2" t="s">
        <v>51</v>
      </c>
      <c r="W170" s="4">
        <v>46142</v>
      </c>
      <c r="X170" s="8" t="str">
        <f t="shared" si="40"/>
        <v>Tháng 4</v>
      </c>
      <c r="Y170" s="8" t="str">
        <f t="shared" si="41"/>
        <v>Phường Hiệp Thành</v>
      </c>
    </row>
    <row r="171" spans="1:25" x14ac:dyDescent="0.25">
      <c r="A171" s="1" t="s">
        <v>305</v>
      </c>
      <c r="B171" s="2" t="s">
        <v>23</v>
      </c>
      <c r="C171" s="2" t="s">
        <v>42</v>
      </c>
      <c r="D171" s="10">
        <f t="shared" ca="1" si="28"/>
        <v>59</v>
      </c>
      <c r="E171" s="2" t="s">
        <v>25</v>
      </c>
      <c r="F171" s="3">
        <v>158</v>
      </c>
      <c r="G171" s="3">
        <v>58</v>
      </c>
      <c r="H171" s="11">
        <f t="shared" si="29"/>
        <v>23.233456176894723</v>
      </c>
      <c r="I171" s="2">
        <v>71</v>
      </c>
      <c r="J171" s="3">
        <v>140</v>
      </c>
      <c r="K171" s="3">
        <v>80</v>
      </c>
      <c r="L171" s="10">
        <f t="shared" si="30"/>
        <v>0</v>
      </c>
      <c r="M171" s="10">
        <f t="shared" ca="1" si="31"/>
        <v>2</v>
      </c>
      <c r="N171" s="10">
        <f t="shared" si="32"/>
        <v>4</v>
      </c>
      <c r="O171" s="10">
        <f t="shared" si="33"/>
        <v>3</v>
      </c>
      <c r="P171" s="10">
        <f t="shared" si="34"/>
        <v>0</v>
      </c>
      <c r="Q171" s="10">
        <f t="shared" si="35"/>
        <v>2</v>
      </c>
      <c r="R171" s="10">
        <f t="shared" ca="1" si="36"/>
        <v>11</v>
      </c>
      <c r="S171" s="10" t="str">
        <f t="shared" ca="1" si="37"/>
        <v>Có</v>
      </c>
      <c r="T171" s="10" t="str">
        <f t="shared" ca="1" si="38"/>
        <v>Có</v>
      </c>
      <c r="U171" s="10" t="str">
        <f t="shared" si="39"/>
        <v>Có</v>
      </c>
      <c r="V171" s="2" t="s">
        <v>306</v>
      </c>
      <c r="W171" s="4">
        <v>46142</v>
      </c>
      <c r="X171" s="8" t="str">
        <f t="shared" si="40"/>
        <v>Tháng 4</v>
      </c>
      <c r="Y171" s="8" t="str">
        <f t="shared" si="41"/>
        <v>Giồng Giữa A</v>
      </c>
    </row>
    <row r="172" spans="1:25" x14ac:dyDescent="0.25">
      <c r="A172" s="1" t="s">
        <v>307</v>
      </c>
      <c r="B172" s="2" t="s">
        <v>23</v>
      </c>
      <c r="C172" s="2" t="s">
        <v>76</v>
      </c>
      <c r="D172" s="10">
        <f t="shared" ca="1" si="28"/>
        <v>68</v>
      </c>
      <c r="E172" s="2" t="s">
        <v>26</v>
      </c>
      <c r="F172" s="3">
        <v>158</v>
      </c>
      <c r="G172" s="3">
        <v>58</v>
      </c>
      <c r="H172" s="11">
        <f t="shared" si="29"/>
        <v>23.233456176894723</v>
      </c>
      <c r="I172" s="2">
        <v>83</v>
      </c>
      <c r="J172" s="3">
        <v>120</v>
      </c>
      <c r="K172" s="3">
        <v>80</v>
      </c>
      <c r="L172" s="10">
        <f t="shared" si="30"/>
        <v>0</v>
      </c>
      <c r="M172" s="10">
        <f t="shared" ca="1" si="31"/>
        <v>2</v>
      </c>
      <c r="N172" s="10">
        <f t="shared" si="32"/>
        <v>0</v>
      </c>
      <c r="O172" s="10">
        <f t="shared" si="33"/>
        <v>3</v>
      </c>
      <c r="P172" s="10">
        <f t="shared" si="34"/>
        <v>2</v>
      </c>
      <c r="Q172" s="10">
        <f t="shared" si="35"/>
        <v>0</v>
      </c>
      <c r="R172" s="10">
        <f t="shared" ca="1" si="36"/>
        <v>7</v>
      </c>
      <c r="S172" s="10" t="str">
        <f t="shared" ca="1" si="37"/>
        <v>Có</v>
      </c>
      <c r="T172" s="10" t="str">
        <f t="shared" ca="1" si="38"/>
        <v>Có</v>
      </c>
      <c r="U172" s="10" t="str">
        <f t="shared" si="39"/>
        <v>Không</v>
      </c>
      <c r="V172" s="2" t="s">
        <v>308</v>
      </c>
      <c r="W172" s="4">
        <v>46142</v>
      </c>
      <c r="X172" s="8" t="str">
        <f t="shared" si="40"/>
        <v>Tháng 4</v>
      </c>
      <c r="Y172" s="8" t="str">
        <f t="shared" si="41"/>
        <v>ấp Giồng Giữa A</v>
      </c>
    </row>
    <row r="173" spans="1:25" x14ac:dyDescent="0.25">
      <c r="A173" s="1" t="s">
        <v>309</v>
      </c>
      <c r="B173" s="2" t="s">
        <v>23</v>
      </c>
      <c r="C173" s="2" t="s">
        <v>273</v>
      </c>
      <c r="D173" s="10">
        <f t="shared" ca="1" si="28"/>
        <v>47</v>
      </c>
      <c r="E173" s="2" t="s">
        <v>26</v>
      </c>
      <c r="F173" s="3">
        <v>150</v>
      </c>
      <c r="G173" s="3">
        <v>52</v>
      </c>
      <c r="H173" s="11">
        <f t="shared" si="29"/>
        <v>23.111111111111111</v>
      </c>
      <c r="I173" s="2">
        <v>67</v>
      </c>
      <c r="J173" s="3">
        <v>130</v>
      </c>
      <c r="K173" s="3">
        <v>70</v>
      </c>
      <c r="L173" s="10">
        <f t="shared" si="30"/>
        <v>0</v>
      </c>
      <c r="M173" s="10">
        <f t="shared" ca="1" si="31"/>
        <v>1</v>
      </c>
      <c r="N173" s="10">
        <f t="shared" si="32"/>
        <v>0</v>
      </c>
      <c r="O173" s="10">
        <f t="shared" si="33"/>
        <v>3</v>
      </c>
      <c r="P173" s="10">
        <f t="shared" si="34"/>
        <v>0</v>
      </c>
      <c r="Q173" s="10">
        <f t="shared" si="35"/>
        <v>0</v>
      </c>
      <c r="R173" s="10">
        <f t="shared" ca="1" si="36"/>
        <v>4</v>
      </c>
      <c r="S173" s="10" t="str">
        <f t="shared" ca="1" si="37"/>
        <v>Không cần</v>
      </c>
      <c r="T173" s="10" t="str">
        <f t="shared" ca="1" si="38"/>
        <v>Không</v>
      </c>
      <c r="U173" s="10" t="str">
        <f t="shared" si="39"/>
        <v>Không</v>
      </c>
      <c r="V173" s="2" t="s">
        <v>35</v>
      </c>
      <c r="W173" s="4">
        <v>46142</v>
      </c>
      <c r="X173" s="8" t="str">
        <f t="shared" si="40"/>
        <v>Tháng 4</v>
      </c>
      <c r="Y173" s="8" t="str">
        <f t="shared" si="41"/>
        <v>Chòm Xoài</v>
      </c>
    </row>
    <row r="174" spans="1:25" x14ac:dyDescent="0.25">
      <c r="A174" s="1" t="s">
        <v>310</v>
      </c>
      <c r="B174" s="2" t="s">
        <v>23</v>
      </c>
      <c r="C174" s="2" t="s">
        <v>53</v>
      </c>
      <c r="D174" s="10">
        <f t="shared" ca="1" si="28"/>
        <v>72</v>
      </c>
      <c r="E174" s="2" t="s">
        <v>26</v>
      </c>
      <c r="F174" s="3">
        <v>168</v>
      </c>
      <c r="G174" s="3">
        <v>68</v>
      </c>
      <c r="H174" s="11">
        <f t="shared" si="29"/>
        <v>24.092970521541954</v>
      </c>
      <c r="I174" s="2">
        <v>84</v>
      </c>
      <c r="J174" s="3">
        <v>120</v>
      </c>
      <c r="K174" s="3">
        <v>80</v>
      </c>
      <c r="L174" s="10">
        <f t="shared" si="30"/>
        <v>0</v>
      </c>
      <c r="M174" s="10">
        <f t="shared" ca="1" si="31"/>
        <v>2</v>
      </c>
      <c r="N174" s="10">
        <f t="shared" si="32"/>
        <v>0</v>
      </c>
      <c r="O174" s="10">
        <f t="shared" si="33"/>
        <v>3</v>
      </c>
      <c r="P174" s="10">
        <f t="shared" si="34"/>
        <v>2</v>
      </c>
      <c r="Q174" s="10">
        <f t="shared" si="35"/>
        <v>0</v>
      </c>
      <c r="R174" s="10">
        <f t="shared" ca="1" si="36"/>
        <v>7</v>
      </c>
      <c r="S174" s="10" t="str">
        <f t="shared" ca="1" si="37"/>
        <v>Có</v>
      </c>
      <c r="T174" s="10" t="str">
        <f t="shared" ca="1" si="38"/>
        <v>Có</v>
      </c>
      <c r="U174" s="10" t="str">
        <f t="shared" si="39"/>
        <v>Không</v>
      </c>
      <c r="V174" s="2" t="s">
        <v>48</v>
      </c>
      <c r="W174" s="4">
        <v>46142</v>
      </c>
      <c r="X174" s="8" t="str">
        <f t="shared" si="40"/>
        <v>Tháng 4</v>
      </c>
      <c r="Y174" s="8" t="str">
        <f t="shared" si="41"/>
        <v>ấp Giồng Giữa A</v>
      </c>
    </row>
    <row r="175" spans="1:25" x14ac:dyDescent="0.25">
      <c r="A175" s="1" t="s">
        <v>311</v>
      </c>
      <c r="B175" s="2" t="s">
        <v>30</v>
      </c>
      <c r="C175" s="2" t="s">
        <v>115</v>
      </c>
      <c r="D175" s="10">
        <f t="shared" ca="1" si="28"/>
        <v>40</v>
      </c>
      <c r="E175" s="2" t="s">
        <v>26</v>
      </c>
      <c r="F175" s="3">
        <v>160</v>
      </c>
      <c r="G175" s="3">
        <v>55</v>
      </c>
      <c r="H175" s="11">
        <f t="shared" si="29"/>
        <v>21.484374999999996</v>
      </c>
      <c r="I175" s="2">
        <v>91</v>
      </c>
      <c r="J175" s="3">
        <v>120</v>
      </c>
      <c r="K175" s="3">
        <v>70</v>
      </c>
      <c r="L175" s="10">
        <f t="shared" si="30"/>
        <v>2</v>
      </c>
      <c r="M175" s="10">
        <f t="shared" ca="1" si="31"/>
        <v>0</v>
      </c>
      <c r="N175" s="10">
        <f t="shared" si="32"/>
        <v>0</v>
      </c>
      <c r="O175" s="10">
        <f t="shared" si="33"/>
        <v>0</v>
      </c>
      <c r="P175" s="10">
        <f t="shared" si="34"/>
        <v>2</v>
      </c>
      <c r="Q175" s="10">
        <f t="shared" si="35"/>
        <v>0</v>
      </c>
      <c r="R175" s="10">
        <f t="shared" ca="1" si="36"/>
        <v>4</v>
      </c>
      <c r="S175" s="10" t="str">
        <f t="shared" ca="1" si="37"/>
        <v>Không cần</v>
      </c>
      <c r="T175" s="10" t="str">
        <f t="shared" ca="1" si="38"/>
        <v>Không</v>
      </c>
      <c r="U175" s="10" t="str">
        <f t="shared" si="39"/>
        <v>Không</v>
      </c>
      <c r="V175" s="2" t="s">
        <v>312</v>
      </c>
      <c r="W175" s="4">
        <v>46112</v>
      </c>
      <c r="X175" s="8" t="str">
        <f t="shared" si="40"/>
        <v>Tháng 3</v>
      </c>
      <c r="Y175" s="8" t="str">
        <f t="shared" si="41"/>
        <v>Ấp biển đông A</v>
      </c>
    </row>
    <row r="176" spans="1:25" x14ac:dyDescent="0.25">
      <c r="A176" s="1" t="s">
        <v>313</v>
      </c>
      <c r="B176" s="2" t="s">
        <v>23</v>
      </c>
      <c r="C176" s="2" t="s">
        <v>314</v>
      </c>
      <c r="D176" s="10">
        <f t="shared" ca="1" si="28"/>
        <v>77</v>
      </c>
      <c r="E176" s="2" t="s">
        <v>26</v>
      </c>
      <c r="F176" s="3">
        <v>158</v>
      </c>
      <c r="G176" s="3">
        <v>58</v>
      </c>
      <c r="H176" s="11">
        <f t="shared" si="29"/>
        <v>23.233456176894723</v>
      </c>
      <c r="I176" s="2">
        <v>75</v>
      </c>
      <c r="J176" s="3">
        <v>170</v>
      </c>
      <c r="K176" s="3">
        <v>80</v>
      </c>
      <c r="L176" s="10">
        <f t="shared" si="30"/>
        <v>0</v>
      </c>
      <c r="M176" s="10">
        <f t="shared" ca="1" si="31"/>
        <v>2</v>
      </c>
      <c r="N176" s="10">
        <f t="shared" si="32"/>
        <v>0</v>
      </c>
      <c r="O176" s="10">
        <f t="shared" si="33"/>
        <v>3</v>
      </c>
      <c r="P176" s="10">
        <f t="shared" si="34"/>
        <v>0</v>
      </c>
      <c r="Q176" s="10">
        <f t="shared" si="35"/>
        <v>2</v>
      </c>
      <c r="R176" s="10">
        <f t="shared" ca="1" si="36"/>
        <v>7</v>
      </c>
      <c r="S176" s="10" t="str">
        <f t="shared" ca="1" si="37"/>
        <v>Có</v>
      </c>
      <c r="T176" s="10" t="str">
        <f t="shared" ca="1" si="38"/>
        <v>Có</v>
      </c>
      <c r="U176" s="10" t="str">
        <f t="shared" si="39"/>
        <v>Có</v>
      </c>
      <c r="V176" s="2" t="s">
        <v>60</v>
      </c>
      <c r="W176" s="4">
        <v>46081</v>
      </c>
      <c r="X176" s="8" t="str">
        <f t="shared" si="40"/>
        <v>Tháng 2</v>
      </c>
      <c r="Y176" s="8" t="str">
        <f t="shared" si="41"/>
        <v>ấp Biển Đông A</v>
      </c>
    </row>
    <row r="177" spans="1:25" x14ac:dyDescent="0.25">
      <c r="A177" s="1" t="s">
        <v>315</v>
      </c>
      <c r="B177" s="2" t="s">
        <v>30</v>
      </c>
      <c r="C177" s="2" t="s">
        <v>163</v>
      </c>
      <c r="D177" s="10">
        <f t="shared" ca="1" si="28"/>
        <v>46</v>
      </c>
      <c r="E177" s="2" t="s">
        <v>26</v>
      </c>
      <c r="F177" s="3">
        <v>161</v>
      </c>
      <c r="G177" s="3">
        <v>80</v>
      </c>
      <c r="H177" s="11">
        <f t="shared" si="29"/>
        <v>30.863006828440259</v>
      </c>
      <c r="I177" s="2">
        <v>97</v>
      </c>
      <c r="J177" s="3">
        <v>120</v>
      </c>
      <c r="K177" s="3">
        <v>80</v>
      </c>
      <c r="L177" s="10">
        <f t="shared" si="30"/>
        <v>2</v>
      </c>
      <c r="M177" s="10">
        <f t="shared" ca="1" si="31"/>
        <v>1</v>
      </c>
      <c r="N177" s="10">
        <f t="shared" si="32"/>
        <v>0</v>
      </c>
      <c r="O177" s="10">
        <f t="shared" si="33"/>
        <v>5</v>
      </c>
      <c r="P177" s="10">
        <f t="shared" si="34"/>
        <v>2</v>
      </c>
      <c r="Q177" s="10">
        <f t="shared" si="35"/>
        <v>0</v>
      </c>
      <c r="R177" s="10">
        <f t="shared" ca="1" si="36"/>
        <v>10</v>
      </c>
      <c r="S177" s="10" t="str">
        <f t="shared" ca="1" si="37"/>
        <v>Có</v>
      </c>
      <c r="T177" s="10" t="str">
        <f t="shared" ca="1" si="38"/>
        <v>Có</v>
      </c>
      <c r="U177" s="10" t="str">
        <f t="shared" si="39"/>
        <v>Không</v>
      </c>
      <c r="V177" s="2" t="s">
        <v>51</v>
      </c>
      <c r="W177" s="4">
        <v>46081</v>
      </c>
      <c r="X177" s="8" t="str">
        <f t="shared" si="40"/>
        <v>Tháng 2</v>
      </c>
      <c r="Y177" s="8" t="str">
        <f t="shared" si="41"/>
        <v>Phường Hiệp Thành</v>
      </c>
    </row>
    <row r="178" spans="1:25" x14ac:dyDescent="0.25">
      <c r="A178" s="1" t="s">
        <v>316</v>
      </c>
      <c r="B178" s="2" t="s">
        <v>23</v>
      </c>
      <c r="C178" s="2" t="s">
        <v>80</v>
      </c>
      <c r="D178" s="10">
        <f t="shared" ca="1" si="28"/>
        <v>71</v>
      </c>
      <c r="E178" s="2" t="s">
        <v>25</v>
      </c>
      <c r="F178" s="3">
        <v>160</v>
      </c>
      <c r="G178" s="3">
        <v>74</v>
      </c>
      <c r="H178" s="11">
        <f t="shared" si="29"/>
        <v>28.906249999999993</v>
      </c>
      <c r="I178" s="2">
        <v>66</v>
      </c>
      <c r="J178" s="3">
        <v>120</v>
      </c>
      <c r="K178" s="3">
        <v>80</v>
      </c>
      <c r="L178" s="10">
        <f t="shared" si="30"/>
        <v>0</v>
      </c>
      <c r="M178" s="10">
        <f t="shared" ca="1" si="31"/>
        <v>2</v>
      </c>
      <c r="N178" s="10">
        <f t="shared" si="32"/>
        <v>4</v>
      </c>
      <c r="O178" s="10">
        <f t="shared" si="33"/>
        <v>5</v>
      </c>
      <c r="P178" s="10">
        <f t="shared" si="34"/>
        <v>0</v>
      </c>
      <c r="Q178" s="10">
        <f t="shared" si="35"/>
        <v>0</v>
      </c>
      <c r="R178" s="10">
        <f t="shared" ca="1" si="36"/>
        <v>11</v>
      </c>
      <c r="S178" s="10" t="str">
        <f t="shared" ca="1" si="37"/>
        <v>Có</v>
      </c>
      <c r="T178" s="10" t="str">
        <f t="shared" ca="1" si="38"/>
        <v>Có</v>
      </c>
      <c r="U178" s="10" t="str">
        <f t="shared" si="39"/>
        <v>Không</v>
      </c>
      <c r="V178" s="2" t="s">
        <v>120</v>
      </c>
      <c r="W178" s="4">
        <v>46142</v>
      </c>
      <c r="X178" s="8" t="str">
        <f t="shared" si="40"/>
        <v>Tháng 4</v>
      </c>
      <c r="Y178" s="8" t="str">
        <f t="shared" si="41"/>
        <v>Ấp Xóm Lẫm</v>
      </c>
    </row>
    <row r="179" spans="1:25" x14ac:dyDescent="0.25">
      <c r="A179" s="1" t="s">
        <v>317</v>
      </c>
      <c r="B179" s="2" t="s">
        <v>30</v>
      </c>
      <c r="C179" s="2" t="s">
        <v>318</v>
      </c>
      <c r="D179" s="10">
        <f t="shared" ca="1" si="28"/>
        <v>82</v>
      </c>
      <c r="E179" s="2" t="s">
        <v>26</v>
      </c>
      <c r="F179" s="3">
        <v>172</v>
      </c>
      <c r="G179" s="3">
        <v>74</v>
      </c>
      <c r="H179" s="11">
        <f t="shared" si="29"/>
        <v>25.013520822065985</v>
      </c>
      <c r="I179" s="2">
        <v>82</v>
      </c>
      <c r="J179" s="3">
        <v>140</v>
      </c>
      <c r="K179" s="3">
        <v>80</v>
      </c>
      <c r="L179" s="10">
        <f t="shared" si="30"/>
        <v>2</v>
      </c>
      <c r="M179" s="10">
        <f t="shared" ca="1" si="31"/>
        <v>2</v>
      </c>
      <c r="N179" s="10">
        <f t="shared" si="32"/>
        <v>0</v>
      </c>
      <c r="O179" s="10">
        <f t="shared" si="33"/>
        <v>3</v>
      </c>
      <c r="P179" s="10">
        <f t="shared" si="34"/>
        <v>0</v>
      </c>
      <c r="Q179" s="10">
        <f t="shared" si="35"/>
        <v>2</v>
      </c>
      <c r="R179" s="10">
        <f t="shared" ca="1" si="36"/>
        <v>9</v>
      </c>
      <c r="S179" s="10" t="str">
        <f t="shared" ca="1" si="37"/>
        <v>Có</v>
      </c>
      <c r="T179" s="10" t="str">
        <f t="shared" ca="1" si="38"/>
        <v>Có</v>
      </c>
      <c r="U179" s="10" t="str">
        <f t="shared" si="39"/>
        <v>Có</v>
      </c>
      <c r="V179" s="2" t="s">
        <v>319</v>
      </c>
      <c r="W179" s="4">
        <v>46142</v>
      </c>
      <c r="X179" s="8" t="str">
        <f t="shared" si="40"/>
        <v>Tháng 4</v>
      </c>
      <c r="Y179" s="8" t="str">
        <f t="shared" si="41"/>
        <v>Khóm Đầu Lộ A</v>
      </c>
    </row>
    <row r="180" spans="1:25" x14ac:dyDescent="0.25">
      <c r="A180" s="1" t="s">
        <v>320</v>
      </c>
      <c r="B180" s="2" t="s">
        <v>30</v>
      </c>
      <c r="C180" s="2" t="s">
        <v>188</v>
      </c>
      <c r="D180" s="10">
        <f t="shared" ca="1" si="28"/>
        <v>63</v>
      </c>
      <c r="E180" s="2" t="s">
        <v>26</v>
      </c>
      <c r="F180" s="3">
        <v>170</v>
      </c>
      <c r="G180" s="3">
        <v>87</v>
      </c>
      <c r="H180" s="11">
        <f t="shared" si="29"/>
        <v>30.103806228373706</v>
      </c>
      <c r="I180" s="2">
        <v>78</v>
      </c>
      <c r="J180" s="3">
        <v>120</v>
      </c>
      <c r="K180" s="3">
        <v>80</v>
      </c>
      <c r="L180" s="10">
        <f t="shared" si="30"/>
        <v>2</v>
      </c>
      <c r="M180" s="10">
        <f t="shared" ca="1" si="31"/>
        <v>2</v>
      </c>
      <c r="N180" s="10">
        <f t="shared" si="32"/>
        <v>0</v>
      </c>
      <c r="O180" s="10">
        <f t="shared" si="33"/>
        <v>5</v>
      </c>
      <c r="P180" s="10">
        <f t="shared" si="34"/>
        <v>0</v>
      </c>
      <c r="Q180" s="10">
        <f t="shared" si="35"/>
        <v>0</v>
      </c>
      <c r="R180" s="10">
        <f t="shared" ca="1" si="36"/>
        <v>9</v>
      </c>
      <c r="S180" s="10" t="str">
        <f t="shared" ca="1" si="37"/>
        <v>Có</v>
      </c>
      <c r="T180" s="10" t="str">
        <f t="shared" ca="1" si="38"/>
        <v>Có</v>
      </c>
      <c r="U180" s="10" t="str">
        <f t="shared" si="39"/>
        <v>Không</v>
      </c>
      <c r="V180" s="2" t="s">
        <v>321</v>
      </c>
      <c r="W180" s="4">
        <v>46142</v>
      </c>
      <c r="X180" s="8" t="str">
        <f t="shared" si="40"/>
        <v>Tháng 4</v>
      </c>
      <c r="Y180" s="8" t="str">
        <f t="shared" si="41"/>
        <v>khóm Giồng Nhãn A</v>
      </c>
    </row>
    <row r="181" spans="1:25" x14ac:dyDescent="0.25">
      <c r="A181" s="1" t="s">
        <v>322</v>
      </c>
      <c r="B181" s="2" t="s">
        <v>23</v>
      </c>
      <c r="C181" s="2" t="s">
        <v>155</v>
      </c>
      <c r="D181" s="10">
        <f t="shared" ca="1" si="28"/>
        <v>53</v>
      </c>
      <c r="E181" s="2" t="s">
        <v>26</v>
      </c>
      <c r="F181" s="3">
        <v>168</v>
      </c>
      <c r="G181" s="3">
        <v>61</v>
      </c>
      <c r="H181" s="11">
        <f t="shared" si="29"/>
        <v>21.612811791383223</v>
      </c>
      <c r="I181" s="2">
        <v>73</v>
      </c>
      <c r="J181" s="3">
        <v>120</v>
      </c>
      <c r="K181" s="3">
        <v>80</v>
      </c>
      <c r="L181" s="10">
        <f t="shared" si="30"/>
        <v>0</v>
      </c>
      <c r="M181" s="10">
        <f t="shared" ca="1" si="31"/>
        <v>2</v>
      </c>
      <c r="N181" s="10">
        <f t="shared" si="32"/>
        <v>0</v>
      </c>
      <c r="O181" s="10">
        <f t="shared" si="33"/>
        <v>0</v>
      </c>
      <c r="P181" s="10">
        <f t="shared" si="34"/>
        <v>0</v>
      </c>
      <c r="Q181" s="10">
        <f t="shared" si="35"/>
        <v>0</v>
      </c>
      <c r="R181" s="10">
        <f t="shared" ca="1" si="36"/>
        <v>2</v>
      </c>
      <c r="S181" s="10" t="str">
        <f t="shared" ca="1" si="37"/>
        <v>Không cần</v>
      </c>
      <c r="T181" s="10" t="str">
        <f t="shared" ca="1" si="38"/>
        <v>Không</v>
      </c>
      <c r="U181" s="10" t="str">
        <f t="shared" si="39"/>
        <v>Không</v>
      </c>
      <c r="V181" s="2" t="s">
        <v>122</v>
      </c>
      <c r="W181" s="4">
        <v>46081</v>
      </c>
      <c r="X181" s="8" t="str">
        <f t="shared" si="40"/>
        <v>Tháng 2</v>
      </c>
      <c r="Y181" s="8" t="str">
        <f t="shared" si="41"/>
        <v>Giồng Nhãn</v>
      </c>
    </row>
    <row r="182" spans="1:25" x14ac:dyDescent="0.25">
      <c r="A182" s="1" t="s">
        <v>323</v>
      </c>
      <c r="B182" s="2" t="s">
        <v>30</v>
      </c>
      <c r="C182" s="2" t="s">
        <v>76</v>
      </c>
      <c r="D182" s="10">
        <f t="shared" ca="1" si="28"/>
        <v>68</v>
      </c>
      <c r="E182" s="2" t="s">
        <v>26</v>
      </c>
      <c r="F182" s="3">
        <v>169</v>
      </c>
      <c r="G182" s="3">
        <v>69</v>
      </c>
      <c r="H182" s="11">
        <f t="shared" si="29"/>
        <v>24.158817968558527</v>
      </c>
      <c r="I182" s="2">
        <v>96</v>
      </c>
      <c r="J182" s="3">
        <v>140</v>
      </c>
      <c r="K182" s="3">
        <v>80</v>
      </c>
      <c r="L182" s="10">
        <f t="shared" si="30"/>
        <v>2</v>
      </c>
      <c r="M182" s="10">
        <f t="shared" ca="1" si="31"/>
        <v>2</v>
      </c>
      <c r="N182" s="10">
        <f t="shared" si="32"/>
        <v>0</v>
      </c>
      <c r="O182" s="10">
        <f t="shared" si="33"/>
        <v>3</v>
      </c>
      <c r="P182" s="10">
        <f t="shared" si="34"/>
        <v>2</v>
      </c>
      <c r="Q182" s="10">
        <f t="shared" si="35"/>
        <v>2</v>
      </c>
      <c r="R182" s="10">
        <f t="shared" ca="1" si="36"/>
        <v>11</v>
      </c>
      <c r="S182" s="10" t="str">
        <f t="shared" ca="1" si="37"/>
        <v>Có</v>
      </c>
      <c r="T182" s="10" t="str">
        <f t="shared" ca="1" si="38"/>
        <v>Có</v>
      </c>
      <c r="U182" s="10" t="str">
        <f t="shared" si="39"/>
        <v>Có</v>
      </c>
      <c r="V182" s="2" t="s">
        <v>160</v>
      </c>
      <c r="W182" s="4">
        <v>46081</v>
      </c>
      <c r="X182" s="8" t="str">
        <f t="shared" si="40"/>
        <v>Tháng 2</v>
      </c>
      <c r="Y182" s="8" t="str">
        <f t="shared" si="41"/>
        <v>Ấp Giồng Nhãn</v>
      </c>
    </row>
    <row r="183" spans="1:25" x14ac:dyDescent="0.25">
      <c r="A183" s="1" t="s">
        <v>324</v>
      </c>
      <c r="B183" s="2" t="s">
        <v>30</v>
      </c>
      <c r="C183" s="2" t="s">
        <v>188</v>
      </c>
      <c r="D183" s="10">
        <f t="shared" ca="1" si="28"/>
        <v>63</v>
      </c>
      <c r="E183" s="2" t="s">
        <v>26</v>
      </c>
      <c r="F183" s="3">
        <v>158</v>
      </c>
      <c r="G183" s="3">
        <v>50</v>
      </c>
      <c r="H183" s="11">
        <f t="shared" si="29"/>
        <v>20.028841531805796</v>
      </c>
      <c r="I183" s="2">
        <v>75</v>
      </c>
      <c r="J183" s="3">
        <v>120</v>
      </c>
      <c r="K183" s="3">
        <v>80</v>
      </c>
      <c r="L183" s="10">
        <f t="shared" si="30"/>
        <v>2</v>
      </c>
      <c r="M183" s="10">
        <f t="shared" ca="1" si="31"/>
        <v>2</v>
      </c>
      <c r="N183" s="10">
        <f t="shared" si="32"/>
        <v>0</v>
      </c>
      <c r="O183" s="10">
        <f t="shared" si="33"/>
        <v>0</v>
      </c>
      <c r="P183" s="10">
        <f t="shared" si="34"/>
        <v>0</v>
      </c>
      <c r="Q183" s="10">
        <f t="shared" si="35"/>
        <v>0</v>
      </c>
      <c r="R183" s="10">
        <f t="shared" ca="1" si="36"/>
        <v>4</v>
      </c>
      <c r="S183" s="10" t="str">
        <f t="shared" ca="1" si="37"/>
        <v>Không cần</v>
      </c>
      <c r="T183" s="10" t="str">
        <f t="shared" ca="1" si="38"/>
        <v>Không</v>
      </c>
      <c r="U183" s="10" t="str">
        <f t="shared" si="39"/>
        <v>Không</v>
      </c>
      <c r="V183" s="2" t="s">
        <v>325</v>
      </c>
      <c r="W183" s="4">
        <v>46081</v>
      </c>
      <c r="X183" s="8" t="str">
        <f t="shared" si="40"/>
        <v>Tháng 2</v>
      </c>
      <c r="Y183" s="8" t="str">
        <f t="shared" si="41"/>
        <v>Ấp Giồng Giữa A</v>
      </c>
    </row>
    <row r="184" spans="1:25" x14ac:dyDescent="0.25">
      <c r="A184" s="1" t="s">
        <v>326</v>
      </c>
      <c r="B184" s="2" t="s">
        <v>23</v>
      </c>
      <c r="C184" s="2" t="s">
        <v>59</v>
      </c>
      <c r="D184" s="10">
        <f t="shared" ca="1" si="28"/>
        <v>74</v>
      </c>
      <c r="E184" s="2" t="s">
        <v>26</v>
      </c>
      <c r="F184" s="3">
        <v>158</v>
      </c>
      <c r="G184" s="3">
        <v>58</v>
      </c>
      <c r="H184" s="11">
        <f t="shared" si="29"/>
        <v>23.233456176894723</v>
      </c>
      <c r="I184" s="2">
        <v>69</v>
      </c>
      <c r="J184" s="3">
        <v>120</v>
      </c>
      <c r="K184" s="3">
        <v>80</v>
      </c>
      <c r="L184" s="10">
        <f t="shared" si="30"/>
        <v>0</v>
      </c>
      <c r="M184" s="10">
        <f t="shared" ca="1" si="31"/>
        <v>2</v>
      </c>
      <c r="N184" s="10">
        <f t="shared" si="32"/>
        <v>0</v>
      </c>
      <c r="O184" s="10">
        <f t="shared" si="33"/>
        <v>3</v>
      </c>
      <c r="P184" s="10">
        <f t="shared" si="34"/>
        <v>0</v>
      </c>
      <c r="Q184" s="10">
        <f t="shared" si="35"/>
        <v>0</v>
      </c>
      <c r="R184" s="10">
        <f t="shared" ca="1" si="36"/>
        <v>5</v>
      </c>
      <c r="S184" s="10" t="str">
        <f t="shared" ca="1" si="37"/>
        <v>Không cần</v>
      </c>
      <c r="T184" s="10" t="str">
        <f t="shared" ca="1" si="38"/>
        <v>Không</v>
      </c>
      <c r="U184" s="10" t="str">
        <f t="shared" si="39"/>
        <v>Không</v>
      </c>
      <c r="V184" s="2" t="s">
        <v>38</v>
      </c>
      <c r="W184" s="4">
        <v>46142</v>
      </c>
      <c r="X184" s="8" t="str">
        <f t="shared" si="40"/>
        <v>Tháng 4</v>
      </c>
      <c r="Y184" s="8" t="str">
        <f t="shared" si="41"/>
        <v>Ấp Biển Đông B</v>
      </c>
    </row>
    <row r="185" spans="1:25" x14ac:dyDescent="0.25">
      <c r="A185" s="1" t="s">
        <v>327</v>
      </c>
      <c r="B185" s="2" t="s">
        <v>23</v>
      </c>
      <c r="C185" s="2" t="s">
        <v>93</v>
      </c>
      <c r="D185" s="10">
        <f t="shared" ca="1" si="28"/>
        <v>66</v>
      </c>
      <c r="E185" s="2" t="s">
        <v>26</v>
      </c>
      <c r="F185" s="3">
        <v>158</v>
      </c>
      <c r="G185" s="3">
        <v>58</v>
      </c>
      <c r="H185" s="11">
        <f t="shared" si="29"/>
        <v>23.233456176894723</v>
      </c>
      <c r="I185" s="2">
        <v>85</v>
      </c>
      <c r="J185" s="3">
        <v>130</v>
      </c>
      <c r="K185" s="3">
        <v>80</v>
      </c>
      <c r="L185" s="10">
        <f t="shared" si="30"/>
        <v>0</v>
      </c>
      <c r="M185" s="10">
        <f t="shared" ca="1" si="31"/>
        <v>2</v>
      </c>
      <c r="N185" s="10">
        <f t="shared" si="32"/>
        <v>0</v>
      </c>
      <c r="O185" s="10">
        <f t="shared" si="33"/>
        <v>3</v>
      </c>
      <c r="P185" s="10">
        <f t="shared" si="34"/>
        <v>2</v>
      </c>
      <c r="Q185" s="10">
        <f t="shared" si="35"/>
        <v>0</v>
      </c>
      <c r="R185" s="10">
        <f t="shared" ca="1" si="36"/>
        <v>7</v>
      </c>
      <c r="S185" s="10" t="str">
        <f t="shared" ca="1" si="37"/>
        <v>Có</v>
      </c>
      <c r="T185" s="10" t="str">
        <f t="shared" ca="1" si="38"/>
        <v>Có</v>
      </c>
      <c r="U185" s="10" t="str">
        <f t="shared" si="39"/>
        <v>Không</v>
      </c>
      <c r="V185" s="2" t="s">
        <v>160</v>
      </c>
      <c r="W185" s="4">
        <v>46081</v>
      </c>
      <c r="X185" s="8" t="str">
        <f t="shared" si="40"/>
        <v>Tháng 2</v>
      </c>
      <c r="Y185" s="8" t="str">
        <f t="shared" si="41"/>
        <v>Ấp Giồng Nhãn</v>
      </c>
    </row>
    <row r="186" spans="1:25" x14ac:dyDescent="0.25">
      <c r="A186" s="1" t="s">
        <v>328</v>
      </c>
      <c r="B186" s="2" t="s">
        <v>23</v>
      </c>
      <c r="C186" s="2" t="s">
        <v>329</v>
      </c>
      <c r="D186" s="10">
        <f t="shared" ca="1" si="28"/>
        <v>81</v>
      </c>
      <c r="E186" s="2" t="s">
        <v>26</v>
      </c>
      <c r="F186" s="3">
        <v>160</v>
      </c>
      <c r="G186" s="3">
        <v>53</v>
      </c>
      <c r="H186" s="11">
        <f t="shared" si="29"/>
        <v>20.703124999999996</v>
      </c>
      <c r="I186" s="2">
        <v>65</v>
      </c>
      <c r="J186" s="3">
        <v>140</v>
      </c>
      <c r="K186" s="3">
        <v>80</v>
      </c>
      <c r="L186" s="10">
        <f t="shared" si="30"/>
        <v>0</v>
      </c>
      <c r="M186" s="10">
        <f t="shared" ca="1" si="31"/>
        <v>2</v>
      </c>
      <c r="N186" s="10">
        <f t="shared" si="32"/>
        <v>0</v>
      </c>
      <c r="O186" s="10">
        <f t="shared" si="33"/>
        <v>0</v>
      </c>
      <c r="P186" s="10">
        <f t="shared" si="34"/>
        <v>0</v>
      </c>
      <c r="Q186" s="10">
        <f t="shared" si="35"/>
        <v>2</v>
      </c>
      <c r="R186" s="10">
        <f t="shared" ca="1" si="36"/>
        <v>4</v>
      </c>
      <c r="S186" s="10" t="str">
        <f t="shared" ca="1" si="37"/>
        <v>Không cần</v>
      </c>
      <c r="T186" s="10" t="str">
        <f t="shared" ca="1" si="38"/>
        <v>Không</v>
      </c>
      <c r="U186" s="10" t="str">
        <f t="shared" si="39"/>
        <v>Có</v>
      </c>
      <c r="V186" s="2" t="s">
        <v>88</v>
      </c>
      <c r="W186" s="4">
        <v>46142</v>
      </c>
      <c r="X186" s="8" t="str">
        <f t="shared" si="40"/>
        <v>Tháng 4</v>
      </c>
      <c r="Y186" s="8" t="str">
        <f t="shared" si="41"/>
        <v>Giồng Giữa</v>
      </c>
    </row>
    <row r="187" spans="1:25" x14ac:dyDescent="0.25">
      <c r="A187" s="1" t="s">
        <v>330</v>
      </c>
      <c r="B187" s="2" t="s">
        <v>23</v>
      </c>
      <c r="C187" s="2" t="s">
        <v>133</v>
      </c>
      <c r="D187" s="10">
        <f t="shared" ca="1" si="28"/>
        <v>56</v>
      </c>
      <c r="E187" s="2" t="s">
        <v>25</v>
      </c>
      <c r="F187" s="3">
        <v>158</v>
      </c>
      <c r="G187" s="3">
        <v>65</v>
      </c>
      <c r="H187" s="11">
        <f t="shared" si="29"/>
        <v>26.037493991347535</v>
      </c>
      <c r="I187" s="2">
        <v>70</v>
      </c>
      <c r="J187" s="3">
        <v>120</v>
      </c>
      <c r="K187" s="3">
        <v>70</v>
      </c>
      <c r="L187" s="10">
        <f t="shared" si="30"/>
        <v>0</v>
      </c>
      <c r="M187" s="10">
        <f t="shared" ca="1" si="31"/>
        <v>2</v>
      </c>
      <c r="N187" s="10">
        <f t="shared" si="32"/>
        <v>4</v>
      </c>
      <c r="O187" s="10">
        <f t="shared" si="33"/>
        <v>3</v>
      </c>
      <c r="P187" s="10">
        <f t="shared" si="34"/>
        <v>0</v>
      </c>
      <c r="Q187" s="10">
        <f t="shared" si="35"/>
        <v>0</v>
      </c>
      <c r="R187" s="10">
        <f t="shared" ca="1" si="36"/>
        <v>9</v>
      </c>
      <c r="S187" s="10" t="str">
        <f t="shared" ca="1" si="37"/>
        <v>Có</v>
      </c>
      <c r="T187" s="10" t="str">
        <f t="shared" ca="1" si="38"/>
        <v>Có</v>
      </c>
      <c r="U187" s="10" t="str">
        <f t="shared" si="39"/>
        <v>Không</v>
      </c>
      <c r="V187" s="2" t="s">
        <v>51</v>
      </c>
      <c r="W187" s="4">
        <v>46081</v>
      </c>
      <c r="X187" s="8" t="str">
        <f t="shared" si="40"/>
        <v>Tháng 2</v>
      </c>
      <c r="Y187" s="8" t="str">
        <f t="shared" si="41"/>
        <v>Phường Hiệp Thành</v>
      </c>
    </row>
    <row r="188" spans="1:25" x14ac:dyDescent="0.25">
      <c r="A188" s="1" t="s">
        <v>331</v>
      </c>
      <c r="B188" s="2" t="s">
        <v>23</v>
      </c>
      <c r="C188" s="2" t="s">
        <v>84</v>
      </c>
      <c r="D188" s="10">
        <f t="shared" ca="1" si="28"/>
        <v>69</v>
      </c>
      <c r="E188" s="2" t="s">
        <v>26</v>
      </c>
      <c r="F188" s="3">
        <v>158</v>
      </c>
      <c r="G188" s="3">
        <v>58</v>
      </c>
      <c r="H188" s="11">
        <f t="shared" si="29"/>
        <v>23.233456176894723</v>
      </c>
      <c r="I188" s="2">
        <v>85</v>
      </c>
      <c r="J188" s="3">
        <v>140</v>
      </c>
      <c r="K188" s="3">
        <v>80</v>
      </c>
      <c r="L188" s="10">
        <f t="shared" si="30"/>
        <v>0</v>
      </c>
      <c r="M188" s="10">
        <f t="shared" ca="1" si="31"/>
        <v>2</v>
      </c>
      <c r="N188" s="10">
        <f t="shared" si="32"/>
        <v>0</v>
      </c>
      <c r="O188" s="10">
        <f t="shared" si="33"/>
        <v>3</v>
      </c>
      <c r="P188" s="10">
        <f t="shared" si="34"/>
        <v>2</v>
      </c>
      <c r="Q188" s="10">
        <f t="shared" si="35"/>
        <v>2</v>
      </c>
      <c r="R188" s="10">
        <f t="shared" ca="1" si="36"/>
        <v>9</v>
      </c>
      <c r="S188" s="10" t="str">
        <f t="shared" ca="1" si="37"/>
        <v>Có</v>
      </c>
      <c r="T188" s="10" t="str">
        <f t="shared" ca="1" si="38"/>
        <v>Có</v>
      </c>
      <c r="U188" s="10" t="str">
        <f t="shared" si="39"/>
        <v>Có</v>
      </c>
      <c r="V188" s="2" t="s">
        <v>206</v>
      </c>
      <c r="W188" s="4">
        <v>46081</v>
      </c>
      <c r="X188" s="8" t="str">
        <f t="shared" si="40"/>
        <v>Tháng 2</v>
      </c>
      <c r="Y188" s="8" t="str">
        <f t="shared" si="41"/>
        <v>Prey Chóp B</v>
      </c>
    </row>
    <row r="189" spans="1:25" x14ac:dyDescent="0.25">
      <c r="A189" s="1" t="s">
        <v>332</v>
      </c>
      <c r="B189" s="2" t="s">
        <v>23</v>
      </c>
      <c r="C189" s="2" t="s">
        <v>64</v>
      </c>
      <c r="D189" s="10">
        <f t="shared" ca="1" si="28"/>
        <v>42</v>
      </c>
      <c r="E189" s="2" t="s">
        <v>25</v>
      </c>
      <c r="F189" s="3">
        <v>158</v>
      </c>
      <c r="G189" s="3">
        <v>60</v>
      </c>
      <c r="H189" s="11">
        <f t="shared" si="29"/>
        <v>24.034609838166958</v>
      </c>
      <c r="I189" s="2">
        <v>82</v>
      </c>
      <c r="J189" s="3">
        <v>120</v>
      </c>
      <c r="K189" s="3">
        <v>70</v>
      </c>
      <c r="L189" s="10">
        <f t="shared" si="30"/>
        <v>0</v>
      </c>
      <c r="M189" s="10">
        <f t="shared" ca="1" si="31"/>
        <v>0</v>
      </c>
      <c r="N189" s="10">
        <f t="shared" si="32"/>
        <v>4</v>
      </c>
      <c r="O189" s="10">
        <f t="shared" si="33"/>
        <v>3</v>
      </c>
      <c r="P189" s="10">
        <f t="shared" si="34"/>
        <v>2</v>
      </c>
      <c r="Q189" s="10">
        <f t="shared" si="35"/>
        <v>0</v>
      </c>
      <c r="R189" s="10">
        <f t="shared" ca="1" si="36"/>
        <v>9</v>
      </c>
      <c r="S189" s="10" t="str">
        <f t="shared" ca="1" si="37"/>
        <v>Có</v>
      </c>
      <c r="T189" s="10" t="str">
        <f t="shared" ca="1" si="38"/>
        <v>Có</v>
      </c>
      <c r="U189" s="10" t="str">
        <f t="shared" si="39"/>
        <v>Không</v>
      </c>
      <c r="V189" s="2" t="s">
        <v>333</v>
      </c>
      <c r="W189" s="4">
        <v>46142</v>
      </c>
      <c r="X189" s="8" t="str">
        <f t="shared" si="40"/>
        <v>Tháng 4</v>
      </c>
      <c r="Y189" s="8" t="str">
        <f t="shared" si="41"/>
        <v>ấp 14</v>
      </c>
    </row>
    <row r="190" spans="1:25" x14ac:dyDescent="0.25">
      <c r="A190" s="1" t="s">
        <v>334</v>
      </c>
      <c r="B190" s="2" t="s">
        <v>23</v>
      </c>
      <c r="C190" s="2" t="s">
        <v>273</v>
      </c>
      <c r="D190" s="10">
        <f t="shared" ca="1" si="28"/>
        <v>47</v>
      </c>
      <c r="E190" s="2" t="s">
        <v>26</v>
      </c>
      <c r="F190" s="3">
        <v>158</v>
      </c>
      <c r="G190" s="3">
        <v>58</v>
      </c>
      <c r="H190" s="11">
        <f t="shared" si="29"/>
        <v>23.233456176894723</v>
      </c>
      <c r="I190" s="2">
        <v>84</v>
      </c>
      <c r="J190" s="3">
        <v>120</v>
      </c>
      <c r="K190" s="3">
        <v>80</v>
      </c>
      <c r="L190" s="10">
        <f t="shared" si="30"/>
        <v>0</v>
      </c>
      <c r="M190" s="10">
        <f t="shared" ca="1" si="31"/>
        <v>1</v>
      </c>
      <c r="N190" s="10">
        <f t="shared" si="32"/>
        <v>0</v>
      </c>
      <c r="O190" s="10">
        <f t="shared" si="33"/>
        <v>3</v>
      </c>
      <c r="P190" s="10">
        <f t="shared" si="34"/>
        <v>2</v>
      </c>
      <c r="Q190" s="10">
        <f t="shared" si="35"/>
        <v>0</v>
      </c>
      <c r="R190" s="10">
        <f t="shared" ca="1" si="36"/>
        <v>6</v>
      </c>
      <c r="S190" s="10" t="str">
        <f t="shared" ca="1" si="37"/>
        <v>Có</v>
      </c>
      <c r="T190" s="10" t="str">
        <f t="shared" ca="1" si="38"/>
        <v>Có</v>
      </c>
      <c r="U190" s="10" t="str">
        <f t="shared" si="39"/>
        <v>Không</v>
      </c>
      <c r="V190" s="2" t="s">
        <v>335</v>
      </c>
      <c r="W190" s="4">
        <v>46112</v>
      </c>
      <c r="X190" s="8" t="str">
        <f t="shared" si="40"/>
        <v>Tháng 3</v>
      </c>
      <c r="Y190" s="8" t="str">
        <f t="shared" si="41"/>
        <v>ấp Giồng Giữa B</v>
      </c>
    </row>
    <row r="191" spans="1:25" x14ac:dyDescent="0.25">
      <c r="A191" s="1" t="s">
        <v>336</v>
      </c>
      <c r="B191" s="2" t="s">
        <v>23</v>
      </c>
      <c r="C191" s="2" t="s">
        <v>337</v>
      </c>
      <c r="D191" s="10">
        <f t="shared" ca="1" si="28"/>
        <v>86</v>
      </c>
      <c r="E191" s="2" t="s">
        <v>26</v>
      </c>
      <c r="F191" s="3">
        <v>158</v>
      </c>
      <c r="G191" s="3">
        <v>58</v>
      </c>
      <c r="H191" s="11">
        <f t="shared" si="29"/>
        <v>23.233456176894723</v>
      </c>
      <c r="I191" s="2">
        <v>81</v>
      </c>
      <c r="J191" s="3">
        <v>150</v>
      </c>
      <c r="K191" s="3">
        <v>80</v>
      </c>
      <c r="L191" s="10">
        <f t="shared" si="30"/>
        <v>0</v>
      </c>
      <c r="M191" s="10">
        <f t="shared" ca="1" si="31"/>
        <v>2</v>
      </c>
      <c r="N191" s="10">
        <f t="shared" si="32"/>
        <v>0</v>
      </c>
      <c r="O191" s="10">
        <f t="shared" si="33"/>
        <v>3</v>
      </c>
      <c r="P191" s="10">
        <f t="shared" si="34"/>
        <v>2</v>
      </c>
      <c r="Q191" s="10">
        <f t="shared" si="35"/>
        <v>2</v>
      </c>
      <c r="R191" s="10">
        <f t="shared" ca="1" si="36"/>
        <v>9</v>
      </c>
      <c r="S191" s="10" t="str">
        <f t="shared" ca="1" si="37"/>
        <v>Có</v>
      </c>
      <c r="T191" s="10" t="str">
        <f t="shared" ca="1" si="38"/>
        <v>Có</v>
      </c>
      <c r="U191" s="10" t="str">
        <f t="shared" si="39"/>
        <v>Có</v>
      </c>
      <c r="V191" s="2" t="s">
        <v>51</v>
      </c>
      <c r="W191" s="4">
        <v>46142</v>
      </c>
      <c r="X191" s="8" t="str">
        <f t="shared" si="40"/>
        <v>Tháng 4</v>
      </c>
      <c r="Y191" s="8" t="str">
        <f t="shared" si="41"/>
        <v>Phường Hiệp Thành</v>
      </c>
    </row>
    <row r="192" spans="1:25" x14ac:dyDescent="0.25">
      <c r="A192" s="1" t="s">
        <v>338</v>
      </c>
      <c r="B192" s="2" t="s">
        <v>30</v>
      </c>
      <c r="C192" s="2" t="s">
        <v>84</v>
      </c>
      <c r="D192" s="10">
        <f t="shared" ca="1" si="28"/>
        <v>69</v>
      </c>
      <c r="E192" s="2" t="s">
        <v>26</v>
      </c>
      <c r="F192" s="3">
        <v>170</v>
      </c>
      <c r="G192" s="3">
        <v>60</v>
      </c>
      <c r="H192" s="11">
        <f t="shared" si="29"/>
        <v>20.761245674740486</v>
      </c>
      <c r="I192" s="2">
        <v>92</v>
      </c>
      <c r="J192" s="3">
        <v>160</v>
      </c>
      <c r="K192" s="3">
        <v>80</v>
      </c>
      <c r="L192" s="10">
        <f t="shared" si="30"/>
        <v>2</v>
      </c>
      <c r="M192" s="10">
        <f t="shared" ca="1" si="31"/>
        <v>2</v>
      </c>
      <c r="N192" s="10">
        <f t="shared" si="32"/>
        <v>0</v>
      </c>
      <c r="O192" s="10">
        <f t="shared" si="33"/>
        <v>0</v>
      </c>
      <c r="P192" s="10">
        <f t="shared" si="34"/>
        <v>2</v>
      </c>
      <c r="Q192" s="10">
        <f t="shared" si="35"/>
        <v>2</v>
      </c>
      <c r="R192" s="10">
        <f t="shared" ca="1" si="36"/>
        <v>8</v>
      </c>
      <c r="S192" s="10" t="str">
        <f t="shared" ca="1" si="37"/>
        <v>Có</v>
      </c>
      <c r="T192" s="10" t="str">
        <f t="shared" ca="1" si="38"/>
        <v>Có</v>
      </c>
      <c r="U192" s="10" t="str">
        <f t="shared" si="39"/>
        <v>Có</v>
      </c>
      <c r="V192" s="2" t="s">
        <v>51</v>
      </c>
      <c r="W192" s="4">
        <v>46142</v>
      </c>
      <c r="X192" s="8" t="str">
        <f t="shared" si="40"/>
        <v>Tháng 4</v>
      </c>
      <c r="Y192" s="8" t="str">
        <f t="shared" si="41"/>
        <v>Phường Hiệp Thành</v>
      </c>
    </row>
    <row r="193" spans="1:25" x14ac:dyDescent="0.25">
      <c r="A193" s="1" t="s">
        <v>339</v>
      </c>
      <c r="B193" s="2" t="s">
        <v>30</v>
      </c>
      <c r="C193" s="2" t="s">
        <v>188</v>
      </c>
      <c r="D193" s="10">
        <f t="shared" ca="1" si="28"/>
        <v>63</v>
      </c>
      <c r="E193" s="2" t="s">
        <v>26</v>
      </c>
      <c r="F193" s="3">
        <v>157</v>
      </c>
      <c r="G193" s="3">
        <v>52</v>
      </c>
      <c r="H193" s="11">
        <f t="shared" si="29"/>
        <v>21.096190514828187</v>
      </c>
      <c r="I193" s="2">
        <v>82</v>
      </c>
      <c r="J193" s="3">
        <v>120</v>
      </c>
      <c r="K193" s="3">
        <v>70</v>
      </c>
      <c r="L193" s="10">
        <f t="shared" si="30"/>
        <v>2</v>
      </c>
      <c r="M193" s="10">
        <f t="shared" ca="1" si="31"/>
        <v>2</v>
      </c>
      <c r="N193" s="10">
        <f t="shared" si="32"/>
        <v>0</v>
      </c>
      <c r="O193" s="10">
        <f t="shared" si="33"/>
        <v>0</v>
      </c>
      <c r="P193" s="10">
        <f t="shared" si="34"/>
        <v>0</v>
      </c>
      <c r="Q193" s="10">
        <f t="shared" si="35"/>
        <v>0</v>
      </c>
      <c r="R193" s="10">
        <f t="shared" ca="1" si="36"/>
        <v>4</v>
      </c>
      <c r="S193" s="10" t="str">
        <f t="shared" ca="1" si="37"/>
        <v>Không cần</v>
      </c>
      <c r="T193" s="10" t="str">
        <f t="shared" ca="1" si="38"/>
        <v>Không</v>
      </c>
      <c r="U193" s="10" t="str">
        <f t="shared" si="39"/>
        <v>Không</v>
      </c>
      <c r="V193" s="2" t="s">
        <v>51</v>
      </c>
      <c r="W193" s="4">
        <v>46081</v>
      </c>
      <c r="X193" s="8" t="str">
        <f t="shared" si="40"/>
        <v>Tháng 2</v>
      </c>
      <c r="Y193" s="8" t="str">
        <f t="shared" si="41"/>
        <v>Phường Hiệp Thành</v>
      </c>
    </row>
    <row r="194" spans="1:25" x14ac:dyDescent="0.25">
      <c r="A194" s="1" t="s">
        <v>340</v>
      </c>
      <c r="B194" s="2" t="s">
        <v>23</v>
      </c>
      <c r="C194" s="2" t="s">
        <v>341</v>
      </c>
      <c r="D194" s="10">
        <f t="shared" ca="1" si="28"/>
        <v>51</v>
      </c>
      <c r="E194" s="2" t="s">
        <v>26</v>
      </c>
      <c r="F194" s="3">
        <v>157</v>
      </c>
      <c r="G194" s="3">
        <v>55</v>
      </c>
      <c r="H194" s="11">
        <f t="shared" si="29"/>
        <v>22.313278429145196</v>
      </c>
      <c r="I194" s="2">
        <v>85</v>
      </c>
      <c r="J194" s="3">
        <v>120</v>
      </c>
      <c r="K194" s="3">
        <v>70</v>
      </c>
      <c r="L194" s="10">
        <f t="shared" si="30"/>
        <v>0</v>
      </c>
      <c r="M194" s="10">
        <f t="shared" ca="1" si="31"/>
        <v>2</v>
      </c>
      <c r="N194" s="10">
        <f t="shared" si="32"/>
        <v>0</v>
      </c>
      <c r="O194" s="10">
        <f t="shared" si="33"/>
        <v>0</v>
      </c>
      <c r="P194" s="10">
        <f t="shared" si="34"/>
        <v>2</v>
      </c>
      <c r="Q194" s="10">
        <f t="shared" si="35"/>
        <v>0</v>
      </c>
      <c r="R194" s="10">
        <f t="shared" ca="1" si="36"/>
        <v>4</v>
      </c>
      <c r="S194" s="10" t="str">
        <f t="shared" ca="1" si="37"/>
        <v>Không cần</v>
      </c>
      <c r="T194" s="10" t="str">
        <f t="shared" ca="1" si="38"/>
        <v>Không</v>
      </c>
      <c r="U194" s="10" t="str">
        <f t="shared" si="39"/>
        <v>Không</v>
      </c>
      <c r="V194" s="2" t="s">
        <v>342</v>
      </c>
      <c r="W194" s="4">
        <v>46081</v>
      </c>
      <c r="X194" s="8" t="str">
        <f t="shared" si="40"/>
        <v>Tháng 2</v>
      </c>
      <c r="Y194" s="8" t="str">
        <f t="shared" si="41"/>
        <v>ấp Giồng nhãn A</v>
      </c>
    </row>
    <row r="195" spans="1:25" x14ac:dyDescent="0.25">
      <c r="A195" s="1" t="s">
        <v>343</v>
      </c>
      <c r="B195" s="2" t="s">
        <v>30</v>
      </c>
      <c r="C195" s="2" t="s">
        <v>34</v>
      </c>
      <c r="D195" s="10">
        <f t="shared" ref="D195:D258" ca="1" si="42">DATEDIF(C195,TODAY(),"Y")</f>
        <v>78</v>
      </c>
      <c r="E195" s="2" t="s">
        <v>26</v>
      </c>
      <c r="F195" s="3">
        <v>169</v>
      </c>
      <c r="G195" s="3">
        <v>68</v>
      </c>
      <c r="H195" s="11">
        <f t="shared" ref="H195:H258" si="43">G195/((F195/100)*(F195/100))</f>
        <v>23.808690171912751</v>
      </c>
      <c r="I195" s="2">
        <v>76</v>
      </c>
      <c r="J195" s="3">
        <v>140</v>
      </c>
      <c r="K195" s="3">
        <v>80</v>
      </c>
      <c r="L195" s="10">
        <f t="shared" ref="L195:L258" si="44">IF(B195="Nữ",0,2)</f>
        <v>2</v>
      </c>
      <c r="M195" s="10">
        <f t="shared" ref="M195:M258" ca="1" si="45">IF(D195&lt;45,0,IF(D195&lt;=49,1,2))</f>
        <v>2</v>
      </c>
      <c r="N195" s="10">
        <f t="shared" ref="N195:N258" si="46">IF(E195="Có",4,0)</f>
        <v>0</v>
      </c>
      <c r="O195" s="10">
        <f t="shared" ref="O195:O258" si="47">IF(H195&lt;23,0,IF(H195&lt;27.5,3,5))</f>
        <v>3</v>
      </c>
      <c r="P195" s="10">
        <f t="shared" ref="P195:P258" si="48">IF(OR(AND(B195="Nam",I195&gt;=90),AND(B195="Nữ",I195&gt;=80)),2,0)</f>
        <v>0</v>
      </c>
      <c r="Q195" s="10">
        <f t="shared" ref="Q195:Q258" si="49">IF(OR(J195&gt;=140,K195&gt;=90),2,0)</f>
        <v>2</v>
      </c>
      <c r="R195" s="10">
        <f t="shared" ref="R195:R258" ca="1" si="50">SUM(L195:Q195)</f>
        <v>9</v>
      </c>
      <c r="S195" s="10" t="str">
        <f t="shared" ref="S195:S258" ca="1" si="51">IF((R195)&gt;=6,"Có","Không cần")</f>
        <v>Có</v>
      </c>
      <c r="T195" s="10" t="str">
        <f t="shared" ref="T195:T258" ca="1" si="52">IF((R195)&gt;=6,"Có","Không")</f>
        <v>Có</v>
      </c>
      <c r="U195" s="10" t="str">
        <f t="shared" ref="U195:U258" si="53">IF(OR(J195&gt;=140,K195&gt;=90),"Có","Không")</f>
        <v>Có</v>
      </c>
      <c r="V195" s="2" t="s">
        <v>48</v>
      </c>
      <c r="W195" s="4">
        <v>46142</v>
      </c>
      <c r="X195" s="8" t="str">
        <f t="shared" ref="X195:X258" si="54">"Tháng "&amp;MONTH(W195)</f>
        <v>Tháng 4</v>
      </c>
      <c r="Y195" s="8" t="str">
        <f t="shared" ref="Y195:Y258" si="55">LEFT(V195,FIND(",",V195)-1)</f>
        <v>ấp Giồng Giữa A</v>
      </c>
    </row>
    <row r="196" spans="1:25" x14ac:dyDescent="0.25">
      <c r="A196" s="1" t="s">
        <v>344</v>
      </c>
      <c r="B196" s="2" t="s">
        <v>23</v>
      </c>
      <c r="C196" s="2" t="s">
        <v>273</v>
      </c>
      <c r="D196" s="10">
        <f t="shared" ca="1" si="42"/>
        <v>47</v>
      </c>
      <c r="E196" s="2" t="s">
        <v>26</v>
      </c>
      <c r="F196" s="3">
        <v>160</v>
      </c>
      <c r="G196" s="3">
        <v>68</v>
      </c>
      <c r="H196" s="11">
        <f t="shared" si="43"/>
        <v>26.562499999999996</v>
      </c>
      <c r="I196" s="2">
        <v>69</v>
      </c>
      <c r="J196" s="3">
        <v>120</v>
      </c>
      <c r="K196" s="3">
        <v>70</v>
      </c>
      <c r="L196" s="10">
        <f t="shared" si="44"/>
        <v>0</v>
      </c>
      <c r="M196" s="10">
        <f t="shared" ca="1" si="45"/>
        <v>1</v>
      </c>
      <c r="N196" s="10">
        <f t="shared" si="46"/>
        <v>0</v>
      </c>
      <c r="O196" s="10">
        <f t="shared" si="47"/>
        <v>3</v>
      </c>
      <c r="P196" s="10">
        <f t="shared" si="48"/>
        <v>0</v>
      </c>
      <c r="Q196" s="10">
        <f t="shared" si="49"/>
        <v>0</v>
      </c>
      <c r="R196" s="10">
        <f t="shared" ca="1" si="50"/>
        <v>4</v>
      </c>
      <c r="S196" s="10" t="str">
        <f t="shared" ca="1" si="51"/>
        <v>Không cần</v>
      </c>
      <c r="T196" s="10" t="str">
        <f t="shared" ca="1" si="52"/>
        <v>Không</v>
      </c>
      <c r="U196" s="10" t="str">
        <f t="shared" si="53"/>
        <v>Không</v>
      </c>
      <c r="V196" s="2" t="s">
        <v>312</v>
      </c>
      <c r="W196" s="4">
        <v>46112</v>
      </c>
      <c r="X196" s="8" t="str">
        <f t="shared" si="54"/>
        <v>Tháng 3</v>
      </c>
      <c r="Y196" s="8" t="str">
        <f t="shared" si="55"/>
        <v>Ấp biển đông A</v>
      </c>
    </row>
    <row r="197" spans="1:25" x14ac:dyDescent="0.25">
      <c r="A197" s="1" t="s">
        <v>345</v>
      </c>
      <c r="B197" s="2" t="s">
        <v>23</v>
      </c>
      <c r="C197" s="2" t="s">
        <v>90</v>
      </c>
      <c r="D197" s="10">
        <f t="shared" ca="1" si="42"/>
        <v>54</v>
      </c>
      <c r="E197" s="2" t="s">
        <v>26</v>
      </c>
      <c r="F197" s="3">
        <v>160</v>
      </c>
      <c r="G197" s="3">
        <v>54</v>
      </c>
      <c r="H197" s="11">
        <f t="shared" si="43"/>
        <v>21.093749999999996</v>
      </c>
      <c r="I197" s="2">
        <v>87</v>
      </c>
      <c r="J197" s="3">
        <v>120</v>
      </c>
      <c r="K197" s="3">
        <v>70</v>
      </c>
      <c r="L197" s="10">
        <f t="shared" si="44"/>
        <v>0</v>
      </c>
      <c r="M197" s="10">
        <f t="shared" ca="1" si="45"/>
        <v>2</v>
      </c>
      <c r="N197" s="10">
        <f t="shared" si="46"/>
        <v>0</v>
      </c>
      <c r="O197" s="10">
        <f t="shared" si="47"/>
        <v>0</v>
      </c>
      <c r="P197" s="10">
        <f t="shared" si="48"/>
        <v>2</v>
      </c>
      <c r="Q197" s="10">
        <f t="shared" si="49"/>
        <v>0</v>
      </c>
      <c r="R197" s="10">
        <f t="shared" ca="1" si="50"/>
        <v>4</v>
      </c>
      <c r="S197" s="10" t="str">
        <f t="shared" ca="1" si="51"/>
        <v>Không cần</v>
      </c>
      <c r="T197" s="10" t="str">
        <f t="shared" ca="1" si="52"/>
        <v>Không</v>
      </c>
      <c r="U197" s="10" t="str">
        <f t="shared" si="53"/>
        <v>Không</v>
      </c>
      <c r="V197" s="2" t="s">
        <v>346</v>
      </c>
      <c r="W197" s="4">
        <v>46112</v>
      </c>
      <c r="X197" s="8" t="str">
        <f t="shared" si="54"/>
        <v>Tháng 3</v>
      </c>
      <c r="Y197" s="8" t="str">
        <f t="shared" si="55"/>
        <v>ấp Giồng giữa</v>
      </c>
    </row>
    <row r="198" spans="1:25" x14ac:dyDescent="0.25">
      <c r="A198" s="1" t="s">
        <v>347</v>
      </c>
      <c r="B198" s="2" t="s">
        <v>30</v>
      </c>
      <c r="C198" s="2" t="s">
        <v>76</v>
      </c>
      <c r="D198" s="10">
        <f t="shared" ca="1" si="42"/>
        <v>68</v>
      </c>
      <c r="E198" s="2" t="s">
        <v>25</v>
      </c>
      <c r="F198" s="3">
        <v>160</v>
      </c>
      <c r="G198" s="3">
        <v>54</v>
      </c>
      <c r="H198" s="11">
        <f t="shared" si="43"/>
        <v>21.093749999999996</v>
      </c>
      <c r="I198" s="2">
        <v>86</v>
      </c>
      <c r="J198" s="3">
        <v>120</v>
      </c>
      <c r="K198" s="3">
        <v>70</v>
      </c>
      <c r="L198" s="10">
        <f t="shared" si="44"/>
        <v>2</v>
      </c>
      <c r="M198" s="10">
        <f t="shared" ca="1" si="45"/>
        <v>2</v>
      </c>
      <c r="N198" s="10">
        <f t="shared" si="46"/>
        <v>4</v>
      </c>
      <c r="O198" s="10">
        <f t="shared" si="47"/>
        <v>0</v>
      </c>
      <c r="P198" s="10">
        <f t="shared" si="48"/>
        <v>0</v>
      </c>
      <c r="Q198" s="10">
        <f t="shared" si="49"/>
        <v>0</v>
      </c>
      <c r="R198" s="10">
        <f t="shared" ca="1" si="50"/>
        <v>8</v>
      </c>
      <c r="S198" s="10" t="str">
        <f t="shared" ca="1" si="51"/>
        <v>Có</v>
      </c>
      <c r="T198" s="10" t="str">
        <f t="shared" ca="1" si="52"/>
        <v>Có</v>
      </c>
      <c r="U198" s="10" t="str">
        <f t="shared" si="53"/>
        <v>Không</v>
      </c>
      <c r="V198" s="2" t="s">
        <v>122</v>
      </c>
      <c r="W198" s="4">
        <v>46112</v>
      </c>
      <c r="X198" s="8" t="str">
        <f t="shared" si="54"/>
        <v>Tháng 3</v>
      </c>
      <c r="Y198" s="8" t="str">
        <f t="shared" si="55"/>
        <v>Giồng Nhãn</v>
      </c>
    </row>
    <row r="199" spans="1:25" x14ac:dyDescent="0.25">
      <c r="A199" s="1" t="s">
        <v>348</v>
      </c>
      <c r="B199" s="2" t="s">
        <v>23</v>
      </c>
      <c r="C199" s="2" t="s">
        <v>127</v>
      </c>
      <c r="D199" s="10">
        <f t="shared" ca="1" si="42"/>
        <v>76</v>
      </c>
      <c r="E199" s="2" t="s">
        <v>26</v>
      </c>
      <c r="F199" s="3">
        <v>160</v>
      </c>
      <c r="G199" s="3">
        <v>78</v>
      </c>
      <c r="H199" s="11">
        <f t="shared" si="43"/>
        <v>30.468749999999993</v>
      </c>
      <c r="I199" s="2">
        <v>85</v>
      </c>
      <c r="J199" s="3">
        <v>160</v>
      </c>
      <c r="K199" s="3">
        <v>80</v>
      </c>
      <c r="L199" s="10">
        <f t="shared" si="44"/>
        <v>0</v>
      </c>
      <c r="M199" s="10">
        <f t="shared" ca="1" si="45"/>
        <v>2</v>
      </c>
      <c r="N199" s="10">
        <f t="shared" si="46"/>
        <v>0</v>
      </c>
      <c r="O199" s="10">
        <f t="shared" si="47"/>
        <v>5</v>
      </c>
      <c r="P199" s="10">
        <f t="shared" si="48"/>
        <v>2</v>
      </c>
      <c r="Q199" s="10">
        <f t="shared" si="49"/>
        <v>2</v>
      </c>
      <c r="R199" s="10">
        <f t="shared" ca="1" si="50"/>
        <v>11</v>
      </c>
      <c r="S199" s="10" t="str">
        <f t="shared" ca="1" si="51"/>
        <v>Có</v>
      </c>
      <c r="T199" s="10" t="str">
        <f t="shared" ca="1" si="52"/>
        <v>Có</v>
      </c>
      <c r="U199" s="10" t="str">
        <f t="shared" si="53"/>
        <v>Có</v>
      </c>
      <c r="V199" s="2" t="s">
        <v>122</v>
      </c>
      <c r="W199" s="4">
        <v>46142</v>
      </c>
      <c r="X199" s="8" t="str">
        <f t="shared" si="54"/>
        <v>Tháng 4</v>
      </c>
      <c r="Y199" s="8" t="str">
        <f t="shared" si="55"/>
        <v>Giồng Nhãn</v>
      </c>
    </row>
    <row r="200" spans="1:25" x14ac:dyDescent="0.25">
      <c r="A200" s="1" t="s">
        <v>349</v>
      </c>
      <c r="B200" s="2" t="s">
        <v>23</v>
      </c>
      <c r="C200" s="2" t="s">
        <v>268</v>
      </c>
      <c r="D200" s="10">
        <f t="shared" ca="1" si="42"/>
        <v>44</v>
      </c>
      <c r="E200" s="2" t="s">
        <v>26</v>
      </c>
      <c r="F200" s="3">
        <v>158</v>
      </c>
      <c r="G200" s="3">
        <v>58</v>
      </c>
      <c r="H200" s="11">
        <f t="shared" si="43"/>
        <v>23.233456176894723</v>
      </c>
      <c r="I200" s="2">
        <v>72</v>
      </c>
      <c r="J200" s="3">
        <v>130</v>
      </c>
      <c r="K200" s="3">
        <v>80</v>
      </c>
      <c r="L200" s="10">
        <f t="shared" si="44"/>
        <v>0</v>
      </c>
      <c r="M200" s="10">
        <f t="shared" ca="1" si="45"/>
        <v>0</v>
      </c>
      <c r="N200" s="10">
        <f t="shared" si="46"/>
        <v>0</v>
      </c>
      <c r="O200" s="10">
        <f t="shared" si="47"/>
        <v>3</v>
      </c>
      <c r="P200" s="10">
        <f t="shared" si="48"/>
        <v>0</v>
      </c>
      <c r="Q200" s="10">
        <f t="shared" si="49"/>
        <v>0</v>
      </c>
      <c r="R200" s="10">
        <f t="shared" ca="1" si="50"/>
        <v>3</v>
      </c>
      <c r="S200" s="10" t="str">
        <f t="shared" ca="1" si="51"/>
        <v>Không cần</v>
      </c>
      <c r="T200" s="10" t="str">
        <f t="shared" ca="1" si="52"/>
        <v>Không</v>
      </c>
      <c r="U200" s="10" t="str">
        <f t="shared" si="53"/>
        <v>Không</v>
      </c>
      <c r="V200" s="2" t="s">
        <v>350</v>
      </c>
      <c r="W200" s="4">
        <v>46112</v>
      </c>
      <c r="X200" s="8" t="str">
        <f t="shared" si="54"/>
        <v>Tháng 3</v>
      </c>
      <c r="Y200" s="8" t="str">
        <f t="shared" si="55"/>
        <v>Khóm 6</v>
      </c>
    </row>
    <row r="201" spans="1:25" x14ac:dyDescent="0.25">
      <c r="A201" s="1" t="s">
        <v>351</v>
      </c>
      <c r="B201" s="2" t="s">
        <v>23</v>
      </c>
      <c r="C201" s="2" t="s">
        <v>163</v>
      </c>
      <c r="D201" s="10">
        <f t="shared" ca="1" si="42"/>
        <v>46</v>
      </c>
      <c r="E201" s="2" t="s">
        <v>25</v>
      </c>
      <c r="F201" s="3">
        <v>158</v>
      </c>
      <c r="G201" s="3">
        <v>58</v>
      </c>
      <c r="H201" s="11">
        <f t="shared" si="43"/>
        <v>23.233456176894723</v>
      </c>
      <c r="I201" s="2">
        <v>90</v>
      </c>
      <c r="J201" s="3">
        <v>140</v>
      </c>
      <c r="K201" s="3">
        <v>80</v>
      </c>
      <c r="L201" s="10">
        <f t="shared" si="44"/>
        <v>0</v>
      </c>
      <c r="M201" s="10">
        <f t="shared" ca="1" si="45"/>
        <v>1</v>
      </c>
      <c r="N201" s="10">
        <f t="shared" si="46"/>
        <v>4</v>
      </c>
      <c r="O201" s="10">
        <f t="shared" si="47"/>
        <v>3</v>
      </c>
      <c r="P201" s="10">
        <f t="shared" si="48"/>
        <v>2</v>
      </c>
      <c r="Q201" s="10">
        <f t="shared" si="49"/>
        <v>2</v>
      </c>
      <c r="R201" s="10">
        <f t="shared" ca="1" si="50"/>
        <v>12</v>
      </c>
      <c r="S201" s="10" t="str">
        <f t="shared" ca="1" si="51"/>
        <v>Có</v>
      </c>
      <c r="T201" s="10" t="str">
        <f t="shared" ca="1" si="52"/>
        <v>Có</v>
      </c>
      <c r="U201" s="10" t="str">
        <f t="shared" si="53"/>
        <v>Có</v>
      </c>
      <c r="V201" s="2" t="s">
        <v>72</v>
      </c>
      <c r="W201" s="4">
        <v>46112</v>
      </c>
      <c r="X201" s="8" t="str">
        <f t="shared" si="54"/>
        <v>Tháng 3</v>
      </c>
      <c r="Y201" s="8" t="str">
        <f t="shared" si="55"/>
        <v>Ấp Giồng Giữa A</v>
      </c>
    </row>
    <row r="202" spans="1:25" x14ac:dyDescent="0.25">
      <c r="A202" s="1" t="s">
        <v>352</v>
      </c>
      <c r="B202" s="2" t="s">
        <v>23</v>
      </c>
      <c r="C202" s="2" t="s">
        <v>115</v>
      </c>
      <c r="D202" s="10">
        <f t="shared" ca="1" si="42"/>
        <v>40</v>
      </c>
      <c r="E202" s="2" t="s">
        <v>25</v>
      </c>
      <c r="F202" s="3">
        <v>160</v>
      </c>
      <c r="G202" s="3">
        <v>65</v>
      </c>
      <c r="H202" s="11">
        <f t="shared" si="43"/>
        <v>25.390624999999996</v>
      </c>
      <c r="I202" s="2">
        <v>68</v>
      </c>
      <c r="J202" s="3">
        <v>120</v>
      </c>
      <c r="K202" s="3">
        <v>70</v>
      </c>
      <c r="L202" s="10">
        <f t="shared" si="44"/>
        <v>0</v>
      </c>
      <c r="M202" s="10">
        <f t="shared" ca="1" si="45"/>
        <v>0</v>
      </c>
      <c r="N202" s="10">
        <f t="shared" si="46"/>
        <v>4</v>
      </c>
      <c r="O202" s="10">
        <f t="shared" si="47"/>
        <v>3</v>
      </c>
      <c r="P202" s="10">
        <f t="shared" si="48"/>
        <v>0</v>
      </c>
      <c r="Q202" s="10">
        <f t="shared" si="49"/>
        <v>0</v>
      </c>
      <c r="R202" s="10">
        <f t="shared" ca="1" si="50"/>
        <v>7</v>
      </c>
      <c r="S202" s="10" t="str">
        <f t="shared" ca="1" si="51"/>
        <v>Có</v>
      </c>
      <c r="T202" s="10" t="str">
        <f t="shared" ca="1" si="52"/>
        <v>Có</v>
      </c>
      <c r="U202" s="10" t="str">
        <f t="shared" si="53"/>
        <v>Không</v>
      </c>
      <c r="V202" s="2" t="s">
        <v>51</v>
      </c>
      <c r="W202" s="4">
        <v>46112</v>
      </c>
      <c r="X202" s="8" t="str">
        <f t="shared" si="54"/>
        <v>Tháng 3</v>
      </c>
      <c r="Y202" s="8" t="str">
        <f t="shared" si="55"/>
        <v>Phường Hiệp Thành</v>
      </c>
    </row>
    <row r="203" spans="1:25" x14ac:dyDescent="0.25">
      <c r="A203" s="1" t="s">
        <v>353</v>
      </c>
      <c r="B203" s="2" t="s">
        <v>30</v>
      </c>
      <c r="C203" s="2" t="s">
        <v>76</v>
      </c>
      <c r="D203" s="10">
        <f t="shared" ca="1" si="42"/>
        <v>68</v>
      </c>
      <c r="E203" s="2" t="s">
        <v>26</v>
      </c>
      <c r="F203" s="3">
        <v>177</v>
      </c>
      <c r="G203" s="3">
        <v>78</v>
      </c>
      <c r="H203" s="11">
        <f t="shared" si="43"/>
        <v>24.897060231734173</v>
      </c>
      <c r="I203" s="2">
        <v>86</v>
      </c>
      <c r="J203" s="3">
        <v>130</v>
      </c>
      <c r="K203" s="3">
        <v>80</v>
      </c>
      <c r="L203" s="10">
        <f t="shared" si="44"/>
        <v>2</v>
      </c>
      <c r="M203" s="10">
        <f t="shared" ca="1" si="45"/>
        <v>2</v>
      </c>
      <c r="N203" s="10">
        <f t="shared" si="46"/>
        <v>0</v>
      </c>
      <c r="O203" s="10">
        <f t="shared" si="47"/>
        <v>3</v>
      </c>
      <c r="P203" s="10">
        <f t="shared" si="48"/>
        <v>0</v>
      </c>
      <c r="Q203" s="10">
        <f t="shared" si="49"/>
        <v>0</v>
      </c>
      <c r="R203" s="10">
        <f t="shared" ca="1" si="50"/>
        <v>7</v>
      </c>
      <c r="S203" s="10" t="str">
        <f t="shared" ca="1" si="51"/>
        <v>Có</v>
      </c>
      <c r="T203" s="10" t="str">
        <f t="shared" ca="1" si="52"/>
        <v>Có</v>
      </c>
      <c r="U203" s="10" t="str">
        <f t="shared" si="53"/>
        <v>Không</v>
      </c>
      <c r="V203" s="2" t="s">
        <v>51</v>
      </c>
      <c r="W203" s="4">
        <v>46142</v>
      </c>
      <c r="X203" s="8" t="str">
        <f t="shared" si="54"/>
        <v>Tháng 4</v>
      </c>
      <c r="Y203" s="8" t="str">
        <f t="shared" si="55"/>
        <v>Phường Hiệp Thành</v>
      </c>
    </row>
    <row r="204" spans="1:25" x14ac:dyDescent="0.25">
      <c r="A204" s="1" t="s">
        <v>354</v>
      </c>
      <c r="B204" s="2" t="s">
        <v>23</v>
      </c>
      <c r="C204" s="2" t="s">
        <v>133</v>
      </c>
      <c r="D204" s="10">
        <f t="shared" ca="1" si="42"/>
        <v>56</v>
      </c>
      <c r="E204" s="2" t="s">
        <v>26</v>
      </c>
      <c r="F204" s="3">
        <v>158</v>
      </c>
      <c r="G204" s="3">
        <v>58</v>
      </c>
      <c r="H204" s="11">
        <f t="shared" si="43"/>
        <v>23.233456176894723</v>
      </c>
      <c r="I204" s="2">
        <v>67</v>
      </c>
      <c r="J204" s="3">
        <v>150</v>
      </c>
      <c r="K204" s="3">
        <v>80</v>
      </c>
      <c r="L204" s="10">
        <f t="shared" si="44"/>
        <v>0</v>
      </c>
      <c r="M204" s="10">
        <f t="shared" ca="1" si="45"/>
        <v>2</v>
      </c>
      <c r="N204" s="10">
        <f t="shared" si="46"/>
        <v>0</v>
      </c>
      <c r="O204" s="10">
        <f t="shared" si="47"/>
        <v>3</v>
      </c>
      <c r="P204" s="10">
        <f t="shared" si="48"/>
        <v>0</v>
      </c>
      <c r="Q204" s="10">
        <f t="shared" si="49"/>
        <v>2</v>
      </c>
      <c r="R204" s="10">
        <f t="shared" ca="1" si="50"/>
        <v>7</v>
      </c>
      <c r="S204" s="10" t="str">
        <f t="shared" ca="1" si="51"/>
        <v>Có</v>
      </c>
      <c r="T204" s="10" t="str">
        <f t="shared" ca="1" si="52"/>
        <v>Có</v>
      </c>
      <c r="U204" s="10" t="str">
        <f t="shared" si="53"/>
        <v>Có</v>
      </c>
      <c r="V204" s="2" t="s">
        <v>306</v>
      </c>
      <c r="W204" s="4">
        <v>46142</v>
      </c>
      <c r="X204" s="8" t="str">
        <f t="shared" si="54"/>
        <v>Tháng 4</v>
      </c>
      <c r="Y204" s="8" t="str">
        <f t="shared" si="55"/>
        <v>Giồng Giữa A</v>
      </c>
    </row>
    <row r="205" spans="1:25" x14ac:dyDescent="0.25">
      <c r="A205" s="1" t="s">
        <v>355</v>
      </c>
      <c r="B205" s="2" t="s">
        <v>23</v>
      </c>
      <c r="C205" s="2" t="s">
        <v>64</v>
      </c>
      <c r="D205" s="10">
        <f t="shared" ca="1" si="42"/>
        <v>42</v>
      </c>
      <c r="E205" s="2" t="s">
        <v>26</v>
      </c>
      <c r="F205" s="3">
        <v>158</v>
      </c>
      <c r="G205" s="3">
        <v>58</v>
      </c>
      <c r="H205" s="11">
        <f t="shared" si="43"/>
        <v>23.233456176894723</v>
      </c>
      <c r="I205" s="2">
        <v>69</v>
      </c>
      <c r="J205" s="3">
        <v>110</v>
      </c>
      <c r="K205" s="3">
        <v>80</v>
      </c>
      <c r="L205" s="10">
        <f t="shared" si="44"/>
        <v>0</v>
      </c>
      <c r="M205" s="10">
        <f t="shared" ca="1" si="45"/>
        <v>0</v>
      </c>
      <c r="N205" s="10">
        <f t="shared" si="46"/>
        <v>0</v>
      </c>
      <c r="O205" s="10">
        <f t="shared" si="47"/>
        <v>3</v>
      </c>
      <c r="P205" s="10">
        <f t="shared" si="48"/>
        <v>0</v>
      </c>
      <c r="Q205" s="10">
        <f t="shared" si="49"/>
        <v>0</v>
      </c>
      <c r="R205" s="10">
        <f t="shared" ca="1" si="50"/>
        <v>3</v>
      </c>
      <c r="S205" s="10" t="str">
        <f t="shared" ca="1" si="51"/>
        <v>Không cần</v>
      </c>
      <c r="T205" s="10" t="str">
        <f t="shared" ca="1" si="52"/>
        <v>Không</v>
      </c>
      <c r="U205" s="10" t="str">
        <f t="shared" si="53"/>
        <v>Không</v>
      </c>
      <c r="V205" s="2" t="s">
        <v>149</v>
      </c>
      <c r="W205" s="4">
        <v>46142</v>
      </c>
      <c r="X205" s="8" t="str">
        <f t="shared" si="54"/>
        <v>Tháng 4</v>
      </c>
      <c r="Y205" s="8" t="str">
        <f t="shared" si="55"/>
        <v>văn đức b</v>
      </c>
    </row>
    <row r="206" spans="1:25" x14ac:dyDescent="0.25">
      <c r="A206" s="1" t="s">
        <v>356</v>
      </c>
      <c r="B206" s="2" t="s">
        <v>30</v>
      </c>
      <c r="C206" s="2" t="s">
        <v>64</v>
      </c>
      <c r="D206" s="10">
        <f t="shared" ca="1" si="42"/>
        <v>42</v>
      </c>
      <c r="E206" s="2" t="s">
        <v>26</v>
      </c>
      <c r="F206" s="3">
        <v>169</v>
      </c>
      <c r="G206" s="3">
        <v>68</v>
      </c>
      <c r="H206" s="11">
        <f t="shared" si="43"/>
        <v>23.808690171912751</v>
      </c>
      <c r="I206" s="2">
        <v>94</v>
      </c>
      <c r="J206" s="3">
        <v>100</v>
      </c>
      <c r="K206" s="3">
        <v>80</v>
      </c>
      <c r="L206" s="10">
        <f t="shared" si="44"/>
        <v>2</v>
      </c>
      <c r="M206" s="10">
        <f t="shared" ca="1" si="45"/>
        <v>0</v>
      </c>
      <c r="N206" s="10">
        <f t="shared" si="46"/>
        <v>0</v>
      </c>
      <c r="O206" s="10">
        <f t="shared" si="47"/>
        <v>3</v>
      </c>
      <c r="P206" s="10">
        <f t="shared" si="48"/>
        <v>2</v>
      </c>
      <c r="Q206" s="10">
        <f t="shared" si="49"/>
        <v>0</v>
      </c>
      <c r="R206" s="10">
        <f t="shared" ca="1" si="50"/>
        <v>7</v>
      </c>
      <c r="S206" s="10" t="str">
        <f t="shared" ca="1" si="51"/>
        <v>Có</v>
      </c>
      <c r="T206" s="10" t="str">
        <f t="shared" ca="1" si="52"/>
        <v>Có</v>
      </c>
      <c r="U206" s="10" t="str">
        <f t="shared" si="53"/>
        <v>Không</v>
      </c>
      <c r="V206" s="2" t="s">
        <v>149</v>
      </c>
      <c r="W206" s="4">
        <v>46142</v>
      </c>
      <c r="X206" s="8" t="str">
        <f t="shared" si="54"/>
        <v>Tháng 4</v>
      </c>
      <c r="Y206" s="8" t="str">
        <f t="shared" si="55"/>
        <v>văn đức b</v>
      </c>
    </row>
    <row r="207" spans="1:25" x14ac:dyDescent="0.25">
      <c r="A207" s="1" t="s">
        <v>357</v>
      </c>
      <c r="B207" s="2" t="s">
        <v>23</v>
      </c>
      <c r="C207" s="2" t="s">
        <v>93</v>
      </c>
      <c r="D207" s="10">
        <f t="shared" ca="1" si="42"/>
        <v>66</v>
      </c>
      <c r="E207" s="2" t="s">
        <v>26</v>
      </c>
      <c r="F207" s="3">
        <v>160</v>
      </c>
      <c r="G207" s="3">
        <v>55</v>
      </c>
      <c r="H207" s="11">
        <f t="shared" si="43"/>
        <v>21.484374999999996</v>
      </c>
      <c r="I207" s="2">
        <v>68</v>
      </c>
      <c r="J207" s="3">
        <v>120</v>
      </c>
      <c r="K207" s="3">
        <v>70</v>
      </c>
      <c r="L207" s="10">
        <f t="shared" si="44"/>
        <v>0</v>
      </c>
      <c r="M207" s="10">
        <f t="shared" ca="1" si="45"/>
        <v>2</v>
      </c>
      <c r="N207" s="10">
        <f t="shared" si="46"/>
        <v>0</v>
      </c>
      <c r="O207" s="10">
        <f t="shared" si="47"/>
        <v>0</v>
      </c>
      <c r="P207" s="10">
        <f t="shared" si="48"/>
        <v>0</v>
      </c>
      <c r="Q207" s="10">
        <f t="shared" si="49"/>
        <v>0</v>
      </c>
      <c r="R207" s="10">
        <f t="shared" ca="1" si="50"/>
        <v>2</v>
      </c>
      <c r="S207" s="10" t="str">
        <f t="shared" ca="1" si="51"/>
        <v>Không cần</v>
      </c>
      <c r="T207" s="10" t="str">
        <f t="shared" ca="1" si="52"/>
        <v>Không</v>
      </c>
      <c r="U207" s="10" t="str">
        <f t="shared" si="53"/>
        <v>Không</v>
      </c>
      <c r="V207" s="2" t="s">
        <v>108</v>
      </c>
      <c r="W207" s="4">
        <v>46053</v>
      </c>
      <c r="X207" s="8" t="str">
        <f t="shared" si="54"/>
        <v>Tháng 1</v>
      </c>
      <c r="Y207" s="8" t="str">
        <f t="shared" si="55"/>
        <v>Phường Hiệp Thành</v>
      </c>
    </row>
    <row r="208" spans="1:25" x14ac:dyDescent="0.25">
      <c r="A208" s="1" t="s">
        <v>358</v>
      </c>
      <c r="B208" s="2" t="s">
        <v>23</v>
      </c>
      <c r="C208" s="2" t="s">
        <v>84</v>
      </c>
      <c r="D208" s="10">
        <f t="shared" ca="1" si="42"/>
        <v>69</v>
      </c>
      <c r="E208" s="2" t="s">
        <v>26</v>
      </c>
      <c r="F208" s="3">
        <v>160</v>
      </c>
      <c r="G208" s="3">
        <v>54</v>
      </c>
      <c r="H208" s="11">
        <f t="shared" si="43"/>
        <v>21.093749999999996</v>
      </c>
      <c r="I208" s="2">
        <v>75</v>
      </c>
      <c r="J208" s="3">
        <v>120</v>
      </c>
      <c r="K208" s="3">
        <v>70</v>
      </c>
      <c r="L208" s="10">
        <f t="shared" si="44"/>
        <v>0</v>
      </c>
      <c r="M208" s="10">
        <f t="shared" ca="1" si="45"/>
        <v>2</v>
      </c>
      <c r="N208" s="10">
        <f t="shared" si="46"/>
        <v>0</v>
      </c>
      <c r="O208" s="10">
        <f t="shared" si="47"/>
        <v>0</v>
      </c>
      <c r="P208" s="10">
        <f t="shared" si="48"/>
        <v>0</v>
      </c>
      <c r="Q208" s="10">
        <f t="shared" si="49"/>
        <v>0</v>
      </c>
      <c r="R208" s="10">
        <f t="shared" ca="1" si="50"/>
        <v>2</v>
      </c>
      <c r="S208" s="10" t="str">
        <f t="shared" ca="1" si="51"/>
        <v>Không cần</v>
      </c>
      <c r="T208" s="10" t="str">
        <f t="shared" ca="1" si="52"/>
        <v>Không</v>
      </c>
      <c r="U208" s="10" t="str">
        <f t="shared" si="53"/>
        <v>Không</v>
      </c>
      <c r="V208" s="2" t="s">
        <v>51</v>
      </c>
      <c r="W208" s="4">
        <v>46142</v>
      </c>
      <c r="X208" s="8" t="str">
        <f t="shared" si="54"/>
        <v>Tháng 4</v>
      </c>
      <c r="Y208" s="8" t="str">
        <f t="shared" si="55"/>
        <v>Phường Hiệp Thành</v>
      </c>
    </row>
    <row r="209" spans="1:25" x14ac:dyDescent="0.25">
      <c r="A209" s="1" t="s">
        <v>359</v>
      </c>
      <c r="B209" s="2" t="s">
        <v>23</v>
      </c>
      <c r="C209" s="2" t="s">
        <v>64</v>
      </c>
      <c r="D209" s="10">
        <f t="shared" ca="1" si="42"/>
        <v>42</v>
      </c>
      <c r="E209" s="2" t="s">
        <v>26</v>
      </c>
      <c r="F209" s="3">
        <v>165</v>
      </c>
      <c r="G209" s="3">
        <v>65</v>
      </c>
      <c r="H209" s="11">
        <f t="shared" si="43"/>
        <v>23.875114784205696</v>
      </c>
      <c r="I209" s="2">
        <v>82</v>
      </c>
      <c r="J209" s="3">
        <v>120</v>
      </c>
      <c r="K209" s="3">
        <v>80</v>
      </c>
      <c r="L209" s="10">
        <f t="shared" si="44"/>
        <v>0</v>
      </c>
      <c r="M209" s="10">
        <f t="shared" ca="1" si="45"/>
        <v>0</v>
      </c>
      <c r="N209" s="10">
        <f t="shared" si="46"/>
        <v>0</v>
      </c>
      <c r="O209" s="10">
        <f t="shared" si="47"/>
        <v>3</v>
      </c>
      <c r="P209" s="10">
        <f t="shared" si="48"/>
        <v>2</v>
      </c>
      <c r="Q209" s="10">
        <f t="shared" si="49"/>
        <v>0</v>
      </c>
      <c r="R209" s="10">
        <f t="shared" ca="1" si="50"/>
        <v>5</v>
      </c>
      <c r="S209" s="10" t="str">
        <f t="shared" ca="1" si="51"/>
        <v>Không cần</v>
      </c>
      <c r="T209" s="10" t="str">
        <f t="shared" ca="1" si="52"/>
        <v>Không</v>
      </c>
      <c r="U209" s="10" t="str">
        <f t="shared" si="53"/>
        <v>Không</v>
      </c>
      <c r="V209" s="2" t="s">
        <v>120</v>
      </c>
      <c r="W209" s="4">
        <v>46142</v>
      </c>
      <c r="X209" s="8" t="str">
        <f t="shared" si="54"/>
        <v>Tháng 4</v>
      </c>
      <c r="Y209" s="8" t="str">
        <f t="shared" si="55"/>
        <v>Ấp Xóm Lẫm</v>
      </c>
    </row>
    <row r="210" spans="1:25" x14ac:dyDescent="0.25">
      <c r="A210" s="1" t="s">
        <v>360</v>
      </c>
      <c r="B210" s="2" t="s">
        <v>30</v>
      </c>
      <c r="C210" s="2" t="s">
        <v>56</v>
      </c>
      <c r="D210" s="10">
        <f t="shared" ca="1" si="42"/>
        <v>65</v>
      </c>
      <c r="E210" s="2" t="s">
        <v>26</v>
      </c>
      <c r="F210" s="3">
        <v>166</v>
      </c>
      <c r="G210" s="3">
        <v>95</v>
      </c>
      <c r="H210" s="11">
        <f t="shared" si="43"/>
        <v>34.475250399187111</v>
      </c>
      <c r="I210" s="2">
        <v>93</v>
      </c>
      <c r="J210" s="3">
        <v>140</v>
      </c>
      <c r="K210" s="3">
        <v>90</v>
      </c>
      <c r="L210" s="10">
        <f t="shared" si="44"/>
        <v>2</v>
      </c>
      <c r="M210" s="10">
        <f t="shared" ca="1" si="45"/>
        <v>2</v>
      </c>
      <c r="N210" s="10">
        <f t="shared" si="46"/>
        <v>0</v>
      </c>
      <c r="O210" s="10">
        <f t="shared" si="47"/>
        <v>5</v>
      </c>
      <c r="P210" s="10">
        <f t="shared" si="48"/>
        <v>2</v>
      </c>
      <c r="Q210" s="10">
        <f t="shared" si="49"/>
        <v>2</v>
      </c>
      <c r="R210" s="10">
        <f t="shared" ca="1" si="50"/>
        <v>13</v>
      </c>
      <c r="S210" s="10" t="str">
        <f t="shared" ca="1" si="51"/>
        <v>Có</v>
      </c>
      <c r="T210" s="10" t="str">
        <f t="shared" ca="1" si="52"/>
        <v>Có</v>
      </c>
      <c r="U210" s="10" t="str">
        <f t="shared" si="53"/>
        <v>Có</v>
      </c>
      <c r="V210" s="2" t="s">
        <v>91</v>
      </c>
      <c r="W210" s="4">
        <v>46142</v>
      </c>
      <c r="X210" s="8" t="str">
        <f t="shared" si="54"/>
        <v>Tháng 4</v>
      </c>
      <c r="Y210" s="8" t="str">
        <f t="shared" si="55"/>
        <v>Ấp Giồng Giữa</v>
      </c>
    </row>
    <row r="211" spans="1:25" x14ac:dyDescent="0.25">
      <c r="A211" s="1" t="s">
        <v>361</v>
      </c>
      <c r="B211" s="2" t="s">
        <v>23</v>
      </c>
      <c r="C211" s="2" t="s">
        <v>130</v>
      </c>
      <c r="D211" s="10">
        <f t="shared" ca="1" si="42"/>
        <v>57</v>
      </c>
      <c r="E211" s="2" t="s">
        <v>26</v>
      </c>
      <c r="F211" s="3">
        <v>155</v>
      </c>
      <c r="G211" s="3">
        <v>66</v>
      </c>
      <c r="H211" s="11">
        <f t="shared" si="43"/>
        <v>27.471383975026011</v>
      </c>
      <c r="I211" s="2">
        <v>86</v>
      </c>
      <c r="J211" s="3">
        <v>120</v>
      </c>
      <c r="K211" s="3">
        <v>70</v>
      </c>
      <c r="L211" s="10">
        <f t="shared" si="44"/>
        <v>0</v>
      </c>
      <c r="M211" s="10">
        <f t="shared" ca="1" si="45"/>
        <v>2</v>
      </c>
      <c r="N211" s="10">
        <f t="shared" si="46"/>
        <v>0</v>
      </c>
      <c r="O211" s="10">
        <f t="shared" si="47"/>
        <v>3</v>
      </c>
      <c r="P211" s="10">
        <f t="shared" si="48"/>
        <v>2</v>
      </c>
      <c r="Q211" s="10">
        <f t="shared" si="49"/>
        <v>0</v>
      </c>
      <c r="R211" s="10">
        <f t="shared" ca="1" si="50"/>
        <v>7</v>
      </c>
      <c r="S211" s="10" t="str">
        <f t="shared" ca="1" si="51"/>
        <v>Có</v>
      </c>
      <c r="T211" s="10" t="str">
        <f t="shared" ca="1" si="52"/>
        <v>Có</v>
      </c>
      <c r="U211" s="10" t="str">
        <f t="shared" si="53"/>
        <v>Không</v>
      </c>
      <c r="V211" s="2" t="s">
        <v>108</v>
      </c>
      <c r="W211" s="4">
        <v>46053</v>
      </c>
      <c r="X211" s="8" t="str">
        <f t="shared" si="54"/>
        <v>Tháng 1</v>
      </c>
      <c r="Y211" s="8" t="str">
        <f t="shared" si="55"/>
        <v>Phường Hiệp Thành</v>
      </c>
    </row>
    <row r="212" spans="1:25" x14ac:dyDescent="0.25">
      <c r="A212" s="1" t="s">
        <v>362</v>
      </c>
      <c r="B212" s="2" t="s">
        <v>23</v>
      </c>
      <c r="C212" s="2" t="s">
        <v>34</v>
      </c>
      <c r="D212" s="10">
        <f t="shared" ca="1" si="42"/>
        <v>78</v>
      </c>
      <c r="E212" s="2" t="s">
        <v>26</v>
      </c>
      <c r="F212" s="3">
        <v>158</v>
      </c>
      <c r="G212" s="3">
        <v>50</v>
      </c>
      <c r="H212" s="11">
        <f t="shared" si="43"/>
        <v>20.028841531805796</v>
      </c>
      <c r="I212" s="2">
        <v>70</v>
      </c>
      <c r="J212" s="3">
        <v>120</v>
      </c>
      <c r="K212" s="3">
        <v>70</v>
      </c>
      <c r="L212" s="10">
        <f t="shared" si="44"/>
        <v>0</v>
      </c>
      <c r="M212" s="10">
        <f t="shared" ca="1" si="45"/>
        <v>2</v>
      </c>
      <c r="N212" s="10">
        <f t="shared" si="46"/>
        <v>0</v>
      </c>
      <c r="O212" s="10">
        <f t="shared" si="47"/>
        <v>0</v>
      </c>
      <c r="P212" s="10">
        <f t="shared" si="48"/>
        <v>0</v>
      </c>
      <c r="Q212" s="10">
        <f t="shared" si="49"/>
        <v>0</v>
      </c>
      <c r="R212" s="10">
        <f t="shared" ca="1" si="50"/>
        <v>2</v>
      </c>
      <c r="S212" s="10" t="str">
        <f t="shared" ca="1" si="51"/>
        <v>Không cần</v>
      </c>
      <c r="T212" s="10" t="str">
        <f t="shared" ca="1" si="52"/>
        <v>Không</v>
      </c>
      <c r="U212" s="10" t="str">
        <f t="shared" si="53"/>
        <v>Không</v>
      </c>
      <c r="V212" s="2" t="s">
        <v>363</v>
      </c>
      <c r="W212" s="4">
        <v>46142</v>
      </c>
      <c r="X212" s="8" t="str">
        <f t="shared" si="54"/>
        <v>Tháng 4</v>
      </c>
      <c r="Y212" s="8" t="str">
        <f t="shared" si="55"/>
        <v>TP Bạc Liêu</v>
      </c>
    </row>
    <row r="213" spans="1:25" x14ac:dyDescent="0.25">
      <c r="A213" s="1" t="s">
        <v>364</v>
      </c>
      <c r="B213" s="2" t="s">
        <v>23</v>
      </c>
      <c r="C213" s="2" t="s">
        <v>268</v>
      </c>
      <c r="D213" s="10">
        <f t="shared" ca="1" si="42"/>
        <v>44</v>
      </c>
      <c r="E213" s="2" t="s">
        <v>26</v>
      </c>
      <c r="F213" s="3">
        <v>160</v>
      </c>
      <c r="G213" s="3">
        <v>55</v>
      </c>
      <c r="H213" s="11">
        <f t="shared" si="43"/>
        <v>21.484374999999996</v>
      </c>
      <c r="I213" s="2">
        <v>80</v>
      </c>
      <c r="J213" s="3">
        <v>120</v>
      </c>
      <c r="K213" s="3">
        <v>70</v>
      </c>
      <c r="L213" s="10">
        <f t="shared" si="44"/>
        <v>0</v>
      </c>
      <c r="M213" s="10">
        <f t="shared" ca="1" si="45"/>
        <v>0</v>
      </c>
      <c r="N213" s="10">
        <f t="shared" si="46"/>
        <v>0</v>
      </c>
      <c r="O213" s="10">
        <f t="shared" si="47"/>
        <v>0</v>
      </c>
      <c r="P213" s="10">
        <f t="shared" si="48"/>
        <v>2</v>
      </c>
      <c r="Q213" s="10">
        <f t="shared" si="49"/>
        <v>0</v>
      </c>
      <c r="R213" s="10">
        <f t="shared" ca="1" si="50"/>
        <v>2</v>
      </c>
      <c r="S213" s="10" t="str">
        <f t="shared" ca="1" si="51"/>
        <v>Không cần</v>
      </c>
      <c r="T213" s="10" t="str">
        <f t="shared" ca="1" si="52"/>
        <v>Không</v>
      </c>
      <c r="U213" s="10" t="str">
        <f t="shared" si="53"/>
        <v>Không</v>
      </c>
      <c r="V213" s="2" t="s">
        <v>365</v>
      </c>
      <c r="W213" s="4">
        <v>46142</v>
      </c>
      <c r="X213" s="8" t="str">
        <f t="shared" si="54"/>
        <v>Tháng 4</v>
      </c>
      <c r="Y213" s="8" t="str">
        <f t="shared" si="55"/>
        <v>Phường Bạc Liêu</v>
      </c>
    </row>
    <row r="214" spans="1:25" x14ac:dyDescent="0.25">
      <c r="A214" s="1" t="s">
        <v>366</v>
      </c>
      <c r="B214" s="2" t="s">
        <v>30</v>
      </c>
      <c r="C214" s="2" t="s">
        <v>80</v>
      </c>
      <c r="D214" s="10">
        <f t="shared" ca="1" si="42"/>
        <v>71</v>
      </c>
      <c r="E214" s="2" t="s">
        <v>26</v>
      </c>
      <c r="F214" s="3">
        <v>158</v>
      </c>
      <c r="G214" s="3">
        <v>55</v>
      </c>
      <c r="H214" s="11">
        <f t="shared" si="43"/>
        <v>22.031725684986377</v>
      </c>
      <c r="I214" s="2">
        <v>100</v>
      </c>
      <c r="J214" s="3">
        <v>120</v>
      </c>
      <c r="K214" s="3">
        <v>70</v>
      </c>
      <c r="L214" s="10">
        <f t="shared" si="44"/>
        <v>2</v>
      </c>
      <c r="M214" s="10">
        <f t="shared" ca="1" si="45"/>
        <v>2</v>
      </c>
      <c r="N214" s="10">
        <f t="shared" si="46"/>
        <v>0</v>
      </c>
      <c r="O214" s="10">
        <f t="shared" si="47"/>
        <v>0</v>
      </c>
      <c r="P214" s="10">
        <f t="shared" si="48"/>
        <v>2</v>
      </c>
      <c r="Q214" s="10">
        <f t="shared" si="49"/>
        <v>0</v>
      </c>
      <c r="R214" s="10">
        <f t="shared" ca="1" si="50"/>
        <v>6</v>
      </c>
      <c r="S214" s="10" t="str">
        <f t="shared" ca="1" si="51"/>
        <v>Có</v>
      </c>
      <c r="T214" s="10" t="str">
        <f t="shared" ca="1" si="52"/>
        <v>Có</v>
      </c>
      <c r="U214" s="10" t="str">
        <f t="shared" si="53"/>
        <v>Không</v>
      </c>
      <c r="V214" s="2" t="s">
        <v>91</v>
      </c>
      <c r="W214" s="4">
        <v>46112</v>
      </c>
      <c r="X214" s="8" t="str">
        <f t="shared" si="54"/>
        <v>Tháng 3</v>
      </c>
      <c r="Y214" s="8" t="str">
        <f t="shared" si="55"/>
        <v>Ấp Giồng Giữa</v>
      </c>
    </row>
    <row r="215" spans="1:25" x14ac:dyDescent="0.25">
      <c r="A215" s="1" t="s">
        <v>367</v>
      </c>
      <c r="B215" s="2" t="s">
        <v>23</v>
      </c>
      <c r="C215" s="2" t="s">
        <v>146</v>
      </c>
      <c r="D215" s="10">
        <f t="shared" ca="1" si="42"/>
        <v>52</v>
      </c>
      <c r="E215" s="2" t="s">
        <v>25</v>
      </c>
      <c r="F215" s="3">
        <v>160</v>
      </c>
      <c r="G215" s="3">
        <v>67</v>
      </c>
      <c r="H215" s="11">
        <f t="shared" si="43"/>
        <v>26.171874999999996</v>
      </c>
      <c r="I215" s="2">
        <v>65</v>
      </c>
      <c r="J215" s="3">
        <v>120</v>
      </c>
      <c r="K215" s="3">
        <v>70</v>
      </c>
      <c r="L215" s="10">
        <f t="shared" si="44"/>
        <v>0</v>
      </c>
      <c r="M215" s="10">
        <f t="shared" ca="1" si="45"/>
        <v>2</v>
      </c>
      <c r="N215" s="10">
        <f t="shared" si="46"/>
        <v>4</v>
      </c>
      <c r="O215" s="10">
        <f t="shared" si="47"/>
        <v>3</v>
      </c>
      <c r="P215" s="10">
        <f t="shared" si="48"/>
        <v>0</v>
      </c>
      <c r="Q215" s="10">
        <f t="shared" si="49"/>
        <v>0</v>
      </c>
      <c r="R215" s="10">
        <f t="shared" ca="1" si="50"/>
        <v>9</v>
      </c>
      <c r="S215" s="10" t="str">
        <f t="shared" ca="1" si="51"/>
        <v>Có</v>
      </c>
      <c r="T215" s="10" t="str">
        <f t="shared" ca="1" si="52"/>
        <v>Có</v>
      </c>
      <c r="U215" s="10" t="str">
        <f t="shared" si="53"/>
        <v>Không</v>
      </c>
      <c r="V215" s="2" t="s">
        <v>88</v>
      </c>
      <c r="W215" s="4">
        <v>46112</v>
      </c>
      <c r="X215" s="8" t="str">
        <f t="shared" si="54"/>
        <v>Tháng 3</v>
      </c>
      <c r="Y215" s="8" t="str">
        <f t="shared" si="55"/>
        <v>Giồng Giữa</v>
      </c>
    </row>
    <row r="216" spans="1:25" x14ac:dyDescent="0.25">
      <c r="A216" s="1" t="s">
        <v>368</v>
      </c>
      <c r="B216" s="2" t="s">
        <v>23</v>
      </c>
      <c r="C216" s="2" t="s">
        <v>62</v>
      </c>
      <c r="D216" s="10">
        <f t="shared" ca="1" si="42"/>
        <v>64</v>
      </c>
      <c r="E216" s="2" t="s">
        <v>26</v>
      </c>
      <c r="F216" s="3">
        <v>155</v>
      </c>
      <c r="G216" s="3">
        <v>59</v>
      </c>
      <c r="H216" s="11">
        <f t="shared" si="43"/>
        <v>24.557752341311129</v>
      </c>
      <c r="I216" s="2">
        <v>86</v>
      </c>
      <c r="J216" s="3">
        <v>130</v>
      </c>
      <c r="K216" s="3">
        <v>80</v>
      </c>
      <c r="L216" s="10">
        <f t="shared" si="44"/>
        <v>0</v>
      </c>
      <c r="M216" s="10">
        <f t="shared" ca="1" si="45"/>
        <v>2</v>
      </c>
      <c r="N216" s="10">
        <f t="shared" si="46"/>
        <v>0</v>
      </c>
      <c r="O216" s="10">
        <f t="shared" si="47"/>
        <v>3</v>
      </c>
      <c r="P216" s="10">
        <f t="shared" si="48"/>
        <v>2</v>
      </c>
      <c r="Q216" s="10">
        <f t="shared" si="49"/>
        <v>0</v>
      </c>
      <c r="R216" s="10">
        <f t="shared" ca="1" si="50"/>
        <v>7</v>
      </c>
      <c r="S216" s="10" t="str">
        <f t="shared" ca="1" si="51"/>
        <v>Có</v>
      </c>
      <c r="T216" s="10" t="str">
        <f t="shared" ca="1" si="52"/>
        <v>Có</v>
      </c>
      <c r="U216" s="10" t="str">
        <f t="shared" si="53"/>
        <v>Không</v>
      </c>
      <c r="V216" s="2" t="s">
        <v>51</v>
      </c>
      <c r="W216" s="4">
        <v>46142</v>
      </c>
      <c r="X216" s="8" t="str">
        <f t="shared" si="54"/>
        <v>Tháng 4</v>
      </c>
      <c r="Y216" s="8" t="str">
        <f t="shared" si="55"/>
        <v>Phường Hiệp Thành</v>
      </c>
    </row>
    <row r="217" spans="1:25" x14ac:dyDescent="0.25">
      <c r="A217" s="1" t="s">
        <v>369</v>
      </c>
      <c r="B217" s="2" t="s">
        <v>23</v>
      </c>
      <c r="C217" s="2" t="s">
        <v>188</v>
      </c>
      <c r="D217" s="10">
        <f t="shared" ca="1" si="42"/>
        <v>63</v>
      </c>
      <c r="E217" s="2" t="s">
        <v>26</v>
      </c>
      <c r="F217" s="3">
        <v>156</v>
      </c>
      <c r="G217" s="3">
        <v>65</v>
      </c>
      <c r="H217" s="11">
        <f t="shared" si="43"/>
        <v>26.709401709401707</v>
      </c>
      <c r="I217" s="2">
        <v>73</v>
      </c>
      <c r="J217" s="3">
        <v>120</v>
      </c>
      <c r="K217" s="3">
        <v>80</v>
      </c>
      <c r="L217" s="10">
        <f t="shared" si="44"/>
        <v>0</v>
      </c>
      <c r="M217" s="10">
        <f t="shared" ca="1" si="45"/>
        <v>2</v>
      </c>
      <c r="N217" s="10">
        <f t="shared" si="46"/>
        <v>0</v>
      </c>
      <c r="O217" s="10">
        <f t="shared" si="47"/>
        <v>3</v>
      </c>
      <c r="P217" s="10">
        <f t="shared" si="48"/>
        <v>0</v>
      </c>
      <c r="Q217" s="10">
        <f t="shared" si="49"/>
        <v>0</v>
      </c>
      <c r="R217" s="10">
        <f t="shared" ca="1" si="50"/>
        <v>5</v>
      </c>
      <c r="S217" s="10" t="str">
        <f t="shared" ca="1" si="51"/>
        <v>Không cần</v>
      </c>
      <c r="T217" s="10" t="str">
        <f t="shared" ca="1" si="52"/>
        <v>Không</v>
      </c>
      <c r="U217" s="10" t="str">
        <f t="shared" si="53"/>
        <v>Không</v>
      </c>
      <c r="V217" s="2" t="s">
        <v>122</v>
      </c>
      <c r="W217" s="4">
        <v>46142</v>
      </c>
      <c r="X217" s="8" t="str">
        <f t="shared" si="54"/>
        <v>Tháng 4</v>
      </c>
      <c r="Y217" s="8" t="str">
        <f t="shared" si="55"/>
        <v>Giồng Nhãn</v>
      </c>
    </row>
    <row r="218" spans="1:25" x14ac:dyDescent="0.25">
      <c r="A218" s="1" t="s">
        <v>370</v>
      </c>
      <c r="B218" s="2" t="s">
        <v>30</v>
      </c>
      <c r="C218" s="2" t="s">
        <v>80</v>
      </c>
      <c r="D218" s="10">
        <f t="shared" ca="1" si="42"/>
        <v>71</v>
      </c>
      <c r="E218" s="2" t="s">
        <v>25</v>
      </c>
      <c r="F218" s="3">
        <v>169</v>
      </c>
      <c r="G218" s="3">
        <v>68</v>
      </c>
      <c r="H218" s="11">
        <f t="shared" si="43"/>
        <v>23.808690171912751</v>
      </c>
      <c r="I218" s="2">
        <v>84</v>
      </c>
      <c r="J218" s="3">
        <v>120</v>
      </c>
      <c r="K218" s="3">
        <v>80</v>
      </c>
      <c r="L218" s="10">
        <f t="shared" si="44"/>
        <v>2</v>
      </c>
      <c r="M218" s="10">
        <f t="shared" ca="1" si="45"/>
        <v>2</v>
      </c>
      <c r="N218" s="10">
        <f t="shared" si="46"/>
        <v>4</v>
      </c>
      <c r="O218" s="10">
        <f t="shared" si="47"/>
        <v>3</v>
      </c>
      <c r="P218" s="10">
        <f t="shared" si="48"/>
        <v>0</v>
      </c>
      <c r="Q218" s="10">
        <f t="shared" si="49"/>
        <v>0</v>
      </c>
      <c r="R218" s="10">
        <f t="shared" ca="1" si="50"/>
        <v>11</v>
      </c>
      <c r="S218" s="10" t="str">
        <f t="shared" ca="1" si="51"/>
        <v>Có</v>
      </c>
      <c r="T218" s="10" t="str">
        <f t="shared" ca="1" si="52"/>
        <v>Có</v>
      </c>
      <c r="U218" s="10" t="str">
        <f t="shared" si="53"/>
        <v>Không</v>
      </c>
      <c r="V218" s="2" t="s">
        <v>51</v>
      </c>
      <c r="W218" s="4">
        <v>46112</v>
      </c>
      <c r="X218" s="8" t="str">
        <f t="shared" si="54"/>
        <v>Tháng 3</v>
      </c>
      <c r="Y218" s="8" t="str">
        <f t="shared" si="55"/>
        <v>Phường Hiệp Thành</v>
      </c>
    </row>
    <row r="219" spans="1:25" x14ac:dyDescent="0.25">
      <c r="A219" s="1" t="s">
        <v>371</v>
      </c>
      <c r="B219" s="2" t="s">
        <v>23</v>
      </c>
      <c r="C219" s="2" t="s">
        <v>130</v>
      </c>
      <c r="D219" s="10">
        <f t="shared" ca="1" si="42"/>
        <v>57</v>
      </c>
      <c r="E219" s="2" t="s">
        <v>26</v>
      </c>
      <c r="F219" s="3">
        <v>158</v>
      </c>
      <c r="G219" s="3">
        <v>58</v>
      </c>
      <c r="H219" s="11">
        <f t="shared" si="43"/>
        <v>23.233456176894723</v>
      </c>
      <c r="I219" s="2">
        <v>73</v>
      </c>
      <c r="J219" s="3">
        <v>120</v>
      </c>
      <c r="K219" s="3" t="s">
        <v>27</v>
      </c>
      <c r="L219" s="10">
        <f t="shared" si="44"/>
        <v>0</v>
      </c>
      <c r="M219" s="10">
        <f t="shared" ca="1" si="45"/>
        <v>2</v>
      </c>
      <c r="N219" s="10">
        <f t="shared" si="46"/>
        <v>0</v>
      </c>
      <c r="O219" s="10">
        <f t="shared" si="47"/>
        <v>3</v>
      </c>
      <c r="P219" s="10">
        <f t="shared" si="48"/>
        <v>0</v>
      </c>
      <c r="Q219" s="10">
        <f t="shared" si="49"/>
        <v>2</v>
      </c>
      <c r="R219" s="10">
        <f t="shared" ca="1" si="50"/>
        <v>7</v>
      </c>
      <c r="S219" s="10" t="str">
        <f t="shared" ca="1" si="51"/>
        <v>Có</v>
      </c>
      <c r="T219" s="10" t="str">
        <f t="shared" ca="1" si="52"/>
        <v>Có</v>
      </c>
      <c r="U219" s="10" t="str">
        <f t="shared" si="53"/>
        <v>Có</v>
      </c>
      <c r="V219" s="2" t="s">
        <v>68</v>
      </c>
      <c r="W219" s="4">
        <v>46112</v>
      </c>
      <c r="X219" s="8" t="str">
        <f t="shared" si="54"/>
        <v>Tháng 3</v>
      </c>
      <c r="Y219" s="8" t="str">
        <f t="shared" si="55"/>
        <v>Ấp Biển Tây B</v>
      </c>
    </row>
    <row r="220" spans="1:25" x14ac:dyDescent="0.25">
      <c r="A220" s="1" t="s">
        <v>372</v>
      </c>
      <c r="B220" s="2" t="s">
        <v>30</v>
      </c>
      <c r="C220" s="2" t="s">
        <v>373</v>
      </c>
      <c r="D220" s="10">
        <f t="shared" ca="1" si="42"/>
        <v>61</v>
      </c>
      <c r="E220" s="2" t="s">
        <v>26</v>
      </c>
      <c r="F220" s="3">
        <v>169</v>
      </c>
      <c r="G220" s="3">
        <v>68</v>
      </c>
      <c r="H220" s="11">
        <f t="shared" si="43"/>
        <v>23.808690171912751</v>
      </c>
      <c r="I220" s="2">
        <v>79</v>
      </c>
      <c r="J220" s="3">
        <v>120</v>
      </c>
      <c r="K220" s="3">
        <v>80</v>
      </c>
      <c r="L220" s="10">
        <f t="shared" si="44"/>
        <v>2</v>
      </c>
      <c r="M220" s="10">
        <f t="shared" ca="1" si="45"/>
        <v>2</v>
      </c>
      <c r="N220" s="10">
        <f t="shared" si="46"/>
        <v>0</v>
      </c>
      <c r="O220" s="10">
        <f t="shared" si="47"/>
        <v>3</v>
      </c>
      <c r="P220" s="10">
        <f t="shared" si="48"/>
        <v>0</v>
      </c>
      <c r="Q220" s="10">
        <f t="shared" si="49"/>
        <v>0</v>
      </c>
      <c r="R220" s="10">
        <f t="shared" ca="1" si="50"/>
        <v>7</v>
      </c>
      <c r="S220" s="10" t="str">
        <f t="shared" ca="1" si="51"/>
        <v>Có</v>
      </c>
      <c r="T220" s="10" t="str">
        <f t="shared" ca="1" si="52"/>
        <v>Có</v>
      </c>
      <c r="U220" s="10" t="str">
        <f t="shared" si="53"/>
        <v>Không</v>
      </c>
      <c r="V220" s="2" t="s">
        <v>38</v>
      </c>
      <c r="W220" s="4">
        <v>46142</v>
      </c>
      <c r="X220" s="8" t="str">
        <f t="shared" si="54"/>
        <v>Tháng 4</v>
      </c>
      <c r="Y220" s="8" t="str">
        <f t="shared" si="55"/>
        <v>Ấp Biển Đông B</v>
      </c>
    </row>
    <row r="221" spans="1:25" x14ac:dyDescent="0.25">
      <c r="A221" s="1" t="s">
        <v>374</v>
      </c>
      <c r="B221" s="2" t="s">
        <v>30</v>
      </c>
      <c r="C221" s="2" t="s">
        <v>373</v>
      </c>
      <c r="D221" s="10">
        <f t="shared" ca="1" si="42"/>
        <v>61</v>
      </c>
      <c r="E221" s="2" t="s">
        <v>25</v>
      </c>
      <c r="F221" s="3">
        <v>159</v>
      </c>
      <c r="G221" s="3">
        <v>50</v>
      </c>
      <c r="H221" s="11">
        <f t="shared" si="43"/>
        <v>19.77769866698311</v>
      </c>
      <c r="I221" s="2">
        <v>81</v>
      </c>
      <c r="J221" s="3">
        <v>120</v>
      </c>
      <c r="K221" s="3">
        <v>80</v>
      </c>
      <c r="L221" s="10">
        <f t="shared" si="44"/>
        <v>2</v>
      </c>
      <c r="M221" s="10">
        <f t="shared" ca="1" si="45"/>
        <v>2</v>
      </c>
      <c r="N221" s="10">
        <f t="shared" si="46"/>
        <v>4</v>
      </c>
      <c r="O221" s="10">
        <f t="shared" si="47"/>
        <v>0</v>
      </c>
      <c r="P221" s="10">
        <f t="shared" si="48"/>
        <v>0</v>
      </c>
      <c r="Q221" s="10">
        <f t="shared" si="49"/>
        <v>0</v>
      </c>
      <c r="R221" s="10">
        <f t="shared" ca="1" si="50"/>
        <v>8</v>
      </c>
      <c r="S221" s="10" t="str">
        <f t="shared" ca="1" si="51"/>
        <v>Có</v>
      </c>
      <c r="T221" s="10" t="str">
        <f t="shared" ca="1" si="52"/>
        <v>Có</v>
      </c>
      <c r="U221" s="10" t="str">
        <f t="shared" si="53"/>
        <v>Không</v>
      </c>
      <c r="V221" s="2" t="s">
        <v>51</v>
      </c>
      <c r="W221" s="4">
        <v>46142</v>
      </c>
      <c r="X221" s="8" t="str">
        <f t="shared" si="54"/>
        <v>Tháng 4</v>
      </c>
      <c r="Y221" s="8" t="str">
        <f t="shared" si="55"/>
        <v>Phường Hiệp Thành</v>
      </c>
    </row>
    <row r="222" spans="1:25" x14ac:dyDescent="0.25">
      <c r="A222" s="1" t="s">
        <v>375</v>
      </c>
      <c r="B222" s="2" t="s">
        <v>30</v>
      </c>
      <c r="C222" s="2" t="s">
        <v>268</v>
      </c>
      <c r="D222" s="10">
        <f t="shared" ca="1" si="42"/>
        <v>44</v>
      </c>
      <c r="E222" s="2" t="s">
        <v>26</v>
      </c>
      <c r="F222" s="3">
        <v>169</v>
      </c>
      <c r="G222" s="3">
        <v>68</v>
      </c>
      <c r="H222" s="11">
        <f t="shared" si="43"/>
        <v>23.808690171912751</v>
      </c>
      <c r="I222" s="2">
        <v>78</v>
      </c>
      <c r="J222" s="3">
        <v>150</v>
      </c>
      <c r="K222" s="3">
        <v>80</v>
      </c>
      <c r="L222" s="10">
        <f t="shared" si="44"/>
        <v>2</v>
      </c>
      <c r="M222" s="10">
        <f t="shared" ca="1" si="45"/>
        <v>0</v>
      </c>
      <c r="N222" s="10">
        <f t="shared" si="46"/>
        <v>0</v>
      </c>
      <c r="O222" s="10">
        <f t="shared" si="47"/>
        <v>3</v>
      </c>
      <c r="P222" s="10">
        <f t="shared" si="48"/>
        <v>0</v>
      </c>
      <c r="Q222" s="10">
        <f t="shared" si="49"/>
        <v>2</v>
      </c>
      <c r="R222" s="10">
        <f t="shared" ca="1" si="50"/>
        <v>7</v>
      </c>
      <c r="S222" s="10" t="str">
        <f t="shared" ca="1" si="51"/>
        <v>Có</v>
      </c>
      <c r="T222" s="10" t="str">
        <f t="shared" ca="1" si="52"/>
        <v>Có</v>
      </c>
      <c r="U222" s="10" t="str">
        <f t="shared" si="53"/>
        <v>Có</v>
      </c>
      <c r="V222" s="2" t="s">
        <v>65</v>
      </c>
      <c r="W222" s="4">
        <v>46142</v>
      </c>
      <c r="X222" s="8" t="str">
        <f t="shared" si="54"/>
        <v>Tháng 4</v>
      </c>
      <c r="Y222" s="8" t="str">
        <f t="shared" si="55"/>
        <v>Biển Tây B</v>
      </c>
    </row>
    <row r="223" spans="1:25" x14ac:dyDescent="0.25">
      <c r="A223" s="1" t="s">
        <v>376</v>
      </c>
      <c r="B223" s="2" t="s">
        <v>30</v>
      </c>
      <c r="C223" s="2" t="s">
        <v>146</v>
      </c>
      <c r="D223" s="10">
        <f t="shared" ca="1" si="42"/>
        <v>52</v>
      </c>
      <c r="E223" s="2" t="s">
        <v>26</v>
      </c>
      <c r="F223" s="3">
        <v>158</v>
      </c>
      <c r="G223" s="3">
        <v>58</v>
      </c>
      <c r="H223" s="11">
        <f t="shared" si="43"/>
        <v>23.233456176894723</v>
      </c>
      <c r="I223" s="2">
        <v>97</v>
      </c>
      <c r="J223" s="3">
        <v>140</v>
      </c>
      <c r="K223" s="3">
        <v>80</v>
      </c>
      <c r="L223" s="10">
        <f t="shared" si="44"/>
        <v>2</v>
      </c>
      <c r="M223" s="10">
        <f t="shared" ca="1" si="45"/>
        <v>2</v>
      </c>
      <c r="N223" s="10">
        <f t="shared" si="46"/>
        <v>0</v>
      </c>
      <c r="O223" s="10">
        <f t="shared" si="47"/>
        <v>3</v>
      </c>
      <c r="P223" s="10">
        <f t="shared" si="48"/>
        <v>2</v>
      </c>
      <c r="Q223" s="10">
        <f t="shared" si="49"/>
        <v>2</v>
      </c>
      <c r="R223" s="10">
        <f t="shared" ca="1" si="50"/>
        <v>11</v>
      </c>
      <c r="S223" s="10" t="str">
        <f t="shared" ca="1" si="51"/>
        <v>Có</v>
      </c>
      <c r="T223" s="10" t="str">
        <f t="shared" ca="1" si="52"/>
        <v>Có</v>
      </c>
      <c r="U223" s="10" t="str">
        <f t="shared" si="53"/>
        <v>Có</v>
      </c>
      <c r="V223" s="2" t="s">
        <v>234</v>
      </c>
      <c r="W223" s="4">
        <v>46053</v>
      </c>
      <c r="X223" s="8" t="str">
        <f t="shared" si="54"/>
        <v>Tháng 1</v>
      </c>
      <c r="Y223" s="8" t="str">
        <f t="shared" si="55"/>
        <v>ấp Biển Đông B</v>
      </c>
    </row>
    <row r="224" spans="1:25" x14ac:dyDescent="0.25">
      <c r="A224" s="1" t="s">
        <v>377</v>
      </c>
      <c r="B224" s="2" t="s">
        <v>23</v>
      </c>
      <c r="C224" s="2" t="s">
        <v>93</v>
      </c>
      <c r="D224" s="10">
        <f t="shared" ca="1" si="42"/>
        <v>66</v>
      </c>
      <c r="E224" s="2" t="s">
        <v>25</v>
      </c>
      <c r="F224" s="3">
        <v>158</v>
      </c>
      <c r="G224" s="3">
        <v>58</v>
      </c>
      <c r="H224" s="11">
        <f t="shared" si="43"/>
        <v>23.233456176894723</v>
      </c>
      <c r="I224" s="2">
        <v>70</v>
      </c>
      <c r="J224" s="3">
        <v>140</v>
      </c>
      <c r="K224" s="3">
        <v>80</v>
      </c>
      <c r="L224" s="10">
        <f t="shared" si="44"/>
        <v>0</v>
      </c>
      <c r="M224" s="10">
        <f t="shared" ca="1" si="45"/>
        <v>2</v>
      </c>
      <c r="N224" s="10">
        <f t="shared" si="46"/>
        <v>4</v>
      </c>
      <c r="O224" s="10">
        <f t="shared" si="47"/>
        <v>3</v>
      </c>
      <c r="P224" s="10">
        <f t="shared" si="48"/>
        <v>0</v>
      </c>
      <c r="Q224" s="10">
        <f t="shared" si="49"/>
        <v>2</v>
      </c>
      <c r="R224" s="10">
        <f t="shared" ca="1" si="50"/>
        <v>11</v>
      </c>
      <c r="S224" s="10" t="str">
        <f t="shared" ca="1" si="51"/>
        <v>Có</v>
      </c>
      <c r="T224" s="10" t="str">
        <f t="shared" ca="1" si="52"/>
        <v>Có</v>
      </c>
      <c r="U224" s="10" t="str">
        <f t="shared" si="53"/>
        <v>Có</v>
      </c>
      <c r="V224" s="2" t="s">
        <v>51</v>
      </c>
      <c r="W224" s="4">
        <v>46142</v>
      </c>
      <c r="X224" s="8" t="str">
        <f t="shared" si="54"/>
        <v>Tháng 4</v>
      </c>
      <c r="Y224" s="8" t="str">
        <f t="shared" si="55"/>
        <v>Phường Hiệp Thành</v>
      </c>
    </row>
    <row r="225" spans="1:25" x14ac:dyDescent="0.25">
      <c r="A225" s="1" t="s">
        <v>378</v>
      </c>
      <c r="B225" s="2" t="s">
        <v>30</v>
      </c>
      <c r="C225" s="2" t="s">
        <v>110</v>
      </c>
      <c r="D225" s="10">
        <f t="shared" ca="1" si="42"/>
        <v>62</v>
      </c>
      <c r="E225" s="2" t="s">
        <v>26</v>
      </c>
      <c r="F225" s="3">
        <v>169</v>
      </c>
      <c r="G225" s="3">
        <v>68</v>
      </c>
      <c r="H225" s="11">
        <f t="shared" si="43"/>
        <v>23.808690171912751</v>
      </c>
      <c r="I225" s="2">
        <v>85</v>
      </c>
      <c r="J225" s="3">
        <v>120</v>
      </c>
      <c r="K225" s="3">
        <v>80</v>
      </c>
      <c r="L225" s="10">
        <f t="shared" si="44"/>
        <v>2</v>
      </c>
      <c r="M225" s="10">
        <f t="shared" ca="1" si="45"/>
        <v>2</v>
      </c>
      <c r="N225" s="10">
        <f t="shared" si="46"/>
        <v>0</v>
      </c>
      <c r="O225" s="10">
        <f t="shared" si="47"/>
        <v>3</v>
      </c>
      <c r="P225" s="10">
        <f t="shared" si="48"/>
        <v>0</v>
      </c>
      <c r="Q225" s="10">
        <f t="shared" si="49"/>
        <v>0</v>
      </c>
      <c r="R225" s="10">
        <f t="shared" ca="1" si="50"/>
        <v>7</v>
      </c>
      <c r="S225" s="10" t="str">
        <f t="shared" ca="1" si="51"/>
        <v>Có</v>
      </c>
      <c r="T225" s="10" t="str">
        <f t="shared" ca="1" si="52"/>
        <v>Có</v>
      </c>
      <c r="U225" s="10" t="str">
        <f t="shared" si="53"/>
        <v>Không</v>
      </c>
      <c r="V225" s="2" t="s">
        <v>51</v>
      </c>
      <c r="W225" s="4">
        <v>46142</v>
      </c>
      <c r="X225" s="8" t="str">
        <f t="shared" si="54"/>
        <v>Tháng 4</v>
      </c>
      <c r="Y225" s="8" t="str">
        <f t="shared" si="55"/>
        <v>Phường Hiệp Thành</v>
      </c>
    </row>
    <row r="226" spans="1:25" x14ac:dyDescent="0.25">
      <c r="A226" s="1" t="s">
        <v>379</v>
      </c>
      <c r="B226" s="2" t="s">
        <v>23</v>
      </c>
      <c r="C226" s="2" t="s">
        <v>130</v>
      </c>
      <c r="D226" s="10">
        <f t="shared" ca="1" si="42"/>
        <v>57</v>
      </c>
      <c r="E226" s="2" t="s">
        <v>26</v>
      </c>
      <c r="F226" s="3">
        <v>158</v>
      </c>
      <c r="G226" s="3">
        <v>58</v>
      </c>
      <c r="H226" s="11">
        <f t="shared" si="43"/>
        <v>23.233456176894723</v>
      </c>
      <c r="I226" s="2">
        <v>77</v>
      </c>
      <c r="J226" s="3">
        <v>120</v>
      </c>
      <c r="K226" s="3">
        <v>80</v>
      </c>
      <c r="L226" s="10">
        <f t="shared" si="44"/>
        <v>0</v>
      </c>
      <c r="M226" s="10">
        <f t="shared" ca="1" si="45"/>
        <v>2</v>
      </c>
      <c r="N226" s="10">
        <f t="shared" si="46"/>
        <v>0</v>
      </c>
      <c r="O226" s="10">
        <f t="shared" si="47"/>
        <v>3</v>
      </c>
      <c r="P226" s="10">
        <f t="shared" si="48"/>
        <v>0</v>
      </c>
      <c r="Q226" s="10">
        <f t="shared" si="49"/>
        <v>0</v>
      </c>
      <c r="R226" s="10">
        <f t="shared" ca="1" si="50"/>
        <v>5</v>
      </c>
      <c r="S226" s="10" t="str">
        <f t="shared" ca="1" si="51"/>
        <v>Không cần</v>
      </c>
      <c r="T226" s="10" t="str">
        <f t="shared" ca="1" si="52"/>
        <v>Không</v>
      </c>
      <c r="U226" s="10" t="str">
        <f t="shared" si="53"/>
        <v>Không</v>
      </c>
      <c r="V226" s="2" t="s">
        <v>38</v>
      </c>
      <c r="W226" s="4">
        <v>46142</v>
      </c>
      <c r="X226" s="8" t="str">
        <f t="shared" si="54"/>
        <v>Tháng 4</v>
      </c>
      <c r="Y226" s="8" t="str">
        <f t="shared" si="55"/>
        <v>Ấp Biển Đông B</v>
      </c>
    </row>
    <row r="227" spans="1:25" x14ac:dyDescent="0.25">
      <c r="A227" s="1" t="s">
        <v>380</v>
      </c>
      <c r="B227" s="2" t="s">
        <v>23</v>
      </c>
      <c r="C227" s="2" t="s">
        <v>84</v>
      </c>
      <c r="D227" s="10">
        <f t="shared" ca="1" si="42"/>
        <v>69</v>
      </c>
      <c r="E227" s="2" t="s">
        <v>25</v>
      </c>
      <c r="F227" s="3">
        <v>158</v>
      </c>
      <c r="G227" s="3">
        <v>58</v>
      </c>
      <c r="H227" s="11">
        <f t="shared" si="43"/>
        <v>23.233456176894723</v>
      </c>
      <c r="I227" s="2">
        <v>70</v>
      </c>
      <c r="J227" s="3">
        <v>120</v>
      </c>
      <c r="K227" s="3">
        <v>80</v>
      </c>
      <c r="L227" s="10">
        <f t="shared" si="44"/>
        <v>0</v>
      </c>
      <c r="M227" s="10">
        <f t="shared" ca="1" si="45"/>
        <v>2</v>
      </c>
      <c r="N227" s="10">
        <f t="shared" si="46"/>
        <v>4</v>
      </c>
      <c r="O227" s="10">
        <f t="shared" si="47"/>
        <v>3</v>
      </c>
      <c r="P227" s="10">
        <f t="shared" si="48"/>
        <v>0</v>
      </c>
      <c r="Q227" s="10">
        <f t="shared" si="49"/>
        <v>0</v>
      </c>
      <c r="R227" s="10">
        <f t="shared" ca="1" si="50"/>
        <v>9</v>
      </c>
      <c r="S227" s="10" t="str">
        <f t="shared" ca="1" si="51"/>
        <v>Có</v>
      </c>
      <c r="T227" s="10" t="str">
        <f t="shared" ca="1" si="52"/>
        <v>Có</v>
      </c>
      <c r="U227" s="10" t="str">
        <f t="shared" si="53"/>
        <v>Không</v>
      </c>
      <c r="V227" s="2" t="s">
        <v>381</v>
      </c>
      <c r="W227" s="4">
        <v>46142</v>
      </c>
      <c r="X227" s="8" t="str">
        <f t="shared" si="54"/>
        <v>Tháng 4</v>
      </c>
      <c r="Y227" s="8" t="str">
        <f t="shared" si="55"/>
        <v>Ấp Biển Đông B</v>
      </c>
    </row>
    <row r="228" spans="1:25" x14ac:dyDescent="0.25">
      <c r="A228" s="1" t="s">
        <v>382</v>
      </c>
      <c r="B228" s="2" t="s">
        <v>23</v>
      </c>
      <c r="C228" s="2" t="s">
        <v>80</v>
      </c>
      <c r="D228" s="10">
        <f t="shared" ca="1" si="42"/>
        <v>71</v>
      </c>
      <c r="E228" s="2" t="s">
        <v>26</v>
      </c>
      <c r="F228" s="3">
        <v>158</v>
      </c>
      <c r="G228" s="3">
        <v>58</v>
      </c>
      <c r="H228" s="11">
        <f t="shared" si="43"/>
        <v>23.233456176894723</v>
      </c>
      <c r="I228" s="2">
        <v>78</v>
      </c>
      <c r="J228" s="3">
        <v>120</v>
      </c>
      <c r="K228" s="3">
        <v>80</v>
      </c>
      <c r="L228" s="10">
        <f t="shared" si="44"/>
        <v>0</v>
      </c>
      <c r="M228" s="10">
        <f t="shared" ca="1" si="45"/>
        <v>2</v>
      </c>
      <c r="N228" s="10">
        <f t="shared" si="46"/>
        <v>0</v>
      </c>
      <c r="O228" s="10">
        <f t="shared" si="47"/>
        <v>3</v>
      </c>
      <c r="P228" s="10">
        <f t="shared" si="48"/>
        <v>0</v>
      </c>
      <c r="Q228" s="10">
        <f t="shared" si="49"/>
        <v>0</v>
      </c>
      <c r="R228" s="10">
        <f t="shared" ca="1" si="50"/>
        <v>5</v>
      </c>
      <c r="S228" s="10" t="str">
        <f t="shared" ca="1" si="51"/>
        <v>Không cần</v>
      </c>
      <c r="T228" s="10" t="str">
        <f t="shared" ca="1" si="52"/>
        <v>Không</v>
      </c>
      <c r="U228" s="10" t="str">
        <f t="shared" si="53"/>
        <v>Không</v>
      </c>
      <c r="V228" s="2" t="s">
        <v>383</v>
      </c>
      <c r="W228" s="4">
        <v>46112</v>
      </c>
      <c r="X228" s="8" t="str">
        <f t="shared" si="54"/>
        <v>Tháng 3</v>
      </c>
      <c r="Y228" s="8" t="str">
        <f t="shared" si="55"/>
        <v>ấp Biển Đông A</v>
      </c>
    </row>
    <row r="229" spans="1:25" x14ac:dyDescent="0.25">
      <c r="A229" s="1" t="s">
        <v>384</v>
      </c>
      <c r="B229" s="2" t="s">
        <v>30</v>
      </c>
      <c r="C229" s="2" t="s">
        <v>47</v>
      </c>
      <c r="D229" s="10">
        <f t="shared" ca="1" si="42"/>
        <v>55</v>
      </c>
      <c r="E229" s="2" t="s">
        <v>25</v>
      </c>
      <c r="F229" s="3">
        <v>169</v>
      </c>
      <c r="G229" s="3">
        <v>68</v>
      </c>
      <c r="H229" s="11">
        <f t="shared" si="43"/>
        <v>23.808690171912751</v>
      </c>
      <c r="I229" s="2">
        <v>99</v>
      </c>
      <c r="J229" s="3">
        <v>140</v>
      </c>
      <c r="K229" s="3">
        <v>80</v>
      </c>
      <c r="L229" s="10">
        <f t="shared" si="44"/>
        <v>2</v>
      </c>
      <c r="M229" s="10">
        <f t="shared" ca="1" si="45"/>
        <v>2</v>
      </c>
      <c r="N229" s="10">
        <f t="shared" si="46"/>
        <v>4</v>
      </c>
      <c r="O229" s="10">
        <f t="shared" si="47"/>
        <v>3</v>
      </c>
      <c r="P229" s="10">
        <f t="shared" si="48"/>
        <v>2</v>
      </c>
      <c r="Q229" s="10">
        <f t="shared" si="49"/>
        <v>2</v>
      </c>
      <c r="R229" s="10">
        <f t="shared" ca="1" si="50"/>
        <v>15</v>
      </c>
      <c r="S229" s="10" t="str">
        <f t="shared" ca="1" si="51"/>
        <v>Có</v>
      </c>
      <c r="T229" s="10" t="str">
        <f t="shared" ca="1" si="52"/>
        <v>Có</v>
      </c>
      <c r="U229" s="10" t="str">
        <f t="shared" si="53"/>
        <v>Có</v>
      </c>
      <c r="V229" s="2" t="s">
        <v>28</v>
      </c>
      <c r="W229" s="4">
        <v>46142</v>
      </c>
      <c r="X229" s="8" t="str">
        <f t="shared" si="54"/>
        <v>Tháng 4</v>
      </c>
      <c r="Y229" s="8" t="str">
        <f t="shared" si="55"/>
        <v>Ấp Biển Đông A</v>
      </c>
    </row>
    <row r="230" spans="1:25" x14ac:dyDescent="0.25">
      <c r="A230" s="1" t="s">
        <v>385</v>
      </c>
      <c r="B230" s="2" t="s">
        <v>23</v>
      </c>
      <c r="C230" s="2" t="s">
        <v>62</v>
      </c>
      <c r="D230" s="10">
        <f t="shared" ca="1" si="42"/>
        <v>64</v>
      </c>
      <c r="E230" s="2" t="s">
        <v>26</v>
      </c>
      <c r="F230" s="3">
        <v>158</v>
      </c>
      <c r="G230" s="3">
        <v>58</v>
      </c>
      <c r="H230" s="11">
        <f t="shared" si="43"/>
        <v>23.233456176894723</v>
      </c>
      <c r="I230" s="2">
        <v>89</v>
      </c>
      <c r="J230" s="3">
        <v>120</v>
      </c>
      <c r="K230" s="3">
        <v>80</v>
      </c>
      <c r="L230" s="10">
        <f t="shared" si="44"/>
        <v>0</v>
      </c>
      <c r="M230" s="10">
        <f t="shared" ca="1" si="45"/>
        <v>2</v>
      </c>
      <c r="N230" s="10">
        <f t="shared" si="46"/>
        <v>0</v>
      </c>
      <c r="O230" s="10">
        <f t="shared" si="47"/>
        <v>3</v>
      </c>
      <c r="P230" s="10">
        <f t="shared" si="48"/>
        <v>2</v>
      </c>
      <c r="Q230" s="10">
        <f t="shared" si="49"/>
        <v>0</v>
      </c>
      <c r="R230" s="10">
        <f t="shared" ca="1" si="50"/>
        <v>7</v>
      </c>
      <c r="S230" s="10" t="str">
        <f t="shared" ca="1" si="51"/>
        <v>Có</v>
      </c>
      <c r="T230" s="10" t="str">
        <f t="shared" ca="1" si="52"/>
        <v>Có</v>
      </c>
      <c r="U230" s="10" t="str">
        <f t="shared" si="53"/>
        <v>Không</v>
      </c>
      <c r="V230" s="2" t="s">
        <v>386</v>
      </c>
      <c r="W230" s="4">
        <v>46142</v>
      </c>
      <c r="X230" s="8" t="str">
        <f t="shared" si="54"/>
        <v>Tháng 4</v>
      </c>
      <c r="Y230" s="8" t="str">
        <f t="shared" si="55"/>
        <v>ấp Giồng Giữa B</v>
      </c>
    </row>
    <row r="231" spans="1:25" x14ac:dyDescent="0.25">
      <c r="A231" s="1" t="s">
        <v>387</v>
      </c>
      <c r="B231" s="2" t="s">
        <v>23</v>
      </c>
      <c r="C231" s="2" t="s">
        <v>105</v>
      </c>
      <c r="D231" s="10">
        <f t="shared" ca="1" si="42"/>
        <v>60</v>
      </c>
      <c r="E231" s="2" t="s">
        <v>26</v>
      </c>
      <c r="F231" s="3">
        <v>158</v>
      </c>
      <c r="G231" s="3">
        <v>58</v>
      </c>
      <c r="H231" s="11">
        <f t="shared" si="43"/>
        <v>23.233456176894723</v>
      </c>
      <c r="I231" s="2">
        <v>77</v>
      </c>
      <c r="J231" s="3">
        <v>120</v>
      </c>
      <c r="K231" s="3">
        <v>80</v>
      </c>
      <c r="L231" s="10">
        <f t="shared" si="44"/>
        <v>0</v>
      </c>
      <c r="M231" s="10">
        <f t="shared" ca="1" si="45"/>
        <v>2</v>
      </c>
      <c r="N231" s="10">
        <f t="shared" si="46"/>
        <v>0</v>
      </c>
      <c r="O231" s="10">
        <f t="shared" si="47"/>
        <v>3</v>
      </c>
      <c r="P231" s="10">
        <f t="shared" si="48"/>
        <v>0</v>
      </c>
      <c r="Q231" s="10">
        <f t="shared" si="49"/>
        <v>0</v>
      </c>
      <c r="R231" s="10">
        <f t="shared" ca="1" si="50"/>
        <v>5</v>
      </c>
      <c r="S231" s="10" t="str">
        <f t="shared" ca="1" si="51"/>
        <v>Không cần</v>
      </c>
      <c r="T231" s="10" t="str">
        <f t="shared" ca="1" si="52"/>
        <v>Không</v>
      </c>
      <c r="U231" s="10" t="str">
        <f t="shared" si="53"/>
        <v>Không</v>
      </c>
      <c r="V231" s="2" t="s">
        <v>38</v>
      </c>
      <c r="W231" s="4">
        <v>46112</v>
      </c>
      <c r="X231" s="8" t="str">
        <f t="shared" si="54"/>
        <v>Tháng 3</v>
      </c>
      <c r="Y231" s="8" t="str">
        <f t="shared" si="55"/>
        <v>Ấp Biển Đông B</v>
      </c>
    </row>
    <row r="232" spans="1:25" x14ac:dyDescent="0.25">
      <c r="A232" s="1" t="s">
        <v>388</v>
      </c>
      <c r="B232" s="2" t="s">
        <v>30</v>
      </c>
      <c r="C232" s="2" t="s">
        <v>90</v>
      </c>
      <c r="D232" s="10">
        <f t="shared" ca="1" si="42"/>
        <v>54</v>
      </c>
      <c r="E232" s="2" t="s">
        <v>26</v>
      </c>
      <c r="F232" s="3">
        <v>165</v>
      </c>
      <c r="G232" s="3">
        <v>49</v>
      </c>
      <c r="H232" s="11">
        <f t="shared" si="43"/>
        <v>17.998163452708908</v>
      </c>
      <c r="I232" s="2">
        <v>90</v>
      </c>
      <c r="J232" s="3">
        <v>120</v>
      </c>
      <c r="K232" s="3">
        <v>80</v>
      </c>
      <c r="L232" s="10">
        <f t="shared" si="44"/>
        <v>2</v>
      </c>
      <c r="M232" s="10">
        <f t="shared" ca="1" si="45"/>
        <v>2</v>
      </c>
      <c r="N232" s="10">
        <f t="shared" si="46"/>
        <v>0</v>
      </c>
      <c r="O232" s="10">
        <f t="shared" si="47"/>
        <v>0</v>
      </c>
      <c r="P232" s="10">
        <f t="shared" si="48"/>
        <v>2</v>
      </c>
      <c r="Q232" s="10">
        <f t="shared" si="49"/>
        <v>0</v>
      </c>
      <c r="R232" s="10">
        <f t="shared" ca="1" si="50"/>
        <v>6</v>
      </c>
      <c r="S232" s="10" t="str">
        <f t="shared" ca="1" si="51"/>
        <v>Có</v>
      </c>
      <c r="T232" s="10" t="str">
        <f t="shared" ca="1" si="52"/>
        <v>Có</v>
      </c>
      <c r="U232" s="10" t="str">
        <f t="shared" si="53"/>
        <v>Không</v>
      </c>
      <c r="V232" s="2" t="s">
        <v>152</v>
      </c>
      <c r="W232" s="4">
        <v>46081</v>
      </c>
      <c r="X232" s="8" t="str">
        <f t="shared" si="54"/>
        <v>Tháng 2</v>
      </c>
      <c r="Y232" s="8" t="str">
        <f t="shared" si="55"/>
        <v>Khóm Giồng Giữa</v>
      </c>
    </row>
    <row r="233" spans="1:25" x14ac:dyDescent="0.25">
      <c r="A233" s="1" t="s">
        <v>389</v>
      </c>
      <c r="B233" s="2" t="s">
        <v>23</v>
      </c>
      <c r="C233" s="2" t="s">
        <v>40</v>
      </c>
      <c r="D233" s="10">
        <f t="shared" ca="1" si="42"/>
        <v>70</v>
      </c>
      <c r="E233" s="2" t="s">
        <v>25</v>
      </c>
      <c r="F233" s="3">
        <v>150</v>
      </c>
      <c r="G233" s="3">
        <v>55</v>
      </c>
      <c r="H233" s="11">
        <f t="shared" si="43"/>
        <v>24.444444444444443</v>
      </c>
      <c r="I233" s="2">
        <v>79</v>
      </c>
      <c r="J233" s="3">
        <v>120</v>
      </c>
      <c r="K233" s="3">
        <v>80</v>
      </c>
      <c r="L233" s="10">
        <f t="shared" si="44"/>
        <v>0</v>
      </c>
      <c r="M233" s="10">
        <f t="shared" ca="1" si="45"/>
        <v>2</v>
      </c>
      <c r="N233" s="10">
        <f t="shared" si="46"/>
        <v>4</v>
      </c>
      <c r="O233" s="10">
        <f t="shared" si="47"/>
        <v>3</v>
      </c>
      <c r="P233" s="10">
        <f t="shared" si="48"/>
        <v>0</v>
      </c>
      <c r="Q233" s="10">
        <f t="shared" si="49"/>
        <v>0</v>
      </c>
      <c r="R233" s="10">
        <f t="shared" ca="1" si="50"/>
        <v>9</v>
      </c>
      <c r="S233" s="10" t="str">
        <f t="shared" ca="1" si="51"/>
        <v>Có</v>
      </c>
      <c r="T233" s="10" t="str">
        <f t="shared" ca="1" si="52"/>
        <v>Có</v>
      </c>
      <c r="U233" s="10" t="str">
        <f t="shared" si="53"/>
        <v>Không</v>
      </c>
      <c r="V233" s="2" t="s">
        <v>390</v>
      </c>
      <c r="W233" s="4">
        <v>46081</v>
      </c>
      <c r="X233" s="8" t="str">
        <f t="shared" si="54"/>
        <v>Tháng 2</v>
      </c>
      <c r="Y233" s="8" t="str">
        <f t="shared" si="55"/>
        <v>khóm giồng nhãn</v>
      </c>
    </row>
    <row r="234" spans="1:25" x14ac:dyDescent="0.25">
      <c r="A234" s="1" t="s">
        <v>391</v>
      </c>
      <c r="B234" s="2" t="s">
        <v>23</v>
      </c>
      <c r="C234" s="2" t="s">
        <v>105</v>
      </c>
      <c r="D234" s="10">
        <f t="shared" ca="1" si="42"/>
        <v>60</v>
      </c>
      <c r="E234" s="2" t="s">
        <v>26</v>
      </c>
      <c r="F234" s="3">
        <v>158</v>
      </c>
      <c r="G234" s="3">
        <v>58</v>
      </c>
      <c r="H234" s="11">
        <f t="shared" si="43"/>
        <v>23.233456176894723</v>
      </c>
      <c r="I234" s="2">
        <v>74</v>
      </c>
      <c r="J234" s="3">
        <v>120</v>
      </c>
      <c r="K234" s="3">
        <v>80</v>
      </c>
      <c r="L234" s="10">
        <f t="shared" si="44"/>
        <v>0</v>
      </c>
      <c r="M234" s="10">
        <f t="shared" ca="1" si="45"/>
        <v>2</v>
      </c>
      <c r="N234" s="10">
        <f t="shared" si="46"/>
        <v>0</v>
      </c>
      <c r="O234" s="10">
        <f t="shared" si="47"/>
        <v>3</v>
      </c>
      <c r="P234" s="10">
        <f t="shared" si="48"/>
        <v>0</v>
      </c>
      <c r="Q234" s="10">
        <f t="shared" si="49"/>
        <v>0</v>
      </c>
      <c r="R234" s="10">
        <f t="shared" ca="1" si="50"/>
        <v>5</v>
      </c>
      <c r="S234" s="10" t="str">
        <f t="shared" ca="1" si="51"/>
        <v>Không cần</v>
      </c>
      <c r="T234" s="10" t="str">
        <f t="shared" ca="1" si="52"/>
        <v>Không</v>
      </c>
      <c r="U234" s="10" t="str">
        <f t="shared" si="53"/>
        <v>Không</v>
      </c>
      <c r="V234" s="2" t="s">
        <v>32</v>
      </c>
      <c r="W234" s="4">
        <v>46112</v>
      </c>
      <c r="X234" s="8" t="str">
        <f t="shared" si="54"/>
        <v>Tháng 3</v>
      </c>
      <c r="Y234" s="8" t="str">
        <f t="shared" si="55"/>
        <v>Ấp Giồng Giữa B</v>
      </c>
    </row>
    <row r="235" spans="1:25" x14ac:dyDescent="0.25">
      <c r="A235" s="1" t="s">
        <v>392</v>
      </c>
      <c r="B235" s="2" t="s">
        <v>23</v>
      </c>
      <c r="C235" s="2" t="s">
        <v>47</v>
      </c>
      <c r="D235" s="10">
        <f t="shared" ca="1" si="42"/>
        <v>55</v>
      </c>
      <c r="E235" s="2" t="s">
        <v>26</v>
      </c>
      <c r="F235" s="3">
        <v>158</v>
      </c>
      <c r="G235" s="3">
        <v>58</v>
      </c>
      <c r="H235" s="11">
        <f t="shared" si="43"/>
        <v>23.233456176894723</v>
      </c>
      <c r="I235" s="2">
        <v>75</v>
      </c>
      <c r="J235" s="3">
        <v>120</v>
      </c>
      <c r="K235" s="3">
        <v>80</v>
      </c>
      <c r="L235" s="10">
        <f t="shared" si="44"/>
        <v>0</v>
      </c>
      <c r="M235" s="10">
        <f t="shared" ca="1" si="45"/>
        <v>2</v>
      </c>
      <c r="N235" s="10">
        <f t="shared" si="46"/>
        <v>0</v>
      </c>
      <c r="O235" s="10">
        <f t="shared" si="47"/>
        <v>3</v>
      </c>
      <c r="P235" s="10">
        <f t="shared" si="48"/>
        <v>0</v>
      </c>
      <c r="Q235" s="10">
        <f t="shared" si="49"/>
        <v>0</v>
      </c>
      <c r="R235" s="10">
        <f t="shared" ca="1" si="50"/>
        <v>5</v>
      </c>
      <c r="S235" s="10" t="str">
        <f t="shared" ca="1" si="51"/>
        <v>Không cần</v>
      </c>
      <c r="T235" s="10" t="str">
        <f t="shared" ca="1" si="52"/>
        <v>Không</v>
      </c>
      <c r="U235" s="10" t="str">
        <f t="shared" si="53"/>
        <v>Không</v>
      </c>
      <c r="V235" s="2" t="s">
        <v>51</v>
      </c>
      <c r="W235" s="4">
        <v>46112</v>
      </c>
      <c r="X235" s="8" t="str">
        <f t="shared" si="54"/>
        <v>Tháng 3</v>
      </c>
      <c r="Y235" s="8" t="str">
        <f t="shared" si="55"/>
        <v>Phường Hiệp Thành</v>
      </c>
    </row>
    <row r="236" spans="1:25" x14ac:dyDescent="0.25">
      <c r="A236" s="1" t="s">
        <v>393</v>
      </c>
      <c r="B236" s="2" t="s">
        <v>30</v>
      </c>
      <c r="C236" s="2" t="s">
        <v>394</v>
      </c>
      <c r="D236" s="10">
        <f t="shared" ca="1" si="42"/>
        <v>45</v>
      </c>
      <c r="E236" s="2" t="s">
        <v>26</v>
      </c>
      <c r="F236" s="3">
        <v>165</v>
      </c>
      <c r="G236" s="3">
        <v>74</v>
      </c>
      <c r="H236" s="11">
        <f t="shared" si="43"/>
        <v>27.180899908172638</v>
      </c>
      <c r="I236" s="2">
        <v>85</v>
      </c>
      <c r="J236" s="3">
        <v>120</v>
      </c>
      <c r="K236" s="3">
        <v>80</v>
      </c>
      <c r="L236" s="10">
        <f t="shared" si="44"/>
        <v>2</v>
      </c>
      <c r="M236" s="10">
        <f t="shared" ca="1" si="45"/>
        <v>1</v>
      </c>
      <c r="N236" s="10">
        <f t="shared" si="46"/>
        <v>0</v>
      </c>
      <c r="O236" s="10">
        <f t="shared" si="47"/>
        <v>3</v>
      </c>
      <c r="P236" s="10">
        <f t="shared" si="48"/>
        <v>0</v>
      </c>
      <c r="Q236" s="10">
        <f t="shared" si="49"/>
        <v>0</v>
      </c>
      <c r="R236" s="10">
        <f t="shared" ca="1" si="50"/>
        <v>6</v>
      </c>
      <c r="S236" s="10" t="str">
        <f t="shared" ca="1" si="51"/>
        <v>Có</v>
      </c>
      <c r="T236" s="10" t="str">
        <f t="shared" ca="1" si="52"/>
        <v>Có</v>
      </c>
      <c r="U236" s="10" t="str">
        <f t="shared" si="53"/>
        <v>Không</v>
      </c>
      <c r="V236" s="2" t="s">
        <v>395</v>
      </c>
      <c r="W236" s="4">
        <v>46112</v>
      </c>
      <c r="X236" s="8" t="str">
        <f t="shared" si="54"/>
        <v>Tháng 3</v>
      </c>
      <c r="Y236" s="8" t="str">
        <f t="shared" si="55"/>
        <v>Khóm Chòm Xoài</v>
      </c>
    </row>
    <row r="237" spans="1:25" x14ac:dyDescent="0.25">
      <c r="A237" s="1" t="s">
        <v>396</v>
      </c>
      <c r="B237" s="2" t="s">
        <v>30</v>
      </c>
      <c r="C237" s="2" t="s">
        <v>64</v>
      </c>
      <c r="D237" s="10">
        <f t="shared" ca="1" si="42"/>
        <v>42</v>
      </c>
      <c r="E237" s="2" t="s">
        <v>26</v>
      </c>
      <c r="F237" s="3">
        <v>160</v>
      </c>
      <c r="G237" s="3">
        <v>60</v>
      </c>
      <c r="H237" s="11">
        <f t="shared" si="43"/>
        <v>23.437499999999996</v>
      </c>
      <c r="I237" s="2">
        <v>79</v>
      </c>
      <c r="J237" s="3">
        <v>120</v>
      </c>
      <c r="K237" s="3">
        <v>70</v>
      </c>
      <c r="L237" s="10">
        <f t="shared" si="44"/>
        <v>2</v>
      </c>
      <c r="M237" s="10">
        <f t="shared" ca="1" si="45"/>
        <v>0</v>
      </c>
      <c r="N237" s="10">
        <f t="shared" si="46"/>
        <v>0</v>
      </c>
      <c r="O237" s="10">
        <f t="shared" si="47"/>
        <v>3</v>
      </c>
      <c r="P237" s="10">
        <f t="shared" si="48"/>
        <v>0</v>
      </c>
      <c r="Q237" s="10">
        <f t="shared" si="49"/>
        <v>0</v>
      </c>
      <c r="R237" s="10">
        <f t="shared" ca="1" si="50"/>
        <v>5</v>
      </c>
      <c r="S237" s="10" t="str">
        <f t="shared" ca="1" si="51"/>
        <v>Không cần</v>
      </c>
      <c r="T237" s="10" t="str">
        <f t="shared" ca="1" si="52"/>
        <v>Không</v>
      </c>
      <c r="U237" s="10" t="str">
        <f t="shared" si="53"/>
        <v>Không</v>
      </c>
      <c r="V237" s="2" t="s">
        <v>397</v>
      </c>
      <c r="W237" s="4">
        <v>46142</v>
      </c>
      <c r="X237" s="8" t="str">
        <f t="shared" si="54"/>
        <v>Tháng 4</v>
      </c>
      <c r="Y237" s="8" t="str">
        <f t="shared" si="55"/>
        <v>Nhà Mát</v>
      </c>
    </row>
    <row r="238" spans="1:25" x14ac:dyDescent="0.25">
      <c r="A238" s="1" t="s">
        <v>398</v>
      </c>
      <c r="B238" s="2" t="s">
        <v>23</v>
      </c>
      <c r="C238" s="2" t="s">
        <v>110</v>
      </c>
      <c r="D238" s="10">
        <f t="shared" ca="1" si="42"/>
        <v>62</v>
      </c>
      <c r="E238" s="2" t="s">
        <v>26</v>
      </c>
      <c r="F238" s="3">
        <v>158</v>
      </c>
      <c r="G238" s="3">
        <v>58</v>
      </c>
      <c r="H238" s="11">
        <f t="shared" si="43"/>
        <v>23.233456176894723</v>
      </c>
      <c r="I238" s="2">
        <v>90</v>
      </c>
      <c r="J238" s="3">
        <v>150</v>
      </c>
      <c r="K238" s="3">
        <v>80</v>
      </c>
      <c r="L238" s="10">
        <f t="shared" si="44"/>
        <v>0</v>
      </c>
      <c r="M238" s="10">
        <f t="shared" ca="1" si="45"/>
        <v>2</v>
      </c>
      <c r="N238" s="10">
        <f t="shared" si="46"/>
        <v>0</v>
      </c>
      <c r="O238" s="10">
        <f t="shared" si="47"/>
        <v>3</v>
      </c>
      <c r="P238" s="10">
        <f t="shared" si="48"/>
        <v>2</v>
      </c>
      <c r="Q238" s="10">
        <f t="shared" si="49"/>
        <v>2</v>
      </c>
      <c r="R238" s="10">
        <f t="shared" ca="1" si="50"/>
        <v>9</v>
      </c>
      <c r="S238" s="10" t="str">
        <f t="shared" ca="1" si="51"/>
        <v>Có</v>
      </c>
      <c r="T238" s="10" t="str">
        <f t="shared" ca="1" si="52"/>
        <v>Có</v>
      </c>
      <c r="U238" s="10" t="str">
        <f t="shared" si="53"/>
        <v>Có</v>
      </c>
      <c r="V238" s="2" t="s">
        <v>218</v>
      </c>
      <c r="W238" s="4">
        <v>46142</v>
      </c>
      <c r="X238" s="8" t="str">
        <f t="shared" si="54"/>
        <v>Tháng 4</v>
      </c>
      <c r="Y238" s="8" t="str">
        <f t="shared" si="55"/>
        <v>Biển Đông B</v>
      </c>
    </row>
    <row r="239" spans="1:25" x14ac:dyDescent="0.25">
      <c r="A239" s="1" t="s">
        <v>399</v>
      </c>
      <c r="B239" s="2" t="s">
        <v>23</v>
      </c>
      <c r="C239" s="2" t="s">
        <v>24</v>
      </c>
      <c r="D239" s="10">
        <f t="shared" ca="1" si="42"/>
        <v>83</v>
      </c>
      <c r="E239" s="2" t="s">
        <v>26</v>
      </c>
      <c r="F239" s="3">
        <v>158</v>
      </c>
      <c r="G239" s="3">
        <v>58</v>
      </c>
      <c r="H239" s="11">
        <f t="shared" si="43"/>
        <v>23.233456176894723</v>
      </c>
      <c r="I239" s="2">
        <v>80</v>
      </c>
      <c r="J239" s="3">
        <v>120</v>
      </c>
      <c r="K239" s="3">
        <v>80</v>
      </c>
      <c r="L239" s="10">
        <f t="shared" si="44"/>
        <v>0</v>
      </c>
      <c r="M239" s="10">
        <f t="shared" ca="1" si="45"/>
        <v>2</v>
      </c>
      <c r="N239" s="10">
        <f t="shared" si="46"/>
        <v>0</v>
      </c>
      <c r="O239" s="10">
        <f t="shared" si="47"/>
        <v>3</v>
      </c>
      <c r="P239" s="10">
        <f t="shared" si="48"/>
        <v>2</v>
      </c>
      <c r="Q239" s="10">
        <f t="shared" si="49"/>
        <v>0</v>
      </c>
      <c r="R239" s="10">
        <f t="shared" ca="1" si="50"/>
        <v>7</v>
      </c>
      <c r="S239" s="10" t="str">
        <f t="shared" ca="1" si="51"/>
        <v>Có</v>
      </c>
      <c r="T239" s="10" t="str">
        <f t="shared" ca="1" si="52"/>
        <v>Có</v>
      </c>
      <c r="U239" s="10" t="str">
        <f t="shared" si="53"/>
        <v>Không</v>
      </c>
      <c r="V239" s="2" t="s">
        <v>218</v>
      </c>
      <c r="W239" s="4">
        <v>46142</v>
      </c>
      <c r="X239" s="8" t="str">
        <f t="shared" si="54"/>
        <v>Tháng 4</v>
      </c>
      <c r="Y239" s="8" t="str">
        <f t="shared" si="55"/>
        <v>Biển Đông B</v>
      </c>
    </row>
    <row r="240" spans="1:25" x14ac:dyDescent="0.25">
      <c r="A240" s="1" t="s">
        <v>400</v>
      </c>
      <c r="B240" s="2" t="s">
        <v>30</v>
      </c>
      <c r="C240" s="2" t="s">
        <v>53</v>
      </c>
      <c r="D240" s="10">
        <f t="shared" ca="1" si="42"/>
        <v>72</v>
      </c>
      <c r="E240" s="2" t="s">
        <v>26</v>
      </c>
      <c r="F240" s="3">
        <v>168</v>
      </c>
      <c r="G240" s="3">
        <v>62</v>
      </c>
      <c r="H240" s="11">
        <f t="shared" si="43"/>
        <v>21.9671201814059</v>
      </c>
      <c r="I240" s="2">
        <v>95</v>
      </c>
      <c r="J240" s="3">
        <v>120</v>
      </c>
      <c r="K240" s="3">
        <v>80</v>
      </c>
      <c r="L240" s="10">
        <f t="shared" si="44"/>
        <v>2</v>
      </c>
      <c r="M240" s="10">
        <f t="shared" ca="1" si="45"/>
        <v>2</v>
      </c>
      <c r="N240" s="10">
        <f t="shared" si="46"/>
        <v>0</v>
      </c>
      <c r="O240" s="10">
        <f t="shared" si="47"/>
        <v>0</v>
      </c>
      <c r="P240" s="10">
        <f t="shared" si="48"/>
        <v>2</v>
      </c>
      <c r="Q240" s="10">
        <f t="shared" si="49"/>
        <v>0</v>
      </c>
      <c r="R240" s="10">
        <f t="shared" ca="1" si="50"/>
        <v>6</v>
      </c>
      <c r="S240" s="10" t="str">
        <f t="shared" ca="1" si="51"/>
        <v>Có</v>
      </c>
      <c r="T240" s="10" t="str">
        <f t="shared" ca="1" si="52"/>
        <v>Có</v>
      </c>
      <c r="U240" s="10" t="str">
        <f t="shared" si="53"/>
        <v>Không</v>
      </c>
      <c r="V240" s="2" t="s">
        <v>28</v>
      </c>
      <c r="W240" s="4">
        <v>46142</v>
      </c>
      <c r="X240" s="8" t="str">
        <f t="shared" si="54"/>
        <v>Tháng 4</v>
      </c>
      <c r="Y240" s="8" t="str">
        <f t="shared" si="55"/>
        <v>Ấp Biển Đông A</v>
      </c>
    </row>
    <row r="241" spans="1:25" x14ac:dyDescent="0.25">
      <c r="A241" s="1" t="s">
        <v>401</v>
      </c>
      <c r="B241" s="2" t="s">
        <v>23</v>
      </c>
      <c r="C241" s="2" t="s">
        <v>62</v>
      </c>
      <c r="D241" s="10">
        <f t="shared" ca="1" si="42"/>
        <v>64</v>
      </c>
      <c r="E241" s="2" t="s">
        <v>26</v>
      </c>
      <c r="F241" s="3">
        <v>158</v>
      </c>
      <c r="G241" s="3">
        <v>58</v>
      </c>
      <c r="H241" s="11">
        <f t="shared" si="43"/>
        <v>23.233456176894723</v>
      </c>
      <c r="I241" s="2">
        <v>69</v>
      </c>
      <c r="J241" s="3">
        <v>140</v>
      </c>
      <c r="K241" s="3">
        <v>80</v>
      </c>
      <c r="L241" s="10">
        <f t="shared" si="44"/>
        <v>0</v>
      </c>
      <c r="M241" s="10">
        <f t="shared" ca="1" si="45"/>
        <v>2</v>
      </c>
      <c r="N241" s="10">
        <f t="shared" si="46"/>
        <v>0</v>
      </c>
      <c r="O241" s="10">
        <f t="shared" si="47"/>
        <v>3</v>
      </c>
      <c r="P241" s="10">
        <f t="shared" si="48"/>
        <v>0</v>
      </c>
      <c r="Q241" s="10">
        <f t="shared" si="49"/>
        <v>2</v>
      </c>
      <c r="R241" s="10">
        <f t="shared" ca="1" si="50"/>
        <v>7</v>
      </c>
      <c r="S241" s="10" t="str">
        <f t="shared" ca="1" si="51"/>
        <v>Có</v>
      </c>
      <c r="T241" s="10" t="str">
        <f t="shared" ca="1" si="52"/>
        <v>Có</v>
      </c>
      <c r="U241" s="10" t="str">
        <f t="shared" si="53"/>
        <v>Có</v>
      </c>
      <c r="V241" s="2" t="s">
        <v>402</v>
      </c>
      <c r="W241" s="4">
        <v>46142</v>
      </c>
      <c r="X241" s="8" t="str">
        <f t="shared" si="54"/>
        <v>Tháng 4</v>
      </c>
      <c r="Y241" s="8" t="str">
        <f t="shared" si="55"/>
        <v>Ấp An Trạch Đông</v>
      </c>
    </row>
    <row r="242" spans="1:25" x14ac:dyDescent="0.25">
      <c r="A242" s="1" t="s">
        <v>403</v>
      </c>
      <c r="B242" s="2" t="s">
        <v>30</v>
      </c>
      <c r="C242" s="2" t="s">
        <v>40</v>
      </c>
      <c r="D242" s="10">
        <f t="shared" ca="1" si="42"/>
        <v>70</v>
      </c>
      <c r="E242" s="2" t="s">
        <v>26</v>
      </c>
      <c r="F242" s="3">
        <v>169</v>
      </c>
      <c r="G242" s="3">
        <v>68</v>
      </c>
      <c r="H242" s="11">
        <f t="shared" si="43"/>
        <v>23.808690171912751</v>
      </c>
      <c r="I242" s="2">
        <v>81</v>
      </c>
      <c r="J242" s="3">
        <v>120</v>
      </c>
      <c r="K242" s="3">
        <v>80</v>
      </c>
      <c r="L242" s="10">
        <f t="shared" si="44"/>
        <v>2</v>
      </c>
      <c r="M242" s="10">
        <f t="shared" ca="1" si="45"/>
        <v>2</v>
      </c>
      <c r="N242" s="10">
        <f t="shared" si="46"/>
        <v>0</v>
      </c>
      <c r="O242" s="10">
        <f t="shared" si="47"/>
        <v>3</v>
      </c>
      <c r="P242" s="10">
        <f t="shared" si="48"/>
        <v>0</v>
      </c>
      <c r="Q242" s="10">
        <f t="shared" si="49"/>
        <v>0</v>
      </c>
      <c r="R242" s="10">
        <f t="shared" ca="1" si="50"/>
        <v>7</v>
      </c>
      <c r="S242" s="10" t="str">
        <f t="shared" ca="1" si="51"/>
        <v>Có</v>
      </c>
      <c r="T242" s="10" t="str">
        <f t="shared" ca="1" si="52"/>
        <v>Có</v>
      </c>
      <c r="U242" s="10" t="str">
        <f t="shared" si="53"/>
        <v>Không</v>
      </c>
      <c r="V242" s="2" t="s">
        <v>38</v>
      </c>
      <c r="W242" s="4">
        <v>46142</v>
      </c>
      <c r="X242" s="8" t="str">
        <f t="shared" si="54"/>
        <v>Tháng 4</v>
      </c>
      <c r="Y242" s="8" t="str">
        <f t="shared" si="55"/>
        <v>Ấp Biển Đông B</v>
      </c>
    </row>
    <row r="243" spans="1:25" x14ac:dyDescent="0.25">
      <c r="A243" s="1" t="s">
        <v>404</v>
      </c>
      <c r="B243" s="2" t="s">
        <v>23</v>
      </c>
      <c r="C243" s="2" t="s">
        <v>130</v>
      </c>
      <c r="D243" s="10">
        <f t="shared" ca="1" si="42"/>
        <v>57</v>
      </c>
      <c r="E243" s="2" t="s">
        <v>25</v>
      </c>
      <c r="F243" s="3">
        <v>158</v>
      </c>
      <c r="G243" s="3">
        <v>58</v>
      </c>
      <c r="H243" s="11">
        <f t="shared" si="43"/>
        <v>23.233456176894723</v>
      </c>
      <c r="I243" s="2">
        <v>84</v>
      </c>
      <c r="J243" s="3">
        <v>140</v>
      </c>
      <c r="K243" s="3">
        <v>80</v>
      </c>
      <c r="L243" s="10">
        <f t="shared" si="44"/>
        <v>0</v>
      </c>
      <c r="M243" s="10">
        <f t="shared" ca="1" si="45"/>
        <v>2</v>
      </c>
      <c r="N243" s="10">
        <f t="shared" si="46"/>
        <v>4</v>
      </c>
      <c r="O243" s="10">
        <f t="shared" si="47"/>
        <v>3</v>
      </c>
      <c r="P243" s="10">
        <f t="shared" si="48"/>
        <v>2</v>
      </c>
      <c r="Q243" s="10">
        <f t="shared" si="49"/>
        <v>2</v>
      </c>
      <c r="R243" s="10">
        <f t="shared" ca="1" si="50"/>
        <v>13</v>
      </c>
      <c r="S243" s="10" t="str">
        <f t="shared" ca="1" si="51"/>
        <v>Có</v>
      </c>
      <c r="T243" s="10" t="str">
        <f t="shared" ca="1" si="52"/>
        <v>Có</v>
      </c>
      <c r="U243" s="10" t="str">
        <f t="shared" si="53"/>
        <v>Có</v>
      </c>
      <c r="V243" s="2" t="s">
        <v>306</v>
      </c>
      <c r="W243" s="4">
        <v>46081</v>
      </c>
      <c r="X243" s="8" t="str">
        <f t="shared" si="54"/>
        <v>Tháng 2</v>
      </c>
      <c r="Y243" s="8" t="str">
        <f t="shared" si="55"/>
        <v>Giồng Giữa A</v>
      </c>
    </row>
    <row r="244" spans="1:25" x14ac:dyDescent="0.25">
      <c r="A244" s="1" t="s">
        <v>405</v>
      </c>
      <c r="B244" s="2" t="s">
        <v>30</v>
      </c>
      <c r="C244" s="2" t="s">
        <v>42</v>
      </c>
      <c r="D244" s="10">
        <f t="shared" ca="1" si="42"/>
        <v>59</v>
      </c>
      <c r="E244" s="2" t="s">
        <v>25</v>
      </c>
      <c r="F244" s="3">
        <v>120</v>
      </c>
      <c r="G244" s="3">
        <v>19</v>
      </c>
      <c r="H244" s="11">
        <f t="shared" si="43"/>
        <v>13.194444444444445</v>
      </c>
      <c r="I244" s="2">
        <v>91</v>
      </c>
      <c r="J244" s="3">
        <v>100</v>
      </c>
      <c r="K244" s="3">
        <v>80</v>
      </c>
      <c r="L244" s="10">
        <f t="shared" si="44"/>
        <v>2</v>
      </c>
      <c r="M244" s="10">
        <f t="shared" ca="1" si="45"/>
        <v>2</v>
      </c>
      <c r="N244" s="10">
        <f t="shared" si="46"/>
        <v>4</v>
      </c>
      <c r="O244" s="10">
        <f t="shared" si="47"/>
        <v>0</v>
      </c>
      <c r="P244" s="10">
        <f t="shared" si="48"/>
        <v>2</v>
      </c>
      <c r="Q244" s="10">
        <f t="shared" si="49"/>
        <v>0</v>
      </c>
      <c r="R244" s="10">
        <f t="shared" ca="1" si="50"/>
        <v>10</v>
      </c>
      <c r="S244" s="10" t="str">
        <f t="shared" ca="1" si="51"/>
        <v>Có</v>
      </c>
      <c r="T244" s="10" t="str">
        <f t="shared" ca="1" si="52"/>
        <v>Có</v>
      </c>
      <c r="U244" s="10" t="str">
        <f t="shared" si="53"/>
        <v>Không</v>
      </c>
      <c r="V244" s="2" t="s">
        <v>406</v>
      </c>
      <c r="W244" s="4">
        <v>46142</v>
      </c>
      <c r="X244" s="8" t="str">
        <f t="shared" si="54"/>
        <v>Tháng 4</v>
      </c>
      <c r="Y244" s="8" t="str">
        <f t="shared" si="55"/>
        <v>Phường 7</v>
      </c>
    </row>
    <row r="245" spans="1:25" x14ac:dyDescent="0.25">
      <c r="A245" s="1" t="s">
        <v>407</v>
      </c>
      <c r="B245" s="2" t="s">
        <v>23</v>
      </c>
      <c r="C245" s="2" t="s">
        <v>93</v>
      </c>
      <c r="D245" s="10">
        <f t="shared" ca="1" si="42"/>
        <v>66</v>
      </c>
      <c r="E245" s="2" t="s">
        <v>26</v>
      </c>
      <c r="F245" s="3">
        <v>158</v>
      </c>
      <c r="G245" s="3">
        <v>58</v>
      </c>
      <c r="H245" s="11">
        <f t="shared" si="43"/>
        <v>23.233456176894723</v>
      </c>
      <c r="I245" s="2">
        <v>71</v>
      </c>
      <c r="J245" s="3">
        <v>140</v>
      </c>
      <c r="K245" s="3">
        <v>80</v>
      </c>
      <c r="L245" s="10">
        <f t="shared" si="44"/>
        <v>0</v>
      </c>
      <c r="M245" s="10">
        <f t="shared" ca="1" si="45"/>
        <v>2</v>
      </c>
      <c r="N245" s="10">
        <f t="shared" si="46"/>
        <v>0</v>
      </c>
      <c r="O245" s="10">
        <f t="shared" si="47"/>
        <v>3</v>
      </c>
      <c r="P245" s="10">
        <f t="shared" si="48"/>
        <v>0</v>
      </c>
      <c r="Q245" s="10">
        <f t="shared" si="49"/>
        <v>2</v>
      </c>
      <c r="R245" s="10">
        <f t="shared" ca="1" si="50"/>
        <v>7</v>
      </c>
      <c r="S245" s="10" t="str">
        <f t="shared" ca="1" si="51"/>
        <v>Có</v>
      </c>
      <c r="T245" s="10" t="str">
        <f t="shared" ca="1" si="52"/>
        <v>Có</v>
      </c>
      <c r="U245" s="10" t="str">
        <f t="shared" si="53"/>
        <v>Có</v>
      </c>
      <c r="V245" s="2" t="s">
        <v>306</v>
      </c>
      <c r="W245" s="4">
        <v>46081</v>
      </c>
      <c r="X245" s="8" t="str">
        <f t="shared" si="54"/>
        <v>Tháng 2</v>
      </c>
      <c r="Y245" s="8" t="str">
        <f t="shared" si="55"/>
        <v>Giồng Giữa A</v>
      </c>
    </row>
    <row r="246" spans="1:25" x14ac:dyDescent="0.25">
      <c r="A246" s="1" t="s">
        <v>408</v>
      </c>
      <c r="B246" s="2" t="s">
        <v>30</v>
      </c>
      <c r="C246" s="2" t="s">
        <v>110</v>
      </c>
      <c r="D246" s="10">
        <f t="shared" ca="1" si="42"/>
        <v>62</v>
      </c>
      <c r="E246" s="2" t="s">
        <v>25</v>
      </c>
      <c r="F246" s="3">
        <v>170</v>
      </c>
      <c r="G246" s="3">
        <v>55</v>
      </c>
      <c r="H246" s="11">
        <f t="shared" si="43"/>
        <v>19.031141868512112</v>
      </c>
      <c r="I246" s="2">
        <v>96</v>
      </c>
      <c r="J246" s="3">
        <v>120</v>
      </c>
      <c r="K246" s="3">
        <v>80</v>
      </c>
      <c r="L246" s="10">
        <f t="shared" si="44"/>
        <v>2</v>
      </c>
      <c r="M246" s="10">
        <f t="shared" ca="1" si="45"/>
        <v>2</v>
      </c>
      <c r="N246" s="10">
        <f t="shared" si="46"/>
        <v>4</v>
      </c>
      <c r="O246" s="10">
        <f t="shared" si="47"/>
        <v>0</v>
      </c>
      <c r="P246" s="10">
        <f t="shared" si="48"/>
        <v>2</v>
      </c>
      <c r="Q246" s="10">
        <f t="shared" si="49"/>
        <v>0</v>
      </c>
      <c r="R246" s="10">
        <f t="shared" ca="1" si="50"/>
        <v>10</v>
      </c>
      <c r="S246" s="10" t="str">
        <f t="shared" ca="1" si="51"/>
        <v>Có</v>
      </c>
      <c r="T246" s="10" t="str">
        <f t="shared" ca="1" si="52"/>
        <v>Có</v>
      </c>
      <c r="U246" s="10" t="str">
        <f t="shared" si="53"/>
        <v>Không</v>
      </c>
      <c r="V246" s="2" t="s">
        <v>122</v>
      </c>
      <c r="W246" s="4">
        <v>46112</v>
      </c>
      <c r="X246" s="8" t="str">
        <f t="shared" si="54"/>
        <v>Tháng 3</v>
      </c>
      <c r="Y246" s="8" t="str">
        <f t="shared" si="55"/>
        <v>Giồng Nhãn</v>
      </c>
    </row>
    <row r="247" spans="1:25" x14ac:dyDescent="0.25">
      <c r="A247" s="1" t="s">
        <v>409</v>
      </c>
      <c r="B247" s="2" t="s">
        <v>23</v>
      </c>
      <c r="C247" s="2" t="s">
        <v>62</v>
      </c>
      <c r="D247" s="10">
        <f t="shared" ca="1" si="42"/>
        <v>64</v>
      </c>
      <c r="E247" s="2" t="s">
        <v>26</v>
      </c>
      <c r="F247" s="3">
        <v>158</v>
      </c>
      <c r="G247" s="3">
        <v>58</v>
      </c>
      <c r="H247" s="11">
        <f t="shared" si="43"/>
        <v>23.233456176894723</v>
      </c>
      <c r="I247" s="2">
        <v>82</v>
      </c>
      <c r="J247" s="3">
        <v>120</v>
      </c>
      <c r="K247" s="3">
        <v>80</v>
      </c>
      <c r="L247" s="10">
        <f t="shared" si="44"/>
        <v>0</v>
      </c>
      <c r="M247" s="10">
        <f t="shared" ca="1" si="45"/>
        <v>2</v>
      </c>
      <c r="N247" s="10">
        <f t="shared" si="46"/>
        <v>0</v>
      </c>
      <c r="O247" s="10">
        <f t="shared" si="47"/>
        <v>3</v>
      </c>
      <c r="P247" s="10">
        <f t="shared" si="48"/>
        <v>2</v>
      </c>
      <c r="Q247" s="10">
        <f t="shared" si="49"/>
        <v>0</v>
      </c>
      <c r="R247" s="10">
        <f t="shared" ca="1" si="50"/>
        <v>7</v>
      </c>
      <c r="S247" s="10" t="str">
        <f t="shared" ca="1" si="51"/>
        <v>Có</v>
      </c>
      <c r="T247" s="10" t="str">
        <f t="shared" ca="1" si="52"/>
        <v>Có</v>
      </c>
      <c r="U247" s="10" t="str">
        <f t="shared" si="53"/>
        <v>Không</v>
      </c>
      <c r="V247" s="2" t="s">
        <v>218</v>
      </c>
      <c r="W247" s="4">
        <v>46112</v>
      </c>
      <c r="X247" s="8" t="str">
        <f t="shared" si="54"/>
        <v>Tháng 3</v>
      </c>
      <c r="Y247" s="8" t="str">
        <f t="shared" si="55"/>
        <v>Biển Đông B</v>
      </c>
    </row>
    <row r="248" spans="1:25" x14ac:dyDescent="0.25">
      <c r="A248" s="1" t="s">
        <v>410</v>
      </c>
      <c r="B248" s="2" t="s">
        <v>23</v>
      </c>
      <c r="C248" s="2" t="s">
        <v>146</v>
      </c>
      <c r="D248" s="10">
        <f t="shared" ca="1" si="42"/>
        <v>52</v>
      </c>
      <c r="E248" s="2" t="s">
        <v>26</v>
      </c>
      <c r="F248" s="3">
        <v>158</v>
      </c>
      <c r="G248" s="3">
        <v>58</v>
      </c>
      <c r="H248" s="11">
        <f t="shared" si="43"/>
        <v>23.233456176894723</v>
      </c>
      <c r="I248" s="2">
        <v>65</v>
      </c>
      <c r="J248" s="3">
        <v>120</v>
      </c>
      <c r="K248" s="3">
        <v>80</v>
      </c>
      <c r="L248" s="10">
        <f t="shared" si="44"/>
        <v>0</v>
      </c>
      <c r="M248" s="10">
        <f t="shared" ca="1" si="45"/>
        <v>2</v>
      </c>
      <c r="N248" s="10">
        <f t="shared" si="46"/>
        <v>0</v>
      </c>
      <c r="O248" s="10">
        <f t="shared" si="47"/>
        <v>3</v>
      </c>
      <c r="P248" s="10">
        <f t="shared" si="48"/>
        <v>0</v>
      </c>
      <c r="Q248" s="10">
        <f t="shared" si="49"/>
        <v>0</v>
      </c>
      <c r="R248" s="10">
        <f t="shared" ca="1" si="50"/>
        <v>5</v>
      </c>
      <c r="S248" s="10" t="str">
        <f t="shared" ca="1" si="51"/>
        <v>Không cần</v>
      </c>
      <c r="T248" s="10" t="str">
        <f t="shared" ca="1" si="52"/>
        <v>Không</v>
      </c>
      <c r="U248" s="10" t="str">
        <f t="shared" si="53"/>
        <v>Không</v>
      </c>
      <c r="V248" s="2" t="s">
        <v>411</v>
      </c>
      <c r="W248" s="4">
        <v>46112</v>
      </c>
      <c r="X248" s="8" t="str">
        <f t="shared" si="54"/>
        <v>Tháng 3</v>
      </c>
      <c r="Y248" s="8" t="str">
        <f t="shared" si="55"/>
        <v>Ấp Hòa Thân</v>
      </c>
    </row>
    <row r="249" spans="1:25" x14ac:dyDescent="0.25">
      <c r="A249" s="1" t="s">
        <v>412</v>
      </c>
      <c r="B249" s="2" t="s">
        <v>30</v>
      </c>
      <c r="C249" s="2" t="s">
        <v>76</v>
      </c>
      <c r="D249" s="10">
        <f t="shared" ca="1" si="42"/>
        <v>68</v>
      </c>
      <c r="E249" s="2" t="s">
        <v>26</v>
      </c>
      <c r="F249" s="3">
        <v>158</v>
      </c>
      <c r="G249" s="3">
        <v>58</v>
      </c>
      <c r="H249" s="11">
        <f t="shared" si="43"/>
        <v>23.233456176894723</v>
      </c>
      <c r="I249" s="2">
        <v>89</v>
      </c>
      <c r="J249" s="3">
        <v>150</v>
      </c>
      <c r="K249" s="3">
        <v>80</v>
      </c>
      <c r="L249" s="10">
        <f t="shared" si="44"/>
        <v>2</v>
      </c>
      <c r="M249" s="10">
        <f t="shared" ca="1" si="45"/>
        <v>2</v>
      </c>
      <c r="N249" s="10">
        <f t="shared" si="46"/>
        <v>0</v>
      </c>
      <c r="O249" s="10">
        <f t="shared" si="47"/>
        <v>3</v>
      </c>
      <c r="P249" s="10">
        <f t="shared" si="48"/>
        <v>0</v>
      </c>
      <c r="Q249" s="10">
        <f t="shared" si="49"/>
        <v>2</v>
      </c>
      <c r="R249" s="10">
        <f t="shared" ca="1" si="50"/>
        <v>9</v>
      </c>
      <c r="S249" s="10" t="str">
        <f t="shared" ca="1" si="51"/>
        <v>Có</v>
      </c>
      <c r="T249" s="10" t="str">
        <f t="shared" ca="1" si="52"/>
        <v>Có</v>
      </c>
      <c r="U249" s="10" t="str">
        <f t="shared" si="53"/>
        <v>Có</v>
      </c>
      <c r="V249" s="2" t="s">
        <v>32</v>
      </c>
      <c r="W249" s="4">
        <v>46112</v>
      </c>
      <c r="X249" s="8" t="str">
        <f t="shared" si="54"/>
        <v>Tháng 3</v>
      </c>
      <c r="Y249" s="8" t="str">
        <f t="shared" si="55"/>
        <v>Ấp Giồng Giữa B</v>
      </c>
    </row>
    <row r="250" spans="1:25" x14ac:dyDescent="0.25">
      <c r="A250" s="1" t="s">
        <v>413</v>
      </c>
      <c r="B250" s="2" t="s">
        <v>23</v>
      </c>
      <c r="C250" s="2" t="s">
        <v>24</v>
      </c>
      <c r="D250" s="10">
        <f t="shared" ca="1" si="42"/>
        <v>83</v>
      </c>
      <c r="E250" s="2" t="s">
        <v>25</v>
      </c>
      <c r="F250" s="3">
        <v>155</v>
      </c>
      <c r="G250" s="3">
        <v>75</v>
      </c>
      <c r="H250" s="11">
        <f t="shared" si="43"/>
        <v>31.217481789802285</v>
      </c>
      <c r="I250" s="2">
        <v>84</v>
      </c>
      <c r="J250" s="3">
        <v>130</v>
      </c>
      <c r="K250" s="3">
        <v>80</v>
      </c>
      <c r="L250" s="10">
        <f t="shared" si="44"/>
        <v>0</v>
      </c>
      <c r="M250" s="10">
        <f t="shared" ca="1" si="45"/>
        <v>2</v>
      </c>
      <c r="N250" s="10">
        <f t="shared" si="46"/>
        <v>4</v>
      </c>
      <c r="O250" s="10">
        <f t="shared" si="47"/>
        <v>5</v>
      </c>
      <c r="P250" s="10">
        <f t="shared" si="48"/>
        <v>2</v>
      </c>
      <c r="Q250" s="10">
        <f t="shared" si="49"/>
        <v>0</v>
      </c>
      <c r="R250" s="10">
        <f t="shared" ca="1" si="50"/>
        <v>13</v>
      </c>
      <c r="S250" s="10" t="str">
        <f t="shared" ca="1" si="51"/>
        <v>Có</v>
      </c>
      <c r="T250" s="10" t="str">
        <f t="shared" ca="1" si="52"/>
        <v>Có</v>
      </c>
      <c r="U250" s="10" t="str">
        <f t="shared" si="53"/>
        <v>Không</v>
      </c>
      <c r="V250" s="2" t="s">
        <v>88</v>
      </c>
      <c r="W250" s="4">
        <v>46142</v>
      </c>
      <c r="X250" s="8" t="str">
        <f t="shared" si="54"/>
        <v>Tháng 4</v>
      </c>
      <c r="Y250" s="8" t="str">
        <f t="shared" si="55"/>
        <v>Giồng Giữa</v>
      </c>
    </row>
    <row r="251" spans="1:25" x14ac:dyDescent="0.25">
      <c r="A251" s="1" t="s">
        <v>414</v>
      </c>
      <c r="B251" s="2" t="s">
        <v>23</v>
      </c>
      <c r="C251" s="2" t="s">
        <v>138</v>
      </c>
      <c r="D251" s="10">
        <f t="shared" ca="1" si="42"/>
        <v>67</v>
      </c>
      <c r="E251" s="2" t="s">
        <v>25</v>
      </c>
      <c r="F251" s="3">
        <v>158</v>
      </c>
      <c r="G251" s="3">
        <v>58</v>
      </c>
      <c r="H251" s="11">
        <f t="shared" si="43"/>
        <v>23.233456176894723</v>
      </c>
      <c r="I251" s="2">
        <v>86</v>
      </c>
      <c r="J251" s="3">
        <v>150</v>
      </c>
      <c r="K251" s="3">
        <v>80</v>
      </c>
      <c r="L251" s="10">
        <f t="shared" si="44"/>
        <v>0</v>
      </c>
      <c r="M251" s="10">
        <f t="shared" ca="1" si="45"/>
        <v>2</v>
      </c>
      <c r="N251" s="10">
        <f t="shared" si="46"/>
        <v>4</v>
      </c>
      <c r="O251" s="10">
        <f t="shared" si="47"/>
        <v>3</v>
      </c>
      <c r="P251" s="10">
        <f t="shared" si="48"/>
        <v>2</v>
      </c>
      <c r="Q251" s="10">
        <f t="shared" si="49"/>
        <v>2</v>
      </c>
      <c r="R251" s="10">
        <f t="shared" ca="1" si="50"/>
        <v>13</v>
      </c>
      <c r="S251" s="10" t="str">
        <f t="shared" ca="1" si="51"/>
        <v>Có</v>
      </c>
      <c r="T251" s="10" t="str">
        <f t="shared" ca="1" si="52"/>
        <v>Có</v>
      </c>
      <c r="U251" s="10" t="str">
        <f t="shared" si="53"/>
        <v>Có</v>
      </c>
      <c r="V251" s="2" t="s">
        <v>218</v>
      </c>
      <c r="W251" s="4">
        <v>46112</v>
      </c>
      <c r="X251" s="8" t="str">
        <f t="shared" si="54"/>
        <v>Tháng 3</v>
      </c>
      <c r="Y251" s="8" t="str">
        <f t="shared" si="55"/>
        <v>Biển Đông B</v>
      </c>
    </row>
    <row r="252" spans="1:25" x14ac:dyDescent="0.25">
      <c r="A252" s="1" t="s">
        <v>415</v>
      </c>
      <c r="B252" s="2" t="s">
        <v>23</v>
      </c>
      <c r="C252" s="2" t="s">
        <v>59</v>
      </c>
      <c r="D252" s="10">
        <f t="shared" ca="1" si="42"/>
        <v>74</v>
      </c>
      <c r="E252" s="2" t="s">
        <v>25</v>
      </c>
      <c r="F252" s="3">
        <v>158</v>
      </c>
      <c r="G252" s="3">
        <v>58</v>
      </c>
      <c r="H252" s="11">
        <f t="shared" si="43"/>
        <v>23.233456176894723</v>
      </c>
      <c r="I252" s="2">
        <v>80</v>
      </c>
      <c r="J252" s="3">
        <v>140</v>
      </c>
      <c r="K252" s="3">
        <v>80</v>
      </c>
      <c r="L252" s="10">
        <f t="shared" si="44"/>
        <v>0</v>
      </c>
      <c r="M252" s="10">
        <f t="shared" ca="1" si="45"/>
        <v>2</v>
      </c>
      <c r="N252" s="10">
        <f t="shared" si="46"/>
        <v>4</v>
      </c>
      <c r="O252" s="10">
        <f t="shared" si="47"/>
        <v>3</v>
      </c>
      <c r="P252" s="10">
        <f t="shared" si="48"/>
        <v>2</v>
      </c>
      <c r="Q252" s="10">
        <f t="shared" si="49"/>
        <v>2</v>
      </c>
      <c r="R252" s="10">
        <f t="shared" ca="1" si="50"/>
        <v>13</v>
      </c>
      <c r="S252" s="10" t="str">
        <f t="shared" ca="1" si="51"/>
        <v>Có</v>
      </c>
      <c r="T252" s="10" t="str">
        <f t="shared" ca="1" si="52"/>
        <v>Có</v>
      </c>
      <c r="U252" s="10" t="str">
        <f t="shared" si="53"/>
        <v>Có</v>
      </c>
      <c r="V252" s="2" t="s">
        <v>28</v>
      </c>
      <c r="W252" s="4">
        <v>46142</v>
      </c>
      <c r="X252" s="8" t="str">
        <f t="shared" si="54"/>
        <v>Tháng 4</v>
      </c>
      <c r="Y252" s="8" t="str">
        <f t="shared" si="55"/>
        <v>Ấp Biển Đông A</v>
      </c>
    </row>
    <row r="253" spans="1:25" x14ac:dyDescent="0.25">
      <c r="A253" s="1" t="s">
        <v>416</v>
      </c>
      <c r="B253" s="2" t="s">
        <v>23</v>
      </c>
      <c r="C253" s="2" t="s">
        <v>110</v>
      </c>
      <c r="D253" s="10">
        <f t="shared" ca="1" si="42"/>
        <v>62</v>
      </c>
      <c r="E253" s="2" t="s">
        <v>26</v>
      </c>
      <c r="F253" s="3">
        <v>158</v>
      </c>
      <c r="G253" s="3">
        <v>58</v>
      </c>
      <c r="H253" s="11">
        <f t="shared" si="43"/>
        <v>23.233456176894723</v>
      </c>
      <c r="I253" s="2">
        <v>72</v>
      </c>
      <c r="J253" s="3">
        <v>160</v>
      </c>
      <c r="K253" s="3">
        <v>80</v>
      </c>
      <c r="L253" s="10">
        <f t="shared" si="44"/>
        <v>0</v>
      </c>
      <c r="M253" s="10">
        <f t="shared" ca="1" si="45"/>
        <v>2</v>
      </c>
      <c r="N253" s="10">
        <f t="shared" si="46"/>
        <v>0</v>
      </c>
      <c r="O253" s="10">
        <f t="shared" si="47"/>
        <v>3</v>
      </c>
      <c r="P253" s="10">
        <f t="shared" si="48"/>
        <v>0</v>
      </c>
      <c r="Q253" s="10">
        <f t="shared" si="49"/>
        <v>2</v>
      </c>
      <c r="R253" s="10">
        <f t="shared" ca="1" si="50"/>
        <v>7</v>
      </c>
      <c r="S253" s="10" t="str">
        <f t="shared" ca="1" si="51"/>
        <v>Có</v>
      </c>
      <c r="T253" s="10" t="str">
        <f t="shared" ca="1" si="52"/>
        <v>Có</v>
      </c>
      <c r="U253" s="10" t="str">
        <f t="shared" si="53"/>
        <v>Có</v>
      </c>
      <c r="V253" s="2" t="s">
        <v>51</v>
      </c>
      <c r="W253" s="4">
        <v>46112</v>
      </c>
      <c r="X253" s="8" t="str">
        <f t="shared" si="54"/>
        <v>Tháng 3</v>
      </c>
      <c r="Y253" s="8" t="str">
        <f t="shared" si="55"/>
        <v>Phường Hiệp Thành</v>
      </c>
    </row>
    <row r="254" spans="1:25" x14ac:dyDescent="0.25">
      <c r="A254" s="1" t="s">
        <v>417</v>
      </c>
      <c r="B254" s="2" t="s">
        <v>23</v>
      </c>
      <c r="C254" s="2" t="s">
        <v>300</v>
      </c>
      <c r="D254" s="10">
        <f t="shared" ca="1" si="42"/>
        <v>80</v>
      </c>
      <c r="E254" s="2" t="s">
        <v>26</v>
      </c>
      <c r="F254" s="3">
        <v>158</v>
      </c>
      <c r="G254" s="3">
        <v>58</v>
      </c>
      <c r="H254" s="11">
        <f t="shared" si="43"/>
        <v>23.233456176894723</v>
      </c>
      <c r="I254" s="2">
        <v>79</v>
      </c>
      <c r="J254" s="3">
        <v>120</v>
      </c>
      <c r="K254" s="3">
        <v>80</v>
      </c>
      <c r="L254" s="10">
        <f t="shared" si="44"/>
        <v>0</v>
      </c>
      <c r="M254" s="10">
        <f t="shared" ca="1" si="45"/>
        <v>2</v>
      </c>
      <c r="N254" s="10">
        <f t="shared" si="46"/>
        <v>0</v>
      </c>
      <c r="O254" s="10">
        <f t="shared" si="47"/>
        <v>3</v>
      </c>
      <c r="P254" s="10">
        <f t="shared" si="48"/>
        <v>0</v>
      </c>
      <c r="Q254" s="10">
        <f t="shared" si="49"/>
        <v>0</v>
      </c>
      <c r="R254" s="10">
        <f t="shared" ca="1" si="50"/>
        <v>5</v>
      </c>
      <c r="S254" s="10" t="str">
        <f t="shared" ca="1" si="51"/>
        <v>Không cần</v>
      </c>
      <c r="T254" s="10" t="str">
        <f t="shared" ca="1" si="52"/>
        <v>Không</v>
      </c>
      <c r="U254" s="10" t="str">
        <f t="shared" si="53"/>
        <v>Không</v>
      </c>
      <c r="V254" s="2" t="s">
        <v>32</v>
      </c>
      <c r="W254" s="4">
        <v>46142</v>
      </c>
      <c r="X254" s="8" t="str">
        <f t="shared" si="54"/>
        <v>Tháng 4</v>
      </c>
      <c r="Y254" s="8" t="str">
        <f t="shared" si="55"/>
        <v>Ấp Giồng Giữa B</v>
      </c>
    </row>
    <row r="255" spans="1:25" x14ac:dyDescent="0.25">
      <c r="A255" s="1" t="s">
        <v>418</v>
      </c>
      <c r="B255" s="2" t="s">
        <v>30</v>
      </c>
      <c r="C255" s="2" t="s">
        <v>47</v>
      </c>
      <c r="D255" s="10">
        <f t="shared" ca="1" si="42"/>
        <v>55</v>
      </c>
      <c r="E255" s="2" t="s">
        <v>26</v>
      </c>
      <c r="F255" s="3">
        <v>169</v>
      </c>
      <c r="G255" s="3">
        <v>68</v>
      </c>
      <c r="H255" s="11">
        <f t="shared" si="43"/>
        <v>23.808690171912751</v>
      </c>
      <c r="I255" s="2">
        <v>95</v>
      </c>
      <c r="J255" s="3">
        <v>150</v>
      </c>
      <c r="K255" s="3">
        <v>80</v>
      </c>
      <c r="L255" s="10">
        <f t="shared" si="44"/>
        <v>2</v>
      </c>
      <c r="M255" s="10">
        <f t="shared" ca="1" si="45"/>
        <v>2</v>
      </c>
      <c r="N255" s="10">
        <f t="shared" si="46"/>
        <v>0</v>
      </c>
      <c r="O255" s="10">
        <f t="shared" si="47"/>
        <v>3</v>
      </c>
      <c r="P255" s="10">
        <f t="shared" si="48"/>
        <v>2</v>
      </c>
      <c r="Q255" s="10">
        <f t="shared" si="49"/>
        <v>2</v>
      </c>
      <c r="R255" s="10">
        <f t="shared" ca="1" si="50"/>
        <v>11</v>
      </c>
      <c r="S255" s="10" t="str">
        <f t="shared" ca="1" si="51"/>
        <v>Có</v>
      </c>
      <c r="T255" s="10" t="str">
        <f t="shared" ca="1" si="52"/>
        <v>Có</v>
      </c>
      <c r="U255" s="10" t="str">
        <f t="shared" si="53"/>
        <v>Có</v>
      </c>
      <c r="V255" s="2" t="s">
        <v>51</v>
      </c>
      <c r="W255" s="4">
        <v>46142</v>
      </c>
      <c r="X255" s="8" t="str">
        <f t="shared" si="54"/>
        <v>Tháng 4</v>
      </c>
      <c r="Y255" s="8" t="str">
        <f t="shared" si="55"/>
        <v>Phường Hiệp Thành</v>
      </c>
    </row>
    <row r="256" spans="1:25" x14ac:dyDescent="0.25">
      <c r="A256" s="1" t="s">
        <v>419</v>
      </c>
      <c r="B256" s="2" t="s">
        <v>30</v>
      </c>
      <c r="C256" s="2" t="s">
        <v>62</v>
      </c>
      <c r="D256" s="10">
        <f t="shared" ca="1" si="42"/>
        <v>64</v>
      </c>
      <c r="E256" s="2" t="s">
        <v>26</v>
      </c>
      <c r="F256" s="3">
        <v>165</v>
      </c>
      <c r="G256" s="3">
        <v>76</v>
      </c>
      <c r="H256" s="11">
        <f t="shared" si="43"/>
        <v>27.915518824609737</v>
      </c>
      <c r="I256" s="2">
        <v>75</v>
      </c>
      <c r="J256" s="3">
        <v>120</v>
      </c>
      <c r="K256" s="3">
        <v>80</v>
      </c>
      <c r="L256" s="10">
        <f t="shared" si="44"/>
        <v>2</v>
      </c>
      <c r="M256" s="10">
        <f t="shared" ca="1" si="45"/>
        <v>2</v>
      </c>
      <c r="N256" s="10">
        <f t="shared" si="46"/>
        <v>0</v>
      </c>
      <c r="O256" s="10">
        <f t="shared" si="47"/>
        <v>5</v>
      </c>
      <c r="P256" s="10">
        <f t="shared" si="48"/>
        <v>0</v>
      </c>
      <c r="Q256" s="10">
        <f t="shared" si="49"/>
        <v>0</v>
      </c>
      <c r="R256" s="10">
        <f t="shared" ca="1" si="50"/>
        <v>9</v>
      </c>
      <c r="S256" s="10" t="str">
        <f t="shared" ca="1" si="51"/>
        <v>Có</v>
      </c>
      <c r="T256" s="10" t="str">
        <f t="shared" ca="1" si="52"/>
        <v>Có</v>
      </c>
      <c r="U256" s="10" t="str">
        <f t="shared" si="53"/>
        <v>Không</v>
      </c>
      <c r="V256" s="2" t="s">
        <v>51</v>
      </c>
      <c r="W256" s="4">
        <v>46112</v>
      </c>
      <c r="X256" s="8" t="str">
        <f t="shared" si="54"/>
        <v>Tháng 3</v>
      </c>
      <c r="Y256" s="8" t="str">
        <f t="shared" si="55"/>
        <v>Phường Hiệp Thành</v>
      </c>
    </row>
    <row r="257" spans="1:25" x14ac:dyDescent="0.25">
      <c r="A257" s="1" t="s">
        <v>420</v>
      </c>
      <c r="B257" s="2" t="s">
        <v>30</v>
      </c>
      <c r="C257" s="2" t="s">
        <v>31</v>
      </c>
      <c r="D257" s="10">
        <f t="shared" ca="1" si="42"/>
        <v>79</v>
      </c>
      <c r="E257" s="2" t="s">
        <v>26</v>
      </c>
      <c r="F257" s="3">
        <v>169</v>
      </c>
      <c r="G257" s="3">
        <v>69</v>
      </c>
      <c r="H257" s="11">
        <f t="shared" si="43"/>
        <v>24.158817968558527</v>
      </c>
      <c r="I257" s="2">
        <v>79</v>
      </c>
      <c r="J257" s="3">
        <v>120</v>
      </c>
      <c r="K257" s="3">
        <v>80</v>
      </c>
      <c r="L257" s="10">
        <f t="shared" si="44"/>
        <v>2</v>
      </c>
      <c r="M257" s="10">
        <f t="shared" ca="1" si="45"/>
        <v>2</v>
      </c>
      <c r="N257" s="10">
        <f t="shared" si="46"/>
        <v>0</v>
      </c>
      <c r="O257" s="10">
        <f t="shared" si="47"/>
        <v>3</v>
      </c>
      <c r="P257" s="10">
        <f t="shared" si="48"/>
        <v>0</v>
      </c>
      <c r="Q257" s="10">
        <f t="shared" si="49"/>
        <v>0</v>
      </c>
      <c r="R257" s="10">
        <f t="shared" ca="1" si="50"/>
        <v>7</v>
      </c>
      <c r="S257" s="10" t="str">
        <f t="shared" ca="1" si="51"/>
        <v>Có</v>
      </c>
      <c r="T257" s="10" t="str">
        <f t="shared" ca="1" si="52"/>
        <v>Có</v>
      </c>
      <c r="U257" s="10" t="str">
        <f t="shared" si="53"/>
        <v>Không</v>
      </c>
      <c r="V257" s="2" t="s">
        <v>421</v>
      </c>
      <c r="W257" s="4">
        <v>46112</v>
      </c>
      <c r="X257" s="8" t="str">
        <f t="shared" si="54"/>
        <v>Tháng 3</v>
      </c>
      <c r="Y257" s="8" t="str">
        <f t="shared" si="55"/>
        <v>Khóm Biển Tây A</v>
      </c>
    </row>
    <row r="258" spans="1:25" x14ac:dyDescent="0.25">
      <c r="A258" s="1" t="s">
        <v>422</v>
      </c>
      <c r="B258" s="2" t="s">
        <v>30</v>
      </c>
      <c r="C258" s="2" t="s">
        <v>105</v>
      </c>
      <c r="D258" s="10">
        <f t="shared" ca="1" si="42"/>
        <v>60</v>
      </c>
      <c r="E258" s="2" t="s">
        <v>26</v>
      </c>
      <c r="F258" s="3">
        <v>169</v>
      </c>
      <c r="G258" s="3">
        <v>68</v>
      </c>
      <c r="H258" s="11">
        <f t="shared" si="43"/>
        <v>23.808690171912751</v>
      </c>
      <c r="I258" s="2">
        <v>97</v>
      </c>
      <c r="J258" s="3">
        <v>140</v>
      </c>
      <c r="K258" s="3">
        <v>80</v>
      </c>
      <c r="L258" s="10">
        <f t="shared" si="44"/>
        <v>2</v>
      </c>
      <c r="M258" s="10">
        <f t="shared" ca="1" si="45"/>
        <v>2</v>
      </c>
      <c r="N258" s="10">
        <f t="shared" si="46"/>
        <v>0</v>
      </c>
      <c r="O258" s="10">
        <f t="shared" si="47"/>
        <v>3</v>
      </c>
      <c r="P258" s="10">
        <f t="shared" si="48"/>
        <v>2</v>
      </c>
      <c r="Q258" s="10">
        <f t="shared" si="49"/>
        <v>2</v>
      </c>
      <c r="R258" s="10">
        <f t="shared" ca="1" si="50"/>
        <v>11</v>
      </c>
      <c r="S258" s="10" t="str">
        <f t="shared" ca="1" si="51"/>
        <v>Có</v>
      </c>
      <c r="T258" s="10" t="str">
        <f t="shared" ca="1" si="52"/>
        <v>Có</v>
      </c>
      <c r="U258" s="10" t="str">
        <f t="shared" si="53"/>
        <v>Có</v>
      </c>
      <c r="V258" s="2" t="s">
        <v>51</v>
      </c>
      <c r="W258" s="4">
        <v>46112</v>
      </c>
      <c r="X258" s="8" t="str">
        <f t="shared" si="54"/>
        <v>Tháng 3</v>
      </c>
      <c r="Y258" s="8" t="str">
        <f t="shared" si="55"/>
        <v>Phường Hiệp Thành</v>
      </c>
    </row>
    <row r="259" spans="1:25" x14ac:dyDescent="0.25">
      <c r="A259" s="1" t="s">
        <v>423</v>
      </c>
      <c r="B259" s="2" t="s">
        <v>23</v>
      </c>
      <c r="C259" s="2" t="s">
        <v>268</v>
      </c>
      <c r="D259" s="10">
        <f t="shared" ref="D259:D322" ca="1" si="56">DATEDIF(C259,TODAY(),"Y")</f>
        <v>44</v>
      </c>
      <c r="E259" s="2" t="s">
        <v>26</v>
      </c>
      <c r="F259" s="3">
        <v>158</v>
      </c>
      <c r="G259" s="3">
        <v>58</v>
      </c>
      <c r="H259" s="11">
        <f t="shared" ref="H259:H322" si="57">G259/((F259/100)*(F259/100))</f>
        <v>23.233456176894723</v>
      </c>
      <c r="I259" s="2">
        <v>88</v>
      </c>
      <c r="J259" s="3">
        <v>120</v>
      </c>
      <c r="K259" s="3">
        <v>80</v>
      </c>
      <c r="L259" s="10">
        <f t="shared" ref="L259:L322" si="58">IF(B259="Nữ",0,2)</f>
        <v>0</v>
      </c>
      <c r="M259" s="10">
        <f t="shared" ref="M259:M322" ca="1" si="59">IF(D259&lt;45,0,IF(D259&lt;=49,1,2))</f>
        <v>0</v>
      </c>
      <c r="N259" s="10">
        <f t="shared" ref="N259:N322" si="60">IF(E259="Có",4,0)</f>
        <v>0</v>
      </c>
      <c r="O259" s="10">
        <f t="shared" ref="O259:O322" si="61">IF(H259&lt;23,0,IF(H259&lt;27.5,3,5))</f>
        <v>3</v>
      </c>
      <c r="P259" s="10">
        <f t="shared" ref="P259:P322" si="62">IF(OR(AND(B259="Nam",I259&gt;=90),AND(B259="Nữ",I259&gt;=80)),2,0)</f>
        <v>2</v>
      </c>
      <c r="Q259" s="10">
        <f t="shared" ref="Q259:Q322" si="63">IF(OR(J259&gt;=140,K259&gt;=90),2,0)</f>
        <v>0</v>
      </c>
      <c r="R259" s="10">
        <f t="shared" ref="R259:R322" ca="1" si="64">SUM(L259:Q259)</f>
        <v>5</v>
      </c>
      <c r="S259" s="10" t="str">
        <f t="shared" ref="S259:S322" ca="1" si="65">IF((R259)&gt;=6,"Có","Không cần")</f>
        <v>Không cần</v>
      </c>
      <c r="T259" s="10" t="str">
        <f t="shared" ref="T259:T322" ca="1" si="66">IF((R259)&gt;=6,"Có","Không")</f>
        <v>Không</v>
      </c>
      <c r="U259" s="10" t="str">
        <f t="shared" ref="U259:U322" si="67">IF(OR(J259&gt;=140,K259&gt;=90),"Có","Không")</f>
        <v>Không</v>
      </c>
      <c r="V259" s="2" t="s">
        <v>51</v>
      </c>
      <c r="W259" s="4">
        <v>46112</v>
      </c>
      <c r="X259" s="8" t="str">
        <f t="shared" ref="X259:X322" si="68">"Tháng "&amp;MONTH(W259)</f>
        <v>Tháng 3</v>
      </c>
      <c r="Y259" s="8" t="str">
        <f t="shared" ref="Y259:Y322" si="69">LEFT(V259,FIND(",",V259)-1)</f>
        <v>Phường Hiệp Thành</v>
      </c>
    </row>
    <row r="260" spans="1:25" x14ac:dyDescent="0.25">
      <c r="A260" s="1" t="s">
        <v>424</v>
      </c>
      <c r="B260" s="2" t="s">
        <v>23</v>
      </c>
      <c r="C260" s="2" t="s">
        <v>90</v>
      </c>
      <c r="D260" s="10">
        <f t="shared" ca="1" si="56"/>
        <v>54</v>
      </c>
      <c r="E260" s="2" t="s">
        <v>25</v>
      </c>
      <c r="F260" s="3">
        <v>158</v>
      </c>
      <c r="G260" s="3">
        <v>57</v>
      </c>
      <c r="H260" s="11">
        <f t="shared" si="57"/>
        <v>22.832879346258608</v>
      </c>
      <c r="I260" s="2">
        <v>82</v>
      </c>
      <c r="J260" s="3">
        <v>120</v>
      </c>
      <c r="K260" s="3">
        <v>70</v>
      </c>
      <c r="L260" s="10">
        <f t="shared" si="58"/>
        <v>0</v>
      </c>
      <c r="M260" s="10">
        <f t="shared" ca="1" si="59"/>
        <v>2</v>
      </c>
      <c r="N260" s="10">
        <f t="shared" si="60"/>
        <v>4</v>
      </c>
      <c r="O260" s="10">
        <f t="shared" si="61"/>
        <v>0</v>
      </c>
      <c r="P260" s="10">
        <f t="shared" si="62"/>
        <v>2</v>
      </c>
      <c r="Q260" s="10">
        <f t="shared" si="63"/>
        <v>0</v>
      </c>
      <c r="R260" s="10">
        <f t="shared" ca="1" si="64"/>
        <v>8</v>
      </c>
      <c r="S260" s="10" t="str">
        <f t="shared" ca="1" si="65"/>
        <v>Có</v>
      </c>
      <c r="T260" s="10" t="str">
        <f t="shared" ca="1" si="66"/>
        <v>Có</v>
      </c>
      <c r="U260" s="10" t="str">
        <f t="shared" si="67"/>
        <v>Không</v>
      </c>
      <c r="V260" s="2" t="s">
        <v>51</v>
      </c>
      <c r="W260" s="4">
        <v>46112</v>
      </c>
      <c r="X260" s="8" t="str">
        <f t="shared" si="68"/>
        <v>Tháng 3</v>
      </c>
      <c r="Y260" s="8" t="str">
        <f t="shared" si="69"/>
        <v>Phường Hiệp Thành</v>
      </c>
    </row>
    <row r="261" spans="1:25" x14ac:dyDescent="0.25">
      <c r="A261" s="1" t="s">
        <v>425</v>
      </c>
      <c r="B261" s="2" t="s">
        <v>23</v>
      </c>
      <c r="C261" s="2" t="s">
        <v>53</v>
      </c>
      <c r="D261" s="10">
        <f t="shared" ca="1" si="56"/>
        <v>72</v>
      </c>
      <c r="E261" s="2" t="s">
        <v>26</v>
      </c>
      <c r="F261" s="3">
        <v>167</v>
      </c>
      <c r="G261" s="3">
        <v>54</v>
      </c>
      <c r="H261" s="11">
        <f t="shared" si="57"/>
        <v>19.362472659471475</v>
      </c>
      <c r="I261" s="2">
        <v>73</v>
      </c>
      <c r="J261" s="3">
        <v>120</v>
      </c>
      <c r="K261" s="3">
        <v>70</v>
      </c>
      <c r="L261" s="10">
        <f t="shared" si="58"/>
        <v>0</v>
      </c>
      <c r="M261" s="10">
        <f t="shared" ca="1" si="59"/>
        <v>2</v>
      </c>
      <c r="N261" s="10">
        <f t="shared" si="60"/>
        <v>0</v>
      </c>
      <c r="O261" s="10">
        <f t="shared" si="61"/>
        <v>0</v>
      </c>
      <c r="P261" s="10">
        <f t="shared" si="62"/>
        <v>0</v>
      </c>
      <c r="Q261" s="10">
        <f t="shared" si="63"/>
        <v>0</v>
      </c>
      <c r="R261" s="10">
        <f t="shared" ca="1" si="64"/>
        <v>2</v>
      </c>
      <c r="S261" s="10" t="str">
        <f t="shared" ca="1" si="65"/>
        <v>Không cần</v>
      </c>
      <c r="T261" s="10" t="str">
        <f t="shared" ca="1" si="66"/>
        <v>Không</v>
      </c>
      <c r="U261" s="10" t="str">
        <f t="shared" si="67"/>
        <v>Không</v>
      </c>
      <c r="V261" s="2" t="s">
        <v>160</v>
      </c>
      <c r="W261" s="4">
        <v>46142</v>
      </c>
      <c r="X261" s="8" t="str">
        <f t="shared" si="68"/>
        <v>Tháng 4</v>
      </c>
      <c r="Y261" s="8" t="str">
        <f t="shared" si="69"/>
        <v>Ấp Giồng Nhãn</v>
      </c>
    </row>
    <row r="262" spans="1:25" x14ac:dyDescent="0.25">
      <c r="A262" s="1" t="s">
        <v>426</v>
      </c>
      <c r="B262" s="2" t="s">
        <v>30</v>
      </c>
      <c r="C262" s="2" t="s">
        <v>188</v>
      </c>
      <c r="D262" s="10">
        <f t="shared" ca="1" si="56"/>
        <v>63</v>
      </c>
      <c r="E262" s="2" t="s">
        <v>26</v>
      </c>
      <c r="F262" s="3">
        <v>160</v>
      </c>
      <c r="G262" s="3">
        <v>72</v>
      </c>
      <c r="H262" s="11">
        <f t="shared" si="57"/>
        <v>28.124999999999993</v>
      </c>
      <c r="I262" s="2">
        <v>98</v>
      </c>
      <c r="J262" s="3">
        <v>160</v>
      </c>
      <c r="K262" s="3">
        <v>80</v>
      </c>
      <c r="L262" s="10">
        <f t="shared" si="58"/>
        <v>2</v>
      </c>
      <c r="M262" s="10">
        <f t="shared" ca="1" si="59"/>
        <v>2</v>
      </c>
      <c r="N262" s="10">
        <f t="shared" si="60"/>
        <v>0</v>
      </c>
      <c r="O262" s="10">
        <f t="shared" si="61"/>
        <v>5</v>
      </c>
      <c r="P262" s="10">
        <f t="shared" si="62"/>
        <v>2</v>
      </c>
      <c r="Q262" s="10">
        <f t="shared" si="63"/>
        <v>2</v>
      </c>
      <c r="R262" s="10">
        <f t="shared" ca="1" si="64"/>
        <v>13</v>
      </c>
      <c r="S262" s="10" t="str">
        <f t="shared" ca="1" si="65"/>
        <v>Có</v>
      </c>
      <c r="T262" s="10" t="str">
        <f t="shared" ca="1" si="66"/>
        <v>Có</v>
      </c>
      <c r="U262" s="10" t="str">
        <f t="shared" si="67"/>
        <v>Có</v>
      </c>
      <c r="V262" s="2" t="s">
        <v>51</v>
      </c>
      <c r="W262" s="4">
        <v>46142</v>
      </c>
      <c r="X262" s="8" t="str">
        <f t="shared" si="68"/>
        <v>Tháng 4</v>
      </c>
      <c r="Y262" s="8" t="str">
        <f t="shared" si="69"/>
        <v>Phường Hiệp Thành</v>
      </c>
    </row>
    <row r="263" spans="1:25" x14ac:dyDescent="0.25">
      <c r="A263" s="1" t="s">
        <v>427</v>
      </c>
      <c r="B263" s="2" t="s">
        <v>23</v>
      </c>
      <c r="C263" s="2" t="s">
        <v>93</v>
      </c>
      <c r="D263" s="10">
        <f t="shared" ca="1" si="56"/>
        <v>66</v>
      </c>
      <c r="E263" s="2" t="s">
        <v>26</v>
      </c>
      <c r="F263" s="3">
        <v>158</v>
      </c>
      <c r="G263" s="3">
        <v>58</v>
      </c>
      <c r="H263" s="11">
        <f t="shared" si="57"/>
        <v>23.233456176894723</v>
      </c>
      <c r="I263" s="2">
        <v>65</v>
      </c>
      <c r="J263" s="3">
        <v>130</v>
      </c>
      <c r="K263" s="3">
        <v>80</v>
      </c>
      <c r="L263" s="10">
        <f t="shared" si="58"/>
        <v>0</v>
      </c>
      <c r="M263" s="10">
        <f t="shared" ca="1" si="59"/>
        <v>2</v>
      </c>
      <c r="N263" s="10">
        <f t="shared" si="60"/>
        <v>0</v>
      </c>
      <c r="O263" s="10">
        <f t="shared" si="61"/>
        <v>3</v>
      </c>
      <c r="P263" s="10">
        <f t="shared" si="62"/>
        <v>0</v>
      </c>
      <c r="Q263" s="10">
        <f t="shared" si="63"/>
        <v>0</v>
      </c>
      <c r="R263" s="10">
        <f t="shared" ca="1" si="64"/>
        <v>5</v>
      </c>
      <c r="S263" s="10" t="str">
        <f t="shared" ca="1" si="65"/>
        <v>Không cần</v>
      </c>
      <c r="T263" s="10" t="str">
        <f t="shared" ca="1" si="66"/>
        <v>Không</v>
      </c>
      <c r="U263" s="10" t="str">
        <f t="shared" si="67"/>
        <v>Không</v>
      </c>
      <c r="V263" s="2" t="s">
        <v>266</v>
      </c>
      <c r="W263" s="4">
        <v>46053</v>
      </c>
      <c r="X263" s="8" t="str">
        <f t="shared" si="68"/>
        <v>Tháng 1</v>
      </c>
      <c r="Y263" s="8" t="str">
        <f t="shared" si="69"/>
        <v>ấp Biển Tây A</v>
      </c>
    </row>
    <row r="264" spans="1:25" x14ac:dyDescent="0.25">
      <c r="A264" s="1" t="s">
        <v>428</v>
      </c>
      <c r="B264" s="2" t="s">
        <v>30</v>
      </c>
      <c r="C264" s="2" t="s">
        <v>31</v>
      </c>
      <c r="D264" s="10">
        <f t="shared" ca="1" si="56"/>
        <v>79</v>
      </c>
      <c r="E264" s="2" t="s">
        <v>25</v>
      </c>
      <c r="F264" s="3">
        <v>169</v>
      </c>
      <c r="G264" s="3">
        <v>68</v>
      </c>
      <c r="H264" s="11">
        <f t="shared" si="57"/>
        <v>23.808690171912751</v>
      </c>
      <c r="I264" s="2">
        <v>94</v>
      </c>
      <c r="J264" s="3">
        <v>140</v>
      </c>
      <c r="K264" s="3">
        <v>80</v>
      </c>
      <c r="L264" s="10">
        <f t="shared" si="58"/>
        <v>2</v>
      </c>
      <c r="M264" s="10">
        <f t="shared" ca="1" si="59"/>
        <v>2</v>
      </c>
      <c r="N264" s="10">
        <f t="shared" si="60"/>
        <v>4</v>
      </c>
      <c r="O264" s="10">
        <f t="shared" si="61"/>
        <v>3</v>
      </c>
      <c r="P264" s="10">
        <f t="shared" si="62"/>
        <v>2</v>
      </c>
      <c r="Q264" s="10">
        <f t="shared" si="63"/>
        <v>2</v>
      </c>
      <c r="R264" s="10">
        <f t="shared" ca="1" si="64"/>
        <v>15</v>
      </c>
      <c r="S264" s="10" t="str">
        <f t="shared" ca="1" si="65"/>
        <v>Có</v>
      </c>
      <c r="T264" s="10" t="str">
        <f t="shared" ca="1" si="66"/>
        <v>Có</v>
      </c>
      <c r="U264" s="10" t="str">
        <f t="shared" si="67"/>
        <v>Có</v>
      </c>
      <c r="V264" s="2" t="s">
        <v>32</v>
      </c>
      <c r="W264" s="4">
        <v>46142</v>
      </c>
      <c r="X264" s="8" t="str">
        <f t="shared" si="68"/>
        <v>Tháng 4</v>
      </c>
      <c r="Y264" s="8" t="str">
        <f t="shared" si="69"/>
        <v>Ấp Giồng Giữa B</v>
      </c>
    </row>
    <row r="265" spans="1:25" x14ac:dyDescent="0.25">
      <c r="A265" s="1" t="s">
        <v>429</v>
      </c>
      <c r="B265" s="2" t="s">
        <v>30</v>
      </c>
      <c r="C265" s="2" t="s">
        <v>42</v>
      </c>
      <c r="D265" s="10">
        <f t="shared" ca="1" si="56"/>
        <v>59</v>
      </c>
      <c r="E265" s="2" t="s">
        <v>26</v>
      </c>
      <c r="F265" s="3">
        <v>169</v>
      </c>
      <c r="G265" s="3">
        <v>69</v>
      </c>
      <c r="H265" s="11">
        <f t="shared" si="57"/>
        <v>24.158817968558527</v>
      </c>
      <c r="I265" s="2">
        <v>84</v>
      </c>
      <c r="J265" s="3">
        <v>130</v>
      </c>
      <c r="K265" s="3">
        <v>80</v>
      </c>
      <c r="L265" s="10">
        <f t="shared" si="58"/>
        <v>2</v>
      </c>
      <c r="M265" s="10">
        <f t="shared" ca="1" si="59"/>
        <v>2</v>
      </c>
      <c r="N265" s="10">
        <f t="shared" si="60"/>
        <v>0</v>
      </c>
      <c r="O265" s="10">
        <f t="shared" si="61"/>
        <v>3</v>
      </c>
      <c r="P265" s="10">
        <f t="shared" si="62"/>
        <v>0</v>
      </c>
      <c r="Q265" s="10">
        <f t="shared" si="63"/>
        <v>0</v>
      </c>
      <c r="R265" s="10">
        <f t="shared" ca="1" si="64"/>
        <v>7</v>
      </c>
      <c r="S265" s="10" t="str">
        <f t="shared" ca="1" si="65"/>
        <v>Có</v>
      </c>
      <c r="T265" s="10" t="str">
        <f t="shared" ca="1" si="66"/>
        <v>Có</v>
      </c>
      <c r="U265" s="10" t="str">
        <f t="shared" si="67"/>
        <v>Không</v>
      </c>
      <c r="V265" s="2" t="s">
        <v>164</v>
      </c>
      <c r="W265" s="4">
        <v>46053</v>
      </c>
      <c r="X265" s="8" t="str">
        <f t="shared" si="68"/>
        <v>Tháng 1</v>
      </c>
      <c r="Y265" s="8" t="str">
        <f t="shared" si="69"/>
        <v>ấp Biển Đông B</v>
      </c>
    </row>
    <row r="266" spans="1:25" x14ac:dyDescent="0.25">
      <c r="A266" s="1" t="s">
        <v>430</v>
      </c>
      <c r="B266" s="2" t="s">
        <v>30</v>
      </c>
      <c r="C266" s="2" t="s">
        <v>82</v>
      </c>
      <c r="D266" s="10">
        <f t="shared" ca="1" si="56"/>
        <v>73</v>
      </c>
      <c r="E266" s="2" t="s">
        <v>26</v>
      </c>
      <c r="F266" s="3">
        <v>169</v>
      </c>
      <c r="G266" s="3">
        <v>68</v>
      </c>
      <c r="H266" s="11">
        <f t="shared" si="57"/>
        <v>23.808690171912751</v>
      </c>
      <c r="I266" s="2">
        <v>84</v>
      </c>
      <c r="J266" s="3">
        <v>150</v>
      </c>
      <c r="K266" s="3">
        <v>80</v>
      </c>
      <c r="L266" s="10">
        <f t="shared" si="58"/>
        <v>2</v>
      </c>
      <c r="M266" s="10">
        <f t="shared" ca="1" si="59"/>
        <v>2</v>
      </c>
      <c r="N266" s="10">
        <f t="shared" si="60"/>
        <v>0</v>
      </c>
      <c r="O266" s="10">
        <f t="shared" si="61"/>
        <v>3</v>
      </c>
      <c r="P266" s="10">
        <f t="shared" si="62"/>
        <v>0</v>
      </c>
      <c r="Q266" s="10">
        <f t="shared" si="63"/>
        <v>2</v>
      </c>
      <c r="R266" s="10">
        <f t="shared" ca="1" si="64"/>
        <v>9</v>
      </c>
      <c r="S266" s="10" t="str">
        <f t="shared" ca="1" si="65"/>
        <v>Có</v>
      </c>
      <c r="T266" s="10" t="str">
        <f t="shared" ca="1" si="66"/>
        <v>Có</v>
      </c>
      <c r="U266" s="10" t="str">
        <f t="shared" si="67"/>
        <v>Có</v>
      </c>
      <c r="V266" s="2" t="s">
        <v>48</v>
      </c>
      <c r="W266" s="4">
        <v>46142</v>
      </c>
      <c r="X266" s="8" t="str">
        <f t="shared" si="68"/>
        <v>Tháng 4</v>
      </c>
      <c r="Y266" s="8" t="str">
        <f t="shared" si="69"/>
        <v>ấp Giồng Giữa A</v>
      </c>
    </row>
    <row r="267" spans="1:25" x14ac:dyDescent="0.25">
      <c r="A267" s="1" t="s">
        <v>431</v>
      </c>
      <c r="B267" s="2" t="s">
        <v>23</v>
      </c>
      <c r="C267" s="2" t="s">
        <v>93</v>
      </c>
      <c r="D267" s="10">
        <f t="shared" ca="1" si="56"/>
        <v>66</v>
      </c>
      <c r="E267" s="2" t="s">
        <v>26</v>
      </c>
      <c r="F267" s="3">
        <v>158</v>
      </c>
      <c r="G267" s="3">
        <v>58</v>
      </c>
      <c r="H267" s="11">
        <f t="shared" si="57"/>
        <v>23.233456176894723</v>
      </c>
      <c r="I267" s="2">
        <v>74</v>
      </c>
      <c r="J267" s="3">
        <v>140</v>
      </c>
      <c r="K267" s="3">
        <v>80</v>
      </c>
      <c r="L267" s="10">
        <f t="shared" si="58"/>
        <v>0</v>
      </c>
      <c r="M267" s="10">
        <f t="shared" ca="1" si="59"/>
        <v>2</v>
      </c>
      <c r="N267" s="10">
        <f t="shared" si="60"/>
        <v>0</v>
      </c>
      <c r="O267" s="10">
        <f t="shared" si="61"/>
        <v>3</v>
      </c>
      <c r="P267" s="10">
        <f t="shared" si="62"/>
        <v>0</v>
      </c>
      <c r="Q267" s="10">
        <f t="shared" si="63"/>
        <v>2</v>
      </c>
      <c r="R267" s="10">
        <f t="shared" ca="1" si="64"/>
        <v>7</v>
      </c>
      <c r="S267" s="10" t="str">
        <f t="shared" ca="1" si="65"/>
        <v>Có</v>
      </c>
      <c r="T267" s="10" t="str">
        <f t="shared" ca="1" si="66"/>
        <v>Có</v>
      </c>
      <c r="U267" s="10" t="str">
        <f t="shared" si="67"/>
        <v>Có</v>
      </c>
      <c r="V267" s="2" t="s">
        <v>432</v>
      </c>
      <c r="W267" s="4">
        <v>46142</v>
      </c>
      <c r="X267" s="8" t="str">
        <f t="shared" si="68"/>
        <v>Tháng 4</v>
      </c>
      <c r="Y267" s="8" t="str">
        <f t="shared" si="69"/>
        <v>ấp biển tây B</v>
      </c>
    </row>
    <row r="268" spans="1:25" x14ac:dyDescent="0.25">
      <c r="A268" s="1" t="s">
        <v>433</v>
      </c>
      <c r="B268" s="2" t="s">
        <v>23</v>
      </c>
      <c r="C268" s="2" t="s">
        <v>300</v>
      </c>
      <c r="D268" s="10">
        <f t="shared" ca="1" si="56"/>
        <v>80</v>
      </c>
      <c r="E268" s="2" t="s">
        <v>26</v>
      </c>
      <c r="F268" s="3">
        <v>160</v>
      </c>
      <c r="G268" s="3">
        <v>60</v>
      </c>
      <c r="H268" s="11">
        <f t="shared" si="57"/>
        <v>23.437499999999996</v>
      </c>
      <c r="I268" s="2">
        <v>81</v>
      </c>
      <c r="J268" s="3">
        <v>140</v>
      </c>
      <c r="K268" s="3">
        <v>80</v>
      </c>
      <c r="L268" s="10">
        <f t="shared" si="58"/>
        <v>0</v>
      </c>
      <c r="M268" s="10">
        <f t="shared" ca="1" si="59"/>
        <v>2</v>
      </c>
      <c r="N268" s="10">
        <f t="shared" si="60"/>
        <v>0</v>
      </c>
      <c r="O268" s="10">
        <f t="shared" si="61"/>
        <v>3</v>
      </c>
      <c r="P268" s="10">
        <f t="shared" si="62"/>
        <v>2</v>
      </c>
      <c r="Q268" s="10">
        <f t="shared" si="63"/>
        <v>2</v>
      </c>
      <c r="R268" s="10">
        <f t="shared" ca="1" si="64"/>
        <v>9</v>
      </c>
      <c r="S268" s="10" t="str">
        <f t="shared" ca="1" si="65"/>
        <v>Có</v>
      </c>
      <c r="T268" s="10" t="str">
        <f t="shared" ca="1" si="66"/>
        <v>Có</v>
      </c>
      <c r="U268" s="10" t="str">
        <f t="shared" si="67"/>
        <v>Có</v>
      </c>
      <c r="V268" s="2" t="s">
        <v>395</v>
      </c>
      <c r="W268" s="4">
        <v>46142</v>
      </c>
      <c r="X268" s="8" t="str">
        <f t="shared" si="68"/>
        <v>Tháng 4</v>
      </c>
      <c r="Y268" s="8" t="str">
        <f t="shared" si="69"/>
        <v>Khóm Chòm Xoài</v>
      </c>
    </row>
    <row r="269" spans="1:25" x14ac:dyDescent="0.25">
      <c r="A269" s="1" t="s">
        <v>434</v>
      </c>
      <c r="B269" s="2" t="s">
        <v>30</v>
      </c>
      <c r="C269" s="2" t="s">
        <v>34</v>
      </c>
      <c r="D269" s="10">
        <f t="shared" ca="1" si="56"/>
        <v>78</v>
      </c>
      <c r="E269" s="2" t="s">
        <v>26</v>
      </c>
      <c r="F269" s="3">
        <v>169</v>
      </c>
      <c r="G269" s="3">
        <v>68</v>
      </c>
      <c r="H269" s="11">
        <f t="shared" si="57"/>
        <v>23.808690171912751</v>
      </c>
      <c r="I269" s="2">
        <v>90</v>
      </c>
      <c r="J269" s="3">
        <v>130</v>
      </c>
      <c r="K269" s="3">
        <v>80</v>
      </c>
      <c r="L269" s="10">
        <f t="shared" si="58"/>
        <v>2</v>
      </c>
      <c r="M269" s="10">
        <f t="shared" ca="1" si="59"/>
        <v>2</v>
      </c>
      <c r="N269" s="10">
        <f t="shared" si="60"/>
        <v>0</v>
      </c>
      <c r="O269" s="10">
        <f t="shared" si="61"/>
        <v>3</v>
      </c>
      <c r="P269" s="10">
        <f t="shared" si="62"/>
        <v>2</v>
      </c>
      <c r="Q269" s="10">
        <f t="shared" si="63"/>
        <v>0</v>
      </c>
      <c r="R269" s="10">
        <f t="shared" ca="1" si="64"/>
        <v>9</v>
      </c>
      <c r="S269" s="10" t="str">
        <f t="shared" ca="1" si="65"/>
        <v>Có</v>
      </c>
      <c r="T269" s="10" t="str">
        <f t="shared" ca="1" si="66"/>
        <v>Có</v>
      </c>
      <c r="U269" s="10" t="str">
        <f t="shared" si="67"/>
        <v>Không</v>
      </c>
      <c r="V269" s="2" t="s">
        <v>60</v>
      </c>
      <c r="W269" s="4">
        <v>46142</v>
      </c>
      <c r="X269" s="8" t="str">
        <f t="shared" si="68"/>
        <v>Tháng 4</v>
      </c>
      <c r="Y269" s="8" t="str">
        <f t="shared" si="69"/>
        <v>ấp Biển Đông A</v>
      </c>
    </row>
    <row r="270" spans="1:25" x14ac:dyDescent="0.25">
      <c r="A270" s="1" t="s">
        <v>435</v>
      </c>
      <c r="B270" s="2" t="s">
        <v>23</v>
      </c>
      <c r="C270" s="2" t="s">
        <v>47</v>
      </c>
      <c r="D270" s="10">
        <f t="shared" ca="1" si="56"/>
        <v>55</v>
      </c>
      <c r="E270" s="2" t="s">
        <v>26</v>
      </c>
      <c r="F270" s="3">
        <v>160</v>
      </c>
      <c r="G270" s="3">
        <v>70</v>
      </c>
      <c r="H270" s="11">
        <f t="shared" si="57"/>
        <v>27.343749999999996</v>
      </c>
      <c r="I270" s="2">
        <v>86</v>
      </c>
      <c r="J270" s="3">
        <v>120</v>
      </c>
      <c r="K270" s="3">
        <v>80</v>
      </c>
      <c r="L270" s="10">
        <f t="shared" si="58"/>
        <v>0</v>
      </c>
      <c r="M270" s="10">
        <f t="shared" ca="1" si="59"/>
        <v>2</v>
      </c>
      <c r="N270" s="10">
        <f t="shared" si="60"/>
        <v>0</v>
      </c>
      <c r="O270" s="10">
        <f t="shared" si="61"/>
        <v>3</v>
      </c>
      <c r="P270" s="10">
        <f t="shared" si="62"/>
        <v>2</v>
      </c>
      <c r="Q270" s="10">
        <f t="shared" si="63"/>
        <v>0</v>
      </c>
      <c r="R270" s="10">
        <f t="shared" ca="1" si="64"/>
        <v>7</v>
      </c>
      <c r="S270" s="10" t="str">
        <f t="shared" ca="1" si="65"/>
        <v>Có</v>
      </c>
      <c r="T270" s="10" t="str">
        <f t="shared" ca="1" si="66"/>
        <v>Có</v>
      </c>
      <c r="U270" s="10" t="str">
        <f t="shared" si="67"/>
        <v>Không</v>
      </c>
      <c r="V270" s="2" t="s">
        <v>436</v>
      </c>
      <c r="W270" s="4">
        <v>46081</v>
      </c>
      <c r="X270" s="8" t="str">
        <f t="shared" si="68"/>
        <v>Tháng 2</v>
      </c>
      <c r="Y270" s="8" t="str">
        <f t="shared" si="69"/>
        <v>ấp giồng nhãn a</v>
      </c>
    </row>
    <row r="271" spans="1:25" x14ac:dyDescent="0.25">
      <c r="A271" s="1" t="s">
        <v>437</v>
      </c>
      <c r="B271" s="2" t="s">
        <v>23</v>
      </c>
      <c r="C271" s="2" t="s">
        <v>84</v>
      </c>
      <c r="D271" s="10">
        <f t="shared" ca="1" si="56"/>
        <v>69</v>
      </c>
      <c r="E271" s="2" t="s">
        <v>26</v>
      </c>
      <c r="F271" s="3">
        <v>158</v>
      </c>
      <c r="G271" s="3">
        <v>58</v>
      </c>
      <c r="H271" s="11">
        <f t="shared" si="57"/>
        <v>23.233456176894723</v>
      </c>
      <c r="I271" s="2">
        <v>86</v>
      </c>
      <c r="J271" s="3">
        <v>140</v>
      </c>
      <c r="K271" s="3">
        <v>80</v>
      </c>
      <c r="L271" s="10">
        <f t="shared" si="58"/>
        <v>0</v>
      </c>
      <c r="M271" s="10">
        <f t="shared" ca="1" si="59"/>
        <v>2</v>
      </c>
      <c r="N271" s="10">
        <f t="shared" si="60"/>
        <v>0</v>
      </c>
      <c r="O271" s="10">
        <f t="shared" si="61"/>
        <v>3</v>
      </c>
      <c r="P271" s="10">
        <f t="shared" si="62"/>
        <v>2</v>
      </c>
      <c r="Q271" s="10">
        <f t="shared" si="63"/>
        <v>2</v>
      </c>
      <c r="R271" s="10">
        <f t="shared" ca="1" si="64"/>
        <v>9</v>
      </c>
      <c r="S271" s="10" t="str">
        <f t="shared" ca="1" si="65"/>
        <v>Có</v>
      </c>
      <c r="T271" s="10" t="str">
        <f t="shared" ca="1" si="66"/>
        <v>Có</v>
      </c>
      <c r="U271" s="10" t="str">
        <f t="shared" si="67"/>
        <v>Có</v>
      </c>
      <c r="V271" s="2" t="s">
        <v>438</v>
      </c>
      <c r="W271" s="4">
        <v>46112</v>
      </c>
      <c r="X271" s="8" t="str">
        <f t="shared" si="68"/>
        <v>Tháng 3</v>
      </c>
      <c r="Y271" s="8" t="str">
        <f t="shared" si="69"/>
        <v>p Giồng Giữa A</v>
      </c>
    </row>
    <row r="272" spans="1:25" x14ac:dyDescent="0.25">
      <c r="A272" s="1" t="s">
        <v>439</v>
      </c>
      <c r="B272" s="2" t="s">
        <v>23</v>
      </c>
      <c r="C272" s="2" t="s">
        <v>90</v>
      </c>
      <c r="D272" s="10">
        <f t="shared" ca="1" si="56"/>
        <v>54</v>
      </c>
      <c r="E272" s="2" t="s">
        <v>26</v>
      </c>
      <c r="F272" s="3">
        <v>158</v>
      </c>
      <c r="G272" s="3">
        <v>58</v>
      </c>
      <c r="H272" s="11">
        <f t="shared" si="57"/>
        <v>23.233456176894723</v>
      </c>
      <c r="I272" s="2">
        <v>69</v>
      </c>
      <c r="J272" s="3">
        <v>120</v>
      </c>
      <c r="K272" s="3">
        <v>80</v>
      </c>
      <c r="L272" s="10">
        <f t="shared" si="58"/>
        <v>0</v>
      </c>
      <c r="M272" s="10">
        <f t="shared" ca="1" si="59"/>
        <v>2</v>
      </c>
      <c r="N272" s="10">
        <f t="shared" si="60"/>
        <v>0</v>
      </c>
      <c r="O272" s="10">
        <f t="shared" si="61"/>
        <v>3</v>
      </c>
      <c r="P272" s="10">
        <f t="shared" si="62"/>
        <v>0</v>
      </c>
      <c r="Q272" s="10">
        <f t="shared" si="63"/>
        <v>0</v>
      </c>
      <c r="R272" s="10">
        <f t="shared" ca="1" si="64"/>
        <v>5</v>
      </c>
      <c r="S272" s="10" t="str">
        <f t="shared" ca="1" si="65"/>
        <v>Không cần</v>
      </c>
      <c r="T272" s="10" t="str">
        <f t="shared" ca="1" si="66"/>
        <v>Không</v>
      </c>
      <c r="U272" s="10" t="str">
        <f t="shared" si="67"/>
        <v>Không</v>
      </c>
      <c r="V272" s="2" t="s">
        <v>234</v>
      </c>
      <c r="W272" s="4">
        <v>46142</v>
      </c>
      <c r="X272" s="8" t="str">
        <f t="shared" si="68"/>
        <v>Tháng 4</v>
      </c>
      <c r="Y272" s="8" t="str">
        <f t="shared" si="69"/>
        <v>ấp Biển Đông B</v>
      </c>
    </row>
    <row r="273" spans="1:25" x14ac:dyDescent="0.25">
      <c r="A273" s="1" t="s">
        <v>440</v>
      </c>
      <c r="B273" s="2" t="s">
        <v>30</v>
      </c>
      <c r="C273" s="2" t="s">
        <v>133</v>
      </c>
      <c r="D273" s="10">
        <f t="shared" ca="1" si="56"/>
        <v>56</v>
      </c>
      <c r="E273" s="2" t="s">
        <v>26</v>
      </c>
      <c r="F273" s="3">
        <v>169</v>
      </c>
      <c r="G273" s="3">
        <v>68</v>
      </c>
      <c r="H273" s="11">
        <f t="shared" si="57"/>
        <v>23.808690171912751</v>
      </c>
      <c r="I273" s="2">
        <v>78</v>
      </c>
      <c r="J273" s="3">
        <v>120</v>
      </c>
      <c r="K273" s="3">
        <v>80</v>
      </c>
      <c r="L273" s="10">
        <f t="shared" si="58"/>
        <v>2</v>
      </c>
      <c r="M273" s="10">
        <f t="shared" ca="1" si="59"/>
        <v>2</v>
      </c>
      <c r="N273" s="10">
        <f t="shared" si="60"/>
        <v>0</v>
      </c>
      <c r="O273" s="10">
        <f t="shared" si="61"/>
        <v>3</v>
      </c>
      <c r="P273" s="10">
        <f t="shared" si="62"/>
        <v>0</v>
      </c>
      <c r="Q273" s="10">
        <f t="shared" si="63"/>
        <v>0</v>
      </c>
      <c r="R273" s="10">
        <f t="shared" ca="1" si="64"/>
        <v>7</v>
      </c>
      <c r="S273" s="10" t="str">
        <f t="shared" ca="1" si="65"/>
        <v>Có</v>
      </c>
      <c r="T273" s="10" t="str">
        <f t="shared" ca="1" si="66"/>
        <v>Có</v>
      </c>
      <c r="U273" s="10" t="str">
        <f t="shared" si="67"/>
        <v>Không</v>
      </c>
      <c r="V273" s="2" t="s">
        <v>32</v>
      </c>
      <c r="W273" s="4">
        <v>46142</v>
      </c>
      <c r="X273" s="8" t="str">
        <f t="shared" si="68"/>
        <v>Tháng 4</v>
      </c>
      <c r="Y273" s="8" t="str">
        <f t="shared" si="69"/>
        <v>Ấp Giồng Giữa B</v>
      </c>
    </row>
    <row r="274" spans="1:25" x14ac:dyDescent="0.25">
      <c r="A274" s="1" t="s">
        <v>441</v>
      </c>
      <c r="B274" s="2" t="s">
        <v>30</v>
      </c>
      <c r="C274" s="2" t="s">
        <v>53</v>
      </c>
      <c r="D274" s="10">
        <f t="shared" ca="1" si="56"/>
        <v>72</v>
      </c>
      <c r="E274" s="2" t="s">
        <v>26</v>
      </c>
      <c r="F274" s="3">
        <v>169</v>
      </c>
      <c r="G274" s="3">
        <v>69</v>
      </c>
      <c r="H274" s="11">
        <f t="shared" si="57"/>
        <v>24.158817968558527</v>
      </c>
      <c r="I274" s="2">
        <v>90</v>
      </c>
      <c r="J274" s="3">
        <v>130</v>
      </c>
      <c r="K274" s="3">
        <v>80</v>
      </c>
      <c r="L274" s="10">
        <f t="shared" si="58"/>
        <v>2</v>
      </c>
      <c r="M274" s="10">
        <f t="shared" ca="1" si="59"/>
        <v>2</v>
      </c>
      <c r="N274" s="10">
        <f t="shared" si="60"/>
        <v>0</v>
      </c>
      <c r="O274" s="10">
        <f t="shared" si="61"/>
        <v>3</v>
      </c>
      <c r="P274" s="10">
        <f t="shared" si="62"/>
        <v>2</v>
      </c>
      <c r="Q274" s="10">
        <f t="shared" si="63"/>
        <v>0</v>
      </c>
      <c r="R274" s="10">
        <f t="shared" ca="1" si="64"/>
        <v>9</v>
      </c>
      <c r="S274" s="10" t="str">
        <f t="shared" ca="1" si="65"/>
        <v>Có</v>
      </c>
      <c r="T274" s="10" t="str">
        <f t="shared" ca="1" si="66"/>
        <v>Có</v>
      </c>
      <c r="U274" s="10" t="str">
        <f t="shared" si="67"/>
        <v>Không</v>
      </c>
      <c r="V274" s="2" t="s">
        <v>189</v>
      </c>
      <c r="W274" s="4">
        <v>46053</v>
      </c>
      <c r="X274" s="8" t="str">
        <f t="shared" si="68"/>
        <v>Tháng 1</v>
      </c>
      <c r="Y274" s="8" t="str">
        <f t="shared" si="69"/>
        <v>Ấp Giồng Nhãn</v>
      </c>
    </row>
    <row r="275" spans="1:25" x14ac:dyDescent="0.25">
      <c r="A275" s="1" t="s">
        <v>442</v>
      </c>
      <c r="B275" s="2" t="s">
        <v>23</v>
      </c>
      <c r="C275" s="2" t="s">
        <v>329</v>
      </c>
      <c r="D275" s="10">
        <f t="shared" ca="1" si="56"/>
        <v>81</v>
      </c>
      <c r="E275" s="2" t="s">
        <v>26</v>
      </c>
      <c r="F275" s="3">
        <v>160</v>
      </c>
      <c r="G275" s="3">
        <v>78</v>
      </c>
      <c r="H275" s="11">
        <f t="shared" si="57"/>
        <v>30.468749999999993</v>
      </c>
      <c r="I275" s="2">
        <v>74</v>
      </c>
      <c r="J275" s="3">
        <v>180</v>
      </c>
      <c r="K275" s="3">
        <v>90</v>
      </c>
      <c r="L275" s="10">
        <f t="shared" si="58"/>
        <v>0</v>
      </c>
      <c r="M275" s="10">
        <f t="shared" ca="1" si="59"/>
        <v>2</v>
      </c>
      <c r="N275" s="10">
        <f t="shared" si="60"/>
        <v>0</v>
      </c>
      <c r="O275" s="10">
        <f t="shared" si="61"/>
        <v>5</v>
      </c>
      <c r="P275" s="10">
        <f t="shared" si="62"/>
        <v>0</v>
      </c>
      <c r="Q275" s="10">
        <f t="shared" si="63"/>
        <v>2</v>
      </c>
      <c r="R275" s="10">
        <f t="shared" ca="1" si="64"/>
        <v>9</v>
      </c>
      <c r="S275" s="10" t="str">
        <f t="shared" ca="1" si="65"/>
        <v>Có</v>
      </c>
      <c r="T275" s="10" t="str">
        <f t="shared" ca="1" si="66"/>
        <v>Có</v>
      </c>
      <c r="U275" s="10" t="str">
        <f t="shared" si="67"/>
        <v>Có</v>
      </c>
      <c r="V275" s="2" t="s">
        <v>51</v>
      </c>
      <c r="W275" s="4">
        <v>46053</v>
      </c>
      <c r="X275" s="8" t="str">
        <f t="shared" si="68"/>
        <v>Tháng 1</v>
      </c>
      <c r="Y275" s="8" t="str">
        <f t="shared" si="69"/>
        <v>Phường Hiệp Thành</v>
      </c>
    </row>
    <row r="276" spans="1:25" x14ac:dyDescent="0.25">
      <c r="A276" s="1" t="s">
        <v>443</v>
      </c>
      <c r="B276" s="2" t="s">
        <v>23</v>
      </c>
      <c r="C276" s="2" t="s">
        <v>329</v>
      </c>
      <c r="D276" s="10">
        <f t="shared" ca="1" si="56"/>
        <v>81</v>
      </c>
      <c r="E276" s="2" t="s">
        <v>26</v>
      </c>
      <c r="F276" s="3">
        <v>158</v>
      </c>
      <c r="G276" s="3">
        <v>61</v>
      </c>
      <c r="H276" s="11">
        <f t="shared" si="57"/>
        <v>24.435186668803073</v>
      </c>
      <c r="I276" s="2">
        <v>73</v>
      </c>
      <c r="J276" s="3">
        <v>140</v>
      </c>
      <c r="K276" s="3">
        <v>90</v>
      </c>
      <c r="L276" s="10">
        <f t="shared" si="58"/>
        <v>0</v>
      </c>
      <c r="M276" s="10">
        <f t="shared" ca="1" si="59"/>
        <v>2</v>
      </c>
      <c r="N276" s="10">
        <f t="shared" si="60"/>
        <v>0</v>
      </c>
      <c r="O276" s="10">
        <f t="shared" si="61"/>
        <v>3</v>
      </c>
      <c r="P276" s="10">
        <f t="shared" si="62"/>
        <v>0</v>
      </c>
      <c r="Q276" s="10">
        <f t="shared" si="63"/>
        <v>2</v>
      </c>
      <c r="R276" s="10">
        <f t="shared" ca="1" si="64"/>
        <v>7</v>
      </c>
      <c r="S276" s="10" t="str">
        <f t="shared" ca="1" si="65"/>
        <v>Có</v>
      </c>
      <c r="T276" s="10" t="str">
        <f t="shared" ca="1" si="66"/>
        <v>Có</v>
      </c>
      <c r="U276" s="10" t="str">
        <f t="shared" si="67"/>
        <v>Có</v>
      </c>
      <c r="V276" s="2" t="s">
        <v>91</v>
      </c>
      <c r="W276" s="4">
        <v>46081</v>
      </c>
      <c r="X276" s="8" t="str">
        <f t="shared" si="68"/>
        <v>Tháng 2</v>
      </c>
      <c r="Y276" s="8" t="str">
        <f t="shared" si="69"/>
        <v>Ấp Giồng Giữa</v>
      </c>
    </row>
    <row r="277" spans="1:25" x14ac:dyDescent="0.25">
      <c r="A277" s="1" t="s">
        <v>444</v>
      </c>
      <c r="B277" s="2" t="s">
        <v>23</v>
      </c>
      <c r="C277" s="2" t="s">
        <v>314</v>
      </c>
      <c r="D277" s="10">
        <f t="shared" ca="1" si="56"/>
        <v>77</v>
      </c>
      <c r="E277" s="2" t="s">
        <v>26</v>
      </c>
      <c r="F277" s="3">
        <v>158</v>
      </c>
      <c r="G277" s="3">
        <v>58</v>
      </c>
      <c r="H277" s="11">
        <f t="shared" si="57"/>
        <v>23.233456176894723</v>
      </c>
      <c r="I277" s="2">
        <v>73</v>
      </c>
      <c r="J277" s="3">
        <v>140</v>
      </c>
      <c r="K277" s="3">
        <v>80</v>
      </c>
      <c r="L277" s="10">
        <f t="shared" si="58"/>
        <v>0</v>
      </c>
      <c r="M277" s="10">
        <f t="shared" ca="1" si="59"/>
        <v>2</v>
      </c>
      <c r="N277" s="10">
        <f t="shared" si="60"/>
        <v>0</v>
      </c>
      <c r="O277" s="10">
        <f t="shared" si="61"/>
        <v>3</v>
      </c>
      <c r="P277" s="10">
        <f t="shared" si="62"/>
        <v>0</v>
      </c>
      <c r="Q277" s="10">
        <f t="shared" si="63"/>
        <v>2</v>
      </c>
      <c r="R277" s="10">
        <f t="shared" ca="1" si="64"/>
        <v>7</v>
      </c>
      <c r="S277" s="10" t="str">
        <f t="shared" ca="1" si="65"/>
        <v>Có</v>
      </c>
      <c r="T277" s="10" t="str">
        <f t="shared" ca="1" si="66"/>
        <v>Có</v>
      </c>
      <c r="U277" s="10" t="str">
        <f t="shared" si="67"/>
        <v>Có</v>
      </c>
      <c r="V277" s="2" t="s">
        <v>51</v>
      </c>
      <c r="W277" s="4">
        <v>46112</v>
      </c>
      <c r="X277" s="8" t="str">
        <f t="shared" si="68"/>
        <v>Tháng 3</v>
      </c>
      <c r="Y277" s="8" t="str">
        <f t="shared" si="69"/>
        <v>Phường Hiệp Thành</v>
      </c>
    </row>
    <row r="278" spans="1:25" x14ac:dyDescent="0.25">
      <c r="A278" s="1" t="s">
        <v>445</v>
      </c>
      <c r="B278" s="2" t="s">
        <v>30</v>
      </c>
      <c r="C278" s="2" t="s">
        <v>62</v>
      </c>
      <c r="D278" s="10">
        <f t="shared" ca="1" si="56"/>
        <v>64</v>
      </c>
      <c r="E278" s="2" t="s">
        <v>25</v>
      </c>
      <c r="F278" s="3">
        <v>169</v>
      </c>
      <c r="G278" s="3">
        <v>68</v>
      </c>
      <c r="H278" s="11">
        <f t="shared" si="57"/>
        <v>23.808690171912751</v>
      </c>
      <c r="I278" s="2">
        <v>77</v>
      </c>
      <c r="J278" s="3">
        <v>150</v>
      </c>
      <c r="K278" s="3">
        <v>80</v>
      </c>
      <c r="L278" s="10">
        <f t="shared" si="58"/>
        <v>2</v>
      </c>
      <c r="M278" s="10">
        <f t="shared" ca="1" si="59"/>
        <v>2</v>
      </c>
      <c r="N278" s="10">
        <f t="shared" si="60"/>
        <v>4</v>
      </c>
      <c r="O278" s="10">
        <f t="shared" si="61"/>
        <v>3</v>
      </c>
      <c r="P278" s="10">
        <f t="shared" si="62"/>
        <v>0</v>
      </c>
      <c r="Q278" s="10">
        <f t="shared" si="63"/>
        <v>2</v>
      </c>
      <c r="R278" s="10">
        <f t="shared" ca="1" si="64"/>
        <v>13</v>
      </c>
      <c r="S278" s="10" t="str">
        <f t="shared" ca="1" si="65"/>
        <v>Có</v>
      </c>
      <c r="T278" s="10" t="str">
        <f t="shared" ca="1" si="66"/>
        <v>Có</v>
      </c>
      <c r="U278" s="10" t="str">
        <f t="shared" si="67"/>
        <v>Có</v>
      </c>
      <c r="V278" s="2" t="s">
        <v>51</v>
      </c>
      <c r="W278" s="4">
        <v>46112</v>
      </c>
      <c r="X278" s="8" t="str">
        <f t="shared" si="68"/>
        <v>Tháng 3</v>
      </c>
      <c r="Y278" s="8" t="str">
        <f t="shared" si="69"/>
        <v>Phường Hiệp Thành</v>
      </c>
    </row>
    <row r="279" spans="1:25" x14ac:dyDescent="0.25">
      <c r="A279" s="1" t="s">
        <v>446</v>
      </c>
      <c r="B279" s="2" t="s">
        <v>23</v>
      </c>
      <c r="C279" s="2" t="s">
        <v>80</v>
      </c>
      <c r="D279" s="10">
        <f t="shared" ca="1" si="56"/>
        <v>71</v>
      </c>
      <c r="E279" s="2" t="s">
        <v>26</v>
      </c>
      <c r="F279" s="3">
        <v>158</v>
      </c>
      <c r="G279" s="3">
        <v>58</v>
      </c>
      <c r="H279" s="11">
        <f t="shared" si="57"/>
        <v>23.233456176894723</v>
      </c>
      <c r="I279" s="2">
        <v>68</v>
      </c>
      <c r="J279" s="3">
        <v>140</v>
      </c>
      <c r="K279" s="3">
        <v>80</v>
      </c>
      <c r="L279" s="10">
        <f t="shared" si="58"/>
        <v>0</v>
      </c>
      <c r="M279" s="10">
        <f t="shared" ca="1" si="59"/>
        <v>2</v>
      </c>
      <c r="N279" s="10">
        <f t="shared" si="60"/>
        <v>0</v>
      </c>
      <c r="O279" s="10">
        <f t="shared" si="61"/>
        <v>3</v>
      </c>
      <c r="P279" s="10">
        <f t="shared" si="62"/>
        <v>0</v>
      </c>
      <c r="Q279" s="10">
        <f t="shared" si="63"/>
        <v>2</v>
      </c>
      <c r="R279" s="10">
        <f t="shared" ca="1" si="64"/>
        <v>7</v>
      </c>
      <c r="S279" s="10" t="str">
        <f t="shared" ca="1" si="65"/>
        <v>Có</v>
      </c>
      <c r="T279" s="10" t="str">
        <f t="shared" ca="1" si="66"/>
        <v>Có</v>
      </c>
      <c r="U279" s="10" t="str">
        <f t="shared" si="67"/>
        <v>Có</v>
      </c>
      <c r="V279" s="2" t="s">
        <v>447</v>
      </c>
      <c r="W279" s="4">
        <v>46112</v>
      </c>
      <c r="X279" s="8" t="str">
        <f t="shared" si="68"/>
        <v>Tháng 3</v>
      </c>
      <c r="Y279" s="8" t="str">
        <f t="shared" si="69"/>
        <v>Ấp Giáp Nước</v>
      </c>
    </row>
    <row r="280" spans="1:25" x14ac:dyDescent="0.25">
      <c r="A280" s="1" t="s">
        <v>448</v>
      </c>
      <c r="B280" s="2" t="s">
        <v>30</v>
      </c>
      <c r="C280" s="2" t="s">
        <v>34</v>
      </c>
      <c r="D280" s="10">
        <f t="shared" ca="1" si="56"/>
        <v>78</v>
      </c>
      <c r="E280" s="2" t="s">
        <v>26</v>
      </c>
      <c r="F280" s="3">
        <v>169</v>
      </c>
      <c r="G280" s="3">
        <v>69</v>
      </c>
      <c r="H280" s="11">
        <f t="shared" si="57"/>
        <v>24.158817968558527</v>
      </c>
      <c r="I280" s="2">
        <v>96</v>
      </c>
      <c r="J280" s="3">
        <v>140</v>
      </c>
      <c r="K280" s="3">
        <v>80</v>
      </c>
      <c r="L280" s="10">
        <f t="shared" si="58"/>
        <v>2</v>
      </c>
      <c r="M280" s="10">
        <f t="shared" ca="1" si="59"/>
        <v>2</v>
      </c>
      <c r="N280" s="10">
        <f t="shared" si="60"/>
        <v>0</v>
      </c>
      <c r="O280" s="10">
        <f t="shared" si="61"/>
        <v>3</v>
      </c>
      <c r="P280" s="10">
        <f t="shared" si="62"/>
        <v>2</v>
      </c>
      <c r="Q280" s="10">
        <f t="shared" si="63"/>
        <v>2</v>
      </c>
      <c r="R280" s="10">
        <f t="shared" ca="1" si="64"/>
        <v>11</v>
      </c>
      <c r="S280" s="10" t="str">
        <f t="shared" ca="1" si="65"/>
        <v>Có</v>
      </c>
      <c r="T280" s="10" t="str">
        <f t="shared" ca="1" si="66"/>
        <v>Có</v>
      </c>
      <c r="U280" s="10" t="str">
        <f t="shared" si="67"/>
        <v>Có</v>
      </c>
      <c r="V280" s="2" t="s">
        <v>51</v>
      </c>
      <c r="W280" s="4">
        <v>46053</v>
      </c>
      <c r="X280" s="8" t="str">
        <f t="shared" si="68"/>
        <v>Tháng 1</v>
      </c>
      <c r="Y280" s="8" t="str">
        <f t="shared" si="69"/>
        <v>Phường Hiệp Thành</v>
      </c>
    </row>
    <row r="281" spans="1:25" x14ac:dyDescent="0.25">
      <c r="A281" s="1" t="s">
        <v>449</v>
      </c>
      <c r="B281" s="2" t="s">
        <v>30</v>
      </c>
      <c r="C281" s="2" t="s">
        <v>59</v>
      </c>
      <c r="D281" s="10">
        <f t="shared" ca="1" si="56"/>
        <v>74</v>
      </c>
      <c r="E281" s="2" t="s">
        <v>26</v>
      </c>
      <c r="F281" s="3">
        <v>168</v>
      </c>
      <c r="G281" s="3">
        <v>68</v>
      </c>
      <c r="H281" s="11">
        <f t="shared" si="57"/>
        <v>24.092970521541954</v>
      </c>
      <c r="I281" s="2">
        <v>96</v>
      </c>
      <c r="J281" s="3">
        <v>140</v>
      </c>
      <c r="K281" s="3">
        <v>80</v>
      </c>
      <c r="L281" s="10">
        <f t="shared" si="58"/>
        <v>2</v>
      </c>
      <c r="M281" s="10">
        <f t="shared" ca="1" si="59"/>
        <v>2</v>
      </c>
      <c r="N281" s="10">
        <f t="shared" si="60"/>
        <v>0</v>
      </c>
      <c r="O281" s="10">
        <f t="shared" si="61"/>
        <v>3</v>
      </c>
      <c r="P281" s="10">
        <f t="shared" si="62"/>
        <v>2</v>
      </c>
      <c r="Q281" s="10">
        <f t="shared" si="63"/>
        <v>2</v>
      </c>
      <c r="R281" s="10">
        <f t="shared" ca="1" si="64"/>
        <v>11</v>
      </c>
      <c r="S281" s="10" t="str">
        <f t="shared" ca="1" si="65"/>
        <v>Có</v>
      </c>
      <c r="T281" s="10" t="str">
        <f t="shared" ca="1" si="66"/>
        <v>Có</v>
      </c>
      <c r="U281" s="10" t="str">
        <f t="shared" si="67"/>
        <v>Có</v>
      </c>
      <c r="V281" s="2" t="s">
        <v>38</v>
      </c>
      <c r="W281" s="4">
        <v>46053</v>
      </c>
      <c r="X281" s="8" t="str">
        <f t="shared" si="68"/>
        <v>Tháng 1</v>
      </c>
      <c r="Y281" s="8" t="str">
        <f t="shared" si="69"/>
        <v>Ấp Biển Đông B</v>
      </c>
    </row>
    <row r="282" spans="1:25" x14ac:dyDescent="0.25">
      <c r="A282" s="1" t="s">
        <v>450</v>
      </c>
      <c r="B282" s="2" t="s">
        <v>23</v>
      </c>
      <c r="C282" s="2" t="s">
        <v>64</v>
      </c>
      <c r="D282" s="10">
        <f t="shared" ca="1" si="56"/>
        <v>42</v>
      </c>
      <c r="E282" s="2" t="s">
        <v>25</v>
      </c>
      <c r="F282" s="3">
        <v>158</v>
      </c>
      <c r="G282" s="3">
        <v>58</v>
      </c>
      <c r="H282" s="11">
        <f t="shared" si="57"/>
        <v>23.233456176894723</v>
      </c>
      <c r="I282" s="2">
        <v>69</v>
      </c>
      <c r="J282" s="3">
        <v>120</v>
      </c>
      <c r="K282" s="3">
        <v>80</v>
      </c>
      <c r="L282" s="10">
        <f t="shared" si="58"/>
        <v>0</v>
      </c>
      <c r="M282" s="10">
        <f t="shared" ca="1" si="59"/>
        <v>0</v>
      </c>
      <c r="N282" s="10">
        <f t="shared" si="60"/>
        <v>4</v>
      </c>
      <c r="O282" s="10">
        <f t="shared" si="61"/>
        <v>3</v>
      </c>
      <c r="P282" s="10">
        <f t="shared" si="62"/>
        <v>0</v>
      </c>
      <c r="Q282" s="10">
        <f t="shared" si="63"/>
        <v>0</v>
      </c>
      <c r="R282" s="10">
        <f t="shared" ca="1" si="64"/>
        <v>7</v>
      </c>
      <c r="S282" s="10" t="str">
        <f t="shared" ca="1" si="65"/>
        <v>Có</v>
      </c>
      <c r="T282" s="10" t="str">
        <f t="shared" ca="1" si="66"/>
        <v>Có</v>
      </c>
      <c r="U282" s="10" t="str">
        <f t="shared" si="67"/>
        <v>Không</v>
      </c>
      <c r="V282" s="2" t="s">
        <v>218</v>
      </c>
      <c r="W282" s="4">
        <v>46053</v>
      </c>
      <c r="X282" s="8" t="str">
        <f t="shared" si="68"/>
        <v>Tháng 1</v>
      </c>
      <c r="Y282" s="8" t="str">
        <f t="shared" si="69"/>
        <v>Biển Đông B</v>
      </c>
    </row>
    <row r="283" spans="1:25" x14ac:dyDescent="0.25">
      <c r="A283" s="1" t="s">
        <v>451</v>
      </c>
      <c r="B283" s="2" t="s">
        <v>23</v>
      </c>
      <c r="C283" s="2" t="s">
        <v>67</v>
      </c>
      <c r="D283" s="10">
        <f t="shared" ca="1" si="56"/>
        <v>48</v>
      </c>
      <c r="E283" s="2" t="s">
        <v>26</v>
      </c>
      <c r="F283" s="3">
        <v>158</v>
      </c>
      <c r="G283" s="3">
        <v>58</v>
      </c>
      <c r="H283" s="11">
        <f t="shared" si="57"/>
        <v>23.233456176894723</v>
      </c>
      <c r="I283" s="2">
        <v>79</v>
      </c>
      <c r="J283" s="3">
        <v>150</v>
      </c>
      <c r="K283" s="3">
        <v>80</v>
      </c>
      <c r="L283" s="10">
        <f t="shared" si="58"/>
        <v>0</v>
      </c>
      <c r="M283" s="10">
        <f t="shared" ca="1" si="59"/>
        <v>1</v>
      </c>
      <c r="N283" s="10">
        <f t="shared" si="60"/>
        <v>0</v>
      </c>
      <c r="O283" s="10">
        <f t="shared" si="61"/>
        <v>3</v>
      </c>
      <c r="P283" s="10">
        <f t="shared" si="62"/>
        <v>0</v>
      </c>
      <c r="Q283" s="10">
        <f t="shared" si="63"/>
        <v>2</v>
      </c>
      <c r="R283" s="10">
        <f t="shared" ca="1" si="64"/>
        <v>6</v>
      </c>
      <c r="S283" s="10" t="str">
        <f t="shared" ca="1" si="65"/>
        <v>Có</v>
      </c>
      <c r="T283" s="10" t="str">
        <f t="shared" ca="1" si="66"/>
        <v>Có</v>
      </c>
      <c r="U283" s="10" t="str">
        <f t="shared" si="67"/>
        <v>Có</v>
      </c>
      <c r="V283" s="2" t="s">
        <v>70</v>
      </c>
      <c r="W283" s="4">
        <v>46112</v>
      </c>
      <c r="X283" s="8" t="str">
        <f t="shared" si="68"/>
        <v>Tháng 3</v>
      </c>
      <c r="Y283" s="8" t="str">
        <f t="shared" si="69"/>
        <v>Ấp Biển Tây A</v>
      </c>
    </row>
    <row r="284" spans="1:25" x14ac:dyDescent="0.25">
      <c r="A284" s="1" t="s">
        <v>452</v>
      </c>
      <c r="B284" s="2" t="s">
        <v>23</v>
      </c>
      <c r="C284" s="2" t="s">
        <v>80</v>
      </c>
      <c r="D284" s="10">
        <f t="shared" ca="1" si="56"/>
        <v>71</v>
      </c>
      <c r="E284" s="2" t="s">
        <v>26</v>
      </c>
      <c r="F284" s="3">
        <v>158</v>
      </c>
      <c r="G284" s="3">
        <v>58</v>
      </c>
      <c r="H284" s="11">
        <f t="shared" si="57"/>
        <v>23.233456176894723</v>
      </c>
      <c r="I284" s="2">
        <v>89</v>
      </c>
      <c r="J284" s="3">
        <v>140</v>
      </c>
      <c r="K284" s="3">
        <v>80</v>
      </c>
      <c r="L284" s="10">
        <f t="shared" si="58"/>
        <v>0</v>
      </c>
      <c r="M284" s="10">
        <f t="shared" ca="1" si="59"/>
        <v>2</v>
      </c>
      <c r="N284" s="10">
        <f t="shared" si="60"/>
        <v>0</v>
      </c>
      <c r="O284" s="10">
        <f t="shared" si="61"/>
        <v>3</v>
      </c>
      <c r="P284" s="10">
        <f t="shared" si="62"/>
        <v>2</v>
      </c>
      <c r="Q284" s="10">
        <f t="shared" si="63"/>
        <v>2</v>
      </c>
      <c r="R284" s="10">
        <f t="shared" ca="1" si="64"/>
        <v>9</v>
      </c>
      <c r="S284" s="10" t="str">
        <f t="shared" ca="1" si="65"/>
        <v>Có</v>
      </c>
      <c r="T284" s="10" t="str">
        <f t="shared" ca="1" si="66"/>
        <v>Có</v>
      </c>
      <c r="U284" s="10" t="str">
        <f t="shared" si="67"/>
        <v>Có</v>
      </c>
      <c r="V284" s="2" t="s">
        <v>38</v>
      </c>
      <c r="W284" s="4">
        <v>46081</v>
      </c>
      <c r="X284" s="8" t="str">
        <f t="shared" si="68"/>
        <v>Tháng 2</v>
      </c>
      <c r="Y284" s="8" t="str">
        <f t="shared" si="69"/>
        <v>Ấp Biển Đông B</v>
      </c>
    </row>
    <row r="285" spans="1:25" x14ac:dyDescent="0.25">
      <c r="A285" s="1" t="s">
        <v>453</v>
      </c>
      <c r="B285" s="2" t="s">
        <v>23</v>
      </c>
      <c r="C285" s="2" t="s">
        <v>105</v>
      </c>
      <c r="D285" s="10">
        <f t="shared" ca="1" si="56"/>
        <v>60</v>
      </c>
      <c r="E285" s="2" t="s">
        <v>26</v>
      </c>
      <c r="F285" s="3">
        <v>158</v>
      </c>
      <c r="G285" s="3">
        <v>58</v>
      </c>
      <c r="H285" s="11">
        <f t="shared" si="57"/>
        <v>23.233456176894723</v>
      </c>
      <c r="I285" s="2">
        <v>81</v>
      </c>
      <c r="J285" s="3">
        <v>140</v>
      </c>
      <c r="K285" s="3">
        <v>80</v>
      </c>
      <c r="L285" s="10">
        <f t="shared" si="58"/>
        <v>0</v>
      </c>
      <c r="M285" s="10">
        <f t="shared" ca="1" si="59"/>
        <v>2</v>
      </c>
      <c r="N285" s="10">
        <f t="shared" si="60"/>
        <v>0</v>
      </c>
      <c r="O285" s="10">
        <f t="shared" si="61"/>
        <v>3</v>
      </c>
      <c r="P285" s="10">
        <f t="shared" si="62"/>
        <v>2</v>
      </c>
      <c r="Q285" s="10">
        <f t="shared" si="63"/>
        <v>2</v>
      </c>
      <c r="R285" s="10">
        <f t="shared" ca="1" si="64"/>
        <v>9</v>
      </c>
      <c r="S285" s="10" t="str">
        <f t="shared" ca="1" si="65"/>
        <v>Có</v>
      </c>
      <c r="T285" s="10" t="str">
        <f t="shared" ca="1" si="66"/>
        <v>Có</v>
      </c>
      <c r="U285" s="10" t="str">
        <f t="shared" si="67"/>
        <v>Có</v>
      </c>
      <c r="V285" s="2" t="s">
        <v>70</v>
      </c>
      <c r="W285" s="4">
        <v>46142</v>
      </c>
      <c r="X285" s="8" t="str">
        <f t="shared" si="68"/>
        <v>Tháng 4</v>
      </c>
      <c r="Y285" s="8" t="str">
        <f t="shared" si="69"/>
        <v>Ấp Biển Tây A</v>
      </c>
    </row>
    <row r="286" spans="1:25" x14ac:dyDescent="0.25">
      <c r="A286" s="1" t="s">
        <v>454</v>
      </c>
      <c r="B286" s="2" t="s">
        <v>30</v>
      </c>
      <c r="C286" s="2" t="s">
        <v>256</v>
      </c>
      <c r="D286" s="10">
        <f t="shared" ca="1" si="56"/>
        <v>41</v>
      </c>
      <c r="E286" s="2" t="s">
        <v>25</v>
      </c>
      <c r="F286" s="3">
        <v>160</v>
      </c>
      <c r="G286" s="3">
        <v>60</v>
      </c>
      <c r="H286" s="11">
        <f t="shared" si="57"/>
        <v>23.437499999999996</v>
      </c>
      <c r="I286" s="2">
        <v>83</v>
      </c>
      <c r="J286" s="3">
        <v>130</v>
      </c>
      <c r="K286" s="3">
        <v>80</v>
      </c>
      <c r="L286" s="10">
        <f t="shared" si="58"/>
        <v>2</v>
      </c>
      <c r="M286" s="10">
        <f t="shared" ca="1" si="59"/>
        <v>0</v>
      </c>
      <c r="N286" s="10">
        <f t="shared" si="60"/>
        <v>4</v>
      </c>
      <c r="O286" s="10">
        <f t="shared" si="61"/>
        <v>3</v>
      </c>
      <c r="P286" s="10">
        <f t="shared" si="62"/>
        <v>0</v>
      </c>
      <c r="Q286" s="10">
        <f t="shared" si="63"/>
        <v>0</v>
      </c>
      <c r="R286" s="10">
        <f t="shared" ca="1" si="64"/>
        <v>9</v>
      </c>
      <c r="S286" s="10" t="str">
        <f t="shared" ca="1" si="65"/>
        <v>Có</v>
      </c>
      <c r="T286" s="10" t="str">
        <f t="shared" ca="1" si="66"/>
        <v>Có</v>
      </c>
      <c r="U286" s="10" t="str">
        <f t="shared" si="67"/>
        <v>Không</v>
      </c>
      <c r="V286" s="2" t="s">
        <v>319</v>
      </c>
      <c r="W286" s="4">
        <v>46142</v>
      </c>
      <c r="X286" s="8" t="str">
        <f t="shared" si="68"/>
        <v>Tháng 4</v>
      </c>
      <c r="Y286" s="8" t="str">
        <f t="shared" si="69"/>
        <v>Khóm Đầu Lộ A</v>
      </c>
    </row>
    <row r="287" spans="1:25" x14ac:dyDescent="0.25">
      <c r="A287" s="1" t="s">
        <v>455</v>
      </c>
      <c r="B287" s="2" t="s">
        <v>30</v>
      </c>
      <c r="C287" s="2" t="s">
        <v>84</v>
      </c>
      <c r="D287" s="10">
        <f t="shared" ca="1" si="56"/>
        <v>69</v>
      </c>
      <c r="E287" s="2" t="s">
        <v>26</v>
      </c>
      <c r="F287" s="3">
        <v>169</v>
      </c>
      <c r="G287" s="3">
        <v>68</v>
      </c>
      <c r="H287" s="11">
        <f t="shared" si="57"/>
        <v>23.808690171912751</v>
      </c>
      <c r="I287" s="2">
        <v>81</v>
      </c>
      <c r="J287" s="3">
        <v>110</v>
      </c>
      <c r="K287" s="3">
        <v>80</v>
      </c>
      <c r="L287" s="10">
        <f t="shared" si="58"/>
        <v>2</v>
      </c>
      <c r="M287" s="10">
        <f t="shared" ca="1" si="59"/>
        <v>2</v>
      </c>
      <c r="N287" s="10">
        <f t="shared" si="60"/>
        <v>0</v>
      </c>
      <c r="O287" s="10">
        <f t="shared" si="61"/>
        <v>3</v>
      </c>
      <c r="P287" s="10">
        <f t="shared" si="62"/>
        <v>0</v>
      </c>
      <c r="Q287" s="10">
        <f t="shared" si="63"/>
        <v>0</v>
      </c>
      <c r="R287" s="10">
        <f t="shared" ca="1" si="64"/>
        <v>7</v>
      </c>
      <c r="S287" s="10" t="str">
        <f t="shared" ca="1" si="65"/>
        <v>Có</v>
      </c>
      <c r="T287" s="10" t="str">
        <f t="shared" ca="1" si="66"/>
        <v>Có</v>
      </c>
      <c r="U287" s="10" t="str">
        <f t="shared" si="67"/>
        <v>Không</v>
      </c>
      <c r="V287" s="2" t="s">
        <v>70</v>
      </c>
      <c r="W287" s="4">
        <v>46142</v>
      </c>
      <c r="X287" s="8" t="str">
        <f t="shared" si="68"/>
        <v>Tháng 4</v>
      </c>
      <c r="Y287" s="8" t="str">
        <f t="shared" si="69"/>
        <v>Ấp Biển Tây A</v>
      </c>
    </row>
    <row r="288" spans="1:25" x14ac:dyDescent="0.25">
      <c r="A288" s="1" t="s">
        <v>58</v>
      </c>
      <c r="B288" s="2" t="s">
        <v>23</v>
      </c>
      <c r="C288" s="2" t="s">
        <v>146</v>
      </c>
      <c r="D288" s="10">
        <f t="shared" ca="1" si="56"/>
        <v>52</v>
      </c>
      <c r="E288" s="2" t="s">
        <v>25</v>
      </c>
      <c r="F288" s="3">
        <v>158</v>
      </c>
      <c r="G288" s="3">
        <v>58</v>
      </c>
      <c r="H288" s="11">
        <f t="shared" si="57"/>
        <v>23.233456176894723</v>
      </c>
      <c r="I288" s="2">
        <v>80</v>
      </c>
      <c r="J288" s="3">
        <v>150</v>
      </c>
      <c r="K288" s="3">
        <v>80</v>
      </c>
      <c r="L288" s="10">
        <f t="shared" si="58"/>
        <v>0</v>
      </c>
      <c r="M288" s="10">
        <f t="shared" ca="1" si="59"/>
        <v>2</v>
      </c>
      <c r="N288" s="10">
        <f t="shared" si="60"/>
        <v>4</v>
      </c>
      <c r="O288" s="10">
        <f t="shared" si="61"/>
        <v>3</v>
      </c>
      <c r="P288" s="10">
        <f t="shared" si="62"/>
        <v>2</v>
      </c>
      <c r="Q288" s="10">
        <f t="shared" si="63"/>
        <v>2</v>
      </c>
      <c r="R288" s="10">
        <f t="shared" ca="1" si="64"/>
        <v>13</v>
      </c>
      <c r="S288" s="10" t="str">
        <f t="shared" ca="1" si="65"/>
        <v>Có</v>
      </c>
      <c r="T288" s="10" t="str">
        <f t="shared" ca="1" si="66"/>
        <v>Có</v>
      </c>
      <c r="U288" s="10" t="str">
        <f t="shared" si="67"/>
        <v>Có</v>
      </c>
      <c r="V288" s="2" t="s">
        <v>60</v>
      </c>
      <c r="W288" s="4">
        <v>46112</v>
      </c>
      <c r="X288" s="8" t="str">
        <f t="shared" si="68"/>
        <v>Tháng 3</v>
      </c>
      <c r="Y288" s="8" t="str">
        <f t="shared" si="69"/>
        <v>ấp Biển Đông A</v>
      </c>
    </row>
    <row r="289" spans="1:25" x14ac:dyDescent="0.25">
      <c r="A289" s="1" t="s">
        <v>456</v>
      </c>
      <c r="B289" s="2" t="s">
        <v>30</v>
      </c>
      <c r="C289" s="2" t="s">
        <v>47</v>
      </c>
      <c r="D289" s="10">
        <f t="shared" ca="1" si="56"/>
        <v>55</v>
      </c>
      <c r="E289" s="2" t="s">
        <v>26</v>
      </c>
      <c r="F289" s="3">
        <v>169</v>
      </c>
      <c r="G289" s="3">
        <v>58</v>
      </c>
      <c r="H289" s="11">
        <f t="shared" si="57"/>
        <v>20.307412205454995</v>
      </c>
      <c r="I289" s="2">
        <v>76</v>
      </c>
      <c r="J289" s="3">
        <v>120</v>
      </c>
      <c r="K289" s="3">
        <v>80</v>
      </c>
      <c r="L289" s="10">
        <f t="shared" si="58"/>
        <v>2</v>
      </c>
      <c r="M289" s="10">
        <f t="shared" ca="1" si="59"/>
        <v>2</v>
      </c>
      <c r="N289" s="10">
        <f t="shared" si="60"/>
        <v>0</v>
      </c>
      <c r="O289" s="10">
        <f t="shared" si="61"/>
        <v>0</v>
      </c>
      <c r="P289" s="10">
        <f t="shared" si="62"/>
        <v>0</v>
      </c>
      <c r="Q289" s="10">
        <f t="shared" si="63"/>
        <v>0</v>
      </c>
      <c r="R289" s="10">
        <f t="shared" ca="1" si="64"/>
        <v>4</v>
      </c>
      <c r="S289" s="10" t="str">
        <f t="shared" ca="1" si="65"/>
        <v>Không cần</v>
      </c>
      <c r="T289" s="10" t="str">
        <f t="shared" ca="1" si="66"/>
        <v>Không</v>
      </c>
      <c r="U289" s="10" t="str">
        <f t="shared" si="67"/>
        <v>Không</v>
      </c>
      <c r="V289" s="2" t="s">
        <v>111</v>
      </c>
      <c r="W289" s="4">
        <v>46081</v>
      </c>
      <c r="X289" s="8" t="str">
        <f t="shared" si="68"/>
        <v>Tháng 2</v>
      </c>
      <c r="Y289" s="8" t="str">
        <f t="shared" si="69"/>
        <v>Phường Vĩnh Trạch</v>
      </c>
    </row>
    <row r="290" spans="1:25" x14ac:dyDescent="0.25">
      <c r="A290" s="1" t="s">
        <v>457</v>
      </c>
      <c r="B290" s="2" t="s">
        <v>23</v>
      </c>
      <c r="C290" s="2" t="s">
        <v>80</v>
      </c>
      <c r="D290" s="10">
        <f t="shared" ca="1" si="56"/>
        <v>71</v>
      </c>
      <c r="E290" s="2" t="s">
        <v>26</v>
      </c>
      <c r="F290" s="3">
        <v>150</v>
      </c>
      <c r="G290" s="3">
        <v>46</v>
      </c>
      <c r="H290" s="11">
        <f t="shared" si="57"/>
        <v>20.444444444444443</v>
      </c>
      <c r="I290" s="2">
        <v>86</v>
      </c>
      <c r="J290" s="3">
        <v>120</v>
      </c>
      <c r="K290" s="3">
        <v>80</v>
      </c>
      <c r="L290" s="10">
        <f t="shared" si="58"/>
        <v>0</v>
      </c>
      <c r="M290" s="10">
        <f t="shared" ca="1" si="59"/>
        <v>2</v>
      </c>
      <c r="N290" s="10">
        <f t="shared" si="60"/>
        <v>0</v>
      </c>
      <c r="O290" s="10">
        <f t="shared" si="61"/>
        <v>0</v>
      </c>
      <c r="P290" s="10">
        <f t="shared" si="62"/>
        <v>2</v>
      </c>
      <c r="Q290" s="10">
        <f t="shared" si="63"/>
        <v>0</v>
      </c>
      <c r="R290" s="10">
        <f t="shared" ca="1" si="64"/>
        <v>4</v>
      </c>
      <c r="S290" s="10" t="str">
        <f t="shared" ca="1" si="65"/>
        <v>Không cần</v>
      </c>
      <c r="T290" s="10" t="str">
        <f t="shared" ca="1" si="66"/>
        <v>Không</v>
      </c>
      <c r="U290" s="10" t="str">
        <f t="shared" si="67"/>
        <v>Không</v>
      </c>
      <c r="V290" s="2" t="s">
        <v>160</v>
      </c>
      <c r="W290" s="4">
        <v>46142</v>
      </c>
      <c r="X290" s="8" t="str">
        <f t="shared" si="68"/>
        <v>Tháng 4</v>
      </c>
      <c r="Y290" s="8" t="str">
        <f t="shared" si="69"/>
        <v>Ấp Giồng Nhãn</v>
      </c>
    </row>
    <row r="291" spans="1:25" x14ac:dyDescent="0.25">
      <c r="A291" s="1" t="s">
        <v>458</v>
      </c>
      <c r="B291" s="2" t="s">
        <v>30</v>
      </c>
      <c r="C291" s="2" t="s">
        <v>76</v>
      </c>
      <c r="D291" s="10">
        <f t="shared" ca="1" si="56"/>
        <v>68</v>
      </c>
      <c r="E291" s="2" t="s">
        <v>26</v>
      </c>
      <c r="F291" s="3">
        <v>158</v>
      </c>
      <c r="G291" s="3">
        <v>68</v>
      </c>
      <c r="H291" s="11">
        <f t="shared" si="57"/>
        <v>27.239224483255885</v>
      </c>
      <c r="I291" s="2">
        <v>71</v>
      </c>
      <c r="J291" s="3">
        <v>150</v>
      </c>
      <c r="K291" s="3">
        <v>80</v>
      </c>
      <c r="L291" s="10">
        <f t="shared" si="58"/>
        <v>2</v>
      </c>
      <c r="M291" s="10">
        <f t="shared" ca="1" si="59"/>
        <v>2</v>
      </c>
      <c r="N291" s="10">
        <f t="shared" si="60"/>
        <v>0</v>
      </c>
      <c r="O291" s="10">
        <f t="shared" si="61"/>
        <v>3</v>
      </c>
      <c r="P291" s="10">
        <f t="shared" si="62"/>
        <v>0</v>
      </c>
      <c r="Q291" s="10">
        <f t="shared" si="63"/>
        <v>2</v>
      </c>
      <c r="R291" s="10">
        <f t="shared" ca="1" si="64"/>
        <v>9</v>
      </c>
      <c r="S291" s="10" t="str">
        <f t="shared" ca="1" si="65"/>
        <v>Có</v>
      </c>
      <c r="T291" s="10" t="str">
        <f t="shared" ca="1" si="66"/>
        <v>Có</v>
      </c>
      <c r="U291" s="10" t="str">
        <f t="shared" si="67"/>
        <v>Có</v>
      </c>
      <c r="V291" s="2" t="s">
        <v>459</v>
      </c>
      <c r="W291" s="4">
        <v>46142</v>
      </c>
      <c r="X291" s="8" t="str">
        <f t="shared" si="68"/>
        <v>Tháng 4</v>
      </c>
      <c r="Y291" s="8" t="str">
        <f t="shared" si="69"/>
        <v>Ấp Phước Hậu</v>
      </c>
    </row>
    <row r="292" spans="1:25" x14ac:dyDescent="0.25">
      <c r="A292" s="1" t="s">
        <v>460</v>
      </c>
      <c r="B292" s="2" t="s">
        <v>23</v>
      </c>
      <c r="C292" s="2" t="s">
        <v>37</v>
      </c>
      <c r="D292" s="10">
        <f t="shared" ca="1" si="56"/>
        <v>75</v>
      </c>
      <c r="E292" s="2" t="s">
        <v>26</v>
      </c>
      <c r="F292" s="3">
        <v>160</v>
      </c>
      <c r="G292" s="3">
        <v>83</v>
      </c>
      <c r="H292" s="11">
        <f t="shared" si="57"/>
        <v>32.421874999999993</v>
      </c>
      <c r="I292" s="2">
        <v>87</v>
      </c>
      <c r="J292" s="3">
        <v>120</v>
      </c>
      <c r="K292" s="3">
        <v>80</v>
      </c>
      <c r="L292" s="10">
        <f t="shared" si="58"/>
        <v>0</v>
      </c>
      <c r="M292" s="10">
        <f t="shared" ca="1" si="59"/>
        <v>2</v>
      </c>
      <c r="N292" s="10">
        <f t="shared" si="60"/>
        <v>0</v>
      </c>
      <c r="O292" s="10">
        <f t="shared" si="61"/>
        <v>5</v>
      </c>
      <c r="P292" s="10">
        <f t="shared" si="62"/>
        <v>2</v>
      </c>
      <c r="Q292" s="10">
        <f t="shared" si="63"/>
        <v>0</v>
      </c>
      <c r="R292" s="10">
        <f t="shared" ca="1" si="64"/>
        <v>9</v>
      </c>
      <c r="S292" s="10" t="str">
        <f t="shared" ca="1" si="65"/>
        <v>Có</v>
      </c>
      <c r="T292" s="10" t="str">
        <f t="shared" ca="1" si="66"/>
        <v>Có</v>
      </c>
      <c r="U292" s="10" t="str">
        <f t="shared" si="67"/>
        <v>Không</v>
      </c>
      <c r="V292" s="2" t="s">
        <v>461</v>
      </c>
      <c r="W292" s="4">
        <v>46142</v>
      </c>
      <c r="X292" s="8" t="str">
        <f t="shared" si="68"/>
        <v>Tháng 4</v>
      </c>
      <c r="Y292" s="8" t="str">
        <f t="shared" si="69"/>
        <v xml:space="preserve">khóm giồng nhãn </v>
      </c>
    </row>
    <row r="293" spans="1:25" x14ac:dyDescent="0.25">
      <c r="A293" s="1" t="s">
        <v>462</v>
      </c>
      <c r="B293" s="2" t="s">
        <v>30</v>
      </c>
      <c r="C293" s="2" t="s">
        <v>62</v>
      </c>
      <c r="D293" s="10">
        <f t="shared" ca="1" si="56"/>
        <v>64</v>
      </c>
      <c r="E293" s="2" t="s">
        <v>26</v>
      </c>
      <c r="F293" s="3">
        <v>169</v>
      </c>
      <c r="G293" s="3">
        <v>68</v>
      </c>
      <c r="H293" s="11">
        <f t="shared" si="57"/>
        <v>23.808690171912751</v>
      </c>
      <c r="I293" s="2">
        <v>65</v>
      </c>
      <c r="J293" s="3">
        <v>120</v>
      </c>
      <c r="K293" s="3">
        <v>80</v>
      </c>
      <c r="L293" s="10">
        <f t="shared" si="58"/>
        <v>2</v>
      </c>
      <c r="M293" s="10">
        <f t="shared" ca="1" si="59"/>
        <v>2</v>
      </c>
      <c r="N293" s="10">
        <f t="shared" si="60"/>
        <v>0</v>
      </c>
      <c r="O293" s="10">
        <f t="shared" si="61"/>
        <v>3</v>
      </c>
      <c r="P293" s="10">
        <f t="shared" si="62"/>
        <v>0</v>
      </c>
      <c r="Q293" s="10">
        <f t="shared" si="63"/>
        <v>0</v>
      </c>
      <c r="R293" s="10">
        <f t="shared" ca="1" si="64"/>
        <v>7</v>
      </c>
      <c r="S293" s="10" t="str">
        <f t="shared" ca="1" si="65"/>
        <v>Có</v>
      </c>
      <c r="T293" s="10" t="str">
        <f t="shared" ca="1" si="66"/>
        <v>Có</v>
      </c>
      <c r="U293" s="10" t="str">
        <f t="shared" si="67"/>
        <v>Không</v>
      </c>
      <c r="V293" s="2" t="s">
        <v>38</v>
      </c>
      <c r="W293" s="4">
        <v>46142</v>
      </c>
      <c r="X293" s="8" t="str">
        <f t="shared" si="68"/>
        <v>Tháng 4</v>
      </c>
      <c r="Y293" s="8" t="str">
        <f t="shared" si="69"/>
        <v>Ấp Biển Đông B</v>
      </c>
    </row>
    <row r="294" spans="1:25" x14ac:dyDescent="0.25">
      <c r="A294" s="1" t="s">
        <v>463</v>
      </c>
      <c r="B294" s="2" t="s">
        <v>23</v>
      </c>
      <c r="C294" s="2" t="s">
        <v>64</v>
      </c>
      <c r="D294" s="10">
        <f t="shared" ca="1" si="56"/>
        <v>42</v>
      </c>
      <c r="E294" s="2" t="s">
        <v>26</v>
      </c>
      <c r="F294" s="3">
        <v>155</v>
      </c>
      <c r="G294" s="3">
        <v>56</v>
      </c>
      <c r="H294" s="11">
        <f t="shared" si="57"/>
        <v>23.309053069719038</v>
      </c>
      <c r="I294" s="2">
        <v>75</v>
      </c>
      <c r="J294" s="3">
        <v>120</v>
      </c>
      <c r="K294" s="3">
        <v>80</v>
      </c>
      <c r="L294" s="10">
        <f t="shared" si="58"/>
        <v>0</v>
      </c>
      <c r="M294" s="10">
        <f t="shared" ca="1" si="59"/>
        <v>0</v>
      </c>
      <c r="N294" s="10">
        <f t="shared" si="60"/>
        <v>0</v>
      </c>
      <c r="O294" s="10">
        <f t="shared" si="61"/>
        <v>3</v>
      </c>
      <c r="P294" s="10">
        <f t="shared" si="62"/>
        <v>0</v>
      </c>
      <c r="Q294" s="10">
        <f t="shared" si="63"/>
        <v>0</v>
      </c>
      <c r="R294" s="10">
        <f t="shared" ca="1" si="64"/>
        <v>3</v>
      </c>
      <c r="S294" s="10" t="str">
        <f t="shared" ca="1" si="65"/>
        <v>Không cần</v>
      </c>
      <c r="T294" s="10" t="str">
        <f t="shared" ca="1" si="66"/>
        <v>Không</v>
      </c>
      <c r="U294" s="10" t="str">
        <f t="shared" si="67"/>
        <v>Không</v>
      </c>
      <c r="V294" s="2" t="s">
        <v>51</v>
      </c>
      <c r="W294" s="4">
        <v>46081</v>
      </c>
      <c r="X294" s="8" t="str">
        <f t="shared" si="68"/>
        <v>Tháng 2</v>
      </c>
      <c r="Y294" s="8" t="str">
        <f t="shared" si="69"/>
        <v>Phường Hiệp Thành</v>
      </c>
    </row>
    <row r="295" spans="1:25" x14ac:dyDescent="0.25">
      <c r="A295" s="1" t="s">
        <v>464</v>
      </c>
      <c r="B295" s="2" t="s">
        <v>30</v>
      </c>
      <c r="C295" s="2" t="s">
        <v>146</v>
      </c>
      <c r="D295" s="10">
        <f t="shared" ca="1" si="56"/>
        <v>52</v>
      </c>
      <c r="E295" s="2" t="s">
        <v>25</v>
      </c>
      <c r="F295" s="3">
        <v>169</v>
      </c>
      <c r="G295" s="3">
        <v>69</v>
      </c>
      <c r="H295" s="11">
        <f t="shared" si="57"/>
        <v>24.158817968558527</v>
      </c>
      <c r="I295" s="2">
        <v>72</v>
      </c>
      <c r="J295" s="3">
        <v>140</v>
      </c>
      <c r="K295" s="3">
        <v>80</v>
      </c>
      <c r="L295" s="10">
        <f t="shared" si="58"/>
        <v>2</v>
      </c>
      <c r="M295" s="10">
        <f t="shared" ca="1" si="59"/>
        <v>2</v>
      </c>
      <c r="N295" s="10">
        <f t="shared" si="60"/>
        <v>4</v>
      </c>
      <c r="O295" s="10">
        <f t="shared" si="61"/>
        <v>3</v>
      </c>
      <c r="P295" s="10">
        <f t="shared" si="62"/>
        <v>0</v>
      </c>
      <c r="Q295" s="10">
        <f t="shared" si="63"/>
        <v>2</v>
      </c>
      <c r="R295" s="10">
        <f t="shared" ca="1" si="64"/>
        <v>13</v>
      </c>
      <c r="S295" s="10" t="str">
        <f t="shared" ca="1" si="65"/>
        <v>Có</v>
      </c>
      <c r="T295" s="10" t="str">
        <f t="shared" ca="1" si="66"/>
        <v>Có</v>
      </c>
      <c r="U295" s="10" t="str">
        <f t="shared" si="67"/>
        <v>Có</v>
      </c>
      <c r="V295" s="2" t="s">
        <v>68</v>
      </c>
      <c r="W295" s="4">
        <v>46081</v>
      </c>
      <c r="X295" s="8" t="str">
        <f t="shared" si="68"/>
        <v>Tháng 2</v>
      </c>
      <c r="Y295" s="8" t="str">
        <f t="shared" si="69"/>
        <v>Ấp Biển Tây B</v>
      </c>
    </row>
    <row r="296" spans="1:25" x14ac:dyDescent="0.25">
      <c r="A296" s="1" t="s">
        <v>465</v>
      </c>
      <c r="B296" s="2" t="s">
        <v>30</v>
      </c>
      <c r="C296" s="2" t="s">
        <v>138</v>
      </c>
      <c r="D296" s="10">
        <f t="shared" ca="1" si="56"/>
        <v>67</v>
      </c>
      <c r="E296" s="2" t="s">
        <v>26</v>
      </c>
      <c r="F296" s="3">
        <v>169</v>
      </c>
      <c r="G296" s="3">
        <v>68</v>
      </c>
      <c r="H296" s="11">
        <f t="shared" si="57"/>
        <v>23.808690171912751</v>
      </c>
      <c r="I296" s="2">
        <v>95</v>
      </c>
      <c r="J296" s="3">
        <v>130</v>
      </c>
      <c r="K296" s="3">
        <v>80</v>
      </c>
      <c r="L296" s="10">
        <f t="shared" si="58"/>
        <v>2</v>
      </c>
      <c r="M296" s="10">
        <f t="shared" ca="1" si="59"/>
        <v>2</v>
      </c>
      <c r="N296" s="10">
        <f t="shared" si="60"/>
        <v>0</v>
      </c>
      <c r="O296" s="10">
        <f t="shared" si="61"/>
        <v>3</v>
      </c>
      <c r="P296" s="10">
        <f t="shared" si="62"/>
        <v>2</v>
      </c>
      <c r="Q296" s="10">
        <f t="shared" si="63"/>
        <v>0</v>
      </c>
      <c r="R296" s="10">
        <f t="shared" ca="1" si="64"/>
        <v>9</v>
      </c>
      <c r="S296" s="10" t="str">
        <f t="shared" ca="1" si="65"/>
        <v>Có</v>
      </c>
      <c r="T296" s="10" t="str">
        <f t="shared" ca="1" si="66"/>
        <v>Có</v>
      </c>
      <c r="U296" s="10" t="str">
        <f t="shared" si="67"/>
        <v>Không</v>
      </c>
      <c r="V296" s="2" t="s">
        <v>68</v>
      </c>
      <c r="W296" s="4">
        <v>46112</v>
      </c>
      <c r="X296" s="8" t="str">
        <f t="shared" si="68"/>
        <v>Tháng 3</v>
      </c>
      <c r="Y296" s="8" t="str">
        <f t="shared" si="69"/>
        <v>Ấp Biển Tây B</v>
      </c>
    </row>
    <row r="297" spans="1:25" x14ac:dyDescent="0.25">
      <c r="A297" s="1" t="s">
        <v>466</v>
      </c>
      <c r="B297" s="2" t="s">
        <v>23</v>
      </c>
      <c r="C297" s="2" t="s">
        <v>90</v>
      </c>
      <c r="D297" s="10">
        <f t="shared" ca="1" si="56"/>
        <v>54</v>
      </c>
      <c r="E297" s="2" t="s">
        <v>26</v>
      </c>
      <c r="F297" s="3">
        <v>158</v>
      </c>
      <c r="G297" s="3">
        <v>58</v>
      </c>
      <c r="H297" s="11">
        <f t="shared" si="57"/>
        <v>23.233456176894723</v>
      </c>
      <c r="I297" s="2">
        <v>87</v>
      </c>
      <c r="J297" s="3">
        <v>120</v>
      </c>
      <c r="K297" s="3">
        <v>80</v>
      </c>
      <c r="L297" s="10">
        <f t="shared" si="58"/>
        <v>0</v>
      </c>
      <c r="M297" s="10">
        <f t="shared" ca="1" si="59"/>
        <v>2</v>
      </c>
      <c r="N297" s="10">
        <f t="shared" si="60"/>
        <v>0</v>
      </c>
      <c r="O297" s="10">
        <f t="shared" si="61"/>
        <v>3</v>
      </c>
      <c r="P297" s="10">
        <f t="shared" si="62"/>
        <v>2</v>
      </c>
      <c r="Q297" s="10">
        <f t="shared" si="63"/>
        <v>0</v>
      </c>
      <c r="R297" s="10">
        <f t="shared" ca="1" si="64"/>
        <v>7</v>
      </c>
      <c r="S297" s="10" t="str">
        <f t="shared" ca="1" si="65"/>
        <v>Có</v>
      </c>
      <c r="T297" s="10" t="str">
        <f t="shared" ca="1" si="66"/>
        <v>Có</v>
      </c>
      <c r="U297" s="10" t="str">
        <f t="shared" si="67"/>
        <v>Không</v>
      </c>
      <c r="V297" s="2" t="s">
        <v>32</v>
      </c>
      <c r="W297" s="4">
        <v>46142</v>
      </c>
      <c r="X297" s="8" t="str">
        <f t="shared" si="68"/>
        <v>Tháng 4</v>
      </c>
      <c r="Y297" s="8" t="str">
        <f t="shared" si="69"/>
        <v>Ấp Giồng Giữa B</v>
      </c>
    </row>
    <row r="298" spans="1:25" x14ac:dyDescent="0.25">
      <c r="A298" s="1" t="s">
        <v>467</v>
      </c>
      <c r="B298" s="2" t="s">
        <v>23</v>
      </c>
      <c r="C298" s="2" t="s">
        <v>76</v>
      </c>
      <c r="D298" s="10">
        <f t="shared" ca="1" si="56"/>
        <v>68</v>
      </c>
      <c r="E298" s="2" t="s">
        <v>26</v>
      </c>
      <c r="F298" s="3">
        <v>158</v>
      </c>
      <c r="G298" s="3">
        <v>58</v>
      </c>
      <c r="H298" s="11">
        <f t="shared" si="57"/>
        <v>23.233456176894723</v>
      </c>
      <c r="I298" s="2">
        <v>90</v>
      </c>
      <c r="J298" s="3">
        <v>150</v>
      </c>
      <c r="K298" s="3">
        <v>80</v>
      </c>
      <c r="L298" s="10">
        <f t="shared" si="58"/>
        <v>0</v>
      </c>
      <c r="M298" s="10">
        <f t="shared" ca="1" si="59"/>
        <v>2</v>
      </c>
      <c r="N298" s="10">
        <f t="shared" si="60"/>
        <v>0</v>
      </c>
      <c r="O298" s="10">
        <f t="shared" si="61"/>
        <v>3</v>
      </c>
      <c r="P298" s="10">
        <f t="shared" si="62"/>
        <v>2</v>
      </c>
      <c r="Q298" s="10">
        <f t="shared" si="63"/>
        <v>2</v>
      </c>
      <c r="R298" s="10">
        <f t="shared" ca="1" si="64"/>
        <v>9</v>
      </c>
      <c r="S298" s="10" t="str">
        <f t="shared" ca="1" si="65"/>
        <v>Có</v>
      </c>
      <c r="T298" s="10" t="str">
        <f t="shared" ca="1" si="66"/>
        <v>Có</v>
      </c>
      <c r="U298" s="10" t="str">
        <f t="shared" si="67"/>
        <v>Có</v>
      </c>
      <c r="V298" s="2" t="s">
        <v>218</v>
      </c>
      <c r="W298" s="4">
        <v>46112</v>
      </c>
      <c r="X298" s="8" t="str">
        <f t="shared" si="68"/>
        <v>Tháng 3</v>
      </c>
      <c r="Y298" s="8" t="str">
        <f t="shared" si="69"/>
        <v>Biển Đông B</v>
      </c>
    </row>
    <row r="299" spans="1:25" x14ac:dyDescent="0.25">
      <c r="A299" s="1" t="s">
        <v>468</v>
      </c>
      <c r="B299" s="2" t="s">
        <v>30</v>
      </c>
      <c r="C299" s="2" t="s">
        <v>110</v>
      </c>
      <c r="D299" s="10">
        <f t="shared" ca="1" si="56"/>
        <v>62</v>
      </c>
      <c r="E299" s="2" t="s">
        <v>26</v>
      </c>
      <c r="F299" s="3">
        <v>170</v>
      </c>
      <c r="G299" s="3">
        <v>85</v>
      </c>
      <c r="H299" s="11">
        <f t="shared" si="57"/>
        <v>29.411764705882355</v>
      </c>
      <c r="I299" s="2">
        <v>76</v>
      </c>
      <c r="J299" s="3">
        <v>120</v>
      </c>
      <c r="K299" s="3">
        <v>80</v>
      </c>
      <c r="L299" s="10">
        <f t="shared" si="58"/>
        <v>2</v>
      </c>
      <c r="M299" s="10">
        <f t="shared" ca="1" si="59"/>
        <v>2</v>
      </c>
      <c r="N299" s="10">
        <f t="shared" si="60"/>
        <v>0</v>
      </c>
      <c r="O299" s="10">
        <f t="shared" si="61"/>
        <v>5</v>
      </c>
      <c r="P299" s="10">
        <f t="shared" si="62"/>
        <v>0</v>
      </c>
      <c r="Q299" s="10">
        <f t="shared" si="63"/>
        <v>0</v>
      </c>
      <c r="R299" s="10">
        <f t="shared" ca="1" si="64"/>
        <v>9</v>
      </c>
      <c r="S299" s="10" t="str">
        <f t="shared" ca="1" si="65"/>
        <v>Có</v>
      </c>
      <c r="T299" s="10" t="str">
        <f t="shared" ca="1" si="66"/>
        <v>Có</v>
      </c>
      <c r="U299" s="10" t="str">
        <f t="shared" si="67"/>
        <v>Không</v>
      </c>
      <c r="V299" s="2" t="s">
        <v>160</v>
      </c>
      <c r="W299" s="4">
        <v>46142</v>
      </c>
      <c r="X299" s="8" t="str">
        <f t="shared" si="68"/>
        <v>Tháng 4</v>
      </c>
      <c r="Y299" s="8" t="str">
        <f t="shared" si="69"/>
        <v>Ấp Giồng Nhãn</v>
      </c>
    </row>
    <row r="300" spans="1:25" x14ac:dyDescent="0.25">
      <c r="A300" s="1" t="s">
        <v>469</v>
      </c>
      <c r="B300" s="2" t="s">
        <v>30</v>
      </c>
      <c r="C300" s="2" t="s">
        <v>34</v>
      </c>
      <c r="D300" s="10">
        <f t="shared" ca="1" si="56"/>
        <v>78</v>
      </c>
      <c r="E300" s="2" t="s">
        <v>26</v>
      </c>
      <c r="F300" s="3">
        <v>169</v>
      </c>
      <c r="G300" s="3">
        <v>58</v>
      </c>
      <c r="H300" s="11">
        <f t="shared" si="57"/>
        <v>20.307412205454995</v>
      </c>
      <c r="I300" s="2">
        <v>93</v>
      </c>
      <c r="J300" s="3">
        <v>150</v>
      </c>
      <c r="K300" s="3">
        <v>80</v>
      </c>
      <c r="L300" s="10">
        <f t="shared" si="58"/>
        <v>2</v>
      </c>
      <c r="M300" s="10">
        <f t="shared" ca="1" si="59"/>
        <v>2</v>
      </c>
      <c r="N300" s="10">
        <f t="shared" si="60"/>
        <v>0</v>
      </c>
      <c r="O300" s="10">
        <f t="shared" si="61"/>
        <v>0</v>
      </c>
      <c r="P300" s="10">
        <f t="shared" si="62"/>
        <v>2</v>
      </c>
      <c r="Q300" s="10">
        <f t="shared" si="63"/>
        <v>2</v>
      </c>
      <c r="R300" s="10">
        <f t="shared" ca="1" si="64"/>
        <v>8</v>
      </c>
      <c r="S300" s="10" t="str">
        <f t="shared" ca="1" si="65"/>
        <v>Có</v>
      </c>
      <c r="T300" s="10" t="str">
        <f t="shared" ca="1" si="66"/>
        <v>Có</v>
      </c>
      <c r="U300" s="10" t="str">
        <f t="shared" si="67"/>
        <v>Có</v>
      </c>
      <c r="V300" s="2" t="s">
        <v>60</v>
      </c>
      <c r="W300" s="4">
        <v>46142</v>
      </c>
      <c r="X300" s="8" t="str">
        <f t="shared" si="68"/>
        <v>Tháng 4</v>
      </c>
      <c r="Y300" s="8" t="str">
        <f t="shared" si="69"/>
        <v>ấp Biển Đông A</v>
      </c>
    </row>
    <row r="301" spans="1:25" x14ac:dyDescent="0.25">
      <c r="A301" s="1" t="s">
        <v>470</v>
      </c>
      <c r="B301" s="2" t="s">
        <v>23</v>
      </c>
      <c r="C301" s="2" t="s">
        <v>133</v>
      </c>
      <c r="D301" s="10">
        <f t="shared" ca="1" si="56"/>
        <v>56</v>
      </c>
      <c r="E301" s="2" t="s">
        <v>25</v>
      </c>
      <c r="F301" s="3">
        <v>156</v>
      </c>
      <c r="G301" s="3">
        <v>73</v>
      </c>
      <c r="H301" s="11">
        <f t="shared" si="57"/>
        <v>29.996712689020377</v>
      </c>
      <c r="I301" s="2">
        <v>73</v>
      </c>
      <c r="J301" s="3">
        <v>130</v>
      </c>
      <c r="K301" s="3">
        <v>80</v>
      </c>
      <c r="L301" s="10">
        <f t="shared" si="58"/>
        <v>0</v>
      </c>
      <c r="M301" s="10">
        <f t="shared" ca="1" si="59"/>
        <v>2</v>
      </c>
      <c r="N301" s="10">
        <f t="shared" si="60"/>
        <v>4</v>
      </c>
      <c r="O301" s="10">
        <f t="shared" si="61"/>
        <v>5</v>
      </c>
      <c r="P301" s="10">
        <f t="shared" si="62"/>
        <v>0</v>
      </c>
      <c r="Q301" s="10">
        <f t="shared" si="63"/>
        <v>0</v>
      </c>
      <c r="R301" s="10">
        <f t="shared" ca="1" si="64"/>
        <v>11</v>
      </c>
      <c r="S301" s="10" t="str">
        <f t="shared" ca="1" si="65"/>
        <v>Có</v>
      </c>
      <c r="T301" s="10" t="str">
        <f t="shared" ca="1" si="66"/>
        <v>Có</v>
      </c>
      <c r="U301" s="10" t="str">
        <f t="shared" si="67"/>
        <v>Không</v>
      </c>
      <c r="V301" s="2" t="s">
        <v>122</v>
      </c>
      <c r="W301" s="4">
        <v>46142</v>
      </c>
      <c r="X301" s="8" t="str">
        <f t="shared" si="68"/>
        <v>Tháng 4</v>
      </c>
      <c r="Y301" s="8" t="str">
        <f t="shared" si="69"/>
        <v>Giồng Nhãn</v>
      </c>
    </row>
    <row r="302" spans="1:25" x14ac:dyDescent="0.25">
      <c r="A302" s="1" t="s">
        <v>471</v>
      </c>
      <c r="B302" s="2" t="s">
        <v>30</v>
      </c>
      <c r="C302" s="2" t="s">
        <v>93</v>
      </c>
      <c r="D302" s="10">
        <f t="shared" ca="1" si="56"/>
        <v>66</v>
      </c>
      <c r="E302" s="2" t="s">
        <v>26</v>
      </c>
      <c r="F302" s="3">
        <v>168</v>
      </c>
      <c r="G302" s="3">
        <v>75</v>
      </c>
      <c r="H302" s="11">
        <f t="shared" si="57"/>
        <v>26.573129251700685</v>
      </c>
      <c r="I302" s="2">
        <v>91</v>
      </c>
      <c r="J302" s="3">
        <v>120</v>
      </c>
      <c r="K302" s="3">
        <v>80</v>
      </c>
      <c r="L302" s="10">
        <f t="shared" si="58"/>
        <v>2</v>
      </c>
      <c r="M302" s="10">
        <f t="shared" ca="1" si="59"/>
        <v>2</v>
      </c>
      <c r="N302" s="10">
        <f t="shared" si="60"/>
        <v>0</v>
      </c>
      <c r="O302" s="10">
        <f t="shared" si="61"/>
        <v>3</v>
      </c>
      <c r="P302" s="10">
        <f t="shared" si="62"/>
        <v>2</v>
      </c>
      <c r="Q302" s="10">
        <f t="shared" si="63"/>
        <v>0</v>
      </c>
      <c r="R302" s="10">
        <f t="shared" ca="1" si="64"/>
        <v>9</v>
      </c>
      <c r="S302" s="10" t="str">
        <f t="shared" ca="1" si="65"/>
        <v>Có</v>
      </c>
      <c r="T302" s="10" t="str">
        <f t="shared" ca="1" si="66"/>
        <v>Có</v>
      </c>
      <c r="U302" s="10" t="str">
        <f t="shared" si="67"/>
        <v>Không</v>
      </c>
      <c r="V302" s="2" t="s">
        <v>472</v>
      </c>
      <c r="W302" s="4">
        <v>46142</v>
      </c>
      <c r="X302" s="8" t="str">
        <f t="shared" si="68"/>
        <v>Tháng 4</v>
      </c>
      <c r="Y302" s="8" t="str">
        <f t="shared" si="69"/>
        <v>Khóm Nhà Mát Phường Hiệp Thành</v>
      </c>
    </row>
    <row r="303" spans="1:25" x14ac:dyDescent="0.25">
      <c r="A303" s="1" t="s">
        <v>473</v>
      </c>
      <c r="B303" s="2" t="s">
        <v>23</v>
      </c>
      <c r="C303" s="2" t="s">
        <v>50</v>
      </c>
      <c r="D303" s="10">
        <f t="shared" ca="1" si="56"/>
        <v>58</v>
      </c>
      <c r="E303" s="2" t="s">
        <v>26</v>
      </c>
      <c r="F303" s="3">
        <v>158</v>
      </c>
      <c r="G303" s="3">
        <v>58</v>
      </c>
      <c r="H303" s="11">
        <f t="shared" si="57"/>
        <v>23.233456176894723</v>
      </c>
      <c r="I303" s="2">
        <v>90</v>
      </c>
      <c r="J303" s="3">
        <v>140</v>
      </c>
      <c r="K303" s="3">
        <v>80</v>
      </c>
      <c r="L303" s="10">
        <f t="shared" si="58"/>
        <v>0</v>
      </c>
      <c r="M303" s="10">
        <f t="shared" ca="1" si="59"/>
        <v>2</v>
      </c>
      <c r="N303" s="10">
        <f t="shared" si="60"/>
        <v>0</v>
      </c>
      <c r="O303" s="10">
        <f t="shared" si="61"/>
        <v>3</v>
      </c>
      <c r="P303" s="10">
        <f t="shared" si="62"/>
        <v>2</v>
      </c>
      <c r="Q303" s="10">
        <f t="shared" si="63"/>
        <v>2</v>
      </c>
      <c r="R303" s="10">
        <f t="shared" ca="1" si="64"/>
        <v>9</v>
      </c>
      <c r="S303" s="10" t="str">
        <f t="shared" ca="1" si="65"/>
        <v>Có</v>
      </c>
      <c r="T303" s="10" t="str">
        <f t="shared" ca="1" si="66"/>
        <v>Có</v>
      </c>
      <c r="U303" s="10" t="str">
        <f t="shared" si="67"/>
        <v>Có</v>
      </c>
      <c r="V303" s="2" t="s">
        <v>51</v>
      </c>
      <c r="W303" s="4">
        <v>46081</v>
      </c>
      <c r="X303" s="8" t="str">
        <f t="shared" si="68"/>
        <v>Tháng 2</v>
      </c>
      <c r="Y303" s="8" t="str">
        <f t="shared" si="69"/>
        <v>Phường Hiệp Thành</v>
      </c>
    </row>
    <row r="304" spans="1:25" x14ac:dyDescent="0.25">
      <c r="A304" s="1" t="s">
        <v>474</v>
      </c>
      <c r="B304" s="2" t="s">
        <v>30</v>
      </c>
      <c r="C304" s="2" t="s">
        <v>110</v>
      </c>
      <c r="D304" s="10">
        <f t="shared" ca="1" si="56"/>
        <v>62</v>
      </c>
      <c r="E304" s="2" t="s">
        <v>26</v>
      </c>
      <c r="F304" s="3">
        <v>169</v>
      </c>
      <c r="G304" s="3">
        <v>68</v>
      </c>
      <c r="H304" s="11">
        <f t="shared" si="57"/>
        <v>23.808690171912751</v>
      </c>
      <c r="I304" s="2">
        <v>71</v>
      </c>
      <c r="J304" s="3">
        <v>150</v>
      </c>
      <c r="K304" s="3">
        <v>80</v>
      </c>
      <c r="L304" s="10">
        <f t="shared" si="58"/>
        <v>2</v>
      </c>
      <c r="M304" s="10">
        <f t="shared" ca="1" si="59"/>
        <v>2</v>
      </c>
      <c r="N304" s="10">
        <f t="shared" si="60"/>
        <v>0</v>
      </c>
      <c r="O304" s="10">
        <f t="shared" si="61"/>
        <v>3</v>
      </c>
      <c r="P304" s="10">
        <f t="shared" si="62"/>
        <v>0</v>
      </c>
      <c r="Q304" s="10">
        <f t="shared" si="63"/>
        <v>2</v>
      </c>
      <c r="R304" s="10">
        <f t="shared" ca="1" si="64"/>
        <v>9</v>
      </c>
      <c r="S304" s="10" t="str">
        <f t="shared" ca="1" si="65"/>
        <v>Có</v>
      </c>
      <c r="T304" s="10" t="str">
        <f t="shared" ca="1" si="66"/>
        <v>Có</v>
      </c>
      <c r="U304" s="10" t="str">
        <f t="shared" si="67"/>
        <v>Có</v>
      </c>
      <c r="V304" s="2" t="s">
        <v>218</v>
      </c>
      <c r="W304" s="4">
        <v>46112</v>
      </c>
      <c r="X304" s="8" t="str">
        <f t="shared" si="68"/>
        <v>Tháng 3</v>
      </c>
      <c r="Y304" s="8" t="str">
        <f t="shared" si="69"/>
        <v>Biển Đông B</v>
      </c>
    </row>
    <row r="305" spans="1:25" x14ac:dyDescent="0.25">
      <c r="A305" s="1" t="s">
        <v>475</v>
      </c>
      <c r="B305" s="2" t="s">
        <v>30</v>
      </c>
      <c r="C305" s="2" t="s">
        <v>45</v>
      </c>
      <c r="D305" s="10">
        <f t="shared" ca="1" si="56"/>
        <v>50</v>
      </c>
      <c r="E305" s="2" t="s">
        <v>26</v>
      </c>
      <c r="F305" s="3">
        <v>170</v>
      </c>
      <c r="G305" s="3">
        <v>70</v>
      </c>
      <c r="H305" s="11">
        <f t="shared" si="57"/>
        <v>24.221453287197235</v>
      </c>
      <c r="I305" s="2">
        <v>96</v>
      </c>
      <c r="J305" s="3">
        <v>120</v>
      </c>
      <c r="K305" s="3">
        <v>80</v>
      </c>
      <c r="L305" s="10">
        <f t="shared" si="58"/>
        <v>2</v>
      </c>
      <c r="M305" s="10">
        <f t="shared" ca="1" si="59"/>
        <v>2</v>
      </c>
      <c r="N305" s="10">
        <f t="shared" si="60"/>
        <v>0</v>
      </c>
      <c r="O305" s="10">
        <f t="shared" si="61"/>
        <v>3</v>
      </c>
      <c r="P305" s="10">
        <f t="shared" si="62"/>
        <v>2</v>
      </c>
      <c r="Q305" s="10">
        <f t="shared" si="63"/>
        <v>0</v>
      </c>
      <c r="R305" s="10">
        <f t="shared" ca="1" si="64"/>
        <v>9</v>
      </c>
      <c r="S305" s="10" t="str">
        <f t="shared" ca="1" si="65"/>
        <v>Có</v>
      </c>
      <c r="T305" s="10" t="str">
        <f t="shared" ca="1" si="66"/>
        <v>Có</v>
      </c>
      <c r="U305" s="10" t="str">
        <f t="shared" si="67"/>
        <v>Không</v>
      </c>
      <c r="V305" s="2" t="s">
        <v>476</v>
      </c>
      <c r="W305" s="4">
        <v>46081</v>
      </c>
      <c r="X305" s="8" t="str">
        <f t="shared" si="68"/>
        <v>Tháng 2</v>
      </c>
      <c r="Y305" s="8" t="str">
        <f t="shared" si="69"/>
        <v>khóm Biển Đông B</v>
      </c>
    </row>
    <row r="306" spans="1:25" x14ac:dyDescent="0.25">
      <c r="A306" s="1" t="s">
        <v>477</v>
      </c>
      <c r="B306" s="2" t="s">
        <v>23</v>
      </c>
      <c r="C306" s="2" t="s">
        <v>130</v>
      </c>
      <c r="D306" s="10">
        <f t="shared" ca="1" si="56"/>
        <v>57</v>
      </c>
      <c r="E306" s="2" t="s">
        <v>26</v>
      </c>
      <c r="F306" s="3">
        <v>150</v>
      </c>
      <c r="G306" s="3">
        <v>50</v>
      </c>
      <c r="H306" s="11">
        <f t="shared" si="57"/>
        <v>22.222222222222221</v>
      </c>
      <c r="I306" s="2">
        <v>65</v>
      </c>
      <c r="J306" s="3">
        <v>120</v>
      </c>
      <c r="K306" s="3">
        <v>80</v>
      </c>
      <c r="L306" s="10">
        <f t="shared" si="58"/>
        <v>0</v>
      </c>
      <c r="M306" s="10">
        <f t="shared" ca="1" si="59"/>
        <v>2</v>
      </c>
      <c r="N306" s="10">
        <f t="shared" si="60"/>
        <v>0</v>
      </c>
      <c r="O306" s="10">
        <f t="shared" si="61"/>
        <v>0</v>
      </c>
      <c r="P306" s="10">
        <f t="shared" si="62"/>
        <v>0</v>
      </c>
      <c r="Q306" s="10">
        <f t="shared" si="63"/>
        <v>0</v>
      </c>
      <c r="R306" s="10">
        <f t="shared" ca="1" si="64"/>
        <v>2</v>
      </c>
      <c r="S306" s="10" t="str">
        <f t="shared" ca="1" si="65"/>
        <v>Không cần</v>
      </c>
      <c r="T306" s="10" t="str">
        <f t="shared" ca="1" si="66"/>
        <v>Không</v>
      </c>
      <c r="U306" s="10" t="str">
        <f t="shared" si="67"/>
        <v>Không</v>
      </c>
      <c r="V306" s="2" t="s">
        <v>478</v>
      </c>
      <c r="W306" s="4">
        <v>46142</v>
      </c>
      <c r="X306" s="8" t="str">
        <f t="shared" si="68"/>
        <v>Tháng 4</v>
      </c>
      <c r="Y306" s="8" t="str">
        <f t="shared" si="69"/>
        <v>Giồng nhãn A</v>
      </c>
    </row>
    <row r="307" spans="1:25" x14ac:dyDescent="0.25">
      <c r="A307" s="1" t="s">
        <v>479</v>
      </c>
      <c r="B307" s="2" t="s">
        <v>30</v>
      </c>
      <c r="C307" s="2" t="s">
        <v>256</v>
      </c>
      <c r="D307" s="10">
        <f t="shared" ca="1" si="56"/>
        <v>41</v>
      </c>
      <c r="E307" s="2" t="s">
        <v>26</v>
      </c>
      <c r="F307" s="3">
        <v>167</v>
      </c>
      <c r="G307" s="3">
        <v>61</v>
      </c>
      <c r="H307" s="11">
        <f t="shared" si="57"/>
        <v>21.872422819032593</v>
      </c>
      <c r="I307" s="2">
        <v>75</v>
      </c>
      <c r="J307" s="3">
        <v>120</v>
      </c>
      <c r="K307" s="3">
        <v>80</v>
      </c>
      <c r="L307" s="10">
        <f t="shared" si="58"/>
        <v>2</v>
      </c>
      <c r="M307" s="10">
        <f t="shared" ca="1" si="59"/>
        <v>0</v>
      </c>
      <c r="N307" s="10">
        <f t="shared" si="60"/>
        <v>0</v>
      </c>
      <c r="O307" s="10">
        <f t="shared" si="61"/>
        <v>0</v>
      </c>
      <c r="P307" s="10">
        <f t="shared" si="62"/>
        <v>0</v>
      </c>
      <c r="Q307" s="10">
        <f t="shared" si="63"/>
        <v>0</v>
      </c>
      <c r="R307" s="10">
        <f t="shared" ca="1" si="64"/>
        <v>2</v>
      </c>
      <c r="S307" s="10" t="str">
        <f t="shared" ca="1" si="65"/>
        <v>Không cần</v>
      </c>
      <c r="T307" s="10" t="str">
        <f t="shared" ca="1" si="66"/>
        <v>Không</v>
      </c>
      <c r="U307" s="10" t="str">
        <f t="shared" si="67"/>
        <v>Không</v>
      </c>
      <c r="V307" s="2" t="s">
        <v>51</v>
      </c>
      <c r="W307" s="4">
        <v>46112</v>
      </c>
      <c r="X307" s="8" t="str">
        <f t="shared" si="68"/>
        <v>Tháng 3</v>
      </c>
      <c r="Y307" s="8" t="str">
        <f t="shared" si="69"/>
        <v>Phường Hiệp Thành</v>
      </c>
    </row>
    <row r="308" spans="1:25" x14ac:dyDescent="0.25">
      <c r="A308" s="1" t="s">
        <v>480</v>
      </c>
      <c r="B308" s="2" t="s">
        <v>30</v>
      </c>
      <c r="C308" s="2" t="s">
        <v>155</v>
      </c>
      <c r="D308" s="10">
        <f t="shared" ca="1" si="56"/>
        <v>53</v>
      </c>
      <c r="E308" s="2" t="s">
        <v>26</v>
      </c>
      <c r="F308" s="3">
        <v>166</v>
      </c>
      <c r="G308" s="3">
        <v>74</v>
      </c>
      <c r="H308" s="11">
        <f t="shared" si="57"/>
        <v>26.854405574103644</v>
      </c>
      <c r="I308" s="2">
        <v>83</v>
      </c>
      <c r="J308" s="3">
        <v>120</v>
      </c>
      <c r="K308" s="3">
        <v>80</v>
      </c>
      <c r="L308" s="10">
        <f t="shared" si="58"/>
        <v>2</v>
      </c>
      <c r="M308" s="10">
        <f t="shared" ca="1" si="59"/>
        <v>2</v>
      </c>
      <c r="N308" s="10">
        <f t="shared" si="60"/>
        <v>0</v>
      </c>
      <c r="O308" s="10">
        <f t="shared" si="61"/>
        <v>3</v>
      </c>
      <c r="P308" s="10">
        <f t="shared" si="62"/>
        <v>0</v>
      </c>
      <c r="Q308" s="10">
        <f t="shared" si="63"/>
        <v>0</v>
      </c>
      <c r="R308" s="10">
        <f t="shared" ca="1" si="64"/>
        <v>7</v>
      </c>
      <c r="S308" s="10" t="str">
        <f t="shared" ca="1" si="65"/>
        <v>Có</v>
      </c>
      <c r="T308" s="10" t="str">
        <f t="shared" ca="1" si="66"/>
        <v>Có</v>
      </c>
      <c r="U308" s="10" t="str">
        <f t="shared" si="67"/>
        <v>Không</v>
      </c>
      <c r="V308" s="2" t="s">
        <v>51</v>
      </c>
      <c r="W308" s="4">
        <v>46112</v>
      </c>
      <c r="X308" s="8" t="str">
        <f t="shared" si="68"/>
        <v>Tháng 3</v>
      </c>
      <c r="Y308" s="8" t="str">
        <f t="shared" si="69"/>
        <v>Phường Hiệp Thành</v>
      </c>
    </row>
    <row r="309" spans="1:25" x14ac:dyDescent="0.25">
      <c r="A309" s="1" t="s">
        <v>481</v>
      </c>
      <c r="B309" s="2" t="s">
        <v>23</v>
      </c>
      <c r="C309" s="2" t="s">
        <v>188</v>
      </c>
      <c r="D309" s="10">
        <f t="shared" ca="1" si="56"/>
        <v>63</v>
      </c>
      <c r="E309" s="2" t="s">
        <v>26</v>
      </c>
      <c r="F309" s="3">
        <v>157</v>
      </c>
      <c r="G309" s="3">
        <v>62</v>
      </c>
      <c r="H309" s="11">
        <f t="shared" si="57"/>
        <v>25.153150229218223</v>
      </c>
      <c r="I309" s="2">
        <v>73</v>
      </c>
      <c r="J309" s="3">
        <v>120</v>
      </c>
      <c r="K309" s="3">
        <v>70</v>
      </c>
      <c r="L309" s="10">
        <f t="shared" si="58"/>
        <v>0</v>
      </c>
      <c r="M309" s="10">
        <f t="shared" ca="1" si="59"/>
        <v>2</v>
      </c>
      <c r="N309" s="10">
        <f t="shared" si="60"/>
        <v>0</v>
      </c>
      <c r="O309" s="10">
        <f t="shared" si="61"/>
        <v>3</v>
      </c>
      <c r="P309" s="10">
        <f t="shared" si="62"/>
        <v>0</v>
      </c>
      <c r="Q309" s="10">
        <f t="shared" si="63"/>
        <v>0</v>
      </c>
      <c r="R309" s="10">
        <f t="shared" ca="1" si="64"/>
        <v>5</v>
      </c>
      <c r="S309" s="10" t="str">
        <f t="shared" ca="1" si="65"/>
        <v>Không cần</v>
      </c>
      <c r="T309" s="10" t="str">
        <f t="shared" ca="1" si="66"/>
        <v>Không</v>
      </c>
      <c r="U309" s="10" t="str">
        <f t="shared" si="67"/>
        <v>Không</v>
      </c>
      <c r="V309" s="2" t="s">
        <v>482</v>
      </c>
      <c r="W309" s="4">
        <v>46112</v>
      </c>
      <c r="X309" s="8" t="str">
        <f t="shared" si="68"/>
        <v>Tháng 3</v>
      </c>
      <c r="Y309" s="8" t="str">
        <f t="shared" si="69"/>
        <v>Vĩnh Mẫu</v>
      </c>
    </row>
    <row r="310" spans="1:25" x14ac:dyDescent="0.25">
      <c r="A310" s="1" t="s">
        <v>483</v>
      </c>
      <c r="B310" s="2" t="s">
        <v>23</v>
      </c>
      <c r="C310" s="2" t="s">
        <v>59</v>
      </c>
      <c r="D310" s="10">
        <f t="shared" ca="1" si="56"/>
        <v>74</v>
      </c>
      <c r="E310" s="2" t="s">
        <v>26</v>
      </c>
      <c r="F310" s="3">
        <v>158</v>
      </c>
      <c r="G310" s="3">
        <v>58</v>
      </c>
      <c r="H310" s="11">
        <f t="shared" si="57"/>
        <v>23.233456176894723</v>
      </c>
      <c r="I310" s="2">
        <v>68</v>
      </c>
      <c r="J310" s="3">
        <v>120</v>
      </c>
      <c r="K310" s="3">
        <v>80</v>
      </c>
      <c r="L310" s="10">
        <f t="shared" si="58"/>
        <v>0</v>
      </c>
      <c r="M310" s="10">
        <f t="shared" ca="1" si="59"/>
        <v>2</v>
      </c>
      <c r="N310" s="10">
        <f t="shared" si="60"/>
        <v>0</v>
      </c>
      <c r="O310" s="10">
        <f t="shared" si="61"/>
        <v>3</v>
      </c>
      <c r="P310" s="10">
        <f t="shared" si="62"/>
        <v>0</v>
      </c>
      <c r="Q310" s="10">
        <f t="shared" si="63"/>
        <v>0</v>
      </c>
      <c r="R310" s="10">
        <f t="shared" ca="1" si="64"/>
        <v>5</v>
      </c>
      <c r="S310" s="10" t="str">
        <f t="shared" ca="1" si="65"/>
        <v>Không cần</v>
      </c>
      <c r="T310" s="10" t="str">
        <f t="shared" ca="1" si="66"/>
        <v>Không</v>
      </c>
      <c r="U310" s="10" t="str">
        <f t="shared" si="67"/>
        <v>Không</v>
      </c>
      <c r="V310" s="2" t="s">
        <v>234</v>
      </c>
      <c r="W310" s="4">
        <v>46112</v>
      </c>
      <c r="X310" s="8" t="str">
        <f t="shared" si="68"/>
        <v>Tháng 3</v>
      </c>
      <c r="Y310" s="8" t="str">
        <f t="shared" si="69"/>
        <v>ấp Biển Đông B</v>
      </c>
    </row>
    <row r="311" spans="1:25" x14ac:dyDescent="0.25">
      <c r="A311" s="1" t="s">
        <v>484</v>
      </c>
      <c r="B311" s="2" t="s">
        <v>23</v>
      </c>
      <c r="C311" s="2" t="s">
        <v>67</v>
      </c>
      <c r="D311" s="10">
        <f t="shared" ca="1" si="56"/>
        <v>48</v>
      </c>
      <c r="E311" s="2" t="s">
        <v>26</v>
      </c>
      <c r="F311" s="3">
        <v>155</v>
      </c>
      <c r="G311" s="3">
        <v>55</v>
      </c>
      <c r="H311" s="11">
        <f t="shared" si="57"/>
        <v>22.892819979188342</v>
      </c>
      <c r="I311" s="2">
        <v>83</v>
      </c>
      <c r="J311" s="3">
        <v>120</v>
      </c>
      <c r="K311" s="3">
        <v>80</v>
      </c>
      <c r="L311" s="10">
        <f t="shared" si="58"/>
        <v>0</v>
      </c>
      <c r="M311" s="10">
        <f t="shared" ca="1" si="59"/>
        <v>1</v>
      </c>
      <c r="N311" s="10">
        <f t="shared" si="60"/>
        <v>0</v>
      </c>
      <c r="O311" s="10">
        <f t="shared" si="61"/>
        <v>0</v>
      </c>
      <c r="P311" s="10">
        <f t="shared" si="62"/>
        <v>2</v>
      </c>
      <c r="Q311" s="10">
        <f t="shared" si="63"/>
        <v>0</v>
      </c>
      <c r="R311" s="10">
        <f t="shared" ca="1" si="64"/>
        <v>3</v>
      </c>
      <c r="S311" s="10" t="str">
        <f t="shared" ca="1" si="65"/>
        <v>Không cần</v>
      </c>
      <c r="T311" s="10" t="str">
        <f t="shared" ca="1" si="66"/>
        <v>Không</v>
      </c>
      <c r="U311" s="10" t="str">
        <f t="shared" si="67"/>
        <v>Không</v>
      </c>
      <c r="V311" s="2" t="s">
        <v>160</v>
      </c>
      <c r="W311" s="4">
        <v>46112</v>
      </c>
      <c r="X311" s="8" t="str">
        <f t="shared" si="68"/>
        <v>Tháng 3</v>
      </c>
      <c r="Y311" s="8" t="str">
        <f t="shared" si="69"/>
        <v>Ấp Giồng Nhãn</v>
      </c>
    </row>
    <row r="312" spans="1:25" x14ac:dyDescent="0.25">
      <c r="A312" s="1" t="s">
        <v>485</v>
      </c>
      <c r="B312" s="2" t="s">
        <v>23</v>
      </c>
      <c r="C312" s="2" t="s">
        <v>203</v>
      </c>
      <c r="D312" s="10">
        <f t="shared" ca="1" si="56"/>
        <v>43</v>
      </c>
      <c r="E312" s="2" t="s">
        <v>26</v>
      </c>
      <c r="F312" s="3">
        <v>168</v>
      </c>
      <c r="G312" s="3">
        <v>60</v>
      </c>
      <c r="H312" s="11">
        <f t="shared" si="57"/>
        <v>21.258503401360546</v>
      </c>
      <c r="I312" s="2">
        <v>79</v>
      </c>
      <c r="J312" s="3">
        <v>120</v>
      </c>
      <c r="K312" s="3">
        <v>80</v>
      </c>
      <c r="L312" s="10">
        <f t="shared" si="58"/>
        <v>0</v>
      </c>
      <c r="M312" s="10">
        <f t="shared" ca="1" si="59"/>
        <v>0</v>
      </c>
      <c r="N312" s="10">
        <f t="shared" si="60"/>
        <v>0</v>
      </c>
      <c r="O312" s="10">
        <f t="shared" si="61"/>
        <v>0</v>
      </c>
      <c r="P312" s="10">
        <f t="shared" si="62"/>
        <v>0</v>
      </c>
      <c r="Q312" s="10">
        <f t="shared" si="63"/>
        <v>0</v>
      </c>
      <c r="R312" s="10">
        <f t="shared" ca="1" si="64"/>
        <v>0</v>
      </c>
      <c r="S312" s="10" t="str">
        <f t="shared" ca="1" si="65"/>
        <v>Không cần</v>
      </c>
      <c r="T312" s="10" t="str">
        <f t="shared" ca="1" si="66"/>
        <v>Không</v>
      </c>
      <c r="U312" s="10" t="str">
        <f t="shared" si="67"/>
        <v>Không</v>
      </c>
      <c r="V312" s="2" t="s">
        <v>51</v>
      </c>
      <c r="W312" s="4">
        <v>46112</v>
      </c>
      <c r="X312" s="8" t="str">
        <f t="shared" si="68"/>
        <v>Tháng 3</v>
      </c>
      <c r="Y312" s="8" t="str">
        <f t="shared" si="69"/>
        <v>Phường Hiệp Thành</v>
      </c>
    </row>
    <row r="313" spans="1:25" x14ac:dyDescent="0.25">
      <c r="A313" s="1" t="s">
        <v>486</v>
      </c>
      <c r="B313" s="2" t="s">
        <v>30</v>
      </c>
      <c r="C313" s="2" t="s">
        <v>50</v>
      </c>
      <c r="D313" s="10">
        <f t="shared" ca="1" si="56"/>
        <v>58</v>
      </c>
      <c r="E313" s="2" t="s">
        <v>25</v>
      </c>
      <c r="F313" s="3">
        <v>180</v>
      </c>
      <c r="G313" s="3">
        <v>98</v>
      </c>
      <c r="H313" s="11">
        <f t="shared" si="57"/>
        <v>30.246913580246911</v>
      </c>
      <c r="I313" s="2">
        <v>89</v>
      </c>
      <c r="J313" s="3">
        <v>120</v>
      </c>
      <c r="K313" s="3">
        <v>80</v>
      </c>
      <c r="L313" s="10">
        <f t="shared" si="58"/>
        <v>2</v>
      </c>
      <c r="M313" s="10">
        <f t="shared" ca="1" si="59"/>
        <v>2</v>
      </c>
      <c r="N313" s="10">
        <f t="shared" si="60"/>
        <v>4</v>
      </c>
      <c r="O313" s="10">
        <f t="shared" si="61"/>
        <v>5</v>
      </c>
      <c r="P313" s="10">
        <f t="shared" si="62"/>
        <v>0</v>
      </c>
      <c r="Q313" s="10">
        <f t="shared" si="63"/>
        <v>0</v>
      </c>
      <c r="R313" s="10">
        <f t="shared" ca="1" si="64"/>
        <v>13</v>
      </c>
      <c r="S313" s="10" t="str">
        <f t="shared" ca="1" si="65"/>
        <v>Có</v>
      </c>
      <c r="T313" s="10" t="str">
        <f t="shared" ca="1" si="66"/>
        <v>Có</v>
      </c>
      <c r="U313" s="10" t="str">
        <f t="shared" si="67"/>
        <v>Không</v>
      </c>
      <c r="V313" s="2" t="s">
        <v>91</v>
      </c>
      <c r="W313" s="4">
        <v>46112</v>
      </c>
      <c r="X313" s="8" t="str">
        <f t="shared" si="68"/>
        <v>Tháng 3</v>
      </c>
      <c r="Y313" s="8" t="str">
        <f t="shared" si="69"/>
        <v>Ấp Giồng Giữa</v>
      </c>
    </row>
    <row r="314" spans="1:25" x14ac:dyDescent="0.25">
      <c r="A314" s="1" t="s">
        <v>487</v>
      </c>
      <c r="B314" s="2" t="s">
        <v>23</v>
      </c>
      <c r="C314" s="2" t="s">
        <v>188</v>
      </c>
      <c r="D314" s="10">
        <f t="shared" ca="1" si="56"/>
        <v>63</v>
      </c>
      <c r="E314" s="2" t="s">
        <v>26</v>
      </c>
      <c r="F314" s="3">
        <v>170</v>
      </c>
      <c r="G314" s="3">
        <v>72</v>
      </c>
      <c r="H314" s="11">
        <f t="shared" si="57"/>
        <v>24.913494809688583</v>
      </c>
      <c r="I314" s="2">
        <v>85</v>
      </c>
      <c r="J314" s="3">
        <v>120</v>
      </c>
      <c r="K314" s="3">
        <v>80</v>
      </c>
      <c r="L314" s="10">
        <f t="shared" si="58"/>
        <v>0</v>
      </c>
      <c r="M314" s="10">
        <f t="shared" ca="1" si="59"/>
        <v>2</v>
      </c>
      <c r="N314" s="10">
        <f t="shared" si="60"/>
        <v>0</v>
      </c>
      <c r="O314" s="10">
        <f t="shared" si="61"/>
        <v>3</v>
      </c>
      <c r="P314" s="10">
        <f t="shared" si="62"/>
        <v>2</v>
      </c>
      <c r="Q314" s="10">
        <f t="shared" si="63"/>
        <v>0</v>
      </c>
      <c r="R314" s="10">
        <f t="shared" ca="1" si="64"/>
        <v>7</v>
      </c>
      <c r="S314" s="10" t="str">
        <f t="shared" ca="1" si="65"/>
        <v>Có</v>
      </c>
      <c r="T314" s="10" t="str">
        <f t="shared" ca="1" si="66"/>
        <v>Có</v>
      </c>
      <c r="U314" s="10" t="str">
        <f t="shared" si="67"/>
        <v>Không</v>
      </c>
      <c r="V314" s="2" t="s">
        <v>342</v>
      </c>
      <c r="W314" s="4">
        <v>46112</v>
      </c>
      <c r="X314" s="8" t="str">
        <f t="shared" si="68"/>
        <v>Tháng 3</v>
      </c>
      <c r="Y314" s="8" t="str">
        <f t="shared" si="69"/>
        <v>ấp Giồng nhãn A</v>
      </c>
    </row>
    <row r="315" spans="1:25" x14ac:dyDescent="0.25">
      <c r="A315" s="1" t="s">
        <v>488</v>
      </c>
      <c r="B315" s="2" t="s">
        <v>30</v>
      </c>
      <c r="C315" s="2" t="s">
        <v>42</v>
      </c>
      <c r="D315" s="10">
        <f t="shared" ca="1" si="56"/>
        <v>59</v>
      </c>
      <c r="E315" s="2" t="s">
        <v>26</v>
      </c>
      <c r="F315" s="3">
        <v>152</v>
      </c>
      <c r="G315" s="3">
        <v>55</v>
      </c>
      <c r="H315" s="11">
        <f t="shared" si="57"/>
        <v>23.80540166204986</v>
      </c>
      <c r="I315" s="2">
        <v>72</v>
      </c>
      <c r="J315" s="3">
        <v>120</v>
      </c>
      <c r="K315" s="3">
        <v>70</v>
      </c>
      <c r="L315" s="10">
        <f t="shared" si="58"/>
        <v>2</v>
      </c>
      <c r="M315" s="10">
        <f t="shared" ca="1" si="59"/>
        <v>2</v>
      </c>
      <c r="N315" s="10">
        <f t="shared" si="60"/>
        <v>0</v>
      </c>
      <c r="O315" s="10">
        <f t="shared" si="61"/>
        <v>3</v>
      </c>
      <c r="P315" s="10">
        <f t="shared" si="62"/>
        <v>0</v>
      </c>
      <c r="Q315" s="10">
        <f t="shared" si="63"/>
        <v>0</v>
      </c>
      <c r="R315" s="10">
        <f t="shared" ca="1" si="64"/>
        <v>7</v>
      </c>
      <c r="S315" s="10" t="str">
        <f t="shared" ca="1" si="65"/>
        <v>Có</v>
      </c>
      <c r="T315" s="10" t="str">
        <f t="shared" ca="1" si="66"/>
        <v>Có</v>
      </c>
      <c r="U315" s="10" t="str">
        <f t="shared" si="67"/>
        <v>Không</v>
      </c>
      <c r="V315" s="2" t="s">
        <v>51</v>
      </c>
      <c r="W315" s="4">
        <v>46112</v>
      </c>
      <c r="X315" s="8" t="str">
        <f t="shared" si="68"/>
        <v>Tháng 3</v>
      </c>
      <c r="Y315" s="8" t="str">
        <f t="shared" si="69"/>
        <v>Phường Hiệp Thành</v>
      </c>
    </row>
    <row r="316" spans="1:25" x14ac:dyDescent="0.25">
      <c r="A316" s="1" t="s">
        <v>489</v>
      </c>
      <c r="B316" s="2" t="s">
        <v>23</v>
      </c>
      <c r="C316" s="2" t="s">
        <v>42</v>
      </c>
      <c r="D316" s="10">
        <f t="shared" ca="1" si="56"/>
        <v>59</v>
      </c>
      <c r="E316" s="2" t="s">
        <v>26</v>
      </c>
      <c r="F316" s="3">
        <v>158</v>
      </c>
      <c r="G316" s="3">
        <v>58</v>
      </c>
      <c r="H316" s="11">
        <f t="shared" si="57"/>
        <v>23.233456176894723</v>
      </c>
      <c r="I316" s="2">
        <v>86</v>
      </c>
      <c r="J316" s="3">
        <v>120</v>
      </c>
      <c r="K316" s="3">
        <v>80</v>
      </c>
      <c r="L316" s="10">
        <f t="shared" si="58"/>
        <v>0</v>
      </c>
      <c r="M316" s="10">
        <f t="shared" ca="1" si="59"/>
        <v>2</v>
      </c>
      <c r="N316" s="10">
        <f t="shared" si="60"/>
        <v>0</v>
      </c>
      <c r="O316" s="10">
        <f t="shared" si="61"/>
        <v>3</v>
      </c>
      <c r="P316" s="10">
        <f t="shared" si="62"/>
        <v>2</v>
      </c>
      <c r="Q316" s="10">
        <f t="shared" si="63"/>
        <v>0</v>
      </c>
      <c r="R316" s="10">
        <f t="shared" ca="1" si="64"/>
        <v>7</v>
      </c>
      <c r="S316" s="10" t="str">
        <f t="shared" ca="1" si="65"/>
        <v>Có</v>
      </c>
      <c r="T316" s="10" t="str">
        <f t="shared" ca="1" si="66"/>
        <v>Có</v>
      </c>
      <c r="U316" s="10" t="str">
        <f t="shared" si="67"/>
        <v>Không</v>
      </c>
      <c r="V316" s="2" t="s">
        <v>218</v>
      </c>
      <c r="W316" s="4">
        <v>46112</v>
      </c>
      <c r="X316" s="8" t="str">
        <f t="shared" si="68"/>
        <v>Tháng 3</v>
      </c>
      <c r="Y316" s="8" t="str">
        <f t="shared" si="69"/>
        <v>Biển Đông B</v>
      </c>
    </row>
    <row r="317" spans="1:25" x14ac:dyDescent="0.25">
      <c r="A317" s="1" t="s">
        <v>490</v>
      </c>
      <c r="B317" s="2" t="s">
        <v>30</v>
      </c>
      <c r="C317" s="2" t="s">
        <v>82</v>
      </c>
      <c r="D317" s="10">
        <f t="shared" ca="1" si="56"/>
        <v>73</v>
      </c>
      <c r="E317" s="2" t="s">
        <v>26</v>
      </c>
      <c r="F317" s="3">
        <v>169</v>
      </c>
      <c r="G317" s="3">
        <v>68</v>
      </c>
      <c r="H317" s="11">
        <f t="shared" si="57"/>
        <v>23.808690171912751</v>
      </c>
      <c r="I317" s="2">
        <v>99</v>
      </c>
      <c r="J317" s="3">
        <v>130</v>
      </c>
      <c r="K317" s="3">
        <v>80</v>
      </c>
      <c r="L317" s="10">
        <f t="shared" si="58"/>
        <v>2</v>
      </c>
      <c r="M317" s="10">
        <f t="shared" ca="1" si="59"/>
        <v>2</v>
      </c>
      <c r="N317" s="10">
        <f t="shared" si="60"/>
        <v>0</v>
      </c>
      <c r="O317" s="10">
        <f t="shared" si="61"/>
        <v>3</v>
      </c>
      <c r="P317" s="10">
        <f t="shared" si="62"/>
        <v>2</v>
      </c>
      <c r="Q317" s="10">
        <f t="shared" si="63"/>
        <v>0</v>
      </c>
      <c r="R317" s="10">
        <f t="shared" ca="1" si="64"/>
        <v>9</v>
      </c>
      <c r="S317" s="10" t="str">
        <f t="shared" ca="1" si="65"/>
        <v>Có</v>
      </c>
      <c r="T317" s="10" t="str">
        <f t="shared" ca="1" si="66"/>
        <v>Có</v>
      </c>
      <c r="U317" s="10" t="str">
        <f t="shared" si="67"/>
        <v>Không</v>
      </c>
      <c r="V317" s="2" t="s">
        <v>491</v>
      </c>
      <c r="W317" s="4">
        <v>46142</v>
      </c>
      <c r="X317" s="8" t="str">
        <f t="shared" si="68"/>
        <v>Tháng 4</v>
      </c>
      <c r="Y317" s="8" t="str">
        <f t="shared" si="69"/>
        <v>Khóm 3</v>
      </c>
    </row>
    <row r="318" spans="1:25" x14ac:dyDescent="0.25">
      <c r="A318" s="1" t="s">
        <v>492</v>
      </c>
      <c r="B318" s="2" t="s">
        <v>23</v>
      </c>
      <c r="C318" s="2" t="s">
        <v>188</v>
      </c>
      <c r="D318" s="10">
        <f t="shared" ca="1" si="56"/>
        <v>63</v>
      </c>
      <c r="E318" s="2" t="s">
        <v>26</v>
      </c>
      <c r="F318" s="3">
        <v>155</v>
      </c>
      <c r="G318" s="3">
        <v>56</v>
      </c>
      <c r="H318" s="11">
        <f t="shared" si="57"/>
        <v>23.309053069719038</v>
      </c>
      <c r="I318" s="2">
        <v>99</v>
      </c>
      <c r="J318" s="3">
        <v>130</v>
      </c>
      <c r="K318" s="3">
        <v>80</v>
      </c>
      <c r="L318" s="10">
        <f t="shared" si="58"/>
        <v>0</v>
      </c>
      <c r="M318" s="10">
        <f t="shared" ca="1" si="59"/>
        <v>2</v>
      </c>
      <c r="N318" s="10">
        <f t="shared" si="60"/>
        <v>0</v>
      </c>
      <c r="O318" s="10">
        <f t="shared" si="61"/>
        <v>3</v>
      </c>
      <c r="P318" s="10">
        <f t="shared" si="62"/>
        <v>2</v>
      </c>
      <c r="Q318" s="10">
        <f t="shared" si="63"/>
        <v>0</v>
      </c>
      <c r="R318" s="10">
        <f t="shared" ca="1" si="64"/>
        <v>7</v>
      </c>
      <c r="S318" s="10" t="str">
        <f t="shared" ca="1" si="65"/>
        <v>Có</v>
      </c>
      <c r="T318" s="10" t="str">
        <f t="shared" ca="1" si="66"/>
        <v>Có</v>
      </c>
      <c r="U318" s="10" t="str">
        <f t="shared" si="67"/>
        <v>Không</v>
      </c>
      <c r="V318" s="2" t="s">
        <v>122</v>
      </c>
      <c r="W318" s="4">
        <v>46112</v>
      </c>
      <c r="X318" s="8" t="str">
        <f t="shared" si="68"/>
        <v>Tháng 3</v>
      </c>
      <c r="Y318" s="8" t="str">
        <f t="shared" si="69"/>
        <v>Giồng Nhãn</v>
      </c>
    </row>
    <row r="319" spans="1:25" x14ac:dyDescent="0.25">
      <c r="A319" s="1" t="s">
        <v>493</v>
      </c>
      <c r="B319" s="2" t="s">
        <v>30</v>
      </c>
      <c r="C319" s="2" t="s">
        <v>64</v>
      </c>
      <c r="D319" s="10">
        <f t="shared" ca="1" si="56"/>
        <v>42</v>
      </c>
      <c r="E319" s="2" t="s">
        <v>26</v>
      </c>
      <c r="F319" s="3">
        <v>170</v>
      </c>
      <c r="G319" s="3">
        <v>70</v>
      </c>
      <c r="H319" s="11">
        <f t="shared" si="57"/>
        <v>24.221453287197235</v>
      </c>
      <c r="I319" s="2">
        <v>81</v>
      </c>
      <c r="J319" s="3">
        <v>120</v>
      </c>
      <c r="K319" s="3">
        <v>70</v>
      </c>
      <c r="L319" s="10">
        <f t="shared" si="58"/>
        <v>2</v>
      </c>
      <c r="M319" s="10">
        <f t="shared" ca="1" si="59"/>
        <v>0</v>
      </c>
      <c r="N319" s="10">
        <f t="shared" si="60"/>
        <v>0</v>
      </c>
      <c r="O319" s="10">
        <f t="shared" si="61"/>
        <v>3</v>
      </c>
      <c r="P319" s="10">
        <f t="shared" si="62"/>
        <v>0</v>
      </c>
      <c r="Q319" s="10">
        <f t="shared" si="63"/>
        <v>0</v>
      </c>
      <c r="R319" s="10">
        <f t="shared" ca="1" si="64"/>
        <v>5</v>
      </c>
      <c r="S319" s="10" t="str">
        <f t="shared" ca="1" si="65"/>
        <v>Không cần</v>
      </c>
      <c r="T319" s="10" t="str">
        <f t="shared" ca="1" si="66"/>
        <v>Không</v>
      </c>
      <c r="U319" s="10" t="str">
        <f t="shared" si="67"/>
        <v>Không</v>
      </c>
      <c r="V319" s="2" t="s">
        <v>111</v>
      </c>
      <c r="W319" s="4">
        <v>46112</v>
      </c>
      <c r="X319" s="8" t="str">
        <f t="shared" si="68"/>
        <v>Tháng 3</v>
      </c>
      <c r="Y319" s="8" t="str">
        <f t="shared" si="69"/>
        <v>Phường Vĩnh Trạch</v>
      </c>
    </row>
    <row r="320" spans="1:25" x14ac:dyDescent="0.25">
      <c r="A320" s="1" t="s">
        <v>494</v>
      </c>
      <c r="B320" s="2" t="s">
        <v>23</v>
      </c>
      <c r="C320" s="2" t="s">
        <v>188</v>
      </c>
      <c r="D320" s="10">
        <f t="shared" ca="1" si="56"/>
        <v>63</v>
      </c>
      <c r="E320" s="2" t="s">
        <v>25</v>
      </c>
      <c r="F320" s="3">
        <v>160</v>
      </c>
      <c r="G320" s="3">
        <v>72</v>
      </c>
      <c r="H320" s="11">
        <f t="shared" si="57"/>
        <v>28.124999999999993</v>
      </c>
      <c r="I320" s="2">
        <v>66</v>
      </c>
      <c r="J320" s="3">
        <v>120</v>
      </c>
      <c r="K320" s="3">
        <v>80</v>
      </c>
      <c r="L320" s="10">
        <f t="shared" si="58"/>
        <v>0</v>
      </c>
      <c r="M320" s="10">
        <f t="shared" ca="1" si="59"/>
        <v>2</v>
      </c>
      <c r="N320" s="10">
        <f t="shared" si="60"/>
        <v>4</v>
      </c>
      <c r="O320" s="10">
        <f t="shared" si="61"/>
        <v>5</v>
      </c>
      <c r="P320" s="10">
        <f t="shared" si="62"/>
        <v>0</v>
      </c>
      <c r="Q320" s="10">
        <f t="shared" si="63"/>
        <v>0</v>
      </c>
      <c r="R320" s="10">
        <f t="shared" ca="1" si="64"/>
        <v>11</v>
      </c>
      <c r="S320" s="10" t="str">
        <f t="shared" ca="1" si="65"/>
        <v>Có</v>
      </c>
      <c r="T320" s="10" t="str">
        <f t="shared" ca="1" si="66"/>
        <v>Có</v>
      </c>
      <c r="U320" s="10" t="str">
        <f t="shared" si="67"/>
        <v>Không</v>
      </c>
      <c r="V320" s="2" t="s">
        <v>495</v>
      </c>
      <c r="W320" s="4">
        <v>46142</v>
      </c>
      <c r="X320" s="8" t="str">
        <f t="shared" si="68"/>
        <v>Tháng 4</v>
      </c>
      <c r="Y320" s="8" t="str">
        <f t="shared" si="69"/>
        <v>giồng giữa B phường Hiệp Thành</v>
      </c>
    </row>
    <row r="321" spans="1:25" x14ac:dyDescent="0.25">
      <c r="A321" s="1" t="s">
        <v>496</v>
      </c>
      <c r="B321" s="2" t="s">
        <v>23</v>
      </c>
      <c r="C321" s="2" t="s">
        <v>138</v>
      </c>
      <c r="D321" s="10">
        <f t="shared" ca="1" si="56"/>
        <v>67</v>
      </c>
      <c r="E321" s="2" t="s">
        <v>26</v>
      </c>
      <c r="F321" s="3">
        <v>150</v>
      </c>
      <c r="G321" s="3">
        <v>64</v>
      </c>
      <c r="H321" s="11">
        <f t="shared" si="57"/>
        <v>28.444444444444443</v>
      </c>
      <c r="I321" s="2">
        <v>89</v>
      </c>
      <c r="J321" s="3">
        <v>140</v>
      </c>
      <c r="K321" s="3">
        <v>80</v>
      </c>
      <c r="L321" s="10">
        <f t="shared" si="58"/>
        <v>0</v>
      </c>
      <c r="M321" s="10">
        <f t="shared" ca="1" si="59"/>
        <v>2</v>
      </c>
      <c r="N321" s="10">
        <f t="shared" si="60"/>
        <v>0</v>
      </c>
      <c r="O321" s="10">
        <f t="shared" si="61"/>
        <v>5</v>
      </c>
      <c r="P321" s="10">
        <f t="shared" si="62"/>
        <v>2</v>
      </c>
      <c r="Q321" s="10">
        <f t="shared" si="63"/>
        <v>2</v>
      </c>
      <c r="R321" s="10">
        <f t="shared" ca="1" si="64"/>
        <v>11</v>
      </c>
      <c r="S321" s="10" t="str">
        <f t="shared" ca="1" si="65"/>
        <v>Có</v>
      </c>
      <c r="T321" s="10" t="str">
        <f t="shared" ca="1" si="66"/>
        <v>Có</v>
      </c>
      <c r="U321" s="10" t="str">
        <f t="shared" si="67"/>
        <v>Có</v>
      </c>
      <c r="V321" s="2" t="s">
        <v>51</v>
      </c>
      <c r="W321" s="4">
        <v>46142</v>
      </c>
      <c r="X321" s="8" t="str">
        <f t="shared" si="68"/>
        <v>Tháng 4</v>
      </c>
      <c r="Y321" s="8" t="str">
        <f t="shared" si="69"/>
        <v>Phường Hiệp Thành</v>
      </c>
    </row>
    <row r="322" spans="1:25" x14ac:dyDescent="0.25">
      <c r="A322" s="1" t="s">
        <v>497</v>
      </c>
      <c r="B322" s="2" t="s">
        <v>23</v>
      </c>
      <c r="C322" s="2" t="s">
        <v>93</v>
      </c>
      <c r="D322" s="10">
        <f t="shared" ca="1" si="56"/>
        <v>66</v>
      </c>
      <c r="E322" s="2" t="s">
        <v>26</v>
      </c>
      <c r="F322" s="3">
        <v>160</v>
      </c>
      <c r="G322" s="3">
        <v>60</v>
      </c>
      <c r="H322" s="11">
        <f t="shared" si="57"/>
        <v>23.437499999999996</v>
      </c>
      <c r="I322" s="2">
        <v>93</v>
      </c>
      <c r="J322" s="3">
        <v>120</v>
      </c>
      <c r="K322" s="3">
        <v>70</v>
      </c>
      <c r="L322" s="10">
        <f t="shared" si="58"/>
        <v>0</v>
      </c>
      <c r="M322" s="10">
        <f t="shared" ca="1" si="59"/>
        <v>2</v>
      </c>
      <c r="N322" s="10">
        <f t="shared" si="60"/>
        <v>0</v>
      </c>
      <c r="O322" s="10">
        <f t="shared" si="61"/>
        <v>3</v>
      </c>
      <c r="P322" s="10">
        <f t="shared" si="62"/>
        <v>2</v>
      </c>
      <c r="Q322" s="10">
        <f t="shared" si="63"/>
        <v>0</v>
      </c>
      <c r="R322" s="10">
        <f t="shared" ca="1" si="64"/>
        <v>7</v>
      </c>
      <c r="S322" s="10" t="str">
        <f t="shared" ca="1" si="65"/>
        <v>Có</v>
      </c>
      <c r="T322" s="10" t="str">
        <f t="shared" ca="1" si="66"/>
        <v>Có</v>
      </c>
      <c r="U322" s="10" t="str">
        <f t="shared" si="67"/>
        <v>Không</v>
      </c>
      <c r="V322" s="2" t="s">
        <v>68</v>
      </c>
      <c r="W322" s="4">
        <v>46142</v>
      </c>
      <c r="X322" s="8" t="str">
        <f t="shared" si="68"/>
        <v>Tháng 4</v>
      </c>
      <c r="Y322" s="8" t="str">
        <f t="shared" si="69"/>
        <v>Ấp Biển Tây B</v>
      </c>
    </row>
    <row r="323" spans="1:25" x14ac:dyDescent="0.25">
      <c r="A323" s="1" t="s">
        <v>498</v>
      </c>
      <c r="B323" s="2" t="s">
        <v>23</v>
      </c>
      <c r="C323" s="2" t="s">
        <v>59</v>
      </c>
      <c r="D323" s="10">
        <f t="shared" ref="D323:D386" ca="1" si="70">DATEDIF(C323,TODAY(),"Y")</f>
        <v>74</v>
      </c>
      <c r="E323" s="2" t="s">
        <v>26</v>
      </c>
      <c r="F323" s="3">
        <v>158</v>
      </c>
      <c r="G323" s="3">
        <v>58</v>
      </c>
      <c r="H323" s="11">
        <f t="shared" ref="H323:H386" si="71">G323/((F323/100)*(F323/100))</f>
        <v>23.233456176894723</v>
      </c>
      <c r="I323" s="2">
        <v>89</v>
      </c>
      <c r="J323" s="3">
        <v>140</v>
      </c>
      <c r="K323" s="3">
        <v>80</v>
      </c>
      <c r="L323" s="10">
        <f t="shared" ref="L323:L386" si="72">IF(B323="Nữ",0,2)</f>
        <v>0</v>
      </c>
      <c r="M323" s="10">
        <f t="shared" ref="M323:M386" ca="1" si="73">IF(D323&lt;45,0,IF(D323&lt;=49,1,2))</f>
        <v>2</v>
      </c>
      <c r="N323" s="10">
        <f t="shared" ref="N323:N386" si="74">IF(E323="Có",4,0)</f>
        <v>0</v>
      </c>
      <c r="O323" s="10">
        <f t="shared" ref="O323:O386" si="75">IF(H323&lt;23,0,IF(H323&lt;27.5,3,5))</f>
        <v>3</v>
      </c>
      <c r="P323" s="10">
        <f t="shared" ref="P323:P386" si="76">IF(OR(AND(B323="Nam",I323&gt;=90),AND(B323="Nữ",I323&gt;=80)),2,0)</f>
        <v>2</v>
      </c>
      <c r="Q323" s="10">
        <f t="shared" ref="Q323:Q386" si="77">IF(OR(J323&gt;=140,K323&gt;=90),2,0)</f>
        <v>2</v>
      </c>
      <c r="R323" s="10">
        <f t="shared" ref="R323:R386" ca="1" si="78">SUM(L323:Q323)</f>
        <v>9</v>
      </c>
      <c r="S323" s="10" t="str">
        <f t="shared" ref="S323:S386" ca="1" si="79">IF((R323)&gt;=6,"Có","Không cần")</f>
        <v>Có</v>
      </c>
      <c r="T323" s="10" t="str">
        <f t="shared" ref="T323:T386" ca="1" si="80">IF((R323)&gt;=6,"Có","Không")</f>
        <v>Có</v>
      </c>
      <c r="U323" s="10" t="str">
        <f t="shared" ref="U323:U386" si="81">IF(OR(J323&gt;=140,K323&gt;=90),"Có","Không")</f>
        <v>Có</v>
      </c>
      <c r="V323" s="2" t="s">
        <v>499</v>
      </c>
      <c r="W323" s="4">
        <v>46142</v>
      </c>
      <c r="X323" s="8" t="str">
        <f t="shared" ref="X323:X386" si="82">"Tháng "&amp;MONTH(W323)</f>
        <v>Tháng 4</v>
      </c>
      <c r="Y323" s="8" t="str">
        <f t="shared" ref="Y323:Y386" si="83">LEFT(V323,FIND(",",V323)-1)</f>
        <v>Ấp Biển Đông A</v>
      </c>
    </row>
    <row r="324" spans="1:25" x14ac:dyDescent="0.25">
      <c r="A324" s="1" t="s">
        <v>500</v>
      </c>
      <c r="B324" s="2" t="s">
        <v>23</v>
      </c>
      <c r="C324" s="2" t="s">
        <v>146</v>
      </c>
      <c r="D324" s="10">
        <f t="shared" ca="1" si="70"/>
        <v>52</v>
      </c>
      <c r="E324" s="2" t="s">
        <v>26</v>
      </c>
      <c r="F324" s="3">
        <v>159</v>
      </c>
      <c r="G324" s="3">
        <v>55</v>
      </c>
      <c r="H324" s="11">
        <f t="shared" si="71"/>
        <v>21.75546853368142</v>
      </c>
      <c r="I324" s="2">
        <v>87</v>
      </c>
      <c r="J324" s="3">
        <v>120</v>
      </c>
      <c r="K324" s="3">
        <v>80</v>
      </c>
      <c r="L324" s="10">
        <f t="shared" si="72"/>
        <v>0</v>
      </c>
      <c r="M324" s="10">
        <f t="shared" ca="1" si="73"/>
        <v>2</v>
      </c>
      <c r="N324" s="10">
        <f t="shared" si="74"/>
        <v>0</v>
      </c>
      <c r="O324" s="10">
        <f t="shared" si="75"/>
        <v>0</v>
      </c>
      <c r="P324" s="10">
        <f t="shared" si="76"/>
        <v>2</v>
      </c>
      <c r="Q324" s="10">
        <f t="shared" si="77"/>
        <v>0</v>
      </c>
      <c r="R324" s="10">
        <f t="shared" ca="1" si="78"/>
        <v>4</v>
      </c>
      <c r="S324" s="10" t="str">
        <f t="shared" ca="1" si="79"/>
        <v>Không cần</v>
      </c>
      <c r="T324" s="10" t="str">
        <f t="shared" ca="1" si="80"/>
        <v>Không</v>
      </c>
      <c r="U324" s="10" t="str">
        <f t="shared" si="81"/>
        <v>Không</v>
      </c>
      <c r="V324" s="2" t="s">
        <v>501</v>
      </c>
      <c r="W324" s="4">
        <v>46142</v>
      </c>
      <c r="X324" s="8" t="str">
        <f t="shared" si="82"/>
        <v>Tháng 4</v>
      </c>
      <c r="Y324" s="8" t="str">
        <f t="shared" si="83"/>
        <v>ấp Giồng Nhãn</v>
      </c>
    </row>
    <row r="325" spans="1:25" x14ac:dyDescent="0.25">
      <c r="A325" s="1" t="s">
        <v>502</v>
      </c>
      <c r="B325" s="2" t="s">
        <v>23</v>
      </c>
      <c r="C325" s="2" t="s">
        <v>40</v>
      </c>
      <c r="D325" s="10">
        <f t="shared" ca="1" si="70"/>
        <v>70</v>
      </c>
      <c r="E325" s="2" t="s">
        <v>25</v>
      </c>
      <c r="F325" s="3">
        <v>158</v>
      </c>
      <c r="G325" s="3">
        <v>58</v>
      </c>
      <c r="H325" s="11">
        <f t="shared" si="71"/>
        <v>23.233456176894723</v>
      </c>
      <c r="I325" s="2">
        <v>92</v>
      </c>
      <c r="J325" s="3">
        <v>120</v>
      </c>
      <c r="K325" s="3">
        <v>80</v>
      </c>
      <c r="L325" s="10">
        <f t="shared" si="72"/>
        <v>0</v>
      </c>
      <c r="M325" s="10">
        <f t="shared" ca="1" si="73"/>
        <v>2</v>
      </c>
      <c r="N325" s="10">
        <f t="shared" si="74"/>
        <v>4</v>
      </c>
      <c r="O325" s="10">
        <f t="shared" si="75"/>
        <v>3</v>
      </c>
      <c r="P325" s="10">
        <f t="shared" si="76"/>
        <v>2</v>
      </c>
      <c r="Q325" s="10">
        <f t="shared" si="77"/>
        <v>0</v>
      </c>
      <c r="R325" s="10">
        <f t="shared" ca="1" si="78"/>
        <v>11</v>
      </c>
      <c r="S325" s="10" t="str">
        <f t="shared" ca="1" si="79"/>
        <v>Có</v>
      </c>
      <c r="T325" s="10" t="str">
        <f t="shared" ca="1" si="80"/>
        <v>Có</v>
      </c>
      <c r="U325" s="10" t="str">
        <f t="shared" si="81"/>
        <v>Không</v>
      </c>
      <c r="V325" s="2" t="s">
        <v>38</v>
      </c>
      <c r="W325" s="4">
        <v>46142</v>
      </c>
      <c r="X325" s="8" t="str">
        <f t="shared" si="82"/>
        <v>Tháng 4</v>
      </c>
      <c r="Y325" s="8" t="str">
        <f t="shared" si="83"/>
        <v>Ấp Biển Đông B</v>
      </c>
    </row>
    <row r="326" spans="1:25" x14ac:dyDescent="0.25">
      <c r="A326" s="1" t="s">
        <v>503</v>
      </c>
      <c r="B326" s="2" t="s">
        <v>23</v>
      </c>
      <c r="C326" s="2" t="s">
        <v>40</v>
      </c>
      <c r="D326" s="10">
        <f t="shared" ca="1" si="70"/>
        <v>70</v>
      </c>
      <c r="E326" s="2" t="s">
        <v>25</v>
      </c>
      <c r="F326" s="3">
        <v>158</v>
      </c>
      <c r="G326" s="3">
        <v>58</v>
      </c>
      <c r="H326" s="11">
        <f t="shared" si="71"/>
        <v>23.233456176894723</v>
      </c>
      <c r="I326" s="2">
        <v>89</v>
      </c>
      <c r="J326" s="3">
        <v>140</v>
      </c>
      <c r="K326" s="3">
        <v>80</v>
      </c>
      <c r="L326" s="10">
        <f t="shared" si="72"/>
        <v>0</v>
      </c>
      <c r="M326" s="10">
        <f t="shared" ca="1" si="73"/>
        <v>2</v>
      </c>
      <c r="N326" s="10">
        <f t="shared" si="74"/>
        <v>4</v>
      </c>
      <c r="O326" s="10">
        <f t="shared" si="75"/>
        <v>3</v>
      </c>
      <c r="P326" s="10">
        <f t="shared" si="76"/>
        <v>2</v>
      </c>
      <c r="Q326" s="10">
        <f t="shared" si="77"/>
        <v>2</v>
      </c>
      <c r="R326" s="10">
        <f t="shared" ca="1" si="78"/>
        <v>13</v>
      </c>
      <c r="S326" s="10" t="str">
        <f t="shared" ca="1" si="79"/>
        <v>Có</v>
      </c>
      <c r="T326" s="10" t="str">
        <f t="shared" ca="1" si="80"/>
        <v>Có</v>
      </c>
      <c r="U326" s="10" t="str">
        <f t="shared" si="81"/>
        <v>Có</v>
      </c>
      <c r="V326" s="2" t="s">
        <v>51</v>
      </c>
      <c r="W326" s="4">
        <v>46142</v>
      </c>
      <c r="X326" s="8" t="str">
        <f t="shared" si="82"/>
        <v>Tháng 4</v>
      </c>
      <c r="Y326" s="8" t="str">
        <f t="shared" si="83"/>
        <v>Phường Hiệp Thành</v>
      </c>
    </row>
    <row r="327" spans="1:25" x14ac:dyDescent="0.25">
      <c r="A327" s="1" t="s">
        <v>504</v>
      </c>
      <c r="B327" s="2" t="s">
        <v>23</v>
      </c>
      <c r="C327" s="2" t="s">
        <v>62</v>
      </c>
      <c r="D327" s="10">
        <f t="shared" ca="1" si="70"/>
        <v>64</v>
      </c>
      <c r="E327" s="2" t="s">
        <v>26</v>
      </c>
      <c r="F327" s="3">
        <v>158</v>
      </c>
      <c r="G327" s="3">
        <v>58</v>
      </c>
      <c r="H327" s="11">
        <f t="shared" si="71"/>
        <v>23.233456176894723</v>
      </c>
      <c r="I327" s="2">
        <v>81</v>
      </c>
      <c r="J327" s="3">
        <v>120</v>
      </c>
      <c r="K327" s="3">
        <v>80</v>
      </c>
      <c r="L327" s="10">
        <f t="shared" si="72"/>
        <v>0</v>
      </c>
      <c r="M327" s="10">
        <f t="shared" ca="1" si="73"/>
        <v>2</v>
      </c>
      <c r="N327" s="10">
        <f t="shared" si="74"/>
        <v>0</v>
      </c>
      <c r="O327" s="10">
        <f t="shared" si="75"/>
        <v>3</v>
      </c>
      <c r="P327" s="10">
        <f t="shared" si="76"/>
        <v>2</v>
      </c>
      <c r="Q327" s="10">
        <f t="shared" si="77"/>
        <v>0</v>
      </c>
      <c r="R327" s="10">
        <f t="shared" ca="1" si="78"/>
        <v>7</v>
      </c>
      <c r="S327" s="10" t="str">
        <f t="shared" ca="1" si="79"/>
        <v>Có</v>
      </c>
      <c r="T327" s="10" t="str">
        <f t="shared" ca="1" si="80"/>
        <v>Có</v>
      </c>
      <c r="U327" s="10" t="str">
        <f t="shared" si="81"/>
        <v>Không</v>
      </c>
      <c r="V327" s="2" t="s">
        <v>28</v>
      </c>
      <c r="W327" s="4">
        <v>46142</v>
      </c>
      <c r="X327" s="8" t="str">
        <f t="shared" si="82"/>
        <v>Tháng 4</v>
      </c>
      <c r="Y327" s="8" t="str">
        <f t="shared" si="83"/>
        <v>Ấp Biển Đông A</v>
      </c>
    </row>
    <row r="328" spans="1:25" x14ac:dyDescent="0.25">
      <c r="A328" s="1" t="s">
        <v>505</v>
      </c>
      <c r="B328" s="2" t="s">
        <v>23</v>
      </c>
      <c r="C328" s="2" t="s">
        <v>80</v>
      </c>
      <c r="D328" s="10">
        <f t="shared" ca="1" si="70"/>
        <v>71</v>
      </c>
      <c r="E328" s="2" t="s">
        <v>26</v>
      </c>
      <c r="F328" s="3">
        <v>158</v>
      </c>
      <c r="G328" s="3">
        <v>64</v>
      </c>
      <c r="H328" s="11">
        <f t="shared" si="71"/>
        <v>25.63691716071142</v>
      </c>
      <c r="I328" s="2">
        <v>95</v>
      </c>
      <c r="J328" s="3">
        <v>160</v>
      </c>
      <c r="K328" s="3">
        <v>90</v>
      </c>
      <c r="L328" s="10">
        <f t="shared" si="72"/>
        <v>0</v>
      </c>
      <c r="M328" s="10">
        <f t="shared" ca="1" si="73"/>
        <v>2</v>
      </c>
      <c r="N328" s="10">
        <f t="shared" si="74"/>
        <v>0</v>
      </c>
      <c r="O328" s="10">
        <f t="shared" si="75"/>
        <v>3</v>
      </c>
      <c r="P328" s="10">
        <f t="shared" si="76"/>
        <v>2</v>
      </c>
      <c r="Q328" s="10">
        <f t="shared" si="77"/>
        <v>2</v>
      </c>
      <c r="R328" s="10">
        <f t="shared" ca="1" si="78"/>
        <v>9</v>
      </c>
      <c r="S328" s="10" t="str">
        <f t="shared" ca="1" si="79"/>
        <v>Có</v>
      </c>
      <c r="T328" s="10" t="str">
        <f t="shared" ca="1" si="80"/>
        <v>Có</v>
      </c>
      <c r="U328" s="10" t="str">
        <f t="shared" si="81"/>
        <v>Có</v>
      </c>
      <c r="V328" s="2" t="s">
        <v>506</v>
      </c>
      <c r="W328" s="4">
        <v>46142</v>
      </c>
      <c r="X328" s="8" t="str">
        <f t="shared" si="82"/>
        <v>Tháng 4</v>
      </c>
      <c r="Y328" s="8" t="str">
        <f t="shared" si="83"/>
        <v>ấp Biển Tây B</v>
      </c>
    </row>
    <row r="329" spans="1:25" x14ac:dyDescent="0.25">
      <c r="A329" s="1" t="s">
        <v>507</v>
      </c>
      <c r="B329" s="2" t="s">
        <v>30</v>
      </c>
      <c r="C329" s="2" t="s">
        <v>273</v>
      </c>
      <c r="D329" s="10">
        <f t="shared" ca="1" si="70"/>
        <v>47</v>
      </c>
      <c r="E329" s="2" t="s">
        <v>25</v>
      </c>
      <c r="F329" s="3">
        <v>158</v>
      </c>
      <c r="G329" s="3">
        <v>58</v>
      </c>
      <c r="H329" s="11">
        <f t="shared" si="71"/>
        <v>23.233456176894723</v>
      </c>
      <c r="I329" s="2">
        <v>73</v>
      </c>
      <c r="J329" s="3">
        <v>140</v>
      </c>
      <c r="K329" s="3">
        <v>80</v>
      </c>
      <c r="L329" s="10">
        <f t="shared" si="72"/>
        <v>2</v>
      </c>
      <c r="M329" s="10">
        <f t="shared" ca="1" si="73"/>
        <v>1</v>
      </c>
      <c r="N329" s="10">
        <f t="shared" si="74"/>
        <v>4</v>
      </c>
      <c r="O329" s="10">
        <f t="shared" si="75"/>
        <v>3</v>
      </c>
      <c r="P329" s="10">
        <f t="shared" si="76"/>
        <v>0</v>
      </c>
      <c r="Q329" s="10">
        <f t="shared" si="77"/>
        <v>2</v>
      </c>
      <c r="R329" s="10">
        <f t="shared" ca="1" si="78"/>
        <v>12</v>
      </c>
      <c r="S329" s="10" t="str">
        <f t="shared" ca="1" si="79"/>
        <v>Có</v>
      </c>
      <c r="T329" s="10" t="str">
        <f t="shared" ca="1" si="80"/>
        <v>Có</v>
      </c>
      <c r="U329" s="10" t="str">
        <f t="shared" si="81"/>
        <v>Có</v>
      </c>
      <c r="V329" s="2" t="s">
        <v>28</v>
      </c>
      <c r="W329" s="4">
        <v>46142</v>
      </c>
      <c r="X329" s="8" t="str">
        <f t="shared" si="82"/>
        <v>Tháng 4</v>
      </c>
      <c r="Y329" s="8" t="str">
        <f t="shared" si="83"/>
        <v>Ấp Biển Đông A</v>
      </c>
    </row>
    <row r="330" spans="1:25" x14ac:dyDescent="0.25">
      <c r="A330" s="1" t="s">
        <v>508</v>
      </c>
      <c r="B330" s="2" t="s">
        <v>23</v>
      </c>
      <c r="C330" s="2" t="s">
        <v>56</v>
      </c>
      <c r="D330" s="10">
        <f t="shared" ca="1" si="70"/>
        <v>65</v>
      </c>
      <c r="E330" s="2" t="s">
        <v>26</v>
      </c>
      <c r="F330" s="3">
        <v>162</v>
      </c>
      <c r="G330" s="3">
        <v>55</v>
      </c>
      <c r="H330" s="11">
        <f t="shared" si="71"/>
        <v>20.957171162932475</v>
      </c>
      <c r="I330" s="2">
        <v>75</v>
      </c>
      <c r="J330" s="3">
        <v>120</v>
      </c>
      <c r="K330" s="3">
        <v>80</v>
      </c>
      <c r="L330" s="10">
        <f t="shared" si="72"/>
        <v>0</v>
      </c>
      <c r="M330" s="10">
        <f t="shared" ca="1" si="73"/>
        <v>2</v>
      </c>
      <c r="N330" s="10">
        <f t="shared" si="74"/>
        <v>0</v>
      </c>
      <c r="O330" s="10">
        <f t="shared" si="75"/>
        <v>0</v>
      </c>
      <c r="P330" s="10">
        <f t="shared" si="76"/>
        <v>0</v>
      </c>
      <c r="Q330" s="10">
        <f t="shared" si="77"/>
        <v>0</v>
      </c>
      <c r="R330" s="10">
        <f t="shared" ca="1" si="78"/>
        <v>2</v>
      </c>
      <c r="S330" s="10" t="str">
        <f t="shared" ca="1" si="79"/>
        <v>Không cần</v>
      </c>
      <c r="T330" s="10" t="str">
        <f t="shared" ca="1" si="80"/>
        <v>Không</v>
      </c>
      <c r="U330" s="10" t="str">
        <f t="shared" si="81"/>
        <v>Không</v>
      </c>
      <c r="V330" s="2" t="s">
        <v>509</v>
      </c>
      <c r="W330" s="4">
        <v>46142</v>
      </c>
      <c r="X330" s="8" t="str">
        <f t="shared" si="82"/>
        <v>Tháng 4</v>
      </c>
      <c r="Y330" s="8" t="str">
        <f t="shared" si="83"/>
        <v>Khóm Nhà Mát</v>
      </c>
    </row>
    <row r="331" spans="1:25" x14ac:dyDescent="0.25">
      <c r="A331" s="1" t="s">
        <v>510</v>
      </c>
      <c r="B331" s="2" t="s">
        <v>30</v>
      </c>
      <c r="C331" s="2" t="s">
        <v>127</v>
      </c>
      <c r="D331" s="10">
        <f t="shared" ca="1" si="70"/>
        <v>76</v>
      </c>
      <c r="E331" s="2" t="s">
        <v>26</v>
      </c>
      <c r="F331" s="3">
        <v>169</v>
      </c>
      <c r="G331" s="3">
        <v>68</v>
      </c>
      <c r="H331" s="11">
        <f t="shared" si="71"/>
        <v>23.808690171912751</v>
      </c>
      <c r="I331" s="2">
        <v>88</v>
      </c>
      <c r="J331" s="3">
        <v>120</v>
      </c>
      <c r="K331" s="3">
        <v>80</v>
      </c>
      <c r="L331" s="10">
        <f t="shared" si="72"/>
        <v>2</v>
      </c>
      <c r="M331" s="10">
        <f t="shared" ca="1" si="73"/>
        <v>2</v>
      </c>
      <c r="N331" s="10">
        <f t="shared" si="74"/>
        <v>0</v>
      </c>
      <c r="O331" s="10">
        <f t="shared" si="75"/>
        <v>3</v>
      </c>
      <c r="P331" s="10">
        <f t="shared" si="76"/>
        <v>0</v>
      </c>
      <c r="Q331" s="10">
        <f t="shared" si="77"/>
        <v>0</v>
      </c>
      <c r="R331" s="10">
        <f t="shared" ca="1" si="78"/>
        <v>7</v>
      </c>
      <c r="S331" s="10" t="str">
        <f t="shared" ca="1" si="79"/>
        <v>Có</v>
      </c>
      <c r="T331" s="10" t="str">
        <f t="shared" ca="1" si="80"/>
        <v>Có</v>
      </c>
      <c r="U331" s="10" t="str">
        <f t="shared" si="81"/>
        <v>Không</v>
      </c>
      <c r="V331" s="2" t="s">
        <v>68</v>
      </c>
      <c r="W331" s="4">
        <v>46142</v>
      </c>
      <c r="X331" s="8" t="str">
        <f t="shared" si="82"/>
        <v>Tháng 4</v>
      </c>
      <c r="Y331" s="8" t="str">
        <f t="shared" si="83"/>
        <v>Ấp Biển Tây B</v>
      </c>
    </row>
    <row r="332" spans="1:25" x14ac:dyDescent="0.25">
      <c r="A332" s="1" t="s">
        <v>511</v>
      </c>
      <c r="B332" s="2" t="s">
        <v>23</v>
      </c>
      <c r="C332" s="2" t="s">
        <v>84</v>
      </c>
      <c r="D332" s="10">
        <f t="shared" ca="1" si="70"/>
        <v>69</v>
      </c>
      <c r="E332" s="2" t="s">
        <v>25</v>
      </c>
      <c r="F332" s="3">
        <v>158</v>
      </c>
      <c r="G332" s="3">
        <v>58</v>
      </c>
      <c r="H332" s="11">
        <f t="shared" si="71"/>
        <v>23.233456176894723</v>
      </c>
      <c r="I332" s="2">
        <v>83</v>
      </c>
      <c r="J332" s="3">
        <v>100</v>
      </c>
      <c r="K332" s="3">
        <v>70</v>
      </c>
      <c r="L332" s="10">
        <f t="shared" si="72"/>
        <v>0</v>
      </c>
      <c r="M332" s="10">
        <f t="shared" ca="1" si="73"/>
        <v>2</v>
      </c>
      <c r="N332" s="10">
        <f t="shared" si="74"/>
        <v>4</v>
      </c>
      <c r="O332" s="10">
        <f t="shared" si="75"/>
        <v>3</v>
      </c>
      <c r="P332" s="10">
        <f t="shared" si="76"/>
        <v>2</v>
      </c>
      <c r="Q332" s="10">
        <f t="shared" si="77"/>
        <v>0</v>
      </c>
      <c r="R332" s="10">
        <f t="shared" ca="1" si="78"/>
        <v>11</v>
      </c>
      <c r="S332" s="10" t="str">
        <f t="shared" ca="1" si="79"/>
        <v>Có</v>
      </c>
      <c r="T332" s="10" t="str">
        <f t="shared" ca="1" si="80"/>
        <v>Có</v>
      </c>
      <c r="U332" s="10" t="str">
        <f t="shared" si="81"/>
        <v>Không</v>
      </c>
      <c r="V332" s="2" t="s">
        <v>512</v>
      </c>
      <c r="W332" s="4">
        <v>46142</v>
      </c>
      <c r="X332" s="8" t="str">
        <f t="shared" si="82"/>
        <v>Tháng 4</v>
      </c>
      <c r="Y332" s="8" t="str">
        <f t="shared" si="83"/>
        <v>Ấp Biển Tây B</v>
      </c>
    </row>
    <row r="333" spans="1:25" x14ac:dyDescent="0.25">
      <c r="A333" s="1" t="s">
        <v>513</v>
      </c>
      <c r="B333" s="2" t="s">
        <v>23</v>
      </c>
      <c r="C333" s="2" t="s">
        <v>42</v>
      </c>
      <c r="D333" s="10">
        <f t="shared" ca="1" si="70"/>
        <v>59</v>
      </c>
      <c r="E333" s="2" t="s">
        <v>26</v>
      </c>
      <c r="F333" s="3">
        <v>158</v>
      </c>
      <c r="G333" s="3">
        <v>58</v>
      </c>
      <c r="H333" s="11">
        <f t="shared" si="71"/>
        <v>23.233456176894723</v>
      </c>
      <c r="I333" s="2">
        <v>83</v>
      </c>
      <c r="J333" s="3">
        <v>170</v>
      </c>
      <c r="K333" s="3">
        <v>80</v>
      </c>
      <c r="L333" s="10">
        <f t="shared" si="72"/>
        <v>0</v>
      </c>
      <c r="M333" s="10">
        <f t="shared" ca="1" si="73"/>
        <v>2</v>
      </c>
      <c r="N333" s="10">
        <f t="shared" si="74"/>
        <v>0</v>
      </c>
      <c r="O333" s="10">
        <f t="shared" si="75"/>
        <v>3</v>
      </c>
      <c r="P333" s="10">
        <f t="shared" si="76"/>
        <v>2</v>
      </c>
      <c r="Q333" s="10">
        <f t="shared" si="77"/>
        <v>2</v>
      </c>
      <c r="R333" s="10">
        <f t="shared" ca="1" si="78"/>
        <v>9</v>
      </c>
      <c r="S333" s="10" t="str">
        <f t="shared" ca="1" si="79"/>
        <v>Có</v>
      </c>
      <c r="T333" s="10" t="str">
        <f t="shared" ca="1" si="80"/>
        <v>Có</v>
      </c>
      <c r="U333" s="10" t="str">
        <f t="shared" si="81"/>
        <v>Có</v>
      </c>
      <c r="V333" s="2" t="s">
        <v>28</v>
      </c>
      <c r="W333" s="4">
        <v>46142</v>
      </c>
      <c r="X333" s="8" t="str">
        <f t="shared" si="82"/>
        <v>Tháng 4</v>
      </c>
      <c r="Y333" s="8" t="str">
        <f t="shared" si="83"/>
        <v>Ấp Biển Đông A</v>
      </c>
    </row>
    <row r="334" spans="1:25" x14ac:dyDescent="0.25">
      <c r="A334" s="1" t="s">
        <v>514</v>
      </c>
      <c r="B334" s="2" t="s">
        <v>23</v>
      </c>
      <c r="C334" s="2" t="s">
        <v>40</v>
      </c>
      <c r="D334" s="10">
        <f t="shared" ca="1" si="70"/>
        <v>70</v>
      </c>
      <c r="E334" s="2" t="s">
        <v>25</v>
      </c>
      <c r="F334" s="3">
        <v>158</v>
      </c>
      <c r="G334" s="3">
        <v>58</v>
      </c>
      <c r="H334" s="11">
        <f t="shared" si="71"/>
        <v>23.233456176894723</v>
      </c>
      <c r="I334" s="2">
        <v>86</v>
      </c>
      <c r="J334" s="3">
        <v>120</v>
      </c>
      <c r="K334" s="3">
        <v>80</v>
      </c>
      <c r="L334" s="10">
        <f t="shared" si="72"/>
        <v>0</v>
      </c>
      <c r="M334" s="10">
        <f t="shared" ca="1" si="73"/>
        <v>2</v>
      </c>
      <c r="N334" s="10">
        <f t="shared" si="74"/>
        <v>4</v>
      </c>
      <c r="O334" s="10">
        <f t="shared" si="75"/>
        <v>3</v>
      </c>
      <c r="P334" s="10">
        <f t="shared" si="76"/>
        <v>2</v>
      </c>
      <c r="Q334" s="10">
        <f t="shared" si="77"/>
        <v>0</v>
      </c>
      <c r="R334" s="10">
        <f t="shared" ca="1" si="78"/>
        <v>11</v>
      </c>
      <c r="S334" s="10" t="str">
        <f t="shared" ca="1" si="79"/>
        <v>Có</v>
      </c>
      <c r="T334" s="10" t="str">
        <f t="shared" ca="1" si="80"/>
        <v>Có</v>
      </c>
      <c r="U334" s="10" t="str">
        <f t="shared" si="81"/>
        <v>Không</v>
      </c>
      <c r="V334" s="2" t="s">
        <v>68</v>
      </c>
      <c r="W334" s="4">
        <v>46142</v>
      </c>
      <c r="X334" s="8" t="str">
        <f t="shared" si="82"/>
        <v>Tháng 4</v>
      </c>
      <c r="Y334" s="8" t="str">
        <f t="shared" si="83"/>
        <v>Ấp Biển Tây B</v>
      </c>
    </row>
    <row r="335" spans="1:25" x14ac:dyDescent="0.25">
      <c r="A335" s="1" t="s">
        <v>515</v>
      </c>
      <c r="B335" s="2" t="s">
        <v>30</v>
      </c>
      <c r="C335" s="2" t="s">
        <v>50</v>
      </c>
      <c r="D335" s="10">
        <f t="shared" ca="1" si="70"/>
        <v>58</v>
      </c>
      <c r="E335" s="2" t="s">
        <v>26</v>
      </c>
      <c r="F335" s="3">
        <v>24</v>
      </c>
      <c r="G335" s="3">
        <v>110</v>
      </c>
      <c r="H335" s="11">
        <f t="shared" si="71"/>
        <v>1909.7222222222222</v>
      </c>
      <c r="I335" s="2">
        <v>81</v>
      </c>
      <c r="J335" s="3">
        <v>100</v>
      </c>
      <c r="K335" s="3">
        <v>60</v>
      </c>
      <c r="L335" s="10">
        <f t="shared" si="72"/>
        <v>2</v>
      </c>
      <c r="M335" s="10">
        <f t="shared" ca="1" si="73"/>
        <v>2</v>
      </c>
      <c r="N335" s="10">
        <f t="shared" si="74"/>
        <v>0</v>
      </c>
      <c r="O335" s="10">
        <f t="shared" si="75"/>
        <v>5</v>
      </c>
      <c r="P335" s="10">
        <f t="shared" si="76"/>
        <v>0</v>
      </c>
      <c r="Q335" s="10">
        <f t="shared" si="77"/>
        <v>0</v>
      </c>
      <c r="R335" s="10">
        <f t="shared" ca="1" si="78"/>
        <v>9</v>
      </c>
      <c r="S335" s="10" t="str">
        <f t="shared" ca="1" si="79"/>
        <v>Có</v>
      </c>
      <c r="T335" s="10" t="str">
        <f t="shared" ca="1" si="80"/>
        <v>Có</v>
      </c>
      <c r="U335" s="10" t="str">
        <f t="shared" si="81"/>
        <v>Không</v>
      </c>
      <c r="V335" s="2" t="s">
        <v>229</v>
      </c>
      <c r="W335" s="4">
        <v>46142</v>
      </c>
      <c r="X335" s="8" t="str">
        <f t="shared" si="82"/>
        <v>Tháng 4</v>
      </c>
      <c r="Y335" s="8" t="str">
        <f t="shared" si="83"/>
        <v>Xã Vĩnh Trạch Đông</v>
      </c>
    </row>
    <row r="336" spans="1:25" x14ac:dyDescent="0.25">
      <c r="A336" s="1" t="s">
        <v>516</v>
      </c>
      <c r="B336" s="2" t="s">
        <v>30</v>
      </c>
      <c r="C336" s="2" t="s">
        <v>341</v>
      </c>
      <c r="D336" s="10">
        <f t="shared" ca="1" si="70"/>
        <v>51</v>
      </c>
      <c r="E336" s="2" t="s">
        <v>26</v>
      </c>
      <c r="F336" s="3">
        <v>169</v>
      </c>
      <c r="G336" s="3">
        <v>68</v>
      </c>
      <c r="H336" s="11">
        <f t="shared" si="71"/>
        <v>23.808690171912751</v>
      </c>
      <c r="I336" s="2">
        <v>65</v>
      </c>
      <c r="J336" s="3">
        <v>110</v>
      </c>
      <c r="K336" s="3">
        <v>80</v>
      </c>
      <c r="L336" s="10">
        <f t="shared" si="72"/>
        <v>2</v>
      </c>
      <c r="M336" s="10">
        <f t="shared" ca="1" si="73"/>
        <v>2</v>
      </c>
      <c r="N336" s="10">
        <f t="shared" si="74"/>
        <v>0</v>
      </c>
      <c r="O336" s="10">
        <f t="shared" si="75"/>
        <v>3</v>
      </c>
      <c r="P336" s="10">
        <f t="shared" si="76"/>
        <v>0</v>
      </c>
      <c r="Q336" s="10">
        <f t="shared" si="77"/>
        <v>0</v>
      </c>
      <c r="R336" s="10">
        <f t="shared" ca="1" si="78"/>
        <v>7</v>
      </c>
      <c r="S336" s="10" t="str">
        <f t="shared" ca="1" si="79"/>
        <v>Có</v>
      </c>
      <c r="T336" s="10" t="str">
        <f t="shared" ca="1" si="80"/>
        <v>Có</v>
      </c>
      <c r="U336" s="10" t="str">
        <f t="shared" si="81"/>
        <v>Không</v>
      </c>
      <c r="V336" s="2" t="s">
        <v>140</v>
      </c>
      <c r="W336" s="4">
        <v>46142</v>
      </c>
      <c r="X336" s="8" t="str">
        <f t="shared" si="82"/>
        <v>Tháng 4</v>
      </c>
      <c r="Y336" s="8" t="str">
        <f t="shared" si="83"/>
        <v>Biển Tây A</v>
      </c>
    </row>
    <row r="337" spans="1:25" x14ac:dyDescent="0.25">
      <c r="A337" s="1" t="s">
        <v>517</v>
      </c>
      <c r="B337" s="2" t="s">
        <v>30</v>
      </c>
      <c r="C337" s="2" t="s">
        <v>90</v>
      </c>
      <c r="D337" s="10">
        <f t="shared" ca="1" si="70"/>
        <v>54</v>
      </c>
      <c r="E337" s="2" t="s">
        <v>26</v>
      </c>
      <c r="F337" s="3">
        <v>169</v>
      </c>
      <c r="G337" s="3">
        <v>68</v>
      </c>
      <c r="H337" s="11">
        <f t="shared" si="71"/>
        <v>23.808690171912751</v>
      </c>
      <c r="I337" s="2">
        <v>100</v>
      </c>
      <c r="J337" s="3">
        <v>120</v>
      </c>
      <c r="K337" s="3">
        <v>80</v>
      </c>
      <c r="L337" s="10">
        <f t="shared" si="72"/>
        <v>2</v>
      </c>
      <c r="M337" s="10">
        <f t="shared" ca="1" si="73"/>
        <v>2</v>
      </c>
      <c r="N337" s="10">
        <f t="shared" si="74"/>
        <v>0</v>
      </c>
      <c r="O337" s="10">
        <f t="shared" si="75"/>
        <v>3</v>
      </c>
      <c r="P337" s="10">
        <f t="shared" si="76"/>
        <v>2</v>
      </c>
      <c r="Q337" s="10">
        <f t="shared" si="77"/>
        <v>0</v>
      </c>
      <c r="R337" s="10">
        <f t="shared" ca="1" si="78"/>
        <v>9</v>
      </c>
      <c r="S337" s="10" t="str">
        <f t="shared" ca="1" si="79"/>
        <v>Có</v>
      </c>
      <c r="T337" s="10" t="str">
        <f t="shared" ca="1" si="80"/>
        <v>Có</v>
      </c>
      <c r="U337" s="10" t="str">
        <f t="shared" si="81"/>
        <v>Không</v>
      </c>
      <c r="V337" s="2" t="s">
        <v>51</v>
      </c>
      <c r="W337" s="4">
        <v>46142</v>
      </c>
      <c r="X337" s="8" t="str">
        <f t="shared" si="82"/>
        <v>Tháng 4</v>
      </c>
      <c r="Y337" s="8" t="str">
        <f t="shared" si="83"/>
        <v>Phường Hiệp Thành</v>
      </c>
    </row>
    <row r="338" spans="1:25" x14ac:dyDescent="0.25">
      <c r="A338" s="1" t="s">
        <v>518</v>
      </c>
      <c r="B338" s="2" t="s">
        <v>23</v>
      </c>
      <c r="C338" s="2" t="s">
        <v>318</v>
      </c>
      <c r="D338" s="10">
        <f t="shared" ca="1" si="70"/>
        <v>82</v>
      </c>
      <c r="E338" s="2" t="s">
        <v>26</v>
      </c>
      <c r="F338" s="3">
        <v>158</v>
      </c>
      <c r="G338" s="3">
        <v>58</v>
      </c>
      <c r="H338" s="11">
        <f t="shared" si="71"/>
        <v>23.233456176894723</v>
      </c>
      <c r="I338" s="2">
        <v>100</v>
      </c>
      <c r="J338" s="3">
        <v>150</v>
      </c>
      <c r="K338" s="3">
        <v>80</v>
      </c>
      <c r="L338" s="10">
        <f t="shared" si="72"/>
        <v>0</v>
      </c>
      <c r="M338" s="10">
        <f t="shared" ca="1" si="73"/>
        <v>2</v>
      </c>
      <c r="N338" s="10">
        <f t="shared" si="74"/>
        <v>0</v>
      </c>
      <c r="O338" s="10">
        <f t="shared" si="75"/>
        <v>3</v>
      </c>
      <c r="P338" s="10">
        <f t="shared" si="76"/>
        <v>2</v>
      </c>
      <c r="Q338" s="10">
        <f t="shared" si="77"/>
        <v>2</v>
      </c>
      <c r="R338" s="10">
        <f t="shared" ca="1" si="78"/>
        <v>9</v>
      </c>
      <c r="S338" s="10" t="str">
        <f t="shared" ca="1" si="79"/>
        <v>Có</v>
      </c>
      <c r="T338" s="10" t="str">
        <f t="shared" ca="1" si="80"/>
        <v>Có</v>
      </c>
      <c r="U338" s="10" t="str">
        <f t="shared" si="81"/>
        <v>Có</v>
      </c>
      <c r="V338" s="2" t="s">
        <v>519</v>
      </c>
      <c r="W338" s="4">
        <v>46142</v>
      </c>
      <c r="X338" s="8" t="str">
        <f t="shared" si="82"/>
        <v>Tháng 4</v>
      </c>
      <c r="Y338" s="8" t="str">
        <f t="shared" si="83"/>
        <v>ẤP Biển Tây A</v>
      </c>
    </row>
    <row r="339" spans="1:25" x14ac:dyDescent="0.25">
      <c r="A339" s="1" t="s">
        <v>520</v>
      </c>
      <c r="B339" s="2" t="s">
        <v>30</v>
      </c>
      <c r="C339" s="2" t="s">
        <v>155</v>
      </c>
      <c r="D339" s="10">
        <f t="shared" ca="1" si="70"/>
        <v>53</v>
      </c>
      <c r="E339" s="2" t="s">
        <v>26</v>
      </c>
      <c r="F339" s="3">
        <v>169</v>
      </c>
      <c r="G339" s="3">
        <v>68</v>
      </c>
      <c r="H339" s="11">
        <f t="shared" si="71"/>
        <v>23.808690171912751</v>
      </c>
      <c r="I339" s="2">
        <v>96</v>
      </c>
      <c r="J339" s="3">
        <v>140</v>
      </c>
      <c r="K339" s="3">
        <v>80</v>
      </c>
      <c r="L339" s="10">
        <f t="shared" si="72"/>
        <v>2</v>
      </c>
      <c r="M339" s="10">
        <f t="shared" ca="1" si="73"/>
        <v>2</v>
      </c>
      <c r="N339" s="10">
        <f t="shared" si="74"/>
        <v>0</v>
      </c>
      <c r="O339" s="10">
        <f t="shared" si="75"/>
        <v>3</v>
      </c>
      <c r="P339" s="10">
        <f t="shared" si="76"/>
        <v>2</v>
      </c>
      <c r="Q339" s="10">
        <f t="shared" si="77"/>
        <v>2</v>
      </c>
      <c r="R339" s="10">
        <f t="shared" ca="1" si="78"/>
        <v>11</v>
      </c>
      <c r="S339" s="10" t="str">
        <f t="shared" ca="1" si="79"/>
        <v>Có</v>
      </c>
      <c r="T339" s="10" t="str">
        <f t="shared" ca="1" si="80"/>
        <v>Có</v>
      </c>
      <c r="U339" s="10" t="str">
        <f t="shared" si="81"/>
        <v>Có</v>
      </c>
      <c r="V339" s="2" t="s">
        <v>306</v>
      </c>
      <c r="W339" s="4">
        <v>46142</v>
      </c>
      <c r="X339" s="8" t="str">
        <f t="shared" si="82"/>
        <v>Tháng 4</v>
      </c>
      <c r="Y339" s="8" t="str">
        <f t="shared" si="83"/>
        <v>Giồng Giữa A</v>
      </c>
    </row>
    <row r="340" spans="1:25" x14ac:dyDescent="0.25">
      <c r="A340" s="1" t="s">
        <v>521</v>
      </c>
      <c r="B340" s="2" t="s">
        <v>23</v>
      </c>
      <c r="C340" s="2" t="s">
        <v>155</v>
      </c>
      <c r="D340" s="10">
        <f t="shared" ca="1" si="70"/>
        <v>53</v>
      </c>
      <c r="E340" s="2" t="s">
        <v>26</v>
      </c>
      <c r="F340" s="3">
        <v>150</v>
      </c>
      <c r="G340" s="3">
        <v>45</v>
      </c>
      <c r="H340" s="11">
        <f t="shared" si="71"/>
        <v>20</v>
      </c>
      <c r="I340" s="2">
        <v>90</v>
      </c>
      <c r="J340" s="3">
        <v>120</v>
      </c>
      <c r="K340" s="3">
        <v>70</v>
      </c>
      <c r="L340" s="10">
        <f t="shared" si="72"/>
        <v>0</v>
      </c>
      <c r="M340" s="10">
        <f t="shared" ca="1" si="73"/>
        <v>2</v>
      </c>
      <c r="N340" s="10">
        <f t="shared" si="74"/>
        <v>0</v>
      </c>
      <c r="O340" s="10">
        <f t="shared" si="75"/>
        <v>0</v>
      </c>
      <c r="P340" s="10">
        <f t="shared" si="76"/>
        <v>2</v>
      </c>
      <c r="Q340" s="10">
        <f t="shared" si="77"/>
        <v>0</v>
      </c>
      <c r="R340" s="10">
        <f t="shared" ca="1" si="78"/>
        <v>4</v>
      </c>
      <c r="S340" s="10" t="str">
        <f t="shared" ca="1" si="79"/>
        <v>Không cần</v>
      </c>
      <c r="T340" s="10" t="str">
        <f t="shared" ca="1" si="80"/>
        <v>Không</v>
      </c>
      <c r="U340" s="10" t="str">
        <f t="shared" si="81"/>
        <v>Không</v>
      </c>
      <c r="V340" s="2" t="s">
        <v>365</v>
      </c>
      <c r="W340" s="4">
        <v>46142</v>
      </c>
      <c r="X340" s="8" t="str">
        <f t="shared" si="82"/>
        <v>Tháng 4</v>
      </c>
      <c r="Y340" s="8" t="str">
        <f t="shared" si="83"/>
        <v>Phường Bạc Liêu</v>
      </c>
    </row>
    <row r="341" spans="1:25" x14ac:dyDescent="0.25">
      <c r="A341" s="1" t="s">
        <v>522</v>
      </c>
      <c r="B341" s="2" t="s">
        <v>23</v>
      </c>
      <c r="C341" s="2" t="s">
        <v>56</v>
      </c>
      <c r="D341" s="10">
        <f t="shared" ca="1" si="70"/>
        <v>65</v>
      </c>
      <c r="E341" s="2" t="s">
        <v>26</v>
      </c>
      <c r="F341" s="3">
        <v>158</v>
      </c>
      <c r="G341" s="3">
        <v>55</v>
      </c>
      <c r="H341" s="11">
        <f t="shared" si="71"/>
        <v>22.031725684986377</v>
      </c>
      <c r="I341" s="2">
        <v>88</v>
      </c>
      <c r="J341" s="3">
        <v>120</v>
      </c>
      <c r="K341" s="3">
        <v>70</v>
      </c>
      <c r="L341" s="10">
        <f t="shared" si="72"/>
        <v>0</v>
      </c>
      <c r="M341" s="10">
        <f t="shared" ca="1" si="73"/>
        <v>2</v>
      </c>
      <c r="N341" s="10">
        <f t="shared" si="74"/>
        <v>0</v>
      </c>
      <c r="O341" s="10">
        <f t="shared" si="75"/>
        <v>0</v>
      </c>
      <c r="P341" s="10">
        <f t="shared" si="76"/>
        <v>2</v>
      </c>
      <c r="Q341" s="10">
        <f t="shared" si="77"/>
        <v>0</v>
      </c>
      <c r="R341" s="10">
        <f t="shared" ca="1" si="78"/>
        <v>4</v>
      </c>
      <c r="S341" s="10" t="str">
        <f t="shared" ca="1" si="79"/>
        <v>Không cần</v>
      </c>
      <c r="T341" s="10" t="str">
        <f t="shared" ca="1" si="80"/>
        <v>Không</v>
      </c>
      <c r="U341" s="10" t="str">
        <f t="shared" si="81"/>
        <v>Không</v>
      </c>
      <c r="V341" s="2" t="s">
        <v>108</v>
      </c>
      <c r="W341" s="4">
        <v>46053</v>
      </c>
      <c r="X341" s="8" t="str">
        <f t="shared" si="82"/>
        <v>Tháng 1</v>
      </c>
      <c r="Y341" s="8" t="str">
        <f t="shared" si="83"/>
        <v>Phường Hiệp Thành</v>
      </c>
    </row>
    <row r="342" spans="1:25" x14ac:dyDescent="0.25">
      <c r="A342" s="1" t="s">
        <v>523</v>
      </c>
      <c r="B342" s="2" t="s">
        <v>30</v>
      </c>
      <c r="C342" s="2" t="s">
        <v>84</v>
      </c>
      <c r="D342" s="10">
        <f t="shared" ca="1" si="70"/>
        <v>69</v>
      </c>
      <c r="E342" s="2" t="s">
        <v>26</v>
      </c>
      <c r="F342" s="3">
        <v>169</v>
      </c>
      <c r="G342" s="3">
        <v>68</v>
      </c>
      <c r="H342" s="11">
        <f t="shared" si="71"/>
        <v>23.808690171912751</v>
      </c>
      <c r="I342" s="2">
        <v>85</v>
      </c>
      <c r="J342" s="3">
        <v>120</v>
      </c>
      <c r="K342" s="3">
        <v>80</v>
      </c>
      <c r="L342" s="10">
        <f t="shared" si="72"/>
        <v>2</v>
      </c>
      <c r="M342" s="10">
        <f t="shared" ca="1" si="73"/>
        <v>2</v>
      </c>
      <c r="N342" s="10">
        <f t="shared" si="74"/>
        <v>0</v>
      </c>
      <c r="O342" s="10">
        <f t="shared" si="75"/>
        <v>3</v>
      </c>
      <c r="P342" s="10">
        <f t="shared" si="76"/>
        <v>0</v>
      </c>
      <c r="Q342" s="10">
        <f t="shared" si="77"/>
        <v>0</v>
      </c>
      <c r="R342" s="10">
        <f t="shared" ca="1" si="78"/>
        <v>7</v>
      </c>
      <c r="S342" s="10" t="str">
        <f t="shared" ca="1" si="79"/>
        <v>Có</v>
      </c>
      <c r="T342" s="10" t="str">
        <f t="shared" ca="1" si="80"/>
        <v>Có</v>
      </c>
      <c r="U342" s="10" t="str">
        <f t="shared" si="81"/>
        <v>Không</v>
      </c>
      <c r="V342" s="2" t="s">
        <v>524</v>
      </c>
      <c r="W342" s="4">
        <v>46142</v>
      </c>
      <c r="X342" s="8" t="str">
        <f t="shared" si="82"/>
        <v>Tháng 4</v>
      </c>
      <c r="Y342" s="8" t="str">
        <f t="shared" si="83"/>
        <v>Khóm Giồng Giữa A</v>
      </c>
    </row>
    <row r="343" spans="1:25" x14ac:dyDescent="0.25">
      <c r="A343" s="1" t="s">
        <v>525</v>
      </c>
      <c r="B343" s="2" t="s">
        <v>23</v>
      </c>
      <c r="C343" s="2" t="s">
        <v>188</v>
      </c>
      <c r="D343" s="10">
        <f t="shared" ca="1" si="70"/>
        <v>63</v>
      </c>
      <c r="E343" s="2" t="s">
        <v>26</v>
      </c>
      <c r="F343" s="3">
        <v>160</v>
      </c>
      <c r="G343" s="3">
        <v>80</v>
      </c>
      <c r="H343" s="11">
        <f t="shared" si="71"/>
        <v>31.249999999999993</v>
      </c>
      <c r="I343" s="2">
        <v>76</v>
      </c>
      <c r="J343" s="3">
        <v>120</v>
      </c>
      <c r="K343" s="3">
        <v>70</v>
      </c>
      <c r="L343" s="10">
        <f t="shared" si="72"/>
        <v>0</v>
      </c>
      <c r="M343" s="10">
        <f t="shared" ca="1" si="73"/>
        <v>2</v>
      </c>
      <c r="N343" s="10">
        <f t="shared" si="74"/>
        <v>0</v>
      </c>
      <c r="O343" s="10">
        <f t="shared" si="75"/>
        <v>5</v>
      </c>
      <c r="P343" s="10">
        <f t="shared" si="76"/>
        <v>0</v>
      </c>
      <c r="Q343" s="10">
        <f t="shared" si="77"/>
        <v>0</v>
      </c>
      <c r="R343" s="10">
        <f t="shared" ca="1" si="78"/>
        <v>7</v>
      </c>
      <c r="S343" s="10" t="str">
        <f t="shared" ca="1" si="79"/>
        <v>Có</v>
      </c>
      <c r="T343" s="10" t="str">
        <f t="shared" ca="1" si="80"/>
        <v>Có</v>
      </c>
      <c r="U343" s="10" t="str">
        <f t="shared" si="81"/>
        <v>Không</v>
      </c>
      <c r="V343" s="2" t="s">
        <v>43</v>
      </c>
      <c r="W343" s="4">
        <v>46142</v>
      </c>
      <c r="X343" s="8" t="str">
        <f t="shared" si="82"/>
        <v>Tháng 4</v>
      </c>
      <c r="Y343" s="8" t="str">
        <f t="shared" si="83"/>
        <v>Ấp Giồng Nhãn A</v>
      </c>
    </row>
    <row r="344" spans="1:25" x14ac:dyDescent="0.25">
      <c r="A344" s="1" t="s">
        <v>526</v>
      </c>
      <c r="B344" s="2" t="s">
        <v>23</v>
      </c>
      <c r="C344" s="2" t="s">
        <v>53</v>
      </c>
      <c r="D344" s="10">
        <f t="shared" ca="1" si="70"/>
        <v>72</v>
      </c>
      <c r="E344" s="2" t="s">
        <v>26</v>
      </c>
      <c r="F344" s="3">
        <v>158</v>
      </c>
      <c r="G344" s="3">
        <v>58</v>
      </c>
      <c r="H344" s="11">
        <f t="shared" si="71"/>
        <v>23.233456176894723</v>
      </c>
      <c r="I344" s="2">
        <v>82</v>
      </c>
      <c r="J344" s="3">
        <v>140</v>
      </c>
      <c r="K344" s="3">
        <v>80</v>
      </c>
      <c r="L344" s="10">
        <f t="shared" si="72"/>
        <v>0</v>
      </c>
      <c r="M344" s="10">
        <f t="shared" ca="1" si="73"/>
        <v>2</v>
      </c>
      <c r="N344" s="10">
        <f t="shared" si="74"/>
        <v>0</v>
      </c>
      <c r="O344" s="10">
        <f t="shared" si="75"/>
        <v>3</v>
      </c>
      <c r="P344" s="10">
        <f t="shared" si="76"/>
        <v>2</v>
      </c>
      <c r="Q344" s="10">
        <f t="shared" si="77"/>
        <v>2</v>
      </c>
      <c r="R344" s="10">
        <f t="shared" ca="1" si="78"/>
        <v>9</v>
      </c>
      <c r="S344" s="10" t="str">
        <f t="shared" ca="1" si="79"/>
        <v>Có</v>
      </c>
      <c r="T344" s="10" t="str">
        <f t="shared" ca="1" si="80"/>
        <v>Có</v>
      </c>
      <c r="U344" s="10" t="str">
        <f t="shared" si="81"/>
        <v>Có</v>
      </c>
      <c r="V344" s="2" t="s">
        <v>527</v>
      </c>
      <c r="W344" s="4">
        <v>46053</v>
      </c>
      <c r="X344" s="8" t="str">
        <f t="shared" si="82"/>
        <v>Tháng 1</v>
      </c>
      <c r="Y344" s="8" t="str">
        <f t="shared" si="83"/>
        <v>Ấp Biển Tây A</v>
      </c>
    </row>
    <row r="345" spans="1:25" x14ac:dyDescent="0.25">
      <c r="A345" s="1" t="s">
        <v>528</v>
      </c>
      <c r="B345" s="2" t="s">
        <v>30</v>
      </c>
      <c r="C345" s="2" t="s">
        <v>47</v>
      </c>
      <c r="D345" s="10">
        <f t="shared" ca="1" si="70"/>
        <v>55</v>
      </c>
      <c r="E345" s="2" t="s">
        <v>25</v>
      </c>
      <c r="F345" s="3">
        <v>170</v>
      </c>
      <c r="G345" s="3">
        <v>45</v>
      </c>
      <c r="H345" s="11">
        <f t="shared" si="71"/>
        <v>15.570934256055365</v>
      </c>
      <c r="I345" s="2">
        <v>67</v>
      </c>
      <c r="J345" s="3">
        <v>120</v>
      </c>
      <c r="K345" s="3">
        <v>70</v>
      </c>
      <c r="L345" s="10">
        <f t="shared" si="72"/>
        <v>2</v>
      </c>
      <c r="M345" s="10">
        <f t="shared" ca="1" si="73"/>
        <v>2</v>
      </c>
      <c r="N345" s="10">
        <f t="shared" si="74"/>
        <v>4</v>
      </c>
      <c r="O345" s="10">
        <f t="shared" si="75"/>
        <v>0</v>
      </c>
      <c r="P345" s="10">
        <f t="shared" si="76"/>
        <v>0</v>
      </c>
      <c r="Q345" s="10">
        <f t="shared" si="77"/>
        <v>0</v>
      </c>
      <c r="R345" s="10">
        <f t="shared" ca="1" si="78"/>
        <v>8</v>
      </c>
      <c r="S345" s="10" t="str">
        <f t="shared" ca="1" si="79"/>
        <v>Có</v>
      </c>
      <c r="T345" s="10" t="str">
        <f t="shared" ca="1" si="80"/>
        <v>Có</v>
      </c>
      <c r="U345" s="10" t="str">
        <f t="shared" si="81"/>
        <v>Không</v>
      </c>
      <c r="V345" s="2" t="s">
        <v>529</v>
      </c>
      <c r="W345" s="4">
        <v>46053</v>
      </c>
      <c r="X345" s="8" t="str">
        <f t="shared" si="82"/>
        <v>Tháng 1</v>
      </c>
      <c r="Y345" s="8" t="str">
        <f t="shared" si="83"/>
        <v>Phường Nhà Mát</v>
      </c>
    </row>
    <row r="346" spans="1:25" x14ac:dyDescent="0.25">
      <c r="A346" s="1" t="s">
        <v>530</v>
      </c>
      <c r="B346" s="2" t="s">
        <v>30</v>
      </c>
      <c r="C346" s="2" t="s">
        <v>188</v>
      </c>
      <c r="D346" s="10">
        <f t="shared" ca="1" si="70"/>
        <v>63</v>
      </c>
      <c r="E346" s="2" t="s">
        <v>26</v>
      </c>
      <c r="F346" s="3">
        <v>165</v>
      </c>
      <c r="G346" s="3">
        <v>53</v>
      </c>
      <c r="H346" s="11">
        <f t="shared" si="71"/>
        <v>19.467401285583104</v>
      </c>
      <c r="I346" s="2">
        <v>65</v>
      </c>
      <c r="J346" s="3">
        <v>120</v>
      </c>
      <c r="K346" s="3">
        <v>70</v>
      </c>
      <c r="L346" s="10">
        <f t="shared" si="72"/>
        <v>2</v>
      </c>
      <c r="M346" s="10">
        <f t="shared" ca="1" si="73"/>
        <v>2</v>
      </c>
      <c r="N346" s="10">
        <f t="shared" si="74"/>
        <v>0</v>
      </c>
      <c r="O346" s="10">
        <f t="shared" si="75"/>
        <v>0</v>
      </c>
      <c r="P346" s="10">
        <f t="shared" si="76"/>
        <v>0</v>
      </c>
      <c r="Q346" s="10">
        <f t="shared" si="77"/>
        <v>0</v>
      </c>
      <c r="R346" s="10">
        <f t="shared" ca="1" si="78"/>
        <v>4</v>
      </c>
      <c r="S346" s="10" t="str">
        <f t="shared" ca="1" si="79"/>
        <v>Không cần</v>
      </c>
      <c r="T346" s="10" t="str">
        <f t="shared" ca="1" si="80"/>
        <v>Không</v>
      </c>
      <c r="U346" s="10" t="str">
        <f t="shared" si="81"/>
        <v>Không</v>
      </c>
      <c r="V346" s="2" t="s">
        <v>108</v>
      </c>
      <c r="W346" s="4">
        <v>46053</v>
      </c>
      <c r="X346" s="8" t="str">
        <f t="shared" si="82"/>
        <v>Tháng 1</v>
      </c>
      <c r="Y346" s="8" t="str">
        <f t="shared" si="83"/>
        <v>Phường Hiệp Thành</v>
      </c>
    </row>
    <row r="347" spans="1:25" x14ac:dyDescent="0.25">
      <c r="A347" s="1" t="s">
        <v>531</v>
      </c>
      <c r="B347" s="2" t="s">
        <v>23</v>
      </c>
      <c r="C347" s="2" t="s">
        <v>87</v>
      </c>
      <c r="D347" s="10">
        <f t="shared" ca="1" si="70"/>
        <v>49</v>
      </c>
      <c r="E347" s="2" t="s">
        <v>26</v>
      </c>
      <c r="F347" s="3">
        <v>159</v>
      </c>
      <c r="G347" s="3">
        <v>50</v>
      </c>
      <c r="H347" s="11">
        <f t="shared" si="71"/>
        <v>19.77769866698311</v>
      </c>
      <c r="I347" s="2">
        <v>83</v>
      </c>
      <c r="J347" s="3">
        <v>120</v>
      </c>
      <c r="K347" s="3">
        <v>70</v>
      </c>
      <c r="L347" s="10">
        <f t="shared" si="72"/>
        <v>0</v>
      </c>
      <c r="M347" s="10">
        <f t="shared" ca="1" si="73"/>
        <v>1</v>
      </c>
      <c r="N347" s="10">
        <f t="shared" si="74"/>
        <v>0</v>
      </c>
      <c r="O347" s="10">
        <f t="shared" si="75"/>
        <v>0</v>
      </c>
      <c r="P347" s="10">
        <f t="shared" si="76"/>
        <v>2</v>
      </c>
      <c r="Q347" s="10">
        <f t="shared" si="77"/>
        <v>0</v>
      </c>
      <c r="R347" s="10">
        <f t="shared" ca="1" si="78"/>
        <v>3</v>
      </c>
      <c r="S347" s="10" t="str">
        <f t="shared" ca="1" si="79"/>
        <v>Không cần</v>
      </c>
      <c r="T347" s="10" t="str">
        <f t="shared" ca="1" si="80"/>
        <v>Không</v>
      </c>
      <c r="U347" s="10" t="str">
        <f t="shared" si="81"/>
        <v>Không</v>
      </c>
      <c r="V347" s="2" t="s">
        <v>108</v>
      </c>
      <c r="W347" s="4">
        <v>46053</v>
      </c>
      <c r="X347" s="8" t="str">
        <f t="shared" si="82"/>
        <v>Tháng 1</v>
      </c>
      <c r="Y347" s="8" t="str">
        <f t="shared" si="83"/>
        <v>Phường Hiệp Thành</v>
      </c>
    </row>
    <row r="348" spans="1:25" x14ac:dyDescent="0.25">
      <c r="A348" s="1" t="s">
        <v>532</v>
      </c>
      <c r="B348" s="2" t="s">
        <v>30</v>
      </c>
      <c r="C348" s="2" t="s">
        <v>62</v>
      </c>
      <c r="D348" s="10">
        <f t="shared" ca="1" si="70"/>
        <v>64</v>
      </c>
      <c r="E348" s="2" t="s">
        <v>26</v>
      </c>
      <c r="F348" s="3">
        <v>169</v>
      </c>
      <c r="G348" s="3">
        <v>69</v>
      </c>
      <c r="H348" s="11">
        <f t="shared" si="71"/>
        <v>24.158817968558527</v>
      </c>
      <c r="I348" s="2">
        <v>72</v>
      </c>
      <c r="J348" s="3">
        <v>140</v>
      </c>
      <c r="K348" s="3">
        <v>80</v>
      </c>
      <c r="L348" s="10">
        <f t="shared" si="72"/>
        <v>2</v>
      </c>
      <c r="M348" s="10">
        <f t="shared" ca="1" si="73"/>
        <v>2</v>
      </c>
      <c r="N348" s="10">
        <f t="shared" si="74"/>
        <v>0</v>
      </c>
      <c r="O348" s="10">
        <f t="shared" si="75"/>
        <v>3</v>
      </c>
      <c r="P348" s="10">
        <f t="shared" si="76"/>
        <v>0</v>
      </c>
      <c r="Q348" s="10">
        <f t="shared" si="77"/>
        <v>2</v>
      </c>
      <c r="R348" s="10">
        <f t="shared" ca="1" si="78"/>
        <v>9</v>
      </c>
      <c r="S348" s="10" t="str">
        <f t="shared" ca="1" si="79"/>
        <v>Có</v>
      </c>
      <c r="T348" s="10" t="str">
        <f t="shared" ca="1" si="80"/>
        <v>Có</v>
      </c>
      <c r="U348" s="10" t="str">
        <f t="shared" si="81"/>
        <v>Có</v>
      </c>
      <c r="V348" s="2" t="s">
        <v>533</v>
      </c>
      <c r="W348" s="4">
        <v>46053</v>
      </c>
      <c r="X348" s="8" t="str">
        <f t="shared" si="82"/>
        <v>Tháng 1</v>
      </c>
      <c r="Y348" s="8" t="str">
        <f t="shared" si="83"/>
        <v>Ấp Biển Tây A</v>
      </c>
    </row>
    <row r="349" spans="1:25" x14ac:dyDescent="0.25">
      <c r="A349" s="1" t="s">
        <v>534</v>
      </c>
      <c r="B349" s="2" t="s">
        <v>23</v>
      </c>
      <c r="C349" s="2" t="s">
        <v>56</v>
      </c>
      <c r="D349" s="10">
        <f t="shared" ca="1" si="70"/>
        <v>65</v>
      </c>
      <c r="E349" s="2" t="s">
        <v>26</v>
      </c>
      <c r="F349" s="3">
        <v>158</v>
      </c>
      <c r="G349" s="3">
        <v>58</v>
      </c>
      <c r="H349" s="11">
        <f t="shared" si="71"/>
        <v>23.233456176894723</v>
      </c>
      <c r="I349" s="2">
        <v>96</v>
      </c>
      <c r="J349" s="3">
        <v>130</v>
      </c>
      <c r="K349" s="3">
        <v>80</v>
      </c>
      <c r="L349" s="10">
        <f t="shared" si="72"/>
        <v>0</v>
      </c>
      <c r="M349" s="10">
        <f t="shared" ca="1" si="73"/>
        <v>2</v>
      </c>
      <c r="N349" s="10">
        <f t="shared" si="74"/>
        <v>0</v>
      </c>
      <c r="O349" s="10">
        <f t="shared" si="75"/>
        <v>3</v>
      </c>
      <c r="P349" s="10">
        <f t="shared" si="76"/>
        <v>2</v>
      </c>
      <c r="Q349" s="10">
        <f t="shared" si="77"/>
        <v>0</v>
      </c>
      <c r="R349" s="10">
        <f t="shared" ca="1" si="78"/>
        <v>7</v>
      </c>
      <c r="S349" s="10" t="str">
        <f t="shared" ca="1" si="79"/>
        <v>Có</v>
      </c>
      <c r="T349" s="10" t="str">
        <f t="shared" ca="1" si="80"/>
        <v>Có</v>
      </c>
      <c r="U349" s="10" t="str">
        <f t="shared" si="81"/>
        <v>Không</v>
      </c>
      <c r="V349" s="2" t="s">
        <v>266</v>
      </c>
      <c r="W349" s="4">
        <v>46053</v>
      </c>
      <c r="X349" s="8" t="str">
        <f t="shared" si="82"/>
        <v>Tháng 1</v>
      </c>
      <c r="Y349" s="8" t="str">
        <f t="shared" si="83"/>
        <v>ấp Biển Tây A</v>
      </c>
    </row>
    <row r="350" spans="1:25" x14ac:dyDescent="0.25">
      <c r="A350" s="1" t="s">
        <v>535</v>
      </c>
      <c r="B350" s="2" t="s">
        <v>23</v>
      </c>
      <c r="C350" s="2" t="s">
        <v>130</v>
      </c>
      <c r="D350" s="10">
        <f t="shared" ca="1" si="70"/>
        <v>57</v>
      </c>
      <c r="E350" s="2" t="s">
        <v>26</v>
      </c>
      <c r="F350" s="3">
        <v>160</v>
      </c>
      <c r="G350" s="3">
        <v>50</v>
      </c>
      <c r="H350" s="11">
        <f t="shared" si="71"/>
        <v>19.531249999999996</v>
      </c>
      <c r="I350" s="2">
        <v>68</v>
      </c>
      <c r="J350" s="3">
        <v>120</v>
      </c>
      <c r="K350" s="3">
        <v>70</v>
      </c>
      <c r="L350" s="10">
        <f t="shared" si="72"/>
        <v>0</v>
      </c>
      <c r="M350" s="10">
        <f t="shared" ca="1" si="73"/>
        <v>2</v>
      </c>
      <c r="N350" s="10">
        <f t="shared" si="74"/>
        <v>0</v>
      </c>
      <c r="O350" s="10">
        <f t="shared" si="75"/>
        <v>0</v>
      </c>
      <c r="P350" s="10">
        <f t="shared" si="76"/>
        <v>0</v>
      </c>
      <c r="Q350" s="10">
        <f t="shared" si="77"/>
        <v>0</v>
      </c>
      <c r="R350" s="10">
        <f t="shared" ca="1" si="78"/>
        <v>2</v>
      </c>
      <c r="S350" s="10" t="str">
        <f t="shared" ca="1" si="79"/>
        <v>Không cần</v>
      </c>
      <c r="T350" s="10" t="str">
        <f t="shared" ca="1" si="80"/>
        <v>Không</v>
      </c>
      <c r="U350" s="10" t="str">
        <f t="shared" si="81"/>
        <v>Không</v>
      </c>
      <c r="V350" s="2" t="s">
        <v>108</v>
      </c>
      <c r="W350" s="4">
        <v>46053</v>
      </c>
      <c r="X350" s="8" t="str">
        <f t="shared" si="82"/>
        <v>Tháng 1</v>
      </c>
      <c r="Y350" s="8" t="str">
        <f t="shared" si="83"/>
        <v>Phường Hiệp Thành</v>
      </c>
    </row>
    <row r="351" spans="1:25" x14ac:dyDescent="0.25">
      <c r="A351" s="1" t="s">
        <v>536</v>
      </c>
      <c r="B351" s="2" t="s">
        <v>23</v>
      </c>
      <c r="C351" s="2" t="s">
        <v>133</v>
      </c>
      <c r="D351" s="10">
        <f t="shared" ca="1" si="70"/>
        <v>56</v>
      </c>
      <c r="E351" s="2" t="s">
        <v>26</v>
      </c>
      <c r="F351" s="3">
        <v>158</v>
      </c>
      <c r="G351" s="3">
        <v>58</v>
      </c>
      <c r="H351" s="11">
        <f t="shared" si="71"/>
        <v>23.233456176894723</v>
      </c>
      <c r="I351" s="2">
        <v>77</v>
      </c>
      <c r="J351" s="3">
        <v>120</v>
      </c>
      <c r="K351" s="3">
        <v>80</v>
      </c>
      <c r="L351" s="10">
        <f t="shared" si="72"/>
        <v>0</v>
      </c>
      <c r="M351" s="10">
        <f t="shared" ca="1" si="73"/>
        <v>2</v>
      </c>
      <c r="N351" s="10">
        <f t="shared" si="74"/>
        <v>0</v>
      </c>
      <c r="O351" s="10">
        <f t="shared" si="75"/>
        <v>3</v>
      </c>
      <c r="P351" s="10">
        <f t="shared" si="76"/>
        <v>0</v>
      </c>
      <c r="Q351" s="10">
        <f t="shared" si="77"/>
        <v>0</v>
      </c>
      <c r="R351" s="10">
        <f t="shared" ca="1" si="78"/>
        <v>5</v>
      </c>
      <c r="S351" s="10" t="str">
        <f t="shared" ca="1" si="79"/>
        <v>Không cần</v>
      </c>
      <c r="T351" s="10" t="str">
        <f t="shared" ca="1" si="80"/>
        <v>Không</v>
      </c>
      <c r="U351" s="10" t="str">
        <f t="shared" si="81"/>
        <v>Không</v>
      </c>
      <c r="V351" s="2" t="s">
        <v>51</v>
      </c>
      <c r="W351" s="4">
        <v>46142</v>
      </c>
      <c r="X351" s="8" t="str">
        <f t="shared" si="82"/>
        <v>Tháng 4</v>
      </c>
      <c r="Y351" s="8" t="str">
        <f t="shared" si="83"/>
        <v>Phường Hiệp Thành</v>
      </c>
    </row>
    <row r="352" spans="1:25" x14ac:dyDescent="0.25">
      <c r="A352" s="1" t="s">
        <v>537</v>
      </c>
      <c r="B352" s="2" t="s">
        <v>30</v>
      </c>
      <c r="C352" s="2" t="s">
        <v>110</v>
      </c>
      <c r="D352" s="10">
        <f t="shared" ca="1" si="70"/>
        <v>62</v>
      </c>
      <c r="E352" s="2" t="s">
        <v>25</v>
      </c>
      <c r="F352" s="3">
        <v>170</v>
      </c>
      <c r="G352" s="3">
        <v>75</v>
      </c>
      <c r="H352" s="11">
        <f t="shared" si="71"/>
        <v>25.95155709342561</v>
      </c>
      <c r="I352" s="2">
        <v>78</v>
      </c>
      <c r="J352" s="3">
        <v>120</v>
      </c>
      <c r="K352" s="3">
        <v>80</v>
      </c>
      <c r="L352" s="10">
        <f t="shared" si="72"/>
        <v>2</v>
      </c>
      <c r="M352" s="10">
        <f t="shared" ca="1" si="73"/>
        <v>2</v>
      </c>
      <c r="N352" s="10">
        <f t="shared" si="74"/>
        <v>4</v>
      </c>
      <c r="O352" s="10">
        <f t="shared" si="75"/>
        <v>3</v>
      </c>
      <c r="P352" s="10">
        <f t="shared" si="76"/>
        <v>0</v>
      </c>
      <c r="Q352" s="10">
        <f t="shared" si="77"/>
        <v>0</v>
      </c>
      <c r="R352" s="10">
        <f t="shared" ca="1" si="78"/>
        <v>11</v>
      </c>
      <c r="S352" s="10" t="str">
        <f t="shared" ca="1" si="79"/>
        <v>Có</v>
      </c>
      <c r="T352" s="10" t="str">
        <f t="shared" ca="1" si="80"/>
        <v>Có</v>
      </c>
      <c r="U352" s="10" t="str">
        <f t="shared" si="81"/>
        <v>Không</v>
      </c>
      <c r="V352" s="2" t="s">
        <v>538</v>
      </c>
      <c r="W352" s="4">
        <v>46053</v>
      </c>
      <c r="X352" s="8" t="str">
        <f t="shared" si="82"/>
        <v>Tháng 1</v>
      </c>
      <c r="Y352" s="8" t="str">
        <f t="shared" si="83"/>
        <v>Ấp 17</v>
      </c>
    </row>
    <row r="353" spans="1:25" x14ac:dyDescent="0.25">
      <c r="A353" s="1" t="s">
        <v>539</v>
      </c>
      <c r="B353" s="2" t="s">
        <v>23</v>
      </c>
      <c r="C353" s="2" t="s">
        <v>110</v>
      </c>
      <c r="D353" s="10">
        <f t="shared" ca="1" si="70"/>
        <v>62</v>
      </c>
      <c r="E353" s="2" t="s">
        <v>26</v>
      </c>
      <c r="F353" s="3">
        <v>165</v>
      </c>
      <c r="G353" s="3">
        <v>60</v>
      </c>
      <c r="H353" s="11">
        <f t="shared" si="71"/>
        <v>22.03856749311295</v>
      </c>
      <c r="I353" s="2">
        <v>96</v>
      </c>
      <c r="J353" s="3">
        <v>120</v>
      </c>
      <c r="K353" s="3">
        <v>70</v>
      </c>
      <c r="L353" s="10">
        <f t="shared" si="72"/>
        <v>0</v>
      </c>
      <c r="M353" s="10">
        <f t="shared" ca="1" si="73"/>
        <v>2</v>
      </c>
      <c r="N353" s="10">
        <f t="shared" si="74"/>
        <v>0</v>
      </c>
      <c r="O353" s="10">
        <f t="shared" si="75"/>
        <v>0</v>
      </c>
      <c r="P353" s="10">
        <f t="shared" si="76"/>
        <v>2</v>
      </c>
      <c r="Q353" s="10">
        <f t="shared" si="77"/>
        <v>0</v>
      </c>
      <c r="R353" s="10">
        <f t="shared" ca="1" si="78"/>
        <v>4</v>
      </c>
      <c r="S353" s="10" t="str">
        <f t="shared" ca="1" si="79"/>
        <v>Không cần</v>
      </c>
      <c r="T353" s="10" t="str">
        <f t="shared" ca="1" si="80"/>
        <v>Không</v>
      </c>
      <c r="U353" s="10" t="str">
        <f t="shared" si="81"/>
        <v>Không</v>
      </c>
      <c r="V353" s="2" t="s">
        <v>538</v>
      </c>
      <c r="W353" s="4">
        <v>46053</v>
      </c>
      <c r="X353" s="8" t="str">
        <f t="shared" si="82"/>
        <v>Tháng 1</v>
      </c>
      <c r="Y353" s="8" t="str">
        <f t="shared" si="83"/>
        <v>Ấp 17</v>
      </c>
    </row>
    <row r="354" spans="1:25" x14ac:dyDescent="0.25">
      <c r="A354" s="1" t="s">
        <v>540</v>
      </c>
      <c r="B354" s="2" t="s">
        <v>30</v>
      </c>
      <c r="C354" s="2" t="s">
        <v>146</v>
      </c>
      <c r="D354" s="10">
        <f t="shared" ca="1" si="70"/>
        <v>52</v>
      </c>
      <c r="E354" s="2" t="s">
        <v>26</v>
      </c>
      <c r="F354" s="3">
        <v>160</v>
      </c>
      <c r="G354" s="3">
        <v>50</v>
      </c>
      <c r="H354" s="11">
        <f t="shared" si="71"/>
        <v>19.531249999999996</v>
      </c>
      <c r="I354" s="2">
        <v>97</v>
      </c>
      <c r="J354" s="3">
        <v>130</v>
      </c>
      <c r="K354" s="3">
        <v>80</v>
      </c>
      <c r="L354" s="10">
        <f t="shared" si="72"/>
        <v>2</v>
      </c>
      <c r="M354" s="10">
        <f t="shared" ca="1" si="73"/>
        <v>2</v>
      </c>
      <c r="N354" s="10">
        <f t="shared" si="74"/>
        <v>0</v>
      </c>
      <c r="O354" s="10">
        <f t="shared" si="75"/>
        <v>0</v>
      </c>
      <c r="P354" s="10">
        <f t="shared" si="76"/>
        <v>2</v>
      </c>
      <c r="Q354" s="10">
        <f t="shared" si="77"/>
        <v>0</v>
      </c>
      <c r="R354" s="10">
        <f t="shared" ca="1" si="78"/>
        <v>6</v>
      </c>
      <c r="S354" s="10" t="str">
        <f t="shared" ca="1" si="79"/>
        <v>Có</v>
      </c>
      <c r="T354" s="10" t="str">
        <f t="shared" ca="1" si="80"/>
        <v>Có</v>
      </c>
      <c r="U354" s="10" t="str">
        <f t="shared" si="81"/>
        <v>Không</v>
      </c>
      <c r="V354" s="2" t="s">
        <v>68</v>
      </c>
      <c r="W354" s="4">
        <v>46142</v>
      </c>
      <c r="X354" s="8" t="str">
        <f t="shared" si="82"/>
        <v>Tháng 4</v>
      </c>
      <c r="Y354" s="8" t="str">
        <f t="shared" si="83"/>
        <v>Ấp Biển Tây B</v>
      </c>
    </row>
    <row r="355" spans="1:25" x14ac:dyDescent="0.25">
      <c r="A355" s="1" t="s">
        <v>541</v>
      </c>
      <c r="B355" s="2" t="s">
        <v>23</v>
      </c>
      <c r="C355" s="2" t="s">
        <v>300</v>
      </c>
      <c r="D355" s="10">
        <f t="shared" ca="1" si="70"/>
        <v>80</v>
      </c>
      <c r="E355" s="2" t="s">
        <v>26</v>
      </c>
      <c r="F355" s="3">
        <v>155</v>
      </c>
      <c r="G355" s="3">
        <v>63</v>
      </c>
      <c r="H355" s="11">
        <f t="shared" si="71"/>
        <v>26.22268470343392</v>
      </c>
      <c r="I355" s="2">
        <v>86</v>
      </c>
      <c r="J355" s="3">
        <v>120</v>
      </c>
      <c r="K355" s="3">
        <v>80</v>
      </c>
      <c r="L355" s="10">
        <f t="shared" si="72"/>
        <v>0</v>
      </c>
      <c r="M355" s="10">
        <f t="shared" ca="1" si="73"/>
        <v>2</v>
      </c>
      <c r="N355" s="10">
        <f t="shared" si="74"/>
        <v>0</v>
      </c>
      <c r="O355" s="10">
        <f t="shared" si="75"/>
        <v>3</v>
      </c>
      <c r="P355" s="10">
        <f t="shared" si="76"/>
        <v>2</v>
      </c>
      <c r="Q355" s="10">
        <f t="shared" si="77"/>
        <v>0</v>
      </c>
      <c r="R355" s="10">
        <f t="shared" ca="1" si="78"/>
        <v>7</v>
      </c>
      <c r="S355" s="10" t="str">
        <f t="shared" ca="1" si="79"/>
        <v>Có</v>
      </c>
      <c r="T355" s="10" t="str">
        <f t="shared" ca="1" si="80"/>
        <v>Có</v>
      </c>
      <c r="U355" s="10" t="str">
        <f t="shared" si="81"/>
        <v>Không</v>
      </c>
      <c r="V355" s="2" t="s">
        <v>542</v>
      </c>
      <c r="W355" s="4">
        <v>46142</v>
      </c>
      <c r="X355" s="8" t="str">
        <f t="shared" si="82"/>
        <v>Tháng 4</v>
      </c>
      <c r="Y355" s="8" t="str">
        <f t="shared" si="83"/>
        <v>Ấp Giồng Nhãn A</v>
      </c>
    </row>
    <row r="356" spans="1:25" x14ac:dyDescent="0.25">
      <c r="A356" s="1" t="s">
        <v>543</v>
      </c>
      <c r="B356" s="2" t="s">
        <v>30</v>
      </c>
      <c r="C356" s="2" t="s">
        <v>47</v>
      </c>
      <c r="D356" s="10">
        <f t="shared" ca="1" si="70"/>
        <v>55</v>
      </c>
      <c r="E356" s="2" t="s">
        <v>26</v>
      </c>
      <c r="F356" s="3">
        <v>169</v>
      </c>
      <c r="G356" s="3">
        <v>68</v>
      </c>
      <c r="H356" s="11">
        <f t="shared" si="71"/>
        <v>23.808690171912751</v>
      </c>
      <c r="I356" s="2">
        <v>75</v>
      </c>
      <c r="J356" s="3">
        <v>140</v>
      </c>
      <c r="K356" s="3">
        <v>80</v>
      </c>
      <c r="L356" s="10">
        <f t="shared" si="72"/>
        <v>2</v>
      </c>
      <c r="M356" s="10">
        <f t="shared" ca="1" si="73"/>
        <v>2</v>
      </c>
      <c r="N356" s="10">
        <f t="shared" si="74"/>
        <v>0</v>
      </c>
      <c r="O356" s="10">
        <f t="shared" si="75"/>
        <v>3</v>
      </c>
      <c r="P356" s="10">
        <f t="shared" si="76"/>
        <v>0</v>
      </c>
      <c r="Q356" s="10">
        <f t="shared" si="77"/>
        <v>2</v>
      </c>
      <c r="R356" s="10">
        <f t="shared" ca="1" si="78"/>
        <v>9</v>
      </c>
      <c r="S356" s="10" t="str">
        <f t="shared" ca="1" si="79"/>
        <v>Có</v>
      </c>
      <c r="T356" s="10" t="str">
        <f t="shared" ca="1" si="80"/>
        <v>Có</v>
      </c>
      <c r="U356" s="10" t="str">
        <f t="shared" si="81"/>
        <v>Có</v>
      </c>
      <c r="V356" s="2" t="s">
        <v>381</v>
      </c>
      <c r="W356" s="4">
        <v>46142</v>
      </c>
      <c r="X356" s="8" t="str">
        <f t="shared" si="82"/>
        <v>Tháng 4</v>
      </c>
      <c r="Y356" s="8" t="str">
        <f t="shared" si="83"/>
        <v>Ấp Biển Đông B</v>
      </c>
    </row>
    <row r="357" spans="1:25" x14ac:dyDescent="0.25">
      <c r="A357" s="1" t="s">
        <v>544</v>
      </c>
      <c r="B357" s="2" t="s">
        <v>23</v>
      </c>
      <c r="C357" s="2" t="s">
        <v>93</v>
      </c>
      <c r="D357" s="10">
        <f t="shared" ca="1" si="70"/>
        <v>66</v>
      </c>
      <c r="E357" s="2" t="s">
        <v>26</v>
      </c>
      <c r="F357" s="3">
        <v>158</v>
      </c>
      <c r="G357" s="3">
        <v>58</v>
      </c>
      <c r="H357" s="11">
        <f t="shared" si="71"/>
        <v>23.233456176894723</v>
      </c>
      <c r="I357" s="2">
        <v>82</v>
      </c>
      <c r="J357" s="3">
        <v>120</v>
      </c>
      <c r="K357" s="3">
        <v>80</v>
      </c>
      <c r="L357" s="10">
        <f t="shared" si="72"/>
        <v>0</v>
      </c>
      <c r="M357" s="10">
        <f t="shared" ca="1" si="73"/>
        <v>2</v>
      </c>
      <c r="N357" s="10">
        <f t="shared" si="74"/>
        <v>0</v>
      </c>
      <c r="O357" s="10">
        <f t="shared" si="75"/>
        <v>3</v>
      </c>
      <c r="P357" s="10">
        <f t="shared" si="76"/>
        <v>2</v>
      </c>
      <c r="Q357" s="10">
        <f t="shared" si="77"/>
        <v>0</v>
      </c>
      <c r="R357" s="10">
        <f t="shared" ca="1" si="78"/>
        <v>7</v>
      </c>
      <c r="S357" s="10" t="str">
        <f t="shared" ca="1" si="79"/>
        <v>Có</v>
      </c>
      <c r="T357" s="10" t="str">
        <f t="shared" ca="1" si="80"/>
        <v>Có</v>
      </c>
      <c r="U357" s="10" t="str">
        <f t="shared" si="81"/>
        <v>Không</v>
      </c>
      <c r="V357" s="2" t="s">
        <v>246</v>
      </c>
      <c r="W357" s="4">
        <v>46142</v>
      </c>
      <c r="X357" s="8" t="str">
        <f t="shared" si="82"/>
        <v>Tháng 4</v>
      </c>
      <c r="Y357" s="8" t="str">
        <f t="shared" si="83"/>
        <v>ấp Biển Tây B</v>
      </c>
    </row>
    <row r="358" spans="1:25" x14ac:dyDescent="0.25">
      <c r="A358" s="1" t="s">
        <v>545</v>
      </c>
      <c r="B358" s="2" t="s">
        <v>30</v>
      </c>
      <c r="C358" s="2" t="s">
        <v>110</v>
      </c>
      <c r="D358" s="10">
        <f t="shared" ca="1" si="70"/>
        <v>62</v>
      </c>
      <c r="E358" s="2" t="s">
        <v>26</v>
      </c>
      <c r="F358" s="3">
        <v>170</v>
      </c>
      <c r="G358" s="3">
        <v>62</v>
      </c>
      <c r="H358" s="11">
        <f t="shared" si="71"/>
        <v>21.453287197231838</v>
      </c>
      <c r="I358" s="2">
        <v>88</v>
      </c>
      <c r="J358" s="3">
        <v>120</v>
      </c>
      <c r="K358" s="3">
        <v>80</v>
      </c>
      <c r="L358" s="10">
        <f t="shared" si="72"/>
        <v>2</v>
      </c>
      <c r="M358" s="10">
        <f t="shared" ca="1" si="73"/>
        <v>2</v>
      </c>
      <c r="N358" s="10">
        <f t="shared" si="74"/>
        <v>0</v>
      </c>
      <c r="O358" s="10">
        <f t="shared" si="75"/>
        <v>0</v>
      </c>
      <c r="P358" s="10">
        <f t="shared" si="76"/>
        <v>0</v>
      </c>
      <c r="Q358" s="10">
        <f t="shared" si="77"/>
        <v>0</v>
      </c>
      <c r="R358" s="10">
        <f t="shared" ca="1" si="78"/>
        <v>4</v>
      </c>
      <c r="S358" s="10" t="str">
        <f t="shared" ca="1" si="79"/>
        <v>Không cần</v>
      </c>
      <c r="T358" s="10" t="str">
        <f t="shared" ca="1" si="80"/>
        <v>Không</v>
      </c>
      <c r="U358" s="10" t="str">
        <f t="shared" si="81"/>
        <v>Không</v>
      </c>
      <c r="V358" s="2" t="s">
        <v>43</v>
      </c>
      <c r="W358" s="4">
        <v>46142</v>
      </c>
      <c r="X358" s="8" t="str">
        <f t="shared" si="82"/>
        <v>Tháng 4</v>
      </c>
      <c r="Y358" s="8" t="str">
        <f t="shared" si="83"/>
        <v>Ấp Giồng Nhãn A</v>
      </c>
    </row>
    <row r="359" spans="1:25" x14ac:dyDescent="0.25">
      <c r="A359" s="1" t="s">
        <v>546</v>
      </c>
      <c r="B359" s="2" t="s">
        <v>23</v>
      </c>
      <c r="C359" s="2" t="s">
        <v>155</v>
      </c>
      <c r="D359" s="10">
        <f t="shared" ca="1" si="70"/>
        <v>53</v>
      </c>
      <c r="E359" s="2" t="s">
        <v>26</v>
      </c>
      <c r="F359" s="3">
        <v>155</v>
      </c>
      <c r="G359" s="3">
        <v>55</v>
      </c>
      <c r="H359" s="11">
        <f t="shared" si="71"/>
        <v>22.892819979188342</v>
      </c>
      <c r="I359" s="2">
        <v>88</v>
      </c>
      <c r="J359" s="3">
        <v>140</v>
      </c>
      <c r="K359" s="3">
        <v>80</v>
      </c>
      <c r="L359" s="10">
        <f t="shared" si="72"/>
        <v>0</v>
      </c>
      <c r="M359" s="10">
        <f t="shared" ca="1" si="73"/>
        <v>2</v>
      </c>
      <c r="N359" s="10">
        <f t="shared" si="74"/>
        <v>0</v>
      </c>
      <c r="O359" s="10">
        <f t="shared" si="75"/>
        <v>0</v>
      </c>
      <c r="P359" s="10">
        <f t="shared" si="76"/>
        <v>2</v>
      </c>
      <c r="Q359" s="10">
        <f t="shared" si="77"/>
        <v>2</v>
      </c>
      <c r="R359" s="10">
        <f t="shared" ca="1" si="78"/>
        <v>6</v>
      </c>
      <c r="S359" s="10" t="str">
        <f t="shared" ca="1" si="79"/>
        <v>Có</v>
      </c>
      <c r="T359" s="10" t="str">
        <f t="shared" ca="1" si="80"/>
        <v>Có</v>
      </c>
      <c r="U359" s="10" t="str">
        <f t="shared" si="81"/>
        <v>Có</v>
      </c>
      <c r="V359" s="2" t="s">
        <v>51</v>
      </c>
      <c r="W359" s="4">
        <v>46142</v>
      </c>
      <c r="X359" s="8" t="str">
        <f t="shared" si="82"/>
        <v>Tháng 4</v>
      </c>
      <c r="Y359" s="8" t="str">
        <f t="shared" si="83"/>
        <v>Phường Hiệp Thành</v>
      </c>
    </row>
    <row r="360" spans="1:25" x14ac:dyDescent="0.25">
      <c r="A360" s="1" t="s">
        <v>547</v>
      </c>
      <c r="B360" s="2" t="s">
        <v>23</v>
      </c>
      <c r="C360" s="2" t="s">
        <v>115</v>
      </c>
      <c r="D360" s="10">
        <f t="shared" ca="1" si="70"/>
        <v>40</v>
      </c>
      <c r="E360" s="2" t="s">
        <v>25</v>
      </c>
      <c r="F360" s="3">
        <v>160</v>
      </c>
      <c r="G360" s="3">
        <v>80</v>
      </c>
      <c r="H360" s="11">
        <f t="shared" si="71"/>
        <v>31.249999999999993</v>
      </c>
      <c r="I360" s="2">
        <v>89</v>
      </c>
      <c r="J360" s="3">
        <v>120</v>
      </c>
      <c r="K360" s="3">
        <v>80</v>
      </c>
      <c r="L360" s="10">
        <f t="shared" si="72"/>
        <v>0</v>
      </c>
      <c r="M360" s="10">
        <f t="shared" ca="1" si="73"/>
        <v>0</v>
      </c>
      <c r="N360" s="10">
        <f t="shared" si="74"/>
        <v>4</v>
      </c>
      <c r="O360" s="10">
        <f t="shared" si="75"/>
        <v>5</v>
      </c>
      <c r="P360" s="10">
        <f t="shared" si="76"/>
        <v>2</v>
      </c>
      <c r="Q360" s="10">
        <f t="shared" si="77"/>
        <v>0</v>
      </c>
      <c r="R360" s="10">
        <f t="shared" ca="1" si="78"/>
        <v>11</v>
      </c>
      <c r="S360" s="10" t="str">
        <f t="shared" ca="1" si="79"/>
        <v>Có</v>
      </c>
      <c r="T360" s="10" t="str">
        <f t="shared" ca="1" si="80"/>
        <v>Có</v>
      </c>
      <c r="U360" s="10" t="str">
        <f t="shared" si="81"/>
        <v>Không</v>
      </c>
      <c r="V360" s="2" t="s">
        <v>68</v>
      </c>
      <c r="W360" s="4">
        <v>46142</v>
      </c>
      <c r="X360" s="8" t="str">
        <f t="shared" si="82"/>
        <v>Tháng 4</v>
      </c>
      <c r="Y360" s="8" t="str">
        <f t="shared" si="83"/>
        <v>Ấp Biển Tây B</v>
      </c>
    </row>
    <row r="361" spans="1:25" x14ac:dyDescent="0.25">
      <c r="A361" s="1" t="s">
        <v>548</v>
      </c>
      <c r="B361" s="2" t="s">
        <v>23</v>
      </c>
      <c r="C361" s="2" t="s">
        <v>84</v>
      </c>
      <c r="D361" s="10">
        <f t="shared" ca="1" si="70"/>
        <v>69</v>
      </c>
      <c r="E361" s="2" t="s">
        <v>25</v>
      </c>
      <c r="F361" s="3">
        <v>155</v>
      </c>
      <c r="G361" s="3">
        <v>63</v>
      </c>
      <c r="H361" s="11">
        <f t="shared" si="71"/>
        <v>26.22268470343392</v>
      </c>
      <c r="I361" s="2">
        <v>73</v>
      </c>
      <c r="J361" s="3">
        <v>120</v>
      </c>
      <c r="K361" s="3">
        <v>80</v>
      </c>
      <c r="L361" s="10">
        <f t="shared" si="72"/>
        <v>0</v>
      </c>
      <c r="M361" s="10">
        <f t="shared" ca="1" si="73"/>
        <v>2</v>
      </c>
      <c r="N361" s="10">
        <f t="shared" si="74"/>
        <v>4</v>
      </c>
      <c r="O361" s="10">
        <f t="shared" si="75"/>
        <v>3</v>
      </c>
      <c r="P361" s="10">
        <f t="shared" si="76"/>
        <v>0</v>
      </c>
      <c r="Q361" s="10">
        <f t="shared" si="77"/>
        <v>0</v>
      </c>
      <c r="R361" s="10">
        <f t="shared" ca="1" si="78"/>
        <v>9</v>
      </c>
      <c r="S361" s="10" t="str">
        <f t="shared" ca="1" si="79"/>
        <v>Có</v>
      </c>
      <c r="T361" s="10" t="str">
        <f t="shared" ca="1" si="80"/>
        <v>Có</v>
      </c>
      <c r="U361" s="10" t="str">
        <f t="shared" si="81"/>
        <v>Không</v>
      </c>
      <c r="V361" s="2" t="s">
        <v>166</v>
      </c>
      <c r="W361" s="4">
        <v>46142</v>
      </c>
      <c r="X361" s="8" t="str">
        <f t="shared" si="82"/>
        <v>Tháng 4</v>
      </c>
      <c r="Y361" s="8" t="str">
        <f t="shared" si="83"/>
        <v>khóm Giồng Nhãn</v>
      </c>
    </row>
    <row r="362" spans="1:25" x14ac:dyDescent="0.25">
      <c r="A362" s="1" t="s">
        <v>549</v>
      </c>
      <c r="B362" s="2" t="s">
        <v>23</v>
      </c>
      <c r="C362" s="2" t="s">
        <v>273</v>
      </c>
      <c r="D362" s="10">
        <f t="shared" ca="1" si="70"/>
        <v>47</v>
      </c>
      <c r="E362" s="2" t="s">
        <v>26</v>
      </c>
      <c r="F362" s="3">
        <v>155</v>
      </c>
      <c r="G362" s="3">
        <v>62</v>
      </c>
      <c r="H362" s="11">
        <f t="shared" si="71"/>
        <v>25.806451612903224</v>
      </c>
      <c r="I362" s="2">
        <v>68</v>
      </c>
      <c r="J362" s="3">
        <v>110</v>
      </c>
      <c r="K362" s="3">
        <v>70</v>
      </c>
      <c r="L362" s="10">
        <f t="shared" si="72"/>
        <v>0</v>
      </c>
      <c r="M362" s="10">
        <f t="shared" ca="1" si="73"/>
        <v>1</v>
      </c>
      <c r="N362" s="10">
        <f t="shared" si="74"/>
        <v>0</v>
      </c>
      <c r="O362" s="10">
        <f t="shared" si="75"/>
        <v>3</v>
      </c>
      <c r="P362" s="10">
        <f t="shared" si="76"/>
        <v>0</v>
      </c>
      <c r="Q362" s="10">
        <f t="shared" si="77"/>
        <v>0</v>
      </c>
      <c r="R362" s="10">
        <f t="shared" ca="1" si="78"/>
        <v>4</v>
      </c>
      <c r="S362" s="10" t="str">
        <f t="shared" ca="1" si="79"/>
        <v>Không cần</v>
      </c>
      <c r="T362" s="10" t="str">
        <f t="shared" ca="1" si="80"/>
        <v>Không</v>
      </c>
      <c r="U362" s="10" t="str">
        <f t="shared" si="81"/>
        <v>Không</v>
      </c>
      <c r="V362" s="2" t="s">
        <v>51</v>
      </c>
      <c r="W362" s="4">
        <v>46142</v>
      </c>
      <c r="X362" s="8" t="str">
        <f t="shared" si="82"/>
        <v>Tháng 4</v>
      </c>
      <c r="Y362" s="8" t="str">
        <f t="shared" si="83"/>
        <v>Phường Hiệp Thành</v>
      </c>
    </row>
    <row r="363" spans="1:25" x14ac:dyDescent="0.25">
      <c r="A363" s="1" t="s">
        <v>550</v>
      </c>
      <c r="B363" s="2" t="s">
        <v>30</v>
      </c>
      <c r="C363" s="2" t="s">
        <v>80</v>
      </c>
      <c r="D363" s="10">
        <f t="shared" ca="1" si="70"/>
        <v>71</v>
      </c>
      <c r="E363" s="2" t="s">
        <v>26</v>
      </c>
      <c r="F363" s="3">
        <v>169</v>
      </c>
      <c r="G363" s="3">
        <v>68</v>
      </c>
      <c r="H363" s="11">
        <f t="shared" si="71"/>
        <v>23.808690171912751</v>
      </c>
      <c r="I363" s="2">
        <v>76</v>
      </c>
      <c r="J363" s="3">
        <v>140</v>
      </c>
      <c r="K363" s="3">
        <v>80</v>
      </c>
      <c r="L363" s="10">
        <f t="shared" si="72"/>
        <v>2</v>
      </c>
      <c r="M363" s="10">
        <f t="shared" ca="1" si="73"/>
        <v>2</v>
      </c>
      <c r="N363" s="10">
        <f t="shared" si="74"/>
        <v>0</v>
      </c>
      <c r="O363" s="10">
        <f t="shared" si="75"/>
        <v>3</v>
      </c>
      <c r="P363" s="10">
        <f t="shared" si="76"/>
        <v>0</v>
      </c>
      <c r="Q363" s="10">
        <f t="shared" si="77"/>
        <v>2</v>
      </c>
      <c r="R363" s="10">
        <f t="shared" ca="1" si="78"/>
        <v>9</v>
      </c>
      <c r="S363" s="10" t="str">
        <f t="shared" ca="1" si="79"/>
        <v>Có</v>
      </c>
      <c r="T363" s="10" t="str">
        <f t="shared" ca="1" si="80"/>
        <v>Có</v>
      </c>
      <c r="U363" s="10" t="str">
        <f t="shared" si="81"/>
        <v>Có</v>
      </c>
      <c r="V363" s="2" t="s">
        <v>243</v>
      </c>
      <c r="W363" s="4">
        <v>46142</v>
      </c>
      <c r="X363" s="8" t="str">
        <f t="shared" si="82"/>
        <v>Tháng 4</v>
      </c>
      <c r="Y363" s="8" t="str">
        <f t="shared" si="83"/>
        <v>ấp Giồng Giữa B</v>
      </c>
    </row>
    <row r="364" spans="1:25" x14ac:dyDescent="0.25">
      <c r="A364" s="1" t="s">
        <v>551</v>
      </c>
      <c r="B364" s="2" t="s">
        <v>23</v>
      </c>
      <c r="C364" s="2" t="s">
        <v>67</v>
      </c>
      <c r="D364" s="10">
        <f t="shared" ca="1" si="70"/>
        <v>48</v>
      </c>
      <c r="E364" s="2" t="s">
        <v>26</v>
      </c>
      <c r="F364" s="3">
        <v>158</v>
      </c>
      <c r="G364" s="3">
        <v>58</v>
      </c>
      <c r="H364" s="11">
        <f t="shared" si="71"/>
        <v>23.233456176894723</v>
      </c>
      <c r="I364" s="2">
        <v>83</v>
      </c>
      <c r="J364" s="3">
        <v>120</v>
      </c>
      <c r="K364" s="3">
        <v>80</v>
      </c>
      <c r="L364" s="10">
        <f t="shared" si="72"/>
        <v>0</v>
      </c>
      <c r="M364" s="10">
        <f t="shared" ca="1" si="73"/>
        <v>1</v>
      </c>
      <c r="N364" s="10">
        <f t="shared" si="74"/>
        <v>0</v>
      </c>
      <c r="O364" s="10">
        <f t="shared" si="75"/>
        <v>3</v>
      </c>
      <c r="P364" s="10">
        <f t="shared" si="76"/>
        <v>2</v>
      </c>
      <c r="Q364" s="10">
        <f t="shared" si="77"/>
        <v>0</v>
      </c>
      <c r="R364" s="10">
        <f t="shared" ca="1" si="78"/>
        <v>6</v>
      </c>
      <c r="S364" s="10" t="str">
        <f t="shared" ca="1" si="79"/>
        <v>Có</v>
      </c>
      <c r="T364" s="10" t="str">
        <f t="shared" ca="1" si="80"/>
        <v>Có</v>
      </c>
      <c r="U364" s="10" t="str">
        <f t="shared" si="81"/>
        <v>Không</v>
      </c>
      <c r="V364" s="2" t="s">
        <v>552</v>
      </c>
      <c r="W364" s="4">
        <v>46142</v>
      </c>
      <c r="X364" s="8" t="str">
        <f t="shared" si="82"/>
        <v>Tháng 4</v>
      </c>
      <c r="Y364" s="8" t="str">
        <f t="shared" si="83"/>
        <v xml:space="preserve">ấp Biển Đông A </v>
      </c>
    </row>
    <row r="365" spans="1:25" x14ac:dyDescent="0.25">
      <c r="A365" s="1" t="s">
        <v>553</v>
      </c>
      <c r="B365" s="2" t="s">
        <v>30</v>
      </c>
      <c r="C365" s="2" t="s">
        <v>90</v>
      </c>
      <c r="D365" s="10">
        <f t="shared" ca="1" si="70"/>
        <v>54</v>
      </c>
      <c r="E365" s="2" t="s">
        <v>26</v>
      </c>
      <c r="F365" s="3">
        <v>169</v>
      </c>
      <c r="G365" s="3">
        <v>68</v>
      </c>
      <c r="H365" s="11">
        <f t="shared" si="71"/>
        <v>23.808690171912751</v>
      </c>
      <c r="I365" s="2">
        <v>100</v>
      </c>
      <c r="J365" s="3">
        <v>140</v>
      </c>
      <c r="K365" s="3">
        <v>80</v>
      </c>
      <c r="L365" s="10">
        <f t="shared" si="72"/>
        <v>2</v>
      </c>
      <c r="M365" s="10">
        <f t="shared" ca="1" si="73"/>
        <v>2</v>
      </c>
      <c r="N365" s="10">
        <f t="shared" si="74"/>
        <v>0</v>
      </c>
      <c r="O365" s="10">
        <f t="shared" si="75"/>
        <v>3</v>
      </c>
      <c r="P365" s="10">
        <f t="shared" si="76"/>
        <v>2</v>
      </c>
      <c r="Q365" s="10">
        <f t="shared" si="77"/>
        <v>2</v>
      </c>
      <c r="R365" s="10">
        <f t="shared" ca="1" si="78"/>
        <v>11</v>
      </c>
      <c r="S365" s="10" t="str">
        <f t="shared" ca="1" si="79"/>
        <v>Có</v>
      </c>
      <c r="T365" s="10" t="str">
        <f t="shared" ca="1" si="80"/>
        <v>Có</v>
      </c>
      <c r="U365" s="10" t="str">
        <f t="shared" si="81"/>
        <v>Có</v>
      </c>
      <c r="V365" s="2" t="s">
        <v>206</v>
      </c>
      <c r="W365" s="4">
        <v>46142</v>
      </c>
      <c r="X365" s="8" t="str">
        <f t="shared" si="82"/>
        <v>Tháng 4</v>
      </c>
      <c r="Y365" s="8" t="str">
        <f t="shared" si="83"/>
        <v>Prey Chóp B</v>
      </c>
    </row>
    <row r="366" spans="1:25" x14ac:dyDescent="0.25">
      <c r="A366" s="1" t="s">
        <v>554</v>
      </c>
      <c r="B366" s="2" t="s">
        <v>23</v>
      </c>
      <c r="C366" s="2" t="s">
        <v>64</v>
      </c>
      <c r="D366" s="10">
        <f t="shared" ca="1" si="70"/>
        <v>42</v>
      </c>
      <c r="E366" s="2" t="s">
        <v>26</v>
      </c>
      <c r="F366" s="3">
        <v>155</v>
      </c>
      <c r="G366" s="3">
        <v>55</v>
      </c>
      <c r="H366" s="11">
        <f t="shared" si="71"/>
        <v>22.892819979188342</v>
      </c>
      <c r="I366" s="2">
        <v>98</v>
      </c>
      <c r="J366" s="3">
        <v>120</v>
      </c>
      <c r="K366" s="3">
        <v>80</v>
      </c>
      <c r="L366" s="10">
        <f t="shared" si="72"/>
        <v>0</v>
      </c>
      <c r="M366" s="10">
        <f t="shared" ca="1" si="73"/>
        <v>0</v>
      </c>
      <c r="N366" s="10">
        <f t="shared" si="74"/>
        <v>0</v>
      </c>
      <c r="O366" s="10">
        <f t="shared" si="75"/>
        <v>0</v>
      </c>
      <c r="P366" s="10">
        <f t="shared" si="76"/>
        <v>2</v>
      </c>
      <c r="Q366" s="10">
        <f t="shared" si="77"/>
        <v>0</v>
      </c>
      <c r="R366" s="10">
        <f t="shared" ca="1" si="78"/>
        <v>2</v>
      </c>
      <c r="S366" s="10" t="str">
        <f t="shared" ca="1" si="79"/>
        <v>Không cần</v>
      </c>
      <c r="T366" s="10" t="str">
        <f t="shared" ca="1" si="80"/>
        <v>Không</v>
      </c>
      <c r="U366" s="10" t="str">
        <f t="shared" si="81"/>
        <v>Không</v>
      </c>
      <c r="V366" s="2" t="s">
        <v>342</v>
      </c>
      <c r="W366" s="4">
        <v>46142</v>
      </c>
      <c r="X366" s="8" t="str">
        <f t="shared" si="82"/>
        <v>Tháng 4</v>
      </c>
      <c r="Y366" s="8" t="str">
        <f t="shared" si="83"/>
        <v>ấp Giồng nhãn A</v>
      </c>
    </row>
    <row r="367" spans="1:25" x14ac:dyDescent="0.25">
      <c r="A367" s="1" t="s">
        <v>555</v>
      </c>
      <c r="B367" s="2" t="s">
        <v>23</v>
      </c>
      <c r="C367" s="2" t="s">
        <v>67</v>
      </c>
      <c r="D367" s="10">
        <f t="shared" ca="1" si="70"/>
        <v>48</v>
      </c>
      <c r="E367" s="2" t="s">
        <v>26</v>
      </c>
      <c r="F367" s="3">
        <v>165</v>
      </c>
      <c r="G367" s="3">
        <v>60</v>
      </c>
      <c r="H367" s="11">
        <f t="shared" si="71"/>
        <v>22.03856749311295</v>
      </c>
      <c r="I367" s="2">
        <v>65</v>
      </c>
      <c r="J367" s="3">
        <v>120</v>
      </c>
      <c r="K367" s="3">
        <v>80</v>
      </c>
      <c r="L367" s="10">
        <f t="shared" si="72"/>
        <v>0</v>
      </c>
      <c r="M367" s="10">
        <f t="shared" ca="1" si="73"/>
        <v>1</v>
      </c>
      <c r="N367" s="10">
        <f t="shared" si="74"/>
        <v>0</v>
      </c>
      <c r="O367" s="10">
        <f t="shared" si="75"/>
        <v>0</v>
      </c>
      <c r="P367" s="10">
        <f t="shared" si="76"/>
        <v>0</v>
      </c>
      <c r="Q367" s="10">
        <f t="shared" si="77"/>
        <v>0</v>
      </c>
      <c r="R367" s="10">
        <f t="shared" ca="1" si="78"/>
        <v>1</v>
      </c>
      <c r="S367" s="10" t="str">
        <f t="shared" ca="1" si="79"/>
        <v>Không cần</v>
      </c>
      <c r="T367" s="10" t="str">
        <f t="shared" ca="1" si="80"/>
        <v>Không</v>
      </c>
      <c r="U367" s="10" t="str">
        <f t="shared" si="81"/>
        <v>Không</v>
      </c>
      <c r="V367" s="2" t="s">
        <v>556</v>
      </c>
      <c r="W367" s="4">
        <v>46142</v>
      </c>
      <c r="X367" s="8" t="str">
        <f t="shared" si="82"/>
        <v>Tháng 4</v>
      </c>
      <c r="Y367" s="8" t="str">
        <f t="shared" si="83"/>
        <v>khóm Xóm Lẫm</v>
      </c>
    </row>
    <row r="368" spans="1:25" x14ac:dyDescent="0.25">
      <c r="A368" s="1" t="s">
        <v>557</v>
      </c>
      <c r="B368" s="2" t="s">
        <v>30</v>
      </c>
      <c r="C368" s="2" t="s">
        <v>138</v>
      </c>
      <c r="D368" s="10">
        <f t="shared" ca="1" si="70"/>
        <v>67</v>
      </c>
      <c r="E368" s="2" t="s">
        <v>26</v>
      </c>
      <c r="F368" s="3">
        <v>159</v>
      </c>
      <c r="G368" s="3">
        <v>65</v>
      </c>
      <c r="H368" s="11">
        <f t="shared" si="71"/>
        <v>25.711008267078039</v>
      </c>
      <c r="I368" s="2">
        <v>75</v>
      </c>
      <c r="J368" s="3">
        <v>120</v>
      </c>
      <c r="K368" s="3">
        <v>80</v>
      </c>
      <c r="L368" s="10">
        <f t="shared" si="72"/>
        <v>2</v>
      </c>
      <c r="M368" s="10">
        <f t="shared" ca="1" si="73"/>
        <v>2</v>
      </c>
      <c r="N368" s="10">
        <f t="shared" si="74"/>
        <v>0</v>
      </c>
      <c r="O368" s="10">
        <f t="shared" si="75"/>
        <v>3</v>
      </c>
      <c r="P368" s="10">
        <f t="shared" si="76"/>
        <v>0</v>
      </c>
      <c r="Q368" s="10">
        <f t="shared" si="77"/>
        <v>0</v>
      </c>
      <c r="R368" s="10">
        <f t="shared" ca="1" si="78"/>
        <v>7</v>
      </c>
      <c r="S368" s="10" t="str">
        <f t="shared" ca="1" si="79"/>
        <v>Có</v>
      </c>
      <c r="T368" s="10" t="str">
        <f t="shared" ca="1" si="80"/>
        <v>Có</v>
      </c>
      <c r="U368" s="10" t="str">
        <f t="shared" si="81"/>
        <v>Không</v>
      </c>
      <c r="V368" s="2" t="s">
        <v>51</v>
      </c>
      <c r="W368" s="4">
        <v>46142</v>
      </c>
      <c r="X368" s="8" t="str">
        <f t="shared" si="82"/>
        <v>Tháng 4</v>
      </c>
      <c r="Y368" s="8" t="str">
        <f t="shared" si="83"/>
        <v>Phường Hiệp Thành</v>
      </c>
    </row>
    <row r="369" spans="1:25" x14ac:dyDescent="0.25">
      <c r="A369" s="1" t="s">
        <v>558</v>
      </c>
      <c r="B369" s="2" t="s">
        <v>30</v>
      </c>
      <c r="C369" s="2" t="s">
        <v>50</v>
      </c>
      <c r="D369" s="10">
        <f t="shared" ca="1" si="70"/>
        <v>58</v>
      </c>
      <c r="E369" s="2" t="s">
        <v>26</v>
      </c>
      <c r="F369" s="3">
        <v>172</v>
      </c>
      <c r="G369" s="3">
        <v>60</v>
      </c>
      <c r="H369" s="11">
        <f t="shared" si="71"/>
        <v>20.281233098972418</v>
      </c>
      <c r="I369" s="2">
        <v>87</v>
      </c>
      <c r="J369" s="3">
        <v>120</v>
      </c>
      <c r="K369" s="3">
        <v>70</v>
      </c>
      <c r="L369" s="10">
        <f t="shared" si="72"/>
        <v>2</v>
      </c>
      <c r="M369" s="10">
        <f t="shared" ca="1" si="73"/>
        <v>2</v>
      </c>
      <c r="N369" s="10">
        <f t="shared" si="74"/>
        <v>0</v>
      </c>
      <c r="O369" s="10">
        <f t="shared" si="75"/>
        <v>0</v>
      </c>
      <c r="P369" s="10">
        <f t="shared" si="76"/>
        <v>0</v>
      </c>
      <c r="Q369" s="10">
        <f t="shared" si="77"/>
        <v>0</v>
      </c>
      <c r="R369" s="10">
        <f t="shared" ca="1" si="78"/>
        <v>4</v>
      </c>
      <c r="S369" s="10" t="str">
        <f t="shared" ca="1" si="79"/>
        <v>Không cần</v>
      </c>
      <c r="T369" s="10" t="str">
        <f t="shared" ca="1" si="80"/>
        <v>Không</v>
      </c>
      <c r="U369" s="10" t="str">
        <f t="shared" si="81"/>
        <v>Không</v>
      </c>
      <c r="V369" s="2" t="s">
        <v>108</v>
      </c>
      <c r="W369" s="4">
        <v>46053</v>
      </c>
      <c r="X369" s="8" t="str">
        <f t="shared" si="82"/>
        <v>Tháng 1</v>
      </c>
      <c r="Y369" s="8" t="str">
        <f t="shared" si="83"/>
        <v>Phường Hiệp Thành</v>
      </c>
    </row>
    <row r="370" spans="1:25" x14ac:dyDescent="0.25">
      <c r="A370" s="1" t="s">
        <v>559</v>
      </c>
      <c r="B370" s="2" t="s">
        <v>23</v>
      </c>
      <c r="C370" s="2" t="s">
        <v>40</v>
      </c>
      <c r="D370" s="10">
        <f t="shared" ca="1" si="70"/>
        <v>70</v>
      </c>
      <c r="E370" s="2" t="s">
        <v>26</v>
      </c>
      <c r="F370" s="3">
        <v>158</v>
      </c>
      <c r="G370" s="3">
        <v>58</v>
      </c>
      <c r="H370" s="11">
        <f t="shared" si="71"/>
        <v>23.233456176894723</v>
      </c>
      <c r="I370" s="2">
        <v>90</v>
      </c>
      <c r="J370" s="3">
        <v>120</v>
      </c>
      <c r="K370" s="3">
        <v>80</v>
      </c>
      <c r="L370" s="10">
        <f t="shared" si="72"/>
        <v>0</v>
      </c>
      <c r="M370" s="10">
        <f t="shared" ca="1" si="73"/>
        <v>2</v>
      </c>
      <c r="N370" s="10">
        <f t="shared" si="74"/>
        <v>0</v>
      </c>
      <c r="O370" s="10">
        <f t="shared" si="75"/>
        <v>3</v>
      </c>
      <c r="P370" s="10">
        <f t="shared" si="76"/>
        <v>2</v>
      </c>
      <c r="Q370" s="10">
        <f t="shared" si="77"/>
        <v>0</v>
      </c>
      <c r="R370" s="10">
        <f t="shared" ca="1" si="78"/>
        <v>7</v>
      </c>
      <c r="S370" s="10" t="str">
        <f t="shared" ca="1" si="79"/>
        <v>Có</v>
      </c>
      <c r="T370" s="10" t="str">
        <f t="shared" ca="1" si="80"/>
        <v>Có</v>
      </c>
      <c r="U370" s="10" t="str">
        <f t="shared" si="81"/>
        <v>Không</v>
      </c>
      <c r="V370" s="2" t="s">
        <v>51</v>
      </c>
      <c r="W370" s="4">
        <v>46142</v>
      </c>
      <c r="X370" s="8" t="str">
        <f t="shared" si="82"/>
        <v>Tháng 4</v>
      </c>
      <c r="Y370" s="8" t="str">
        <f t="shared" si="83"/>
        <v>Phường Hiệp Thành</v>
      </c>
    </row>
    <row r="371" spans="1:25" x14ac:dyDescent="0.25">
      <c r="A371" s="1" t="s">
        <v>560</v>
      </c>
      <c r="B371" s="2" t="s">
        <v>30</v>
      </c>
      <c r="C371" s="2" t="s">
        <v>40</v>
      </c>
      <c r="D371" s="10">
        <f t="shared" ca="1" si="70"/>
        <v>70</v>
      </c>
      <c r="E371" s="2" t="s">
        <v>26</v>
      </c>
      <c r="F371" s="3">
        <v>158</v>
      </c>
      <c r="G371" s="3">
        <v>58</v>
      </c>
      <c r="H371" s="11">
        <f t="shared" si="71"/>
        <v>23.233456176894723</v>
      </c>
      <c r="I371" s="2">
        <v>79</v>
      </c>
      <c r="J371" s="3">
        <v>120</v>
      </c>
      <c r="K371" s="3">
        <v>80</v>
      </c>
      <c r="L371" s="10">
        <f t="shared" si="72"/>
        <v>2</v>
      </c>
      <c r="M371" s="10">
        <f t="shared" ca="1" si="73"/>
        <v>2</v>
      </c>
      <c r="N371" s="10">
        <f t="shared" si="74"/>
        <v>0</v>
      </c>
      <c r="O371" s="10">
        <f t="shared" si="75"/>
        <v>3</v>
      </c>
      <c r="P371" s="10">
        <f t="shared" si="76"/>
        <v>0</v>
      </c>
      <c r="Q371" s="10">
        <f t="shared" si="77"/>
        <v>0</v>
      </c>
      <c r="R371" s="10">
        <f t="shared" ca="1" si="78"/>
        <v>7</v>
      </c>
      <c r="S371" s="10" t="str">
        <f t="shared" ca="1" si="79"/>
        <v>Có</v>
      </c>
      <c r="T371" s="10" t="str">
        <f t="shared" ca="1" si="80"/>
        <v>Có</v>
      </c>
      <c r="U371" s="10" t="str">
        <f t="shared" si="81"/>
        <v>Không</v>
      </c>
      <c r="V371" s="2" t="s">
        <v>561</v>
      </c>
      <c r="W371" s="4">
        <v>46053</v>
      </c>
      <c r="X371" s="8" t="str">
        <f t="shared" si="82"/>
        <v>Tháng 1</v>
      </c>
      <c r="Y371" s="8" t="str">
        <f t="shared" si="83"/>
        <v>Ấp Biển Tây A</v>
      </c>
    </row>
    <row r="372" spans="1:25" x14ac:dyDescent="0.25">
      <c r="A372" s="1" t="s">
        <v>562</v>
      </c>
      <c r="B372" s="2" t="s">
        <v>30</v>
      </c>
      <c r="C372" s="2" t="s">
        <v>203</v>
      </c>
      <c r="D372" s="10">
        <f t="shared" ca="1" si="70"/>
        <v>43</v>
      </c>
      <c r="E372" s="2" t="s">
        <v>25</v>
      </c>
      <c r="F372" s="3">
        <v>169</v>
      </c>
      <c r="G372" s="3">
        <v>68</v>
      </c>
      <c r="H372" s="11">
        <f t="shared" si="71"/>
        <v>23.808690171912751</v>
      </c>
      <c r="I372" s="2">
        <v>76</v>
      </c>
      <c r="J372" s="3">
        <v>150</v>
      </c>
      <c r="K372" s="3">
        <v>80</v>
      </c>
      <c r="L372" s="10">
        <f t="shared" si="72"/>
        <v>2</v>
      </c>
      <c r="M372" s="10">
        <f t="shared" ca="1" si="73"/>
        <v>0</v>
      </c>
      <c r="N372" s="10">
        <f t="shared" si="74"/>
        <v>4</v>
      </c>
      <c r="O372" s="10">
        <f t="shared" si="75"/>
        <v>3</v>
      </c>
      <c r="P372" s="10">
        <f t="shared" si="76"/>
        <v>0</v>
      </c>
      <c r="Q372" s="10">
        <f t="shared" si="77"/>
        <v>2</v>
      </c>
      <c r="R372" s="10">
        <f t="shared" ca="1" si="78"/>
        <v>11</v>
      </c>
      <c r="S372" s="10" t="str">
        <f t="shared" ca="1" si="79"/>
        <v>Có</v>
      </c>
      <c r="T372" s="10" t="str">
        <f t="shared" ca="1" si="80"/>
        <v>Có</v>
      </c>
      <c r="U372" s="10" t="str">
        <f t="shared" si="81"/>
        <v>Có</v>
      </c>
      <c r="V372" s="2" t="s">
        <v>68</v>
      </c>
      <c r="W372" s="4">
        <v>46081</v>
      </c>
      <c r="X372" s="8" t="str">
        <f t="shared" si="82"/>
        <v>Tháng 2</v>
      </c>
      <c r="Y372" s="8" t="str">
        <f t="shared" si="83"/>
        <v>Ấp Biển Tây B</v>
      </c>
    </row>
    <row r="373" spans="1:25" x14ac:dyDescent="0.25">
      <c r="A373" s="1" t="s">
        <v>563</v>
      </c>
      <c r="B373" s="2" t="s">
        <v>30</v>
      </c>
      <c r="C373" s="2" t="s">
        <v>373</v>
      </c>
      <c r="D373" s="10">
        <f t="shared" ca="1" si="70"/>
        <v>61</v>
      </c>
      <c r="E373" s="2" t="s">
        <v>26</v>
      </c>
      <c r="F373" s="3">
        <v>170</v>
      </c>
      <c r="G373" s="3">
        <v>59</v>
      </c>
      <c r="H373" s="11">
        <f t="shared" si="71"/>
        <v>20.415224913494811</v>
      </c>
      <c r="I373" s="2">
        <v>73</v>
      </c>
      <c r="J373" s="3">
        <v>140</v>
      </c>
      <c r="K373" s="3">
        <v>100</v>
      </c>
      <c r="L373" s="10">
        <f t="shared" si="72"/>
        <v>2</v>
      </c>
      <c r="M373" s="10">
        <f t="shared" ca="1" si="73"/>
        <v>2</v>
      </c>
      <c r="N373" s="10">
        <f t="shared" si="74"/>
        <v>0</v>
      </c>
      <c r="O373" s="10">
        <f t="shared" si="75"/>
        <v>0</v>
      </c>
      <c r="P373" s="10">
        <f t="shared" si="76"/>
        <v>0</v>
      </c>
      <c r="Q373" s="10">
        <f t="shared" si="77"/>
        <v>2</v>
      </c>
      <c r="R373" s="10">
        <f t="shared" ca="1" si="78"/>
        <v>6</v>
      </c>
      <c r="S373" s="10" t="str">
        <f t="shared" ca="1" si="79"/>
        <v>Có</v>
      </c>
      <c r="T373" s="10" t="str">
        <f t="shared" ca="1" si="80"/>
        <v>Có</v>
      </c>
      <c r="U373" s="10" t="str">
        <f t="shared" si="81"/>
        <v>Có</v>
      </c>
      <c r="V373" s="2" t="s">
        <v>564</v>
      </c>
      <c r="W373" s="4">
        <v>46142</v>
      </c>
      <c r="X373" s="8" t="str">
        <f t="shared" si="82"/>
        <v>Tháng 4</v>
      </c>
      <c r="Y373" s="8" t="str">
        <f t="shared" si="83"/>
        <v>ấp giồng giữa</v>
      </c>
    </row>
    <row r="374" spans="1:25" x14ac:dyDescent="0.25">
      <c r="A374" s="1" t="s">
        <v>565</v>
      </c>
      <c r="B374" s="2" t="s">
        <v>30</v>
      </c>
      <c r="C374" s="2" t="s">
        <v>138</v>
      </c>
      <c r="D374" s="10">
        <f t="shared" ca="1" si="70"/>
        <v>67</v>
      </c>
      <c r="E374" s="2" t="s">
        <v>26</v>
      </c>
      <c r="F374" s="3">
        <v>169</v>
      </c>
      <c r="G374" s="3">
        <v>68</v>
      </c>
      <c r="H374" s="11">
        <f t="shared" si="71"/>
        <v>23.808690171912751</v>
      </c>
      <c r="I374" s="2">
        <v>72</v>
      </c>
      <c r="J374" s="3">
        <v>140</v>
      </c>
      <c r="K374" s="3">
        <v>80</v>
      </c>
      <c r="L374" s="10">
        <f t="shared" si="72"/>
        <v>2</v>
      </c>
      <c r="M374" s="10">
        <f t="shared" ca="1" si="73"/>
        <v>2</v>
      </c>
      <c r="N374" s="10">
        <f t="shared" si="74"/>
        <v>0</v>
      </c>
      <c r="O374" s="10">
        <f t="shared" si="75"/>
        <v>3</v>
      </c>
      <c r="P374" s="10">
        <f t="shared" si="76"/>
        <v>0</v>
      </c>
      <c r="Q374" s="10">
        <f t="shared" si="77"/>
        <v>2</v>
      </c>
      <c r="R374" s="10">
        <f t="shared" ca="1" si="78"/>
        <v>9</v>
      </c>
      <c r="S374" s="10" t="str">
        <f t="shared" ca="1" si="79"/>
        <v>Có</v>
      </c>
      <c r="T374" s="10" t="str">
        <f t="shared" ca="1" si="80"/>
        <v>Có</v>
      </c>
      <c r="U374" s="10" t="str">
        <f t="shared" si="81"/>
        <v>Có</v>
      </c>
      <c r="V374" s="2" t="s">
        <v>234</v>
      </c>
      <c r="W374" s="4">
        <v>46142</v>
      </c>
      <c r="X374" s="8" t="str">
        <f t="shared" si="82"/>
        <v>Tháng 4</v>
      </c>
      <c r="Y374" s="8" t="str">
        <f t="shared" si="83"/>
        <v>ấp Biển Đông B</v>
      </c>
    </row>
    <row r="375" spans="1:25" x14ac:dyDescent="0.25">
      <c r="A375" s="1" t="s">
        <v>566</v>
      </c>
      <c r="B375" s="2" t="s">
        <v>30</v>
      </c>
      <c r="C375" s="2" t="s">
        <v>105</v>
      </c>
      <c r="D375" s="10">
        <f t="shared" ca="1" si="70"/>
        <v>60</v>
      </c>
      <c r="E375" s="2" t="s">
        <v>26</v>
      </c>
      <c r="F375" s="3">
        <v>169</v>
      </c>
      <c r="G375" s="3">
        <v>68</v>
      </c>
      <c r="H375" s="11">
        <f t="shared" si="71"/>
        <v>23.808690171912751</v>
      </c>
      <c r="I375" s="2">
        <v>91</v>
      </c>
      <c r="J375" s="3">
        <v>120</v>
      </c>
      <c r="K375" s="3">
        <v>80</v>
      </c>
      <c r="L375" s="10">
        <f t="shared" si="72"/>
        <v>2</v>
      </c>
      <c r="M375" s="10">
        <f t="shared" ca="1" si="73"/>
        <v>2</v>
      </c>
      <c r="N375" s="10">
        <f t="shared" si="74"/>
        <v>0</v>
      </c>
      <c r="O375" s="10">
        <f t="shared" si="75"/>
        <v>3</v>
      </c>
      <c r="P375" s="10">
        <f t="shared" si="76"/>
        <v>2</v>
      </c>
      <c r="Q375" s="10">
        <f t="shared" si="77"/>
        <v>0</v>
      </c>
      <c r="R375" s="10">
        <f t="shared" ca="1" si="78"/>
        <v>9</v>
      </c>
      <c r="S375" s="10" t="str">
        <f t="shared" ca="1" si="79"/>
        <v>Có</v>
      </c>
      <c r="T375" s="10" t="str">
        <f t="shared" ca="1" si="80"/>
        <v>Có</v>
      </c>
      <c r="U375" s="10" t="str">
        <f t="shared" si="81"/>
        <v>Không</v>
      </c>
      <c r="V375" s="2" t="s">
        <v>51</v>
      </c>
      <c r="W375" s="4">
        <v>46142</v>
      </c>
      <c r="X375" s="8" t="str">
        <f t="shared" si="82"/>
        <v>Tháng 4</v>
      </c>
      <c r="Y375" s="8" t="str">
        <f t="shared" si="83"/>
        <v>Phường Hiệp Thành</v>
      </c>
    </row>
    <row r="376" spans="1:25" x14ac:dyDescent="0.25">
      <c r="A376" s="1" t="s">
        <v>567</v>
      </c>
      <c r="B376" s="2" t="s">
        <v>23</v>
      </c>
      <c r="C376" s="2" t="s">
        <v>56</v>
      </c>
      <c r="D376" s="10">
        <f t="shared" ca="1" si="70"/>
        <v>65</v>
      </c>
      <c r="E376" s="2" t="s">
        <v>26</v>
      </c>
      <c r="F376" s="3">
        <v>155</v>
      </c>
      <c r="G376" s="3">
        <v>66</v>
      </c>
      <c r="H376" s="11">
        <f t="shared" si="71"/>
        <v>27.471383975026011</v>
      </c>
      <c r="I376" s="2">
        <v>65</v>
      </c>
      <c r="J376" s="3">
        <v>130</v>
      </c>
      <c r="K376" s="3">
        <v>80</v>
      </c>
      <c r="L376" s="10">
        <f t="shared" si="72"/>
        <v>0</v>
      </c>
      <c r="M376" s="10">
        <f t="shared" ca="1" si="73"/>
        <v>2</v>
      </c>
      <c r="N376" s="10">
        <f t="shared" si="74"/>
        <v>0</v>
      </c>
      <c r="O376" s="10">
        <f t="shared" si="75"/>
        <v>3</v>
      </c>
      <c r="P376" s="10">
        <f t="shared" si="76"/>
        <v>0</v>
      </c>
      <c r="Q376" s="10">
        <f t="shared" si="77"/>
        <v>0</v>
      </c>
      <c r="R376" s="10">
        <f t="shared" ca="1" si="78"/>
        <v>5</v>
      </c>
      <c r="S376" s="10" t="str">
        <f t="shared" ca="1" si="79"/>
        <v>Không cần</v>
      </c>
      <c r="T376" s="10" t="str">
        <f t="shared" ca="1" si="80"/>
        <v>Không</v>
      </c>
      <c r="U376" s="10" t="str">
        <f t="shared" si="81"/>
        <v>Không</v>
      </c>
      <c r="V376" s="2" t="s">
        <v>91</v>
      </c>
      <c r="W376" s="4">
        <v>46142</v>
      </c>
      <c r="X376" s="8" t="str">
        <f t="shared" si="82"/>
        <v>Tháng 4</v>
      </c>
      <c r="Y376" s="8" t="str">
        <f t="shared" si="83"/>
        <v>Ấp Giồng Giữa</v>
      </c>
    </row>
    <row r="377" spans="1:25" x14ac:dyDescent="0.25">
      <c r="A377" s="1" t="s">
        <v>568</v>
      </c>
      <c r="B377" s="2" t="s">
        <v>23</v>
      </c>
      <c r="C377" s="2" t="s">
        <v>138</v>
      </c>
      <c r="D377" s="10">
        <f t="shared" ca="1" si="70"/>
        <v>67</v>
      </c>
      <c r="E377" s="2" t="s">
        <v>26</v>
      </c>
      <c r="F377" s="3">
        <v>158</v>
      </c>
      <c r="G377" s="3">
        <v>50</v>
      </c>
      <c r="H377" s="11">
        <f t="shared" si="71"/>
        <v>20.028841531805796</v>
      </c>
      <c r="I377" s="2">
        <v>74</v>
      </c>
      <c r="J377" s="3">
        <v>160</v>
      </c>
      <c r="K377" s="3">
        <v>80</v>
      </c>
      <c r="L377" s="10">
        <f t="shared" si="72"/>
        <v>0</v>
      </c>
      <c r="M377" s="10">
        <f t="shared" ca="1" si="73"/>
        <v>2</v>
      </c>
      <c r="N377" s="10">
        <f t="shared" si="74"/>
        <v>0</v>
      </c>
      <c r="O377" s="10">
        <f t="shared" si="75"/>
        <v>0</v>
      </c>
      <c r="P377" s="10">
        <f t="shared" si="76"/>
        <v>0</v>
      </c>
      <c r="Q377" s="10">
        <f t="shared" si="77"/>
        <v>2</v>
      </c>
      <c r="R377" s="10">
        <f t="shared" ca="1" si="78"/>
        <v>4</v>
      </c>
      <c r="S377" s="10" t="str">
        <f t="shared" ca="1" si="79"/>
        <v>Không cần</v>
      </c>
      <c r="T377" s="10" t="str">
        <f t="shared" ca="1" si="80"/>
        <v>Không</v>
      </c>
      <c r="U377" s="10" t="str">
        <f t="shared" si="81"/>
        <v>Có</v>
      </c>
      <c r="V377" s="2" t="s">
        <v>215</v>
      </c>
      <c r="W377" s="4">
        <v>46142</v>
      </c>
      <c r="X377" s="8" t="str">
        <f t="shared" si="82"/>
        <v>Tháng 4</v>
      </c>
      <c r="Y377" s="8" t="str">
        <f t="shared" si="83"/>
        <v>Giồng Nhãn A</v>
      </c>
    </row>
    <row r="378" spans="1:25" x14ac:dyDescent="0.25">
      <c r="A378" s="1" t="s">
        <v>569</v>
      </c>
      <c r="B378" s="2" t="s">
        <v>23</v>
      </c>
      <c r="C378" s="2" t="s">
        <v>62</v>
      </c>
      <c r="D378" s="10">
        <f t="shared" ca="1" si="70"/>
        <v>64</v>
      </c>
      <c r="E378" s="2" t="s">
        <v>26</v>
      </c>
      <c r="F378" s="3">
        <v>158</v>
      </c>
      <c r="G378" s="3">
        <v>58</v>
      </c>
      <c r="H378" s="11">
        <f t="shared" si="71"/>
        <v>23.233456176894723</v>
      </c>
      <c r="I378" s="2">
        <v>88</v>
      </c>
      <c r="J378" s="3">
        <v>130</v>
      </c>
      <c r="K378" s="3">
        <v>80</v>
      </c>
      <c r="L378" s="10">
        <f t="shared" si="72"/>
        <v>0</v>
      </c>
      <c r="M378" s="10">
        <f t="shared" ca="1" si="73"/>
        <v>2</v>
      </c>
      <c r="N378" s="10">
        <f t="shared" si="74"/>
        <v>0</v>
      </c>
      <c r="O378" s="10">
        <f t="shared" si="75"/>
        <v>3</v>
      </c>
      <c r="P378" s="10">
        <f t="shared" si="76"/>
        <v>2</v>
      </c>
      <c r="Q378" s="10">
        <f t="shared" si="77"/>
        <v>0</v>
      </c>
      <c r="R378" s="10">
        <f t="shared" ca="1" si="78"/>
        <v>7</v>
      </c>
      <c r="S378" s="10" t="str">
        <f t="shared" ca="1" si="79"/>
        <v>Có</v>
      </c>
      <c r="T378" s="10" t="str">
        <f t="shared" ca="1" si="80"/>
        <v>Có</v>
      </c>
      <c r="U378" s="10" t="str">
        <f t="shared" si="81"/>
        <v>Không</v>
      </c>
      <c r="V378" s="2" t="s">
        <v>246</v>
      </c>
      <c r="W378" s="4">
        <v>46142</v>
      </c>
      <c r="X378" s="8" t="str">
        <f t="shared" si="82"/>
        <v>Tháng 4</v>
      </c>
      <c r="Y378" s="8" t="str">
        <f t="shared" si="83"/>
        <v>ấp Biển Tây B</v>
      </c>
    </row>
    <row r="379" spans="1:25" x14ac:dyDescent="0.25">
      <c r="A379" s="1" t="s">
        <v>570</v>
      </c>
      <c r="B379" s="2" t="s">
        <v>23</v>
      </c>
      <c r="C379" s="2" t="s">
        <v>373</v>
      </c>
      <c r="D379" s="10">
        <f t="shared" ca="1" si="70"/>
        <v>61</v>
      </c>
      <c r="E379" s="2" t="s">
        <v>26</v>
      </c>
      <c r="F379" s="3">
        <v>158</v>
      </c>
      <c r="G379" s="3">
        <v>58</v>
      </c>
      <c r="H379" s="11">
        <f t="shared" si="71"/>
        <v>23.233456176894723</v>
      </c>
      <c r="I379" s="2">
        <v>72</v>
      </c>
      <c r="J379" s="3">
        <v>130</v>
      </c>
      <c r="K379" s="3">
        <v>80</v>
      </c>
      <c r="L379" s="10">
        <f t="shared" si="72"/>
        <v>0</v>
      </c>
      <c r="M379" s="10">
        <f t="shared" ca="1" si="73"/>
        <v>2</v>
      </c>
      <c r="N379" s="10">
        <f t="shared" si="74"/>
        <v>0</v>
      </c>
      <c r="O379" s="10">
        <f t="shared" si="75"/>
        <v>3</v>
      </c>
      <c r="P379" s="10">
        <f t="shared" si="76"/>
        <v>0</v>
      </c>
      <c r="Q379" s="10">
        <f t="shared" si="77"/>
        <v>0</v>
      </c>
      <c r="R379" s="10">
        <f t="shared" ca="1" si="78"/>
        <v>5</v>
      </c>
      <c r="S379" s="10" t="str">
        <f t="shared" ca="1" si="79"/>
        <v>Không cần</v>
      </c>
      <c r="T379" s="10" t="str">
        <f t="shared" ca="1" si="80"/>
        <v>Không</v>
      </c>
      <c r="U379" s="10" t="str">
        <f t="shared" si="81"/>
        <v>Không</v>
      </c>
      <c r="V379" s="2" t="s">
        <v>298</v>
      </c>
      <c r="W379" s="4">
        <v>46142</v>
      </c>
      <c r="X379" s="8" t="str">
        <f t="shared" si="82"/>
        <v>Tháng 4</v>
      </c>
      <c r="Y379" s="8" t="str">
        <f t="shared" si="83"/>
        <v>ấp Biển Tây A</v>
      </c>
    </row>
    <row r="380" spans="1:25" x14ac:dyDescent="0.25">
      <c r="A380" s="1" t="s">
        <v>571</v>
      </c>
      <c r="B380" s="2" t="s">
        <v>30</v>
      </c>
      <c r="C380" s="2" t="s">
        <v>87</v>
      </c>
      <c r="D380" s="10">
        <f t="shared" ca="1" si="70"/>
        <v>49</v>
      </c>
      <c r="E380" s="2" t="s">
        <v>26</v>
      </c>
      <c r="F380" s="3">
        <v>169</v>
      </c>
      <c r="G380" s="3">
        <v>68</v>
      </c>
      <c r="H380" s="11">
        <f t="shared" si="71"/>
        <v>23.808690171912751</v>
      </c>
      <c r="I380" s="2">
        <v>65</v>
      </c>
      <c r="J380" s="3">
        <v>120</v>
      </c>
      <c r="K380" s="3">
        <v>80</v>
      </c>
      <c r="L380" s="10">
        <f t="shared" si="72"/>
        <v>2</v>
      </c>
      <c r="M380" s="10">
        <f t="shared" ca="1" si="73"/>
        <v>1</v>
      </c>
      <c r="N380" s="10">
        <f t="shared" si="74"/>
        <v>0</v>
      </c>
      <c r="O380" s="10">
        <f t="shared" si="75"/>
        <v>3</v>
      </c>
      <c r="P380" s="10">
        <f t="shared" si="76"/>
        <v>0</v>
      </c>
      <c r="Q380" s="10">
        <f t="shared" si="77"/>
        <v>0</v>
      </c>
      <c r="R380" s="10">
        <f t="shared" ca="1" si="78"/>
        <v>6</v>
      </c>
      <c r="S380" s="10" t="str">
        <f t="shared" ca="1" si="79"/>
        <v>Có</v>
      </c>
      <c r="T380" s="10" t="str">
        <f t="shared" ca="1" si="80"/>
        <v>Có</v>
      </c>
      <c r="U380" s="10" t="str">
        <f t="shared" si="81"/>
        <v>Không</v>
      </c>
      <c r="V380" s="2" t="s">
        <v>246</v>
      </c>
      <c r="W380" s="4">
        <v>46142</v>
      </c>
      <c r="X380" s="8" t="str">
        <f t="shared" si="82"/>
        <v>Tháng 4</v>
      </c>
      <c r="Y380" s="8" t="str">
        <f t="shared" si="83"/>
        <v>ấp Biển Tây B</v>
      </c>
    </row>
    <row r="381" spans="1:25" x14ac:dyDescent="0.25">
      <c r="A381" s="1" t="s">
        <v>572</v>
      </c>
      <c r="B381" s="2" t="s">
        <v>23</v>
      </c>
      <c r="C381" s="2" t="s">
        <v>146</v>
      </c>
      <c r="D381" s="10">
        <f t="shared" ca="1" si="70"/>
        <v>52</v>
      </c>
      <c r="E381" s="2" t="s">
        <v>26</v>
      </c>
      <c r="F381" s="3">
        <v>158</v>
      </c>
      <c r="G381" s="3">
        <v>58</v>
      </c>
      <c r="H381" s="11">
        <f t="shared" si="71"/>
        <v>23.233456176894723</v>
      </c>
      <c r="I381" s="2">
        <v>72</v>
      </c>
      <c r="J381" s="3">
        <v>140</v>
      </c>
      <c r="K381" s="3">
        <v>80</v>
      </c>
      <c r="L381" s="10">
        <f t="shared" si="72"/>
        <v>0</v>
      </c>
      <c r="M381" s="10">
        <f t="shared" ca="1" si="73"/>
        <v>2</v>
      </c>
      <c r="N381" s="10">
        <f t="shared" si="74"/>
        <v>0</v>
      </c>
      <c r="O381" s="10">
        <f t="shared" si="75"/>
        <v>3</v>
      </c>
      <c r="P381" s="10">
        <f t="shared" si="76"/>
        <v>0</v>
      </c>
      <c r="Q381" s="10">
        <f t="shared" si="77"/>
        <v>2</v>
      </c>
      <c r="R381" s="10">
        <f t="shared" ca="1" si="78"/>
        <v>7</v>
      </c>
      <c r="S381" s="10" t="str">
        <f t="shared" ca="1" si="79"/>
        <v>Có</v>
      </c>
      <c r="T381" s="10" t="str">
        <f t="shared" ca="1" si="80"/>
        <v>Có</v>
      </c>
      <c r="U381" s="10" t="str">
        <f t="shared" si="81"/>
        <v>Có</v>
      </c>
      <c r="V381" s="2" t="s">
        <v>218</v>
      </c>
      <c r="W381" s="4">
        <v>46142</v>
      </c>
      <c r="X381" s="8" t="str">
        <f t="shared" si="82"/>
        <v>Tháng 4</v>
      </c>
      <c r="Y381" s="8" t="str">
        <f t="shared" si="83"/>
        <v>Biển Đông B</v>
      </c>
    </row>
    <row r="382" spans="1:25" x14ac:dyDescent="0.25">
      <c r="A382" s="1" t="s">
        <v>573</v>
      </c>
      <c r="B382" s="2" t="s">
        <v>30</v>
      </c>
      <c r="C382" s="2" t="s">
        <v>133</v>
      </c>
      <c r="D382" s="10">
        <f t="shared" ca="1" si="70"/>
        <v>56</v>
      </c>
      <c r="E382" s="2" t="s">
        <v>26</v>
      </c>
      <c r="F382" s="3">
        <v>165</v>
      </c>
      <c r="G382" s="3">
        <v>48</v>
      </c>
      <c r="H382" s="11">
        <f t="shared" si="71"/>
        <v>17.630853994490359</v>
      </c>
      <c r="I382" s="2">
        <v>76</v>
      </c>
      <c r="J382" s="3">
        <v>120</v>
      </c>
      <c r="K382" s="3">
        <v>80</v>
      </c>
      <c r="L382" s="10">
        <f t="shared" si="72"/>
        <v>2</v>
      </c>
      <c r="M382" s="10">
        <f t="shared" ca="1" si="73"/>
        <v>2</v>
      </c>
      <c r="N382" s="10">
        <f t="shared" si="74"/>
        <v>0</v>
      </c>
      <c r="O382" s="10">
        <f t="shared" si="75"/>
        <v>0</v>
      </c>
      <c r="P382" s="10">
        <f t="shared" si="76"/>
        <v>0</v>
      </c>
      <c r="Q382" s="10">
        <f t="shared" si="77"/>
        <v>0</v>
      </c>
      <c r="R382" s="10">
        <f t="shared" ca="1" si="78"/>
        <v>4</v>
      </c>
      <c r="S382" s="10" t="str">
        <f t="shared" ca="1" si="79"/>
        <v>Không cần</v>
      </c>
      <c r="T382" s="10" t="str">
        <f t="shared" ca="1" si="80"/>
        <v>Không</v>
      </c>
      <c r="U382" s="10" t="str">
        <f t="shared" si="81"/>
        <v>Không</v>
      </c>
      <c r="V382" s="2" t="s">
        <v>51</v>
      </c>
      <c r="W382" s="4">
        <v>46142</v>
      </c>
      <c r="X382" s="8" t="str">
        <f t="shared" si="82"/>
        <v>Tháng 4</v>
      </c>
      <c r="Y382" s="8" t="str">
        <f t="shared" si="83"/>
        <v>Phường Hiệp Thành</v>
      </c>
    </row>
    <row r="383" spans="1:25" x14ac:dyDescent="0.25">
      <c r="A383" s="1" t="s">
        <v>574</v>
      </c>
      <c r="B383" s="2" t="s">
        <v>23</v>
      </c>
      <c r="C383" s="2" t="s">
        <v>138</v>
      </c>
      <c r="D383" s="10">
        <f t="shared" ca="1" si="70"/>
        <v>67</v>
      </c>
      <c r="E383" s="2" t="s">
        <v>26</v>
      </c>
      <c r="F383" s="3">
        <v>158</v>
      </c>
      <c r="G383" s="3">
        <v>52</v>
      </c>
      <c r="H383" s="11">
        <f t="shared" si="71"/>
        <v>20.82999519307803</v>
      </c>
      <c r="I383" s="2">
        <v>96</v>
      </c>
      <c r="J383" s="3">
        <v>130</v>
      </c>
      <c r="K383" s="3">
        <v>80</v>
      </c>
      <c r="L383" s="10">
        <f t="shared" si="72"/>
        <v>0</v>
      </c>
      <c r="M383" s="10">
        <f t="shared" ca="1" si="73"/>
        <v>2</v>
      </c>
      <c r="N383" s="10">
        <f t="shared" si="74"/>
        <v>0</v>
      </c>
      <c r="O383" s="10">
        <f t="shared" si="75"/>
        <v>0</v>
      </c>
      <c r="P383" s="10">
        <f t="shared" si="76"/>
        <v>2</v>
      </c>
      <c r="Q383" s="10">
        <f t="shared" si="77"/>
        <v>0</v>
      </c>
      <c r="R383" s="10">
        <f t="shared" ca="1" si="78"/>
        <v>4</v>
      </c>
      <c r="S383" s="10" t="str">
        <f t="shared" ca="1" si="79"/>
        <v>Không cần</v>
      </c>
      <c r="T383" s="10" t="str">
        <f t="shared" ca="1" si="80"/>
        <v>Không</v>
      </c>
      <c r="U383" s="10" t="str">
        <f t="shared" si="81"/>
        <v>Không</v>
      </c>
      <c r="V383" s="2" t="s">
        <v>575</v>
      </c>
      <c r="W383" s="4">
        <v>46142</v>
      </c>
      <c r="X383" s="8" t="str">
        <f t="shared" si="82"/>
        <v>Tháng 4</v>
      </c>
      <c r="Y383" s="8" t="str">
        <f t="shared" si="83"/>
        <v>Giồng giữa</v>
      </c>
    </row>
    <row r="384" spans="1:25" x14ac:dyDescent="0.25">
      <c r="A384" s="1" t="s">
        <v>576</v>
      </c>
      <c r="B384" s="2" t="s">
        <v>23</v>
      </c>
      <c r="C384" s="2" t="s">
        <v>50</v>
      </c>
      <c r="D384" s="10">
        <f t="shared" ca="1" si="70"/>
        <v>58</v>
      </c>
      <c r="E384" s="2" t="s">
        <v>26</v>
      </c>
      <c r="F384" s="3">
        <v>158</v>
      </c>
      <c r="G384" s="3">
        <v>58</v>
      </c>
      <c r="H384" s="11">
        <f t="shared" si="71"/>
        <v>23.233456176894723</v>
      </c>
      <c r="I384" s="2">
        <v>69</v>
      </c>
      <c r="J384" s="3">
        <v>120</v>
      </c>
      <c r="K384" s="3">
        <v>80</v>
      </c>
      <c r="L384" s="10">
        <f t="shared" si="72"/>
        <v>0</v>
      </c>
      <c r="M384" s="10">
        <f t="shared" ca="1" si="73"/>
        <v>2</v>
      </c>
      <c r="N384" s="10">
        <f t="shared" si="74"/>
        <v>0</v>
      </c>
      <c r="O384" s="10">
        <f t="shared" si="75"/>
        <v>3</v>
      </c>
      <c r="P384" s="10">
        <f t="shared" si="76"/>
        <v>0</v>
      </c>
      <c r="Q384" s="10">
        <f t="shared" si="77"/>
        <v>0</v>
      </c>
      <c r="R384" s="10">
        <f t="shared" ca="1" si="78"/>
        <v>5</v>
      </c>
      <c r="S384" s="10" t="str">
        <f t="shared" ca="1" si="79"/>
        <v>Không cần</v>
      </c>
      <c r="T384" s="10" t="str">
        <f t="shared" ca="1" si="80"/>
        <v>Không</v>
      </c>
      <c r="U384" s="10" t="str">
        <f t="shared" si="81"/>
        <v>Không</v>
      </c>
      <c r="V384" s="2" t="s">
        <v>577</v>
      </c>
      <c r="W384" s="4">
        <v>46142</v>
      </c>
      <c r="X384" s="8" t="str">
        <f t="shared" si="82"/>
        <v>Tháng 4</v>
      </c>
      <c r="Y384" s="8" t="str">
        <f t="shared" si="83"/>
        <v>ấp Biển Đông B</v>
      </c>
    </row>
    <row r="385" spans="1:25" x14ac:dyDescent="0.25">
      <c r="A385" s="1" t="s">
        <v>578</v>
      </c>
      <c r="B385" s="2" t="s">
        <v>23</v>
      </c>
      <c r="C385" s="2" t="s">
        <v>373</v>
      </c>
      <c r="D385" s="10">
        <f t="shared" ca="1" si="70"/>
        <v>61</v>
      </c>
      <c r="E385" s="2" t="s">
        <v>25</v>
      </c>
      <c r="F385" s="3">
        <v>158</v>
      </c>
      <c r="G385" s="3">
        <v>58</v>
      </c>
      <c r="H385" s="11">
        <f t="shared" si="71"/>
        <v>23.233456176894723</v>
      </c>
      <c r="I385" s="2">
        <v>88</v>
      </c>
      <c r="J385" s="3">
        <v>150</v>
      </c>
      <c r="K385" s="3">
        <v>80</v>
      </c>
      <c r="L385" s="10">
        <f t="shared" si="72"/>
        <v>0</v>
      </c>
      <c r="M385" s="10">
        <f t="shared" ca="1" si="73"/>
        <v>2</v>
      </c>
      <c r="N385" s="10">
        <f t="shared" si="74"/>
        <v>4</v>
      </c>
      <c r="O385" s="10">
        <f t="shared" si="75"/>
        <v>3</v>
      </c>
      <c r="P385" s="10">
        <f t="shared" si="76"/>
        <v>2</v>
      </c>
      <c r="Q385" s="10">
        <f t="shared" si="77"/>
        <v>2</v>
      </c>
      <c r="R385" s="10">
        <f t="shared" ca="1" si="78"/>
        <v>13</v>
      </c>
      <c r="S385" s="10" t="str">
        <f t="shared" ca="1" si="79"/>
        <v>Có</v>
      </c>
      <c r="T385" s="10" t="str">
        <f t="shared" ca="1" si="80"/>
        <v>Có</v>
      </c>
      <c r="U385" s="10" t="str">
        <f t="shared" si="81"/>
        <v>Có</v>
      </c>
      <c r="V385" s="2" t="s">
        <v>325</v>
      </c>
      <c r="W385" s="4">
        <v>46142</v>
      </c>
      <c r="X385" s="8" t="str">
        <f t="shared" si="82"/>
        <v>Tháng 4</v>
      </c>
      <c r="Y385" s="8" t="str">
        <f t="shared" si="83"/>
        <v>Ấp Giồng Giữa A</v>
      </c>
    </row>
    <row r="386" spans="1:25" x14ac:dyDescent="0.25">
      <c r="A386" s="1" t="s">
        <v>579</v>
      </c>
      <c r="B386" s="2" t="s">
        <v>30</v>
      </c>
      <c r="C386" s="2" t="s">
        <v>50</v>
      </c>
      <c r="D386" s="10">
        <f t="shared" ca="1" si="70"/>
        <v>58</v>
      </c>
      <c r="E386" s="2" t="s">
        <v>26</v>
      </c>
      <c r="F386" s="3">
        <v>169</v>
      </c>
      <c r="G386" s="3">
        <v>68</v>
      </c>
      <c r="H386" s="11">
        <f t="shared" si="71"/>
        <v>23.808690171912751</v>
      </c>
      <c r="I386" s="2">
        <v>71</v>
      </c>
      <c r="J386" s="3">
        <v>150</v>
      </c>
      <c r="K386" s="3">
        <v>80</v>
      </c>
      <c r="L386" s="10">
        <f t="shared" si="72"/>
        <v>2</v>
      </c>
      <c r="M386" s="10">
        <f t="shared" ca="1" si="73"/>
        <v>2</v>
      </c>
      <c r="N386" s="10">
        <f t="shared" si="74"/>
        <v>0</v>
      </c>
      <c r="O386" s="10">
        <f t="shared" si="75"/>
        <v>3</v>
      </c>
      <c r="P386" s="10">
        <f t="shared" si="76"/>
        <v>0</v>
      </c>
      <c r="Q386" s="10">
        <f t="shared" si="77"/>
        <v>2</v>
      </c>
      <c r="R386" s="10">
        <f t="shared" ca="1" si="78"/>
        <v>9</v>
      </c>
      <c r="S386" s="10" t="str">
        <f t="shared" ca="1" si="79"/>
        <v>Có</v>
      </c>
      <c r="T386" s="10" t="str">
        <f t="shared" ca="1" si="80"/>
        <v>Có</v>
      </c>
      <c r="U386" s="10" t="str">
        <f t="shared" si="81"/>
        <v>Có</v>
      </c>
      <c r="V386" s="2" t="s">
        <v>140</v>
      </c>
      <c r="W386" s="4">
        <v>46142</v>
      </c>
      <c r="X386" s="8" t="str">
        <f t="shared" si="82"/>
        <v>Tháng 4</v>
      </c>
      <c r="Y386" s="8" t="str">
        <f t="shared" si="83"/>
        <v>Biển Tây A</v>
      </c>
    </row>
    <row r="387" spans="1:25" x14ac:dyDescent="0.25">
      <c r="A387" s="1" t="s">
        <v>580</v>
      </c>
      <c r="B387" s="2" t="s">
        <v>30</v>
      </c>
      <c r="C387" s="2" t="s">
        <v>341</v>
      </c>
      <c r="D387" s="10">
        <f t="shared" ref="D387:D450" ca="1" si="84">DATEDIF(C387,TODAY(),"Y")</f>
        <v>51</v>
      </c>
      <c r="E387" s="2" t="s">
        <v>25</v>
      </c>
      <c r="F387" s="3">
        <v>158</v>
      </c>
      <c r="G387" s="3">
        <v>58</v>
      </c>
      <c r="H387" s="11">
        <f t="shared" ref="H387:H450" si="85">G387/((F387/100)*(F387/100))</f>
        <v>23.233456176894723</v>
      </c>
      <c r="I387" s="2">
        <v>80</v>
      </c>
      <c r="J387" s="3">
        <v>120</v>
      </c>
      <c r="K387" s="3">
        <v>80</v>
      </c>
      <c r="L387" s="10">
        <f t="shared" ref="L387:L450" si="86">IF(B387="Nữ",0,2)</f>
        <v>2</v>
      </c>
      <c r="M387" s="10">
        <f t="shared" ref="M387:M450" ca="1" si="87">IF(D387&lt;45,0,IF(D387&lt;=49,1,2))</f>
        <v>2</v>
      </c>
      <c r="N387" s="10">
        <f t="shared" ref="N387:N450" si="88">IF(E387="Có",4,0)</f>
        <v>4</v>
      </c>
      <c r="O387" s="10">
        <f t="shared" ref="O387:O450" si="89">IF(H387&lt;23,0,IF(H387&lt;27.5,3,5))</f>
        <v>3</v>
      </c>
      <c r="P387" s="10">
        <f t="shared" ref="P387:P450" si="90">IF(OR(AND(B387="Nam",I387&gt;=90),AND(B387="Nữ",I387&gt;=80)),2,0)</f>
        <v>0</v>
      </c>
      <c r="Q387" s="10">
        <f t="shared" ref="Q387:Q450" si="91">IF(OR(J387&gt;=140,K387&gt;=90),2,0)</f>
        <v>0</v>
      </c>
      <c r="R387" s="10">
        <f t="shared" ref="R387:R450" ca="1" si="92">SUM(L387:Q387)</f>
        <v>11</v>
      </c>
      <c r="S387" s="10" t="str">
        <f t="shared" ref="S387:S450" ca="1" si="93">IF((R387)&gt;=6,"Có","Không cần")</f>
        <v>Có</v>
      </c>
      <c r="T387" s="10" t="str">
        <f t="shared" ref="T387:T450" ca="1" si="94">IF((R387)&gt;=6,"Có","Không")</f>
        <v>Có</v>
      </c>
      <c r="U387" s="10" t="str">
        <f t="shared" ref="U387:U450" si="95">IF(OR(J387&gt;=140,K387&gt;=90),"Có","Không")</f>
        <v>Không</v>
      </c>
      <c r="V387" s="2" t="s">
        <v>68</v>
      </c>
      <c r="W387" s="4">
        <v>46142</v>
      </c>
      <c r="X387" s="8" t="str">
        <f t="shared" ref="X387:X450" si="96">"Tháng "&amp;MONTH(W387)</f>
        <v>Tháng 4</v>
      </c>
      <c r="Y387" s="8" t="str">
        <f t="shared" ref="Y387:Y450" si="97">LEFT(V387,FIND(",",V387)-1)</f>
        <v>Ấp Biển Tây B</v>
      </c>
    </row>
    <row r="388" spans="1:25" x14ac:dyDescent="0.25">
      <c r="A388" s="1" t="s">
        <v>581</v>
      </c>
      <c r="B388" s="2" t="s">
        <v>23</v>
      </c>
      <c r="C388" s="2" t="s">
        <v>130</v>
      </c>
      <c r="D388" s="10">
        <f t="shared" ca="1" si="84"/>
        <v>57</v>
      </c>
      <c r="E388" s="2" t="s">
        <v>26</v>
      </c>
      <c r="F388" s="3">
        <v>158</v>
      </c>
      <c r="G388" s="3">
        <v>58</v>
      </c>
      <c r="H388" s="11">
        <f t="shared" si="85"/>
        <v>23.233456176894723</v>
      </c>
      <c r="I388" s="2">
        <v>99</v>
      </c>
      <c r="J388" s="3">
        <v>130</v>
      </c>
      <c r="K388" s="3">
        <v>80</v>
      </c>
      <c r="L388" s="10">
        <f t="shared" si="86"/>
        <v>0</v>
      </c>
      <c r="M388" s="10">
        <f t="shared" ca="1" si="87"/>
        <v>2</v>
      </c>
      <c r="N388" s="10">
        <f t="shared" si="88"/>
        <v>0</v>
      </c>
      <c r="O388" s="10">
        <f t="shared" si="89"/>
        <v>3</v>
      </c>
      <c r="P388" s="10">
        <f t="shared" si="90"/>
        <v>2</v>
      </c>
      <c r="Q388" s="10">
        <f t="shared" si="91"/>
        <v>0</v>
      </c>
      <c r="R388" s="10">
        <f t="shared" ca="1" si="92"/>
        <v>7</v>
      </c>
      <c r="S388" s="10" t="str">
        <f t="shared" ca="1" si="93"/>
        <v>Có</v>
      </c>
      <c r="T388" s="10" t="str">
        <f t="shared" ca="1" si="94"/>
        <v>Có</v>
      </c>
      <c r="U388" s="10" t="str">
        <f t="shared" si="95"/>
        <v>Không</v>
      </c>
      <c r="V388" s="2" t="s">
        <v>582</v>
      </c>
      <c r="W388" s="4">
        <v>46142</v>
      </c>
      <c r="X388" s="8" t="str">
        <f t="shared" si="96"/>
        <v>Tháng 4</v>
      </c>
      <c r="Y388" s="8" t="str">
        <f t="shared" si="97"/>
        <v>Ấp Lung Lá</v>
      </c>
    </row>
    <row r="389" spans="1:25" x14ac:dyDescent="0.25">
      <c r="A389" s="1" t="s">
        <v>583</v>
      </c>
      <c r="B389" s="2" t="s">
        <v>23</v>
      </c>
      <c r="C389" s="2" t="s">
        <v>67</v>
      </c>
      <c r="D389" s="10">
        <f t="shared" ca="1" si="84"/>
        <v>48</v>
      </c>
      <c r="E389" s="2" t="s">
        <v>26</v>
      </c>
      <c r="F389" s="3">
        <v>158</v>
      </c>
      <c r="G389" s="3">
        <v>58</v>
      </c>
      <c r="H389" s="11">
        <f t="shared" si="85"/>
        <v>23.233456176894723</v>
      </c>
      <c r="I389" s="2">
        <v>76</v>
      </c>
      <c r="J389" s="3">
        <v>140</v>
      </c>
      <c r="K389" s="3">
        <v>80</v>
      </c>
      <c r="L389" s="10">
        <f t="shared" si="86"/>
        <v>0</v>
      </c>
      <c r="M389" s="10">
        <f t="shared" ca="1" si="87"/>
        <v>1</v>
      </c>
      <c r="N389" s="10">
        <f t="shared" si="88"/>
        <v>0</v>
      </c>
      <c r="O389" s="10">
        <f t="shared" si="89"/>
        <v>3</v>
      </c>
      <c r="P389" s="10">
        <f t="shared" si="90"/>
        <v>0</v>
      </c>
      <c r="Q389" s="10">
        <f t="shared" si="91"/>
        <v>2</v>
      </c>
      <c r="R389" s="10">
        <f t="shared" ca="1" si="92"/>
        <v>6</v>
      </c>
      <c r="S389" s="10" t="str">
        <f t="shared" ca="1" si="93"/>
        <v>Có</v>
      </c>
      <c r="T389" s="10" t="str">
        <f t="shared" ca="1" si="94"/>
        <v>Có</v>
      </c>
      <c r="U389" s="10" t="str">
        <f t="shared" si="95"/>
        <v>Có</v>
      </c>
      <c r="V389" s="2" t="s">
        <v>54</v>
      </c>
      <c r="W389" s="4">
        <v>46142</v>
      </c>
      <c r="X389" s="8" t="str">
        <f t="shared" si="96"/>
        <v>Tháng 4</v>
      </c>
      <c r="Y389" s="8" t="str">
        <f t="shared" si="97"/>
        <v>Khóm 3</v>
      </c>
    </row>
    <row r="390" spans="1:25" x14ac:dyDescent="0.25">
      <c r="A390" s="1" t="s">
        <v>584</v>
      </c>
      <c r="B390" s="2" t="s">
        <v>23</v>
      </c>
      <c r="C390" s="2" t="s">
        <v>394</v>
      </c>
      <c r="D390" s="10">
        <f t="shared" ca="1" si="84"/>
        <v>45</v>
      </c>
      <c r="E390" s="2" t="s">
        <v>26</v>
      </c>
      <c r="F390" s="3">
        <v>158</v>
      </c>
      <c r="G390" s="3">
        <v>58</v>
      </c>
      <c r="H390" s="11">
        <f t="shared" si="85"/>
        <v>23.233456176894723</v>
      </c>
      <c r="I390" s="2">
        <v>86</v>
      </c>
      <c r="J390" s="3">
        <v>140</v>
      </c>
      <c r="K390" s="3">
        <v>80</v>
      </c>
      <c r="L390" s="10">
        <f t="shared" si="86"/>
        <v>0</v>
      </c>
      <c r="M390" s="10">
        <f t="shared" ca="1" si="87"/>
        <v>1</v>
      </c>
      <c r="N390" s="10">
        <f t="shared" si="88"/>
        <v>0</v>
      </c>
      <c r="O390" s="10">
        <f t="shared" si="89"/>
        <v>3</v>
      </c>
      <c r="P390" s="10">
        <f t="shared" si="90"/>
        <v>2</v>
      </c>
      <c r="Q390" s="10">
        <f t="shared" si="91"/>
        <v>2</v>
      </c>
      <c r="R390" s="10">
        <f t="shared" ca="1" si="92"/>
        <v>8</v>
      </c>
      <c r="S390" s="10" t="str">
        <f t="shared" ca="1" si="93"/>
        <v>Có</v>
      </c>
      <c r="T390" s="10" t="str">
        <f t="shared" ca="1" si="94"/>
        <v>Có</v>
      </c>
      <c r="U390" s="10" t="str">
        <f t="shared" si="95"/>
        <v>Có</v>
      </c>
      <c r="V390" s="2" t="s">
        <v>298</v>
      </c>
      <c r="W390" s="4">
        <v>46142</v>
      </c>
      <c r="X390" s="8" t="str">
        <f t="shared" si="96"/>
        <v>Tháng 4</v>
      </c>
      <c r="Y390" s="8" t="str">
        <f t="shared" si="97"/>
        <v>ấp Biển Tây A</v>
      </c>
    </row>
    <row r="391" spans="1:25" x14ac:dyDescent="0.25">
      <c r="A391" s="1" t="s">
        <v>585</v>
      </c>
      <c r="B391" s="2" t="s">
        <v>23</v>
      </c>
      <c r="C391" s="2" t="s">
        <v>64</v>
      </c>
      <c r="D391" s="10">
        <f t="shared" ca="1" si="84"/>
        <v>42</v>
      </c>
      <c r="E391" s="2" t="s">
        <v>25</v>
      </c>
      <c r="F391" s="3">
        <v>168</v>
      </c>
      <c r="G391" s="3">
        <v>68</v>
      </c>
      <c r="H391" s="11">
        <f t="shared" si="85"/>
        <v>24.092970521541954</v>
      </c>
      <c r="I391" s="2">
        <v>88</v>
      </c>
      <c r="J391" s="3">
        <v>120</v>
      </c>
      <c r="K391" s="3">
        <v>80</v>
      </c>
      <c r="L391" s="10">
        <f t="shared" si="86"/>
        <v>0</v>
      </c>
      <c r="M391" s="10">
        <f t="shared" ca="1" si="87"/>
        <v>0</v>
      </c>
      <c r="N391" s="10">
        <f t="shared" si="88"/>
        <v>4</v>
      </c>
      <c r="O391" s="10">
        <f t="shared" si="89"/>
        <v>3</v>
      </c>
      <c r="P391" s="10">
        <f t="shared" si="90"/>
        <v>2</v>
      </c>
      <c r="Q391" s="10">
        <f t="shared" si="91"/>
        <v>0</v>
      </c>
      <c r="R391" s="10">
        <f t="shared" ca="1" si="92"/>
        <v>9</v>
      </c>
      <c r="S391" s="10" t="str">
        <f t="shared" ca="1" si="93"/>
        <v>Có</v>
      </c>
      <c r="T391" s="10" t="str">
        <f t="shared" ca="1" si="94"/>
        <v>Có</v>
      </c>
      <c r="U391" s="10" t="str">
        <f t="shared" si="95"/>
        <v>Không</v>
      </c>
      <c r="V391" s="2" t="s">
        <v>298</v>
      </c>
      <c r="W391" s="4">
        <v>46053</v>
      </c>
      <c r="X391" s="8" t="str">
        <f t="shared" si="96"/>
        <v>Tháng 1</v>
      </c>
      <c r="Y391" s="8" t="str">
        <f t="shared" si="97"/>
        <v>ấp Biển Tây A</v>
      </c>
    </row>
    <row r="392" spans="1:25" x14ac:dyDescent="0.25">
      <c r="A392" s="1" t="s">
        <v>586</v>
      </c>
      <c r="B392" s="2" t="s">
        <v>30</v>
      </c>
      <c r="C392" s="2" t="s">
        <v>93</v>
      </c>
      <c r="D392" s="10">
        <f t="shared" ca="1" si="84"/>
        <v>66</v>
      </c>
      <c r="E392" s="2" t="s">
        <v>25</v>
      </c>
      <c r="F392" s="3">
        <v>169</v>
      </c>
      <c r="G392" s="3">
        <v>68</v>
      </c>
      <c r="H392" s="11">
        <f t="shared" si="85"/>
        <v>23.808690171912751</v>
      </c>
      <c r="I392" s="2">
        <v>74</v>
      </c>
      <c r="J392" s="3">
        <v>120</v>
      </c>
      <c r="K392" s="3">
        <v>80</v>
      </c>
      <c r="L392" s="10">
        <f t="shared" si="86"/>
        <v>2</v>
      </c>
      <c r="M392" s="10">
        <f t="shared" ca="1" si="87"/>
        <v>2</v>
      </c>
      <c r="N392" s="10">
        <f t="shared" si="88"/>
        <v>4</v>
      </c>
      <c r="O392" s="10">
        <f t="shared" si="89"/>
        <v>3</v>
      </c>
      <c r="P392" s="10">
        <f t="shared" si="90"/>
        <v>0</v>
      </c>
      <c r="Q392" s="10">
        <f t="shared" si="91"/>
        <v>0</v>
      </c>
      <c r="R392" s="10">
        <f t="shared" ca="1" si="92"/>
        <v>11</v>
      </c>
      <c r="S392" s="10" t="str">
        <f t="shared" ca="1" si="93"/>
        <v>Có</v>
      </c>
      <c r="T392" s="10" t="str">
        <f t="shared" ca="1" si="94"/>
        <v>Có</v>
      </c>
      <c r="U392" s="10" t="str">
        <f t="shared" si="95"/>
        <v>Không</v>
      </c>
      <c r="V392" s="2" t="s">
        <v>325</v>
      </c>
      <c r="W392" s="4">
        <v>46142</v>
      </c>
      <c r="X392" s="8" t="str">
        <f t="shared" si="96"/>
        <v>Tháng 4</v>
      </c>
      <c r="Y392" s="8" t="str">
        <f t="shared" si="97"/>
        <v>Ấp Giồng Giữa A</v>
      </c>
    </row>
    <row r="393" spans="1:25" x14ac:dyDescent="0.25">
      <c r="A393" s="1" t="s">
        <v>587</v>
      </c>
      <c r="B393" s="2" t="s">
        <v>23</v>
      </c>
      <c r="C393" s="2" t="s">
        <v>45</v>
      </c>
      <c r="D393" s="10">
        <f t="shared" ca="1" si="84"/>
        <v>50</v>
      </c>
      <c r="E393" s="2" t="s">
        <v>25</v>
      </c>
      <c r="F393" s="3">
        <v>163</v>
      </c>
      <c r="G393" s="3">
        <v>69</v>
      </c>
      <c r="H393" s="11">
        <f t="shared" si="85"/>
        <v>25.970115548195267</v>
      </c>
      <c r="I393" s="2">
        <v>90</v>
      </c>
      <c r="J393" s="3">
        <v>150</v>
      </c>
      <c r="K393" s="3">
        <v>90</v>
      </c>
      <c r="L393" s="10">
        <f t="shared" si="86"/>
        <v>0</v>
      </c>
      <c r="M393" s="10">
        <f t="shared" ca="1" si="87"/>
        <v>2</v>
      </c>
      <c r="N393" s="10">
        <f t="shared" si="88"/>
        <v>4</v>
      </c>
      <c r="O393" s="10">
        <f t="shared" si="89"/>
        <v>3</v>
      </c>
      <c r="P393" s="10">
        <f t="shared" si="90"/>
        <v>2</v>
      </c>
      <c r="Q393" s="10">
        <f t="shared" si="91"/>
        <v>2</v>
      </c>
      <c r="R393" s="10">
        <f t="shared" ca="1" si="92"/>
        <v>13</v>
      </c>
      <c r="S393" s="10" t="str">
        <f t="shared" ca="1" si="93"/>
        <v>Có</v>
      </c>
      <c r="T393" s="10" t="str">
        <f t="shared" ca="1" si="94"/>
        <v>Có</v>
      </c>
      <c r="U393" s="10" t="str">
        <f t="shared" si="95"/>
        <v>Có</v>
      </c>
      <c r="V393" s="2" t="s">
        <v>501</v>
      </c>
      <c r="W393" s="4">
        <v>46142</v>
      </c>
      <c r="X393" s="8" t="str">
        <f t="shared" si="96"/>
        <v>Tháng 4</v>
      </c>
      <c r="Y393" s="8" t="str">
        <f t="shared" si="97"/>
        <v>ấp Giồng Nhãn</v>
      </c>
    </row>
    <row r="394" spans="1:25" x14ac:dyDescent="0.25">
      <c r="A394" s="1" t="s">
        <v>588</v>
      </c>
      <c r="B394" s="2" t="s">
        <v>30</v>
      </c>
      <c r="C394" s="2" t="s">
        <v>341</v>
      </c>
      <c r="D394" s="10">
        <f t="shared" ca="1" si="84"/>
        <v>51</v>
      </c>
      <c r="E394" s="2" t="s">
        <v>26</v>
      </c>
      <c r="F394" s="3">
        <v>170</v>
      </c>
      <c r="G394" s="3">
        <v>80</v>
      </c>
      <c r="H394" s="11">
        <f t="shared" si="85"/>
        <v>27.681660899653981</v>
      </c>
      <c r="I394" s="2">
        <v>69</v>
      </c>
      <c r="J394" s="3">
        <v>120</v>
      </c>
      <c r="K394" s="3">
        <v>70</v>
      </c>
      <c r="L394" s="10">
        <f t="shared" si="86"/>
        <v>2</v>
      </c>
      <c r="M394" s="10">
        <f t="shared" ca="1" si="87"/>
        <v>2</v>
      </c>
      <c r="N394" s="10">
        <f t="shared" si="88"/>
        <v>0</v>
      </c>
      <c r="O394" s="10">
        <f t="shared" si="89"/>
        <v>5</v>
      </c>
      <c r="P394" s="10">
        <f t="shared" si="90"/>
        <v>0</v>
      </c>
      <c r="Q394" s="10">
        <f t="shared" si="91"/>
        <v>0</v>
      </c>
      <c r="R394" s="10">
        <f t="shared" ca="1" si="92"/>
        <v>9</v>
      </c>
      <c r="S394" s="10" t="str">
        <f t="shared" ca="1" si="93"/>
        <v>Có</v>
      </c>
      <c r="T394" s="10" t="str">
        <f t="shared" ca="1" si="94"/>
        <v>Có</v>
      </c>
      <c r="U394" s="10" t="str">
        <f t="shared" si="95"/>
        <v>Không</v>
      </c>
      <c r="V394" s="2" t="s">
        <v>88</v>
      </c>
      <c r="W394" s="4">
        <v>46142</v>
      </c>
      <c r="X394" s="8" t="str">
        <f t="shared" si="96"/>
        <v>Tháng 4</v>
      </c>
      <c r="Y394" s="8" t="str">
        <f t="shared" si="97"/>
        <v>Giồng Giữa</v>
      </c>
    </row>
    <row r="395" spans="1:25" x14ac:dyDescent="0.25">
      <c r="A395" s="1" t="s">
        <v>589</v>
      </c>
      <c r="B395" s="2" t="s">
        <v>23</v>
      </c>
      <c r="C395" s="2" t="s">
        <v>40</v>
      </c>
      <c r="D395" s="10">
        <f t="shared" ca="1" si="84"/>
        <v>70</v>
      </c>
      <c r="E395" s="2" t="s">
        <v>26</v>
      </c>
      <c r="F395" s="3">
        <v>158</v>
      </c>
      <c r="G395" s="3">
        <v>58</v>
      </c>
      <c r="H395" s="11">
        <f t="shared" si="85"/>
        <v>23.233456176894723</v>
      </c>
      <c r="I395" s="2">
        <v>85</v>
      </c>
      <c r="J395" s="3">
        <v>140</v>
      </c>
      <c r="K395" s="3">
        <v>80</v>
      </c>
      <c r="L395" s="10">
        <f t="shared" si="86"/>
        <v>0</v>
      </c>
      <c r="M395" s="10">
        <f t="shared" ca="1" si="87"/>
        <v>2</v>
      </c>
      <c r="N395" s="10">
        <f t="shared" si="88"/>
        <v>0</v>
      </c>
      <c r="O395" s="10">
        <f t="shared" si="89"/>
        <v>3</v>
      </c>
      <c r="P395" s="10">
        <f t="shared" si="90"/>
        <v>2</v>
      </c>
      <c r="Q395" s="10">
        <f t="shared" si="91"/>
        <v>2</v>
      </c>
      <c r="R395" s="10">
        <f t="shared" ca="1" si="92"/>
        <v>9</v>
      </c>
      <c r="S395" s="10" t="str">
        <f t="shared" ca="1" si="93"/>
        <v>Có</v>
      </c>
      <c r="T395" s="10" t="str">
        <f t="shared" ca="1" si="94"/>
        <v>Có</v>
      </c>
      <c r="U395" s="10" t="str">
        <f t="shared" si="95"/>
        <v>Có</v>
      </c>
      <c r="V395" s="2" t="s">
        <v>48</v>
      </c>
      <c r="W395" s="4">
        <v>46112</v>
      </c>
      <c r="X395" s="8" t="str">
        <f t="shared" si="96"/>
        <v>Tháng 3</v>
      </c>
      <c r="Y395" s="8" t="str">
        <f t="shared" si="97"/>
        <v>ấp Giồng Giữa A</v>
      </c>
    </row>
    <row r="396" spans="1:25" x14ac:dyDescent="0.25">
      <c r="A396" s="1" t="s">
        <v>590</v>
      </c>
      <c r="B396" s="2" t="s">
        <v>23</v>
      </c>
      <c r="C396" s="2" t="s">
        <v>76</v>
      </c>
      <c r="D396" s="10">
        <f t="shared" ca="1" si="84"/>
        <v>68</v>
      </c>
      <c r="E396" s="2" t="s">
        <v>26</v>
      </c>
      <c r="F396" s="3">
        <v>158</v>
      </c>
      <c r="G396" s="3">
        <v>64</v>
      </c>
      <c r="H396" s="11">
        <f t="shared" si="85"/>
        <v>25.63691716071142</v>
      </c>
      <c r="I396" s="2">
        <v>90</v>
      </c>
      <c r="J396" s="3">
        <v>120</v>
      </c>
      <c r="K396" s="3">
        <v>70</v>
      </c>
      <c r="L396" s="10">
        <f t="shared" si="86"/>
        <v>0</v>
      </c>
      <c r="M396" s="10">
        <f t="shared" ca="1" si="87"/>
        <v>2</v>
      </c>
      <c r="N396" s="10">
        <f t="shared" si="88"/>
        <v>0</v>
      </c>
      <c r="O396" s="10">
        <f t="shared" si="89"/>
        <v>3</v>
      </c>
      <c r="P396" s="10">
        <f t="shared" si="90"/>
        <v>2</v>
      </c>
      <c r="Q396" s="10">
        <f t="shared" si="91"/>
        <v>0</v>
      </c>
      <c r="R396" s="10">
        <f t="shared" ca="1" si="92"/>
        <v>7</v>
      </c>
      <c r="S396" s="10" t="str">
        <f t="shared" ca="1" si="93"/>
        <v>Có</v>
      </c>
      <c r="T396" s="10" t="str">
        <f t="shared" ca="1" si="94"/>
        <v>Có</v>
      </c>
      <c r="U396" s="10" t="str">
        <f t="shared" si="95"/>
        <v>Không</v>
      </c>
      <c r="V396" s="2" t="s">
        <v>108</v>
      </c>
      <c r="W396" s="4">
        <v>46053</v>
      </c>
      <c r="X396" s="8" t="str">
        <f t="shared" si="96"/>
        <v>Tháng 1</v>
      </c>
      <c r="Y396" s="8" t="str">
        <f t="shared" si="97"/>
        <v>Phường Hiệp Thành</v>
      </c>
    </row>
    <row r="397" spans="1:25" x14ac:dyDescent="0.25">
      <c r="A397" s="1" t="s">
        <v>591</v>
      </c>
      <c r="B397" s="2" t="s">
        <v>23</v>
      </c>
      <c r="C397" s="2" t="s">
        <v>188</v>
      </c>
      <c r="D397" s="10">
        <f t="shared" ca="1" si="84"/>
        <v>63</v>
      </c>
      <c r="E397" s="2" t="s">
        <v>26</v>
      </c>
      <c r="F397" s="3">
        <v>164</v>
      </c>
      <c r="G397" s="3">
        <v>68</v>
      </c>
      <c r="H397" s="11">
        <f t="shared" si="85"/>
        <v>25.282569898869724</v>
      </c>
      <c r="I397" s="2">
        <v>91</v>
      </c>
      <c r="J397" s="3">
        <v>120</v>
      </c>
      <c r="K397" s="3">
        <v>80</v>
      </c>
      <c r="L397" s="10">
        <f t="shared" si="86"/>
        <v>0</v>
      </c>
      <c r="M397" s="10">
        <f t="shared" ca="1" si="87"/>
        <v>2</v>
      </c>
      <c r="N397" s="10">
        <f t="shared" si="88"/>
        <v>0</v>
      </c>
      <c r="O397" s="10">
        <f t="shared" si="89"/>
        <v>3</v>
      </c>
      <c r="P397" s="10">
        <f t="shared" si="90"/>
        <v>2</v>
      </c>
      <c r="Q397" s="10">
        <f t="shared" si="91"/>
        <v>0</v>
      </c>
      <c r="R397" s="10">
        <f t="shared" ca="1" si="92"/>
        <v>7</v>
      </c>
      <c r="S397" s="10" t="str">
        <f t="shared" ca="1" si="93"/>
        <v>Có</v>
      </c>
      <c r="T397" s="10" t="str">
        <f t="shared" ca="1" si="94"/>
        <v>Có</v>
      </c>
      <c r="U397" s="10" t="str">
        <f t="shared" si="95"/>
        <v>Không</v>
      </c>
      <c r="V397" s="2" t="s">
        <v>51</v>
      </c>
      <c r="W397" s="4">
        <v>46142</v>
      </c>
      <c r="X397" s="8" t="str">
        <f t="shared" si="96"/>
        <v>Tháng 4</v>
      </c>
      <c r="Y397" s="8" t="str">
        <f t="shared" si="97"/>
        <v>Phường Hiệp Thành</v>
      </c>
    </row>
    <row r="398" spans="1:25" x14ac:dyDescent="0.25">
      <c r="A398" s="1" t="s">
        <v>592</v>
      </c>
      <c r="B398" s="2" t="s">
        <v>30</v>
      </c>
      <c r="C398" s="2" t="s">
        <v>42</v>
      </c>
      <c r="D398" s="10">
        <f t="shared" ca="1" si="84"/>
        <v>59</v>
      </c>
      <c r="E398" s="2" t="s">
        <v>26</v>
      </c>
      <c r="F398" s="3">
        <v>160</v>
      </c>
      <c r="G398" s="3">
        <v>50</v>
      </c>
      <c r="H398" s="11">
        <f t="shared" si="85"/>
        <v>19.531249999999996</v>
      </c>
      <c r="I398" s="2">
        <v>78</v>
      </c>
      <c r="J398" s="3">
        <v>120</v>
      </c>
      <c r="K398" s="3">
        <v>70</v>
      </c>
      <c r="L398" s="10">
        <f t="shared" si="86"/>
        <v>2</v>
      </c>
      <c r="M398" s="10">
        <f t="shared" ca="1" si="87"/>
        <v>2</v>
      </c>
      <c r="N398" s="10">
        <f t="shared" si="88"/>
        <v>0</v>
      </c>
      <c r="O398" s="10">
        <f t="shared" si="89"/>
        <v>0</v>
      </c>
      <c r="P398" s="10">
        <f t="shared" si="90"/>
        <v>0</v>
      </c>
      <c r="Q398" s="10">
        <f t="shared" si="91"/>
        <v>0</v>
      </c>
      <c r="R398" s="10">
        <f t="shared" ca="1" si="92"/>
        <v>4</v>
      </c>
      <c r="S398" s="10" t="str">
        <f t="shared" ca="1" si="93"/>
        <v>Không cần</v>
      </c>
      <c r="T398" s="10" t="str">
        <f t="shared" ca="1" si="94"/>
        <v>Không</v>
      </c>
      <c r="U398" s="10" t="str">
        <f t="shared" si="95"/>
        <v>Không</v>
      </c>
      <c r="V398" s="2" t="s">
        <v>108</v>
      </c>
      <c r="W398" s="4">
        <v>46053</v>
      </c>
      <c r="X398" s="8" t="str">
        <f t="shared" si="96"/>
        <v>Tháng 1</v>
      </c>
      <c r="Y398" s="8" t="str">
        <f t="shared" si="97"/>
        <v>Phường Hiệp Thành</v>
      </c>
    </row>
    <row r="399" spans="1:25" x14ac:dyDescent="0.25">
      <c r="A399" s="1" t="s">
        <v>593</v>
      </c>
      <c r="B399" s="2" t="s">
        <v>23</v>
      </c>
      <c r="C399" s="2" t="s">
        <v>50</v>
      </c>
      <c r="D399" s="10">
        <f t="shared" ca="1" si="84"/>
        <v>58</v>
      </c>
      <c r="E399" s="2" t="s">
        <v>26</v>
      </c>
      <c r="F399" s="3">
        <v>158</v>
      </c>
      <c r="G399" s="3">
        <v>50</v>
      </c>
      <c r="H399" s="11">
        <f t="shared" si="85"/>
        <v>20.028841531805796</v>
      </c>
      <c r="I399" s="2">
        <v>85</v>
      </c>
      <c r="J399" s="3">
        <v>120</v>
      </c>
      <c r="K399" s="3">
        <v>70</v>
      </c>
      <c r="L399" s="10">
        <f t="shared" si="86"/>
        <v>0</v>
      </c>
      <c r="M399" s="10">
        <f t="shared" ca="1" si="87"/>
        <v>2</v>
      </c>
      <c r="N399" s="10">
        <f t="shared" si="88"/>
        <v>0</v>
      </c>
      <c r="O399" s="10">
        <f t="shared" si="89"/>
        <v>0</v>
      </c>
      <c r="P399" s="10">
        <f t="shared" si="90"/>
        <v>2</v>
      </c>
      <c r="Q399" s="10">
        <f t="shared" si="91"/>
        <v>0</v>
      </c>
      <c r="R399" s="10">
        <f t="shared" ca="1" si="92"/>
        <v>4</v>
      </c>
      <c r="S399" s="10" t="str">
        <f t="shared" ca="1" si="93"/>
        <v>Không cần</v>
      </c>
      <c r="T399" s="10" t="str">
        <f t="shared" ca="1" si="94"/>
        <v>Không</v>
      </c>
      <c r="U399" s="10" t="str">
        <f t="shared" si="95"/>
        <v>Không</v>
      </c>
      <c r="V399" s="2" t="s">
        <v>509</v>
      </c>
      <c r="W399" s="4">
        <v>46081</v>
      </c>
      <c r="X399" s="8" t="str">
        <f t="shared" si="96"/>
        <v>Tháng 2</v>
      </c>
      <c r="Y399" s="8" t="str">
        <f t="shared" si="97"/>
        <v>Khóm Nhà Mát</v>
      </c>
    </row>
    <row r="400" spans="1:25" x14ac:dyDescent="0.25">
      <c r="A400" s="1" t="s">
        <v>594</v>
      </c>
      <c r="B400" s="2" t="s">
        <v>23</v>
      </c>
      <c r="C400" s="2" t="s">
        <v>37</v>
      </c>
      <c r="D400" s="10">
        <f t="shared" ca="1" si="84"/>
        <v>75</v>
      </c>
      <c r="E400" s="2" t="s">
        <v>26</v>
      </c>
      <c r="F400" s="3">
        <v>165</v>
      </c>
      <c r="G400" s="3">
        <v>66</v>
      </c>
      <c r="H400" s="11">
        <f t="shared" si="85"/>
        <v>24.242424242424246</v>
      </c>
      <c r="I400" s="2">
        <v>67</v>
      </c>
      <c r="J400" s="3">
        <v>130</v>
      </c>
      <c r="K400" s="3">
        <v>80</v>
      </c>
      <c r="L400" s="10">
        <f t="shared" si="86"/>
        <v>0</v>
      </c>
      <c r="M400" s="10">
        <f t="shared" ca="1" si="87"/>
        <v>2</v>
      </c>
      <c r="N400" s="10">
        <f t="shared" si="88"/>
        <v>0</v>
      </c>
      <c r="O400" s="10">
        <f t="shared" si="89"/>
        <v>3</v>
      </c>
      <c r="P400" s="10">
        <f t="shared" si="90"/>
        <v>0</v>
      </c>
      <c r="Q400" s="10">
        <f t="shared" si="91"/>
        <v>0</v>
      </c>
      <c r="R400" s="10">
        <f t="shared" ca="1" si="92"/>
        <v>5</v>
      </c>
      <c r="S400" s="10" t="str">
        <f t="shared" ca="1" si="93"/>
        <v>Không cần</v>
      </c>
      <c r="T400" s="10" t="str">
        <f t="shared" ca="1" si="94"/>
        <v>Không</v>
      </c>
      <c r="U400" s="10" t="str">
        <f t="shared" si="95"/>
        <v>Không</v>
      </c>
      <c r="V400" s="2" t="s">
        <v>122</v>
      </c>
      <c r="W400" s="4">
        <v>46142</v>
      </c>
      <c r="X400" s="8" t="str">
        <f t="shared" si="96"/>
        <v>Tháng 4</v>
      </c>
      <c r="Y400" s="8" t="str">
        <f t="shared" si="97"/>
        <v>Giồng Nhãn</v>
      </c>
    </row>
    <row r="401" spans="1:25" x14ac:dyDescent="0.25">
      <c r="A401" s="1" t="s">
        <v>595</v>
      </c>
      <c r="B401" s="2" t="s">
        <v>30</v>
      </c>
      <c r="C401" s="2" t="s">
        <v>105</v>
      </c>
      <c r="D401" s="10">
        <f t="shared" ca="1" si="84"/>
        <v>60</v>
      </c>
      <c r="E401" s="2" t="s">
        <v>26</v>
      </c>
      <c r="F401" s="3">
        <v>160</v>
      </c>
      <c r="G401" s="3">
        <v>68</v>
      </c>
      <c r="H401" s="11">
        <f t="shared" si="85"/>
        <v>26.562499999999996</v>
      </c>
      <c r="I401" s="2">
        <v>84</v>
      </c>
      <c r="J401" s="3">
        <v>120</v>
      </c>
      <c r="K401" s="3">
        <v>70</v>
      </c>
      <c r="L401" s="10">
        <f t="shared" si="86"/>
        <v>2</v>
      </c>
      <c r="M401" s="10">
        <f t="shared" ca="1" si="87"/>
        <v>2</v>
      </c>
      <c r="N401" s="10">
        <f t="shared" si="88"/>
        <v>0</v>
      </c>
      <c r="O401" s="10">
        <f t="shared" si="89"/>
        <v>3</v>
      </c>
      <c r="P401" s="10">
        <f t="shared" si="90"/>
        <v>0</v>
      </c>
      <c r="Q401" s="10">
        <f t="shared" si="91"/>
        <v>0</v>
      </c>
      <c r="R401" s="10">
        <f t="shared" ca="1" si="92"/>
        <v>7</v>
      </c>
      <c r="S401" s="10" t="str">
        <f t="shared" ca="1" si="93"/>
        <v>Có</v>
      </c>
      <c r="T401" s="10" t="str">
        <f t="shared" ca="1" si="94"/>
        <v>Có</v>
      </c>
      <c r="U401" s="10" t="str">
        <f t="shared" si="95"/>
        <v>Không</v>
      </c>
      <c r="V401" s="2" t="s">
        <v>160</v>
      </c>
      <c r="W401" s="4">
        <v>46112</v>
      </c>
      <c r="X401" s="8" t="str">
        <f t="shared" si="96"/>
        <v>Tháng 3</v>
      </c>
      <c r="Y401" s="8" t="str">
        <f t="shared" si="97"/>
        <v>Ấp Giồng Nhãn</v>
      </c>
    </row>
    <row r="402" spans="1:25" x14ac:dyDescent="0.25">
      <c r="A402" s="1" t="s">
        <v>596</v>
      </c>
      <c r="B402" s="2" t="s">
        <v>30</v>
      </c>
      <c r="C402" s="2" t="s">
        <v>314</v>
      </c>
      <c r="D402" s="10">
        <f t="shared" ca="1" si="84"/>
        <v>77</v>
      </c>
      <c r="E402" s="2" t="s">
        <v>26</v>
      </c>
      <c r="F402" s="3">
        <v>172</v>
      </c>
      <c r="G402" s="3">
        <v>60</v>
      </c>
      <c r="H402" s="11">
        <f t="shared" si="85"/>
        <v>20.281233098972418</v>
      </c>
      <c r="I402" s="2">
        <v>82</v>
      </c>
      <c r="J402" s="3">
        <v>120</v>
      </c>
      <c r="K402" s="3">
        <v>80</v>
      </c>
      <c r="L402" s="10">
        <f t="shared" si="86"/>
        <v>2</v>
      </c>
      <c r="M402" s="10">
        <f t="shared" ca="1" si="87"/>
        <v>2</v>
      </c>
      <c r="N402" s="10">
        <f t="shared" si="88"/>
        <v>0</v>
      </c>
      <c r="O402" s="10">
        <f t="shared" si="89"/>
        <v>0</v>
      </c>
      <c r="P402" s="10">
        <f t="shared" si="90"/>
        <v>0</v>
      </c>
      <c r="Q402" s="10">
        <f t="shared" si="91"/>
        <v>0</v>
      </c>
      <c r="R402" s="10">
        <f t="shared" ca="1" si="92"/>
        <v>4</v>
      </c>
      <c r="S402" s="10" t="str">
        <f t="shared" ca="1" si="93"/>
        <v>Không cần</v>
      </c>
      <c r="T402" s="10" t="str">
        <f t="shared" ca="1" si="94"/>
        <v>Không</v>
      </c>
      <c r="U402" s="10" t="str">
        <f t="shared" si="95"/>
        <v>Không</v>
      </c>
      <c r="V402" s="2" t="s">
        <v>68</v>
      </c>
      <c r="W402" s="4">
        <v>46142</v>
      </c>
      <c r="X402" s="8" t="str">
        <f t="shared" si="96"/>
        <v>Tháng 4</v>
      </c>
      <c r="Y402" s="8" t="str">
        <f t="shared" si="97"/>
        <v>Ấp Biển Tây B</v>
      </c>
    </row>
    <row r="403" spans="1:25" x14ac:dyDescent="0.25">
      <c r="A403" s="1" t="s">
        <v>597</v>
      </c>
      <c r="B403" s="2" t="s">
        <v>23</v>
      </c>
      <c r="C403" s="2" t="s">
        <v>40</v>
      </c>
      <c r="D403" s="10">
        <f t="shared" ca="1" si="84"/>
        <v>70</v>
      </c>
      <c r="E403" s="2" t="s">
        <v>26</v>
      </c>
      <c r="F403" s="3">
        <v>160</v>
      </c>
      <c r="G403" s="3">
        <v>63</v>
      </c>
      <c r="H403" s="11">
        <f t="shared" si="85"/>
        <v>24.609374999999996</v>
      </c>
      <c r="I403" s="2">
        <v>88</v>
      </c>
      <c r="J403" s="3">
        <v>120</v>
      </c>
      <c r="K403" s="3">
        <v>80</v>
      </c>
      <c r="L403" s="10">
        <f t="shared" si="86"/>
        <v>0</v>
      </c>
      <c r="M403" s="10">
        <f t="shared" ca="1" si="87"/>
        <v>2</v>
      </c>
      <c r="N403" s="10">
        <f t="shared" si="88"/>
        <v>0</v>
      </c>
      <c r="O403" s="10">
        <f t="shared" si="89"/>
        <v>3</v>
      </c>
      <c r="P403" s="10">
        <f t="shared" si="90"/>
        <v>2</v>
      </c>
      <c r="Q403" s="10">
        <f t="shared" si="91"/>
        <v>0</v>
      </c>
      <c r="R403" s="10">
        <f t="shared" ca="1" si="92"/>
        <v>7</v>
      </c>
      <c r="S403" s="10" t="str">
        <f t="shared" ca="1" si="93"/>
        <v>Có</v>
      </c>
      <c r="T403" s="10" t="str">
        <f t="shared" ca="1" si="94"/>
        <v>Có</v>
      </c>
      <c r="U403" s="10" t="str">
        <f t="shared" si="95"/>
        <v>Không</v>
      </c>
      <c r="V403" s="2" t="s">
        <v>51</v>
      </c>
      <c r="W403" s="4">
        <v>46081</v>
      </c>
      <c r="X403" s="8" t="str">
        <f t="shared" si="96"/>
        <v>Tháng 2</v>
      </c>
      <c r="Y403" s="8" t="str">
        <f t="shared" si="97"/>
        <v>Phường Hiệp Thành</v>
      </c>
    </row>
    <row r="404" spans="1:25" x14ac:dyDescent="0.25">
      <c r="A404" s="1" t="s">
        <v>598</v>
      </c>
      <c r="B404" s="2" t="s">
        <v>23</v>
      </c>
      <c r="C404" s="2" t="s">
        <v>188</v>
      </c>
      <c r="D404" s="10">
        <f t="shared" ca="1" si="84"/>
        <v>63</v>
      </c>
      <c r="E404" s="2" t="s">
        <v>26</v>
      </c>
      <c r="F404" s="3">
        <v>158</v>
      </c>
      <c r="G404" s="3">
        <v>58</v>
      </c>
      <c r="H404" s="11">
        <f t="shared" si="85"/>
        <v>23.233456176894723</v>
      </c>
      <c r="I404" s="2">
        <v>76</v>
      </c>
      <c r="J404" s="3">
        <v>140</v>
      </c>
      <c r="K404" s="3">
        <v>80</v>
      </c>
      <c r="L404" s="10">
        <f t="shared" si="86"/>
        <v>0</v>
      </c>
      <c r="M404" s="10">
        <f t="shared" ca="1" si="87"/>
        <v>2</v>
      </c>
      <c r="N404" s="10">
        <f t="shared" si="88"/>
        <v>0</v>
      </c>
      <c r="O404" s="10">
        <f t="shared" si="89"/>
        <v>3</v>
      </c>
      <c r="P404" s="10">
        <f t="shared" si="90"/>
        <v>0</v>
      </c>
      <c r="Q404" s="10">
        <f t="shared" si="91"/>
        <v>2</v>
      </c>
      <c r="R404" s="10">
        <f t="shared" ca="1" si="92"/>
        <v>7</v>
      </c>
      <c r="S404" s="10" t="str">
        <f t="shared" ca="1" si="93"/>
        <v>Có</v>
      </c>
      <c r="T404" s="10" t="str">
        <f t="shared" ca="1" si="94"/>
        <v>Có</v>
      </c>
      <c r="U404" s="10" t="str">
        <f t="shared" si="95"/>
        <v>Có</v>
      </c>
      <c r="V404" s="2" t="s">
        <v>512</v>
      </c>
      <c r="W404" s="4">
        <v>46112</v>
      </c>
      <c r="X404" s="8" t="str">
        <f t="shared" si="96"/>
        <v>Tháng 3</v>
      </c>
      <c r="Y404" s="8" t="str">
        <f t="shared" si="97"/>
        <v>Ấp Biển Tây B</v>
      </c>
    </row>
    <row r="405" spans="1:25" x14ac:dyDescent="0.25">
      <c r="A405" s="1" t="s">
        <v>599</v>
      </c>
      <c r="B405" s="2" t="s">
        <v>23</v>
      </c>
      <c r="C405" s="2" t="s">
        <v>93</v>
      </c>
      <c r="D405" s="10">
        <f t="shared" ca="1" si="84"/>
        <v>66</v>
      </c>
      <c r="E405" s="2" t="s">
        <v>25</v>
      </c>
      <c r="F405" s="3">
        <v>169</v>
      </c>
      <c r="G405" s="3">
        <v>68</v>
      </c>
      <c r="H405" s="11">
        <f t="shared" si="85"/>
        <v>23.808690171912751</v>
      </c>
      <c r="I405" s="2">
        <v>88</v>
      </c>
      <c r="J405" s="3">
        <v>120</v>
      </c>
      <c r="K405" s="3">
        <v>80</v>
      </c>
      <c r="L405" s="10">
        <f t="shared" si="86"/>
        <v>0</v>
      </c>
      <c r="M405" s="10">
        <f t="shared" ca="1" si="87"/>
        <v>2</v>
      </c>
      <c r="N405" s="10">
        <f t="shared" si="88"/>
        <v>4</v>
      </c>
      <c r="O405" s="10">
        <f t="shared" si="89"/>
        <v>3</v>
      </c>
      <c r="P405" s="10">
        <f t="shared" si="90"/>
        <v>2</v>
      </c>
      <c r="Q405" s="10">
        <f t="shared" si="91"/>
        <v>0</v>
      </c>
      <c r="R405" s="10">
        <f t="shared" ca="1" si="92"/>
        <v>11</v>
      </c>
      <c r="S405" s="10" t="str">
        <f t="shared" ca="1" si="93"/>
        <v>Có</v>
      </c>
      <c r="T405" s="10" t="str">
        <f t="shared" ca="1" si="94"/>
        <v>Có</v>
      </c>
      <c r="U405" s="10" t="str">
        <f t="shared" si="95"/>
        <v>Không</v>
      </c>
      <c r="V405" s="2" t="s">
        <v>51</v>
      </c>
      <c r="W405" s="4">
        <v>46081</v>
      </c>
      <c r="X405" s="8" t="str">
        <f t="shared" si="96"/>
        <v>Tháng 2</v>
      </c>
      <c r="Y405" s="8" t="str">
        <f t="shared" si="97"/>
        <v>Phường Hiệp Thành</v>
      </c>
    </row>
    <row r="406" spans="1:25" x14ac:dyDescent="0.25">
      <c r="A406" s="1" t="s">
        <v>600</v>
      </c>
      <c r="B406" s="2" t="s">
        <v>23</v>
      </c>
      <c r="C406" s="2" t="s">
        <v>138</v>
      </c>
      <c r="D406" s="10">
        <f t="shared" ca="1" si="84"/>
        <v>67</v>
      </c>
      <c r="E406" s="2" t="s">
        <v>26</v>
      </c>
      <c r="F406" s="3">
        <v>155</v>
      </c>
      <c r="G406" s="3">
        <v>57</v>
      </c>
      <c r="H406" s="11">
        <f t="shared" si="85"/>
        <v>23.725286160249738</v>
      </c>
      <c r="I406" s="2">
        <v>95</v>
      </c>
      <c r="J406" s="3">
        <v>120</v>
      </c>
      <c r="K406" s="3">
        <v>80</v>
      </c>
      <c r="L406" s="10">
        <f t="shared" si="86"/>
        <v>0</v>
      </c>
      <c r="M406" s="10">
        <f t="shared" ca="1" si="87"/>
        <v>2</v>
      </c>
      <c r="N406" s="10">
        <f t="shared" si="88"/>
        <v>0</v>
      </c>
      <c r="O406" s="10">
        <f t="shared" si="89"/>
        <v>3</v>
      </c>
      <c r="P406" s="10">
        <f t="shared" si="90"/>
        <v>2</v>
      </c>
      <c r="Q406" s="10">
        <f t="shared" si="91"/>
        <v>0</v>
      </c>
      <c r="R406" s="10">
        <f t="shared" ca="1" si="92"/>
        <v>7</v>
      </c>
      <c r="S406" s="10" t="str">
        <f t="shared" ca="1" si="93"/>
        <v>Có</v>
      </c>
      <c r="T406" s="10" t="str">
        <f t="shared" ca="1" si="94"/>
        <v>Có</v>
      </c>
      <c r="U406" s="10" t="str">
        <f t="shared" si="95"/>
        <v>Không</v>
      </c>
      <c r="V406" s="2" t="s">
        <v>160</v>
      </c>
      <c r="W406" s="4">
        <v>46142</v>
      </c>
      <c r="X406" s="8" t="str">
        <f t="shared" si="96"/>
        <v>Tháng 4</v>
      </c>
      <c r="Y406" s="8" t="str">
        <f t="shared" si="97"/>
        <v>Ấp Giồng Nhãn</v>
      </c>
    </row>
    <row r="407" spans="1:25" x14ac:dyDescent="0.25">
      <c r="A407" s="1" t="s">
        <v>601</v>
      </c>
      <c r="B407" s="2" t="s">
        <v>30</v>
      </c>
      <c r="C407" s="2" t="s">
        <v>80</v>
      </c>
      <c r="D407" s="10">
        <f t="shared" ca="1" si="84"/>
        <v>71</v>
      </c>
      <c r="E407" s="2" t="s">
        <v>26</v>
      </c>
      <c r="F407" s="3">
        <v>169</v>
      </c>
      <c r="G407" s="3">
        <v>69</v>
      </c>
      <c r="H407" s="11">
        <f t="shared" si="85"/>
        <v>24.158817968558527</v>
      </c>
      <c r="I407" s="2">
        <v>88</v>
      </c>
      <c r="J407" s="3">
        <v>120</v>
      </c>
      <c r="K407" s="3">
        <v>80</v>
      </c>
      <c r="L407" s="10">
        <f t="shared" si="86"/>
        <v>2</v>
      </c>
      <c r="M407" s="10">
        <f t="shared" ca="1" si="87"/>
        <v>2</v>
      </c>
      <c r="N407" s="10">
        <f t="shared" si="88"/>
        <v>0</v>
      </c>
      <c r="O407" s="10">
        <f t="shared" si="89"/>
        <v>3</v>
      </c>
      <c r="P407" s="10">
        <f t="shared" si="90"/>
        <v>0</v>
      </c>
      <c r="Q407" s="10">
        <f t="shared" si="91"/>
        <v>0</v>
      </c>
      <c r="R407" s="10">
        <f t="shared" ca="1" si="92"/>
        <v>7</v>
      </c>
      <c r="S407" s="10" t="str">
        <f t="shared" ca="1" si="93"/>
        <v>Có</v>
      </c>
      <c r="T407" s="10" t="str">
        <f t="shared" ca="1" si="94"/>
        <v>Có</v>
      </c>
      <c r="U407" s="10" t="str">
        <f t="shared" si="95"/>
        <v>Không</v>
      </c>
      <c r="V407" s="2" t="s">
        <v>51</v>
      </c>
      <c r="W407" s="4">
        <v>46081</v>
      </c>
      <c r="X407" s="8" t="str">
        <f t="shared" si="96"/>
        <v>Tháng 2</v>
      </c>
      <c r="Y407" s="8" t="str">
        <f t="shared" si="97"/>
        <v>Phường Hiệp Thành</v>
      </c>
    </row>
    <row r="408" spans="1:25" x14ac:dyDescent="0.25">
      <c r="A408" s="1" t="s">
        <v>602</v>
      </c>
      <c r="B408" s="2" t="s">
        <v>23</v>
      </c>
      <c r="C408" s="2" t="s">
        <v>64</v>
      </c>
      <c r="D408" s="10">
        <f t="shared" ca="1" si="84"/>
        <v>42</v>
      </c>
      <c r="E408" s="2" t="s">
        <v>25</v>
      </c>
      <c r="F408" s="3">
        <v>158</v>
      </c>
      <c r="G408" s="3">
        <v>58</v>
      </c>
      <c r="H408" s="11">
        <f t="shared" si="85"/>
        <v>23.233456176894723</v>
      </c>
      <c r="I408" s="2">
        <v>66</v>
      </c>
      <c r="J408" s="3">
        <v>120</v>
      </c>
      <c r="K408" s="3">
        <v>80</v>
      </c>
      <c r="L408" s="10">
        <f t="shared" si="86"/>
        <v>0</v>
      </c>
      <c r="M408" s="10">
        <f t="shared" ca="1" si="87"/>
        <v>0</v>
      </c>
      <c r="N408" s="10">
        <f t="shared" si="88"/>
        <v>4</v>
      </c>
      <c r="O408" s="10">
        <f t="shared" si="89"/>
        <v>3</v>
      </c>
      <c r="P408" s="10">
        <f t="shared" si="90"/>
        <v>0</v>
      </c>
      <c r="Q408" s="10">
        <f t="shared" si="91"/>
        <v>0</v>
      </c>
      <c r="R408" s="10">
        <f t="shared" ca="1" si="92"/>
        <v>7</v>
      </c>
      <c r="S408" s="10" t="str">
        <f t="shared" ca="1" si="93"/>
        <v>Có</v>
      </c>
      <c r="T408" s="10" t="str">
        <f t="shared" ca="1" si="94"/>
        <v>Có</v>
      </c>
      <c r="U408" s="10" t="str">
        <f t="shared" si="95"/>
        <v>Không</v>
      </c>
      <c r="V408" s="2" t="s">
        <v>603</v>
      </c>
      <c r="W408" s="4">
        <v>46081</v>
      </c>
      <c r="X408" s="8" t="str">
        <f t="shared" si="96"/>
        <v>Tháng 2</v>
      </c>
      <c r="Y408" s="8" t="str">
        <f t="shared" si="97"/>
        <v>ấp Cù Lao</v>
      </c>
    </row>
    <row r="409" spans="1:25" x14ac:dyDescent="0.25">
      <c r="A409" s="1" t="s">
        <v>604</v>
      </c>
      <c r="B409" s="2" t="s">
        <v>30</v>
      </c>
      <c r="C409" s="2" t="s">
        <v>318</v>
      </c>
      <c r="D409" s="10">
        <f t="shared" ca="1" si="84"/>
        <v>82</v>
      </c>
      <c r="E409" s="2" t="s">
        <v>26</v>
      </c>
      <c r="F409" s="3">
        <v>169</v>
      </c>
      <c r="G409" s="3">
        <v>68</v>
      </c>
      <c r="H409" s="11">
        <f t="shared" si="85"/>
        <v>23.808690171912751</v>
      </c>
      <c r="I409" s="2">
        <v>96</v>
      </c>
      <c r="J409" s="3">
        <v>120</v>
      </c>
      <c r="K409" s="3">
        <v>80</v>
      </c>
      <c r="L409" s="10">
        <f t="shared" si="86"/>
        <v>2</v>
      </c>
      <c r="M409" s="10">
        <f t="shared" ca="1" si="87"/>
        <v>2</v>
      </c>
      <c r="N409" s="10">
        <f t="shared" si="88"/>
        <v>0</v>
      </c>
      <c r="O409" s="10">
        <f t="shared" si="89"/>
        <v>3</v>
      </c>
      <c r="P409" s="10">
        <f t="shared" si="90"/>
        <v>2</v>
      </c>
      <c r="Q409" s="10">
        <f t="shared" si="91"/>
        <v>0</v>
      </c>
      <c r="R409" s="10">
        <f t="shared" ca="1" si="92"/>
        <v>9</v>
      </c>
      <c r="S409" s="10" t="str">
        <f t="shared" ca="1" si="93"/>
        <v>Có</v>
      </c>
      <c r="T409" s="10" t="str">
        <f t="shared" ca="1" si="94"/>
        <v>Có</v>
      </c>
      <c r="U409" s="10" t="str">
        <f t="shared" si="95"/>
        <v>Không</v>
      </c>
      <c r="V409" s="2" t="s">
        <v>51</v>
      </c>
      <c r="W409" s="4">
        <v>46081</v>
      </c>
      <c r="X409" s="8" t="str">
        <f t="shared" si="96"/>
        <v>Tháng 2</v>
      </c>
      <c r="Y409" s="8" t="str">
        <f t="shared" si="97"/>
        <v>Phường Hiệp Thành</v>
      </c>
    </row>
    <row r="410" spans="1:25" x14ac:dyDescent="0.25">
      <c r="A410" s="1" t="s">
        <v>605</v>
      </c>
      <c r="B410" s="2" t="s">
        <v>30</v>
      </c>
      <c r="C410" s="2" t="s">
        <v>84</v>
      </c>
      <c r="D410" s="10">
        <f t="shared" ca="1" si="84"/>
        <v>69</v>
      </c>
      <c r="E410" s="2" t="s">
        <v>26</v>
      </c>
      <c r="F410" s="3">
        <v>169</v>
      </c>
      <c r="G410" s="3">
        <v>68</v>
      </c>
      <c r="H410" s="11">
        <f t="shared" si="85"/>
        <v>23.808690171912751</v>
      </c>
      <c r="I410" s="2">
        <v>72</v>
      </c>
      <c r="J410" s="3">
        <v>160</v>
      </c>
      <c r="K410" s="3">
        <v>80</v>
      </c>
      <c r="L410" s="10">
        <f t="shared" si="86"/>
        <v>2</v>
      </c>
      <c r="M410" s="10">
        <f t="shared" ca="1" si="87"/>
        <v>2</v>
      </c>
      <c r="N410" s="10">
        <f t="shared" si="88"/>
        <v>0</v>
      </c>
      <c r="O410" s="10">
        <f t="shared" si="89"/>
        <v>3</v>
      </c>
      <c r="P410" s="10">
        <f t="shared" si="90"/>
        <v>0</v>
      </c>
      <c r="Q410" s="10">
        <f t="shared" si="91"/>
        <v>2</v>
      </c>
      <c r="R410" s="10">
        <f t="shared" ca="1" si="92"/>
        <v>9</v>
      </c>
      <c r="S410" s="10" t="str">
        <f t="shared" ca="1" si="93"/>
        <v>Có</v>
      </c>
      <c r="T410" s="10" t="str">
        <f t="shared" ca="1" si="94"/>
        <v>Có</v>
      </c>
      <c r="U410" s="10" t="str">
        <f t="shared" si="95"/>
        <v>Có</v>
      </c>
      <c r="V410" s="2" t="s">
        <v>218</v>
      </c>
      <c r="W410" s="4">
        <v>46112</v>
      </c>
      <c r="X410" s="8" t="str">
        <f t="shared" si="96"/>
        <v>Tháng 3</v>
      </c>
      <c r="Y410" s="8" t="str">
        <f t="shared" si="97"/>
        <v>Biển Đông B</v>
      </c>
    </row>
    <row r="411" spans="1:25" x14ac:dyDescent="0.25">
      <c r="A411" s="1" t="s">
        <v>606</v>
      </c>
      <c r="B411" s="2" t="s">
        <v>23</v>
      </c>
      <c r="C411" s="2" t="s">
        <v>50</v>
      </c>
      <c r="D411" s="10">
        <f t="shared" ca="1" si="84"/>
        <v>58</v>
      </c>
      <c r="E411" s="2" t="s">
        <v>26</v>
      </c>
      <c r="F411" s="3">
        <v>158</v>
      </c>
      <c r="G411" s="3">
        <v>58</v>
      </c>
      <c r="H411" s="11">
        <f t="shared" si="85"/>
        <v>23.233456176894723</v>
      </c>
      <c r="I411" s="2">
        <v>99</v>
      </c>
      <c r="J411" s="3">
        <v>140</v>
      </c>
      <c r="K411" s="3">
        <v>80</v>
      </c>
      <c r="L411" s="10">
        <f t="shared" si="86"/>
        <v>0</v>
      </c>
      <c r="M411" s="10">
        <f t="shared" ca="1" si="87"/>
        <v>2</v>
      </c>
      <c r="N411" s="10">
        <f t="shared" si="88"/>
        <v>0</v>
      </c>
      <c r="O411" s="10">
        <f t="shared" si="89"/>
        <v>3</v>
      </c>
      <c r="P411" s="10">
        <f t="shared" si="90"/>
        <v>2</v>
      </c>
      <c r="Q411" s="10">
        <f t="shared" si="91"/>
        <v>2</v>
      </c>
      <c r="R411" s="10">
        <f t="shared" ca="1" si="92"/>
        <v>9</v>
      </c>
      <c r="S411" s="10" t="str">
        <f t="shared" ca="1" si="93"/>
        <v>Có</v>
      </c>
      <c r="T411" s="10" t="str">
        <f t="shared" ca="1" si="94"/>
        <v>Có</v>
      </c>
      <c r="U411" s="10" t="str">
        <f t="shared" si="95"/>
        <v>Có</v>
      </c>
      <c r="V411" s="2" t="s">
        <v>60</v>
      </c>
      <c r="W411" s="4">
        <v>46142</v>
      </c>
      <c r="X411" s="8" t="str">
        <f t="shared" si="96"/>
        <v>Tháng 4</v>
      </c>
      <c r="Y411" s="8" t="str">
        <f t="shared" si="97"/>
        <v>ấp Biển Đông A</v>
      </c>
    </row>
    <row r="412" spans="1:25" x14ac:dyDescent="0.25">
      <c r="A412" s="1" t="s">
        <v>607</v>
      </c>
      <c r="B412" s="2" t="s">
        <v>30</v>
      </c>
      <c r="C412" s="2" t="s">
        <v>188</v>
      </c>
      <c r="D412" s="10">
        <f t="shared" ca="1" si="84"/>
        <v>63</v>
      </c>
      <c r="E412" s="2" t="s">
        <v>26</v>
      </c>
      <c r="F412" s="3">
        <v>169</v>
      </c>
      <c r="G412" s="3">
        <v>68</v>
      </c>
      <c r="H412" s="11">
        <f t="shared" si="85"/>
        <v>23.808690171912751</v>
      </c>
      <c r="I412" s="2">
        <v>88</v>
      </c>
      <c r="J412" s="3">
        <v>160</v>
      </c>
      <c r="K412" s="3">
        <v>80</v>
      </c>
      <c r="L412" s="10">
        <f t="shared" si="86"/>
        <v>2</v>
      </c>
      <c r="M412" s="10">
        <f t="shared" ca="1" si="87"/>
        <v>2</v>
      </c>
      <c r="N412" s="10">
        <f t="shared" si="88"/>
        <v>0</v>
      </c>
      <c r="O412" s="10">
        <f t="shared" si="89"/>
        <v>3</v>
      </c>
      <c r="P412" s="10">
        <f t="shared" si="90"/>
        <v>0</v>
      </c>
      <c r="Q412" s="10">
        <f t="shared" si="91"/>
        <v>2</v>
      </c>
      <c r="R412" s="10">
        <f t="shared" ca="1" si="92"/>
        <v>9</v>
      </c>
      <c r="S412" s="10" t="str">
        <f t="shared" ca="1" si="93"/>
        <v>Có</v>
      </c>
      <c r="T412" s="10" t="str">
        <f t="shared" ca="1" si="94"/>
        <v>Có</v>
      </c>
      <c r="U412" s="10" t="str">
        <f t="shared" si="95"/>
        <v>Có</v>
      </c>
      <c r="V412" s="2" t="s">
        <v>70</v>
      </c>
      <c r="W412" s="4">
        <v>46142</v>
      </c>
      <c r="X412" s="8" t="str">
        <f t="shared" si="96"/>
        <v>Tháng 4</v>
      </c>
      <c r="Y412" s="8" t="str">
        <f t="shared" si="97"/>
        <v>Ấp Biển Tây A</v>
      </c>
    </row>
    <row r="413" spans="1:25" x14ac:dyDescent="0.25">
      <c r="A413" s="1" t="s">
        <v>608</v>
      </c>
      <c r="B413" s="2" t="s">
        <v>23</v>
      </c>
      <c r="C413" s="2" t="s">
        <v>59</v>
      </c>
      <c r="D413" s="10">
        <f t="shared" ca="1" si="84"/>
        <v>74</v>
      </c>
      <c r="E413" s="2" t="s">
        <v>26</v>
      </c>
      <c r="F413" s="3">
        <v>158</v>
      </c>
      <c r="G413" s="3">
        <v>58</v>
      </c>
      <c r="H413" s="11">
        <f t="shared" si="85"/>
        <v>23.233456176894723</v>
      </c>
      <c r="I413" s="2">
        <v>84</v>
      </c>
      <c r="J413" s="3">
        <v>130</v>
      </c>
      <c r="K413" s="3">
        <v>80</v>
      </c>
      <c r="L413" s="10">
        <f t="shared" si="86"/>
        <v>0</v>
      </c>
      <c r="M413" s="10">
        <f t="shared" ca="1" si="87"/>
        <v>2</v>
      </c>
      <c r="N413" s="10">
        <f t="shared" si="88"/>
        <v>0</v>
      </c>
      <c r="O413" s="10">
        <f t="shared" si="89"/>
        <v>3</v>
      </c>
      <c r="P413" s="10">
        <f t="shared" si="90"/>
        <v>2</v>
      </c>
      <c r="Q413" s="10">
        <f t="shared" si="91"/>
        <v>0</v>
      </c>
      <c r="R413" s="10">
        <f t="shared" ca="1" si="92"/>
        <v>7</v>
      </c>
      <c r="S413" s="10" t="str">
        <f t="shared" ca="1" si="93"/>
        <v>Có</v>
      </c>
      <c r="T413" s="10" t="str">
        <f t="shared" ca="1" si="94"/>
        <v>Có</v>
      </c>
      <c r="U413" s="10" t="str">
        <f t="shared" si="95"/>
        <v>Không</v>
      </c>
      <c r="V413" s="2" t="s">
        <v>68</v>
      </c>
      <c r="W413" s="4">
        <v>46112</v>
      </c>
      <c r="X413" s="8" t="str">
        <f t="shared" si="96"/>
        <v>Tháng 3</v>
      </c>
      <c r="Y413" s="8" t="str">
        <f t="shared" si="97"/>
        <v>Ấp Biển Tây B</v>
      </c>
    </row>
    <row r="414" spans="1:25" x14ac:dyDescent="0.25">
      <c r="A414" s="1" t="s">
        <v>609</v>
      </c>
      <c r="B414" s="2" t="s">
        <v>30</v>
      </c>
      <c r="C414" s="2" t="s">
        <v>80</v>
      </c>
      <c r="D414" s="10">
        <f t="shared" ca="1" si="84"/>
        <v>71</v>
      </c>
      <c r="E414" s="2" t="s">
        <v>26</v>
      </c>
      <c r="F414" s="3">
        <v>175</v>
      </c>
      <c r="G414" s="3">
        <v>51</v>
      </c>
      <c r="H414" s="11">
        <f t="shared" si="85"/>
        <v>16.653061224489797</v>
      </c>
      <c r="I414" s="2">
        <v>66</v>
      </c>
      <c r="J414" s="3">
        <v>120</v>
      </c>
      <c r="K414" s="3">
        <v>70</v>
      </c>
      <c r="L414" s="10">
        <f t="shared" si="86"/>
        <v>2</v>
      </c>
      <c r="M414" s="10">
        <f t="shared" ca="1" si="87"/>
        <v>2</v>
      </c>
      <c r="N414" s="10">
        <f t="shared" si="88"/>
        <v>0</v>
      </c>
      <c r="O414" s="10">
        <f t="shared" si="89"/>
        <v>0</v>
      </c>
      <c r="P414" s="10">
        <f t="shared" si="90"/>
        <v>0</v>
      </c>
      <c r="Q414" s="10">
        <f t="shared" si="91"/>
        <v>0</v>
      </c>
      <c r="R414" s="10">
        <f t="shared" ca="1" si="92"/>
        <v>4</v>
      </c>
      <c r="S414" s="10" t="str">
        <f t="shared" ca="1" si="93"/>
        <v>Không cần</v>
      </c>
      <c r="T414" s="10" t="str">
        <f t="shared" ca="1" si="94"/>
        <v>Không</v>
      </c>
      <c r="U414" s="10" t="str">
        <f t="shared" si="95"/>
        <v>Không</v>
      </c>
      <c r="V414" s="2" t="s">
        <v>57</v>
      </c>
      <c r="W414" s="4">
        <v>46081</v>
      </c>
      <c r="X414" s="8" t="str">
        <f t="shared" si="96"/>
        <v>Tháng 2</v>
      </c>
      <c r="Y414" s="8" t="str">
        <f t="shared" si="97"/>
        <v>xã hiệp thành</v>
      </c>
    </row>
    <row r="415" spans="1:25" x14ac:dyDescent="0.25">
      <c r="A415" s="1" t="s">
        <v>610</v>
      </c>
      <c r="B415" s="2" t="s">
        <v>23</v>
      </c>
      <c r="C415" s="2" t="s">
        <v>80</v>
      </c>
      <c r="D415" s="10">
        <f t="shared" ca="1" si="84"/>
        <v>71</v>
      </c>
      <c r="E415" s="2" t="s">
        <v>26</v>
      </c>
      <c r="F415" s="3">
        <v>158</v>
      </c>
      <c r="G415" s="3">
        <v>58</v>
      </c>
      <c r="H415" s="11">
        <f t="shared" si="85"/>
        <v>23.233456176894723</v>
      </c>
      <c r="I415" s="2">
        <v>70</v>
      </c>
      <c r="J415" s="3">
        <v>120</v>
      </c>
      <c r="K415" s="3">
        <v>80</v>
      </c>
      <c r="L415" s="10">
        <f t="shared" si="86"/>
        <v>0</v>
      </c>
      <c r="M415" s="10">
        <f t="shared" ca="1" si="87"/>
        <v>2</v>
      </c>
      <c r="N415" s="10">
        <f t="shared" si="88"/>
        <v>0</v>
      </c>
      <c r="O415" s="10">
        <f t="shared" si="89"/>
        <v>3</v>
      </c>
      <c r="P415" s="10">
        <f t="shared" si="90"/>
        <v>0</v>
      </c>
      <c r="Q415" s="10">
        <f t="shared" si="91"/>
        <v>0</v>
      </c>
      <c r="R415" s="10">
        <f t="shared" ca="1" si="92"/>
        <v>5</v>
      </c>
      <c r="S415" s="10" t="str">
        <f t="shared" ca="1" si="93"/>
        <v>Không cần</v>
      </c>
      <c r="T415" s="10" t="str">
        <f t="shared" ca="1" si="94"/>
        <v>Không</v>
      </c>
      <c r="U415" s="10" t="str">
        <f t="shared" si="95"/>
        <v>Không</v>
      </c>
      <c r="V415" s="2" t="s">
        <v>383</v>
      </c>
      <c r="W415" s="4">
        <v>46081</v>
      </c>
      <c r="X415" s="8" t="str">
        <f t="shared" si="96"/>
        <v>Tháng 2</v>
      </c>
      <c r="Y415" s="8" t="str">
        <f t="shared" si="97"/>
        <v>ấp Biển Đông A</v>
      </c>
    </row>
    <row r="416" spans="1:25" x14ac:dyDescent="0.25">
      <c r="A416" s="1" t="s">
        <v>611</v>
      </c>
      <c r="B416" s="2" t="s">
        <v>23</v>
      </c>
      <c r="C416" s="2" t="s">
        <v>273</v>
      </c>
      <c r="D416" s="10">
        <f t="shared" ca="1" si="84"/>
        <v>47</v>
      </c>
      <c r="E416" s="2" t="s">
        <v>25</v>
      </c>
      <c r="F416" s="3">
        <v>158</v>
      </c>
      <c r="G416" s="3">
        <v>58</v>
      </c>
      <c r="H416" s="11">
        <f t="shared" si="85"/>
        <v>23.233456176894723</v>
      </c>
      <c r="I416" s="2">
        <v>93</v>
      </c>
      <c r="J416" s="3">
        <v>160</v>
      </c>
      <c r="K416" s="3">
        <v>80</v>
      </c>
      <c r="L416" s="10">
        <f t="shared" si="86"/>
        <v>0</v>
      </c>
      <c r="M416" s="10">
        <f t="shared" ca="1" si="87"/>
        <v>1</v>
      </c>
      <c r="N416" s="10">
        <f t="shared" si="88"/>
        <v>4</v>
      </c>
      <c r="O416" s="10">
        <f t="shared" si="89"/>
        <v>3</v>
      </c>
      <c r="P416" s="10">
        <f t="shared" si="90"/>
        <v>2</v>
      </c>
      <c r="Q416" s="10">
        <f t="shared" si="91"/>
        <v>2</v>
      </c>
      <c r="R416" s="10">
        <f t="shared" ca="1" si="92"/>
        <v>12</v>
      </c>
      <c r="S416" s="10" t="str">
        <f t="shared" ca="1" si="93"/>
        <v>Có</v>
      </c>
      <c r="T416" s="10" t="str">
        <f t="shared" ca="1" si="94"/>
        <v>Có</v>
      </c>
      <c r="U416" s="10" t="str">
        <f t="shared" si="95"/>
        <v>Có</v>
      </c>
      <c r="V416" s="2" t="s">
        <v>335</v>
      </c>
      <c r="W416" s="4">
        <v>46081</v>
      </c>
      <c r="X416" s="8" t="str">
        <f t="shared" si="96"/>
        <v>Tháng 2</v>
      </c>
      <c r="Y416" s="8" t="str">
        <f t="shared" si="97"/>
        <v>ấp Giồng Giữa B</v>
      </c>
    </row>
    <row r="417" spans="1:25" x14ac:dyDescent="0.25">
      <c r="A417" s="1" t="s">
        <v>612</v>
      </c>
      <c r="B417" s="2" t="s">
        <v>30</v>
      </c>
      <c r="C417" s="2" t="s">
        <v>133</v>
      </c>
      <c r="D417" s="10">
        <f t="shared" ca="1" si="84"/>
        <v>56</v>
      </c>
      <c r="E417" s="2" t="s">
        <v>26</v>
      </c>
      <c r="F417" s="3">
        <v>169</v>
      </c>
      <c r="G417" s="3">
        <v>69</v>
      </c>
      <c r="H417" s="11">
        <f t="shared" si="85"/>
        <v>24.158817968558527</v>
      </c>
      <c r="I417" s="2">
        <v>86</v>
      </c>
      <c r="J417" s="3">
        <v>160</v>
      </c>
      <c r="K417" s="3">
        <v>80</v>
      </c>
      <c r="L417" s="10">
        <f t="shared" si="86"/>
        <v>2</v>
      </c>
      <c r="M417" s="10">
        <f t="shared" ca="1" si="87"/>
        <v>2</v>
      </c>
      <c r="N417" s="10">
        <f t="shared" si="88"/>
        <v>0</v>
      </c>
      <c r="O417" s="10">
        <f t="shared" si="89"/>
        <v>3</v>
      </c>
      <c r="P417" s="10">
        <f t="shared" si="90"/>
        <v>0</v>
      </c>
      <c r="Q417" s="10">
        <f t="shared" si="91"/>
        <v>2</v>
      </c>
      <c r="R417" s="10">
        <f t="shared" ca="1" si="92"/>
        <v>9</v>
      </c>
      <c r="S417" s="10" t="str">
        <f t="shared" ca="1" si="93"/>
        <v>Có</v>
      </c>
      <c r="T417" s="10" t="str">
        <f t="shared" ca="1" si="94"/>
        <v>Có</v>
      </c>
      <c r="U417" s="10" t="str">
        <f t="shared" si="95"/>
        <v>Có</v>
      </c>
      <c r="V417" s="2" t="s">
        <v>298</v>
      </c>
      <c r="W417" s="4">
        <v>46081</v>
      </c>
      <c r="X417" s="8" t="str">
        <f t="shared" si="96"/>
        <v>Tháng 2</v>
      </c>
      <c r="Y417" s="8" t="str">
        <f t="shared" si="97"/>
        <v>ấp Biển Tây A</v>
      </c>
    </row>
    <row r="418" spans="1:25" x14ac:dyDescent="0.25">
      <c r="A418" s="1" t="s">
        <v>613</v>
      </c>
      <c r="B418" s="2" t="s">
        <v>23</v>
      </c>
      <c r="C418" s="2" t="s">
        <v>155</v>
      </c>
      <c r="D418" s="10">
        <f t="shared" ca="1" si="84"/>
        <v>53</v>
      </c>
      <c r="E418" s="2" t="s">
        <v>25</v>
      </c>
      <c r="F418" s="3">
        <v>158</v>
      </c>
      <c r="G418" s="3">
        <v>58</v>
      </c>
      <c r="H418" s="11">
        <f t="shared" si="85"/>
        <v>23.233456176894723</v>
      </c>
      <c r="I418" s="2">
        <v>74</v>
      </c>
      <c r="J418" s="3">
        <v>140</v>
      </c>
      <c r="K418" s="3">
        <v>80</v>
      </c>
      <c r="L418" s="10">
        <f t="shared" si="86"/>
        <v>0</v>
      </c>
      <c r="M418" s="10">
        <f t="shared" ca="1" si="87"/>
        <v>2</v>
      </c>
      <c r="N418" s="10">
        <f t="shared" si="88"/>
        <v>4</v>
      </c>
      <c r="O418" s="10">
        <f t="shared" si="89"/>
        <v>3</v>
      </c>
      <c r="P418" s="10">
        <f t="shared" si="90"/>
        <v>0</v>
      </c>
      <c r="Q418" s="10">
        <f t="shared" si="91"/>
        <v>2</v>
      </c>
      <c r="R418" s="10">
        <f t="shared" ca="1" si="92"/>
        <v>11</v>
      </c>
      <c r="S418" s="10" t="str">
        <f t="shared" ca="1" si="93"/>
        <v>Có</v>
      </c>
      <c r="T418" s="10" t="str">
        <f t="shared" ca="1" si="94"/>
        <v>Có</v>
      </c>
      <c r="U418" s="10" t="str">
        <f t="shared" si="95"/>
        <v>Có</v>
      </c>
      <c r="V418" s="2" t="s">
        <v>306</v>
      </c>
      <c r="W418" s="4">
        <v>46142</v>
      </c>
      <c r="X418" s="8" t="str">
        <f t="shared" si="96"/>
        <v>Tháng 4</v>
      </c>
      <c r="Y418" s="8" t="str">
        <f t="shared" si="97"/>
        <v>Giồng Giữa A</v>
      </c>
    </row>
    <row r="419" spans="1:25" x14ac:dyDescent="0.25">
      <c r="A419" s="1" t="s">
        <v>614</v>
      </c>
      <c r="B419" s="2" t="s">
        <v>30</v>
      </c>
      <c r="C419" s="2" t="s">
        <v>50</v>
      </c>
      <c r="D419" s="10">
        <f t="shared" ca="1" si="84"/>
        <v>58</v>
      </c>
      <c r="E419" s="2" t="s">
        <v>26</v>
      </c>
      <c r="F419" s="3">
        <v>167</v>
      </c>
      <c r="G419" s="3">
        <v>51</v>
      </c>
      <c r="H419" s="11">
        <f t="shared" si="85"/>
        <v>18.286779733945284</v>
      </c>
      <c r="I419" s="2">
        <v>84</v>
      </c>
      <c r="J419" s="3">
        <v>120</v>
      </c>
      <c r="K419" s="3">
        <v>80</v>
      </c>
      <c r="L419" s="10">
        <f t="shared" si="86"/>
        <v>2</v>
      </c>
      <c r="M419" s="10">
        <f t="shared" ca="1" si="87"/>
        <v>2</v>
      </c>
      <c r="N419" s="10">
        <f t="shared" si="88"/>
        <v>0</v>
      </c>
      <c r="O419" s="10">
        <f t="shared" si="89"/>
        <v>0</v>
      </c>
      <c r="P419" s="10">
        <f t="shared" si="90"/>
        <v>0</v>
      </c>
      <c r="Q419" s="10">
        <f t="shared" si="91"/>
        <v>0</v>
      </c>
      <c r="R419" s="10">
        <f t="shared" ca="1" si="92"/>
        <v>4</v>
      </c>
      <c r="S419" s="10" t="str">
        <f t="shared" ca="1" si="93"/>
        <v>Không cần</v>
      </c>
      <c r="T419" s="10" t="str">
        <f t="shared" ca="1" si="94"/>
        <v>Không</v>
      </c>
      <c r="U419" s="10" t="str">
        <f t="shared" si="95"/>
        <v>Không</v>
      </c>
      <c r="V419" s="2" t="s">
        <v>32</v>
      </c>
      <c r="W419" s="4">
        <v>46112</v>
      </c>
      <c r="X419" s="8" t="str">
        <f t="shared" si="96"/>
        <v>Tháng 3</v>
      </c>
      <c r="Y419" s="8" t="str">
        <f t="shared" si="97"/>
        <v>Ấp Giồng Giữa B</v>
      </c>
    </row>
    <row r="420" spans="1:25" x14ac:dyDescent="0.25">
      <c r="A420" s="1" t="s">
        <v>615</v>
      </c>
      <c r="B420" s="2" t="s">
        <v>23</v>
      </c>
      <c r="C420" s="2" t="s">
        <v>188</v>
      </c>
      <c r="D420" s="10">
        <f t="shared" ca="1" si="84"/>
        <v>63</v>
      </c>
      <c r="E420" s="2" t="s">
        <v>26</v>
      </c>
      <c r="F420" s="3">
        <v>158</v>
      </c>
      <c r="G420" s="3">
        <v>58</v>
      </c>
      <c r="H420" s="11">
        <f t="shared" si="85"/>
        <v>23.233456176894723</v>
      </c>
      <c r="I420" s="2">
        <v>80</v>
      </c>
      <c r="J420" s="3">
        <v>120</v>
      </c>
      <c r="K420" s="3">
        <v>80</v>
      </c>
      <c r="L420" s="10">
        <f t="shared" si="86"/>
        <v>0</v>
      </c>
      <c r="M420" s="10">
        <f t="shared" ca="1" si="87"/>
        <v>2</v>
      </c>
      <c r="N420" s="10">
        <f t="shared" si="88"/>
        <v>0</v>
      </c>
      <c r="O420" s="10">
        <f t="shared" si="89"/>
        <v>3</v>
      </c>
      <c r="P420" s="10">
        <f t="shared" si="90"/>
        <v>2</v>
      </c>
      <c r="Q420" s="10">
        <f t="shared" si="91"/>
        <v>0</v>
      </c>
      <c r="R420" s="10">
        <f t="shared" ca="1" si="92"/>
        <v>7</v>
      </c>
      <c r="S420" s="10" t="str">
        <f t="shared" ca="1" si="93"/>
        <v>Có</v>
      </c>
      <c r="T420" s="10" t="str">
        <f t="shared" ca="1" si="94"/>
        <v>Có</v>
      </c>
      <c r="U420" s="10" t="str">
        <f t="shared" si="95"/>
        <v>Không</v>
      </c>
      <c r="V420" s="2" t="s">
        <v>51</v>
      </c>
      <c r="W420" s="4">
        <v>46112</v>
      </c>
      <c r="X420" s="8" t="str">
        <f t="shared" si="96"/>
        <v>Tháng 3</v>
      </c>
      <c r="Y420" s="8" t="str">
        <f t="shared" si="97"/>
        <v>Phường Hiệp Thành</v>
      </c>
    </row>
    <row r="421" spans="1:25" x14ac:dyDescent="0.25">
      <c r="A421" s="1" t="s">
        <v>616</v>
      </c>
      <c r="B421" s="2" t="s">
        <v>30</v>
      </c>
      <c r="C421" s="2" t="s">
        <v>84</v>
      </c>
      <c r="D421" s="10">
        <f t="shared" ca="1" si="84"/>
        <v>69</v>
      </c>
      <c r="E421" s="2" t="s">
        <v>26</v>
      </c>
      <c r="F421" s="3">
        <v>169</v>
      </c>
      <c r="G421" s="3">
        <v>68</v>
      </c>
      <c r="H421" s="11">
        <f t="shared" si="85"/>
        <v>23.808690171912751</v>
      </c>
      <c r="I421" s="2">
        <v>84</v>
      </c>
      <c r="J421" s="3">
        <v>120</v>
      </c>
      <c r="K421" s="3">
        <v>80</v>
      </c>
      <c r="L421" s="10">
        <f t="shared" si="86"/>
        <v>2</v>
      </c>
      <c r="M421" s="10">
        <f t="shared" ca="1" si="87"/>
        <v>2</v>
      </c>
      <c r="N421" s="10">
        <f t="shared" si="88"/>
        <v>0</v>
      </c>
      <c r="O421" s="10">
        <f t="shared" si="89"/>
        <v>3</v>
      </c>
      <c r="P421" s="10">
        <f t="shared" si="90"/>
        <v>0</v>
      </c>
      <c r="Q421" s="10">
        <f t="shared" si="91"/>
        <v>0</v>
      </c>
      <c r="R421" s="10">
        <f t="shared" ca="1" si="92"/>
        <v>7</v>
      </c>
      <c r="S421" s="10" t="str">
        <f t="shared" ca="1" si="93"/>
        <v>Có</v>
      </c>
      <c r="T421" s="10" t="str">
        <f t="shared" ca="1" si="94"/>
        <v>Có</v>
      </c>
      <c r="U421" s="10" t="str">
        <f t="shared" si="95"/>
        <v>Không</v>
      </c>
      <c r="V421" s="2" t="s">
        <v>65</v>
      </c>
      <c r="W421" s="4">
        <v>46112</v>
      </c>
      <c r="X421" s="8" t="str">
        <f t="shared" si="96"/>
        <v>Tháng 3</v>
      </c>
      <c r="Y421" s="8" t="str">
        <f t="shared" si="97"/>
        <v>Biển Tây B</v>
      </c>
    </row>
    <row r="422" spans="1:25" x14ac:dyDescent="0.25">
      <c r="A422" s="1" t="s">
        <v>617</v>
      </c>
      <c r="B422" s="2" t="s">
        <v>23</v>
      </c>
      <c r="C422" s="2" t="s">
        <v>80</v>
      </c>
      <c r="D422" s="10">
        <f t="shared" ca="1" si="84"/>
        <v>71</v>
      </c>
      <c r="E422" s="2" t="s">
        <v>26</v>
      </c>
      <c r="F422" s="3">
        <v>158</v>
      </c>
      <c r="G422" s="3">
        <v>58</v>
      </c>
      <c r="H422" s="11">
        <f t="shared" si="85"/>
        <v>23.233456176894723</v>
      </c>
      <c r="I422" s="2">
        <v>77</v>
      </c>
      <c r="J422" s="3">
        <v>150</v>
      </c>
      <c r="K422" s="3">
        <v>80</v>
      </c>
      <c r="L422" s="10">
        <f t="shared" si="86"/>
        <v>0</v>
      </c>
      <c r="M422" s="10">
        <f t="shared" ca="1" si="87"/>
        <v>2</v>
      </c>
      <c r="N422" s="10">
        <f t="shared" si="88"/>
        <v>0</v>
      </c>
      <c r="O422" s="10">
        <f t="shared" si="89"/>
        <v>3</v>
      </c>
      <c r="P422" s="10">
        <f t="shared" si="90"/>
        <v>0</v>
      </c>
      <c r="Q422" s="10">
        <f t="shared" si="91"/>
        <v>2</v>
      </c>
      <c r="R422" s="10">
        <f t="shared" ca="1" si="92"/>
        <v>7</v>
      </c>
      <c r="S422" s="10" t="str">
        <f t="shared" ca="1" si="93"/>
        <v>Có</v>
      </c>
      <c r="T422" s="10" t="str">
        <f t="shared" ca="1" si="94"/>
        <v>Có</v>
      </c>
      <c r="U422" s="10" t="str">
        <f t="shared" si="95"/>
        <v>Có</v>
      </c>
      <c r="V422" s="2" t="s">
        <v>60</v>
      </c>
      <c r="W422" s="4">
        <v>46112</v>
      </c>
      <c r="X422" s="8" t="str">
        <f t="shared" si="96"/>
        <v>Tháng 3</v>
      </c>
      <c r="Y422" s="8" t="str">
        <f t="shared" si="97"/>
        <v>ấp Biển Đông A</v>
      </c>
    </row>
    <row r="423" spans="1:25" x14ac:dyDescent="0.25">
      <c r="A423" s="1" t="s">
        <v>618</v>
      </c>
      <c r="B423" s="2" t="s">
        <v>23</v>
      </c>
      <c r="C423" s="2" t="s">
        <v>138</v>
      </c>
      <c r="D423" s="10">
        <f t="shared" ca="1" si="84"/>
        <v>67</v>
      </c>
      <c r="E423" s="2" t="s">
        <v>26</v>
      </c>
      <c r="F423" s="3">
        <v>158</v>
      </c>
      <c r="G423" s="3">
        <v>58</v>
      </c>
      <c r="H423" s="11">
        <f t="shared" si="85"/>
        <v>23.233456176894723</v>
      </c>
      <c r="I423" s="2">
        <v>93</v>
      </c>
      <c r="J423" s="3">
        <v>150</v>
      </c>
      <c r="K423" s="3">
        <v>80</v>
      </c>
      <c r="L423" s="10">
        <f t="shared" si="86"/>
        <v>0</v>
      </c>
      <c r="M423" s="10">
        <f t="shared" ca="1" si="87"/>
        <v>2</v>
      </c>
      <c r="N423" s="10">
        <f t="shared" si="88"/>
        <v>0</v>
      </c>
      <c r="O423" s="10">
        <f t="shared" si="89"/>
        <v>3</v>
      </c>
      <c r="P423" s="10">
        <f t="shared" si="90"/>
        <v>2</v>
      </c>
      <c r="Q423" s="10">
        <f t="shared" si="91"/>
        <v>2</v>
      </c>
      <c r="R423" s="10">
        <f t="shared" ca="1" si="92"/>
        <v>9</v>
      </c>
      <c r="S423" s="10" t="str">
        <f t="shared" ca="1" si="93"/>
        <v>Có</v>
      </c>
      <c r="T423" s="10" t="str">
        <f t="shared" ca="1" si="94"/>
        <v>Có</v>
      </c>
      <c r="U423" s="10" t="str">
        <f t="shared" si="95"/>
        <v>Có</v>
      </c>
      <c r="V423" s="2" t="s">
        <v>164</v>
      </c>
      <c r="W423" s="4">
        <v>46112</v>
      </c>
      <c r="X423" s="8" t="str">
        <f t="shared" si="96"/>
        <v>Tháng 3</v>
      </c>
      <c r="Y423" s="8" t="str">
        <f t="shared" si="97"/>
        <v>ấp Biển Đông B</v>
      </c>
    </row>
    <row r="424" spans="1:25" x14ac:dyDescent="0.25">
      <c r="A424" s="1" t="s">
        <v>619</v>
      </c>
      <c r="B424" s="2" t="s">
        <v>23</v>
      </c>
      <c r="C424" s="2" t="s">
        <v>82</v>
      </c>
      <c r="D424" s="10">
        <f t="shared" ca="1" si="84"/>
        <v>73</v>
      </c>
      <c r="E424" s="2" t="s">
        <v>25</v>
      </c>
      <c r="F424" s="3">
        <v>158</v>
      </c>
      <c r="G424" s="3">
        <v>58</v>
      </c>
      <c r="H424" s="11">
        <f t="shared" si="85"/>
        <v>23.233456176894723</v>
      </c>
      <c r="I424" s="2">
        <v>78</v>
      </c>
      <c r="J424" s="3">
        <v>130</v>
      </c>
      <c r="K424" s="3">
        <v>80</v>
      </c>
      <c r="L424" s="10">
        <f t="shared" si="86"/>
        <v>0</v>
      </c>
      <c r="M424" s="10">
        <f t="shared" ca="1" si="87"/>
        <v>2</v>
      </c>
      <c r="N424" s="10">
        <f t="shared" si="88"/>
        <v>4</v>
      </c>
      <c r="O424" s="10">
        <f t="shared" si="89"/>
        <v>3</v>
      </c>
      <c r="P424" s="10">
        <f t="shared" si="90"/>
        <v>0</v>
      </c>
      <c r="Q424" s="10">
        <f t="shared" si="91"/>
        <v>0</v>
      </c>
      <c r="R424" s="10">
        <f t="shared" ca="1" si="92"/>
        <v>9</v>
      </c>
      <c r="S424" s="10" t="str">
        <f t="shared" ca="1" si="93"/>
        <v>Có</v>
      </c>
      <c r="T424" s="10" t="str">
        <f t="shared" ca="1" si="94"/>
        <v>Có</v>
      </c>
      <c r="U424" s="10" t="str">
        <f t="shared" si="95"/>
        <v>Không</v>
      </c>
      <c r="V424" s="2" t="s">
        <v>70</v>
      </c>
      <c r="W424" s="4">
        <v>46112</v>
      </c>
      <c r="X424" s="8" t="str">
        <f t="shared" si="96"/>
        <v>Tháng 3</v>
      </c>
      <c r="Y424" s="8" t="str">
        <f t="shared" si="97"/>
        <v>Ấp Biển Tây A</v>
      </c>
    </row>
    <row r="425" spans="1:25" x14ac:dyDescent="0.25">
      <c r="A425" s="1" t="s">
        <v>620</v>
      </c>
      <c r="B425" s="2" t="s">
        <v>30</v>
      </c>
      <c r="C425" s="2" t="s">
        <v>203</v>
      </c>
      <c r="D425" s="10">
        <f t="shared" ca="1" si="84"/>
        <v>43</v>
      </c>
      <c r="E425" s="2" t="s">
        <v>26</v>
      </c>
      <c r="F425" s="3">
        <v>157</v>
      </c>
      <c r="G425" s="3">
        <v>60</v>
      </c>
      <c r="H425" s="11">
        <f t="shared" si="85"/>
        <v>24.341758286340216</v>
      </c>
      <c r="I425" s="2">
        <v>74</v>
      </c>
      <c r="J425" s="3">
        <v>130</v>
      </c>
      <c r="K425" s="3">
        <v>80</v>
      </c>
      <c r="L425" s="10">
        <f t="shared" si="86"/>
        <v>2</v>
      </c>
      <c r="M425" s="10">
        <f t="shared" ca="1" si="87"/>
        <v>0</v>
      </c>
      <c r="N425" s="10">
        <f t="shared" si="88"/>
        <v>0</v>
      </c>
      <c r="O425" s="10">
        <f t="shared" si="89"/>
        <v>3</v>
      </c>
      <c r="P425" s="10">
        <f t="shared" si="90"/>
        <v>0</v>
      </c>
      <c r="Q425" s="10">
        <f t="shared" si="91"/>
        <v>0</v>
      </c>
      <c r="R425" s="10">
        <f t="shared" ca="1" si="92"/>
        <v>5</v>
      </c>
      <c r="S425" s="10" t="str">
        <f t="shared" ca="1" si="93"/>
        <v>Không cần</v>
      </c>
      <c r="T425" s="10" t="str">
        <f t="shared" ca="1" si="94"/>
        <v>Không</v>
      </c>
      <c r="U425" s="10" t="str">
        <f t="shared" si="95"/>
        <v>Không</v>
      </c>
      <c r="V425" s="2" t="s">
        <v>621</v>
      </c>
      <c r="W425" s="4">
        <v>46112</v>
      </c>
      <c r="X425" s="8" t="str">
        <f t="shared" si="96"/>
        <v>Tháng 3</v>
      </c>
      <c r="Y425" s="8" t="str">
        <f t="shared" si="97"/>
        <v>Khóm Kinh Tế</v>
      </c>
    </row>
    <row r="426" spans="1:25" x14ac:dyDescent="0.25">
      <c r="A426" s="1" t="s">
        <v>622</v>
      </c>
      <c r="B426" s="2" t="s">
        <v>23</v>
      </c>
      <c r="C426" s="2" t="s">
        <v>50</v>
      </c>
      <c r="D426" s="10">
        <f t="shared" ca="1" si="84"/>
        <v>58</v>
      </c>
      <c r="E426" s="2" t="s">
        <v>26</v>
      </c>
      <c r="F426" s="3">
        <v>155</v>
      </c>
      <c r="G426" s="3">
        <v>79</v>
      </c>
      <c r="H426" s="11">
        <f t="shared" si="85"/>
        <v>32.882414151925076</v>
      </c>
      <c r="I426" s="2">
        <v>65</v>
      </c>
      <c r="J426" s="3">
        <v>120</v>
      </c>
      <c r="K426" s="3">
        <v>70</v>
      </c>
      <c r="L426" s="10">
        <f t="shared" si="86"/>
        <v>0</v>
      </c>
      <c r="M426" s="10">
        <f t="shared" ca="1" si="87"/>
        <v>2</v>
      </c>
      <c r="N426" s="10">
        <f t="shared" si="88"/>
        <v>0</v>
      </c>
      <c r="O426" s="10">
        <f t="shared" si="89"/>
        <v>5</v>
      </c>
      <c r="P426" s="10">
        <f t="shared" si="90"/>
        <v>0</v>
      </c>
      <c r="Q426" s="10">
        <f t="shared" si="91"/>
        <v>0</v>
      </c>
      <c r="R426" s="10">
        <f t="shared" ca="1" si="92"/>
        <v>7</v>
      </c>
      <c r="S426" s="10" t="str">
        <f t="shared" ca="1" si="93"/>
        <v>Có</v>
      </c>
      <c r="T426" s="10" t="str">
        <f t="shared" ca="1" si="94"/>
        <v>Có</v>
      </c>
      <c r="U426" s="10" t="str">
        <f t="shared" si="95"/>
        <v>Không</v>
      </c>
      <c r="V426" s="2" t="s">
        <v>251</v>
      </c>
      <c r="W426" s="4">
        <v>46112</v>
      </c>
      <c r="X426" s="8" t="str">
        <f t="shared" si="96"/>
        <v>Tháng 3</v>
      </c>
      <c r="Y426" s="8" t="str">
        <f t="shared" si="97"/>
        <v>giồng giữa</v>
      </c>
    </row>
    <row r="427" spans="1:25" x14ac:dyDescent="0.25">
      <c r="A427" s="1" t="s">
        <v>623</v>
      </c>
      <c r="B427" s="2" t="s">
        <v>23</v>
      </c>
      <c r="C427" s="2" t="s">
        <v>53</v>
      </c>
      <c r="D427" s="10">
        <f t="shared" ca="1" si="84"/>
        <v>72</v>
      </c>
      <c r="E427" s="2" t="s">
        <v>25</v>
      </c>
      <c r="F427" s="3">
        <v>160</v>
      </c>
      <c r="G427" s="3">
        <v>60</v>
      </c>
      <c r="H427" s="11">
        <f t="shared" si="85"/>
        <v>23.437499999999996</v>
      </c>
      <c r="I427" s="2">
        <v>82</v>
      </c>
      <c r="J427" s="3">
        <v>130</v>
      </c>
      <c r="K427" s="3">
        <v>80</v>
      </c>
      <c r="L427" s="10">
        <f t="shared" si="86"/>
        <v>0</v>
      </c>
      <c r="M427" s="10">
        <f t="shared" ca="1" si="87"/>
        <v>2</v>
      </c>
      <c r="N427" s="10">
        <f t="shared" si="88"/>
        <v>4</v>
      </c>
      <c r="O427" s="10">
        <f t="shared" si="89"/>
        <v>3</v>
      </c>
      <c r="P427" s="10">
        <f t="shared" si="90"/>
        <v>2</v>
      </c>
      <c r="Q427" s="10">
        <f t="shared" si="91"/>
        <v>0</v>
      </c>
      <c r="R427" s="10">
        <f t="shared" ca="1" si="92"/>
        <v>11</v>
      </c>
      <c r="S427" s="10" t="str">
        <f t="shared" ca="1" si="93"/>
        <v>Có</v>
      </c>
      <c r="T427" s="10" t="str">
        <f t="shared" ca="1" si="94"/>
        <v>Có</v>
      </c>
      <c r="U427" s="10" t="str">
        <f t="shared" si="95"/>
        <v>Không</v>
      </c>
      <c r="V427" s="2" t="s">
        <v>478</v>
      </c>
      <c r="W427" s="4">
        <v>46142</v>
      </c>
      <c r="X427" s="8" t="str">
        <f t="shared" si="96"/>
        <v>Tháng 4</v>
      </c>
      <c r="Y427" s="8" t="str">
        <f t="shared" si="97"/>
        <v>Giồng nhãn A</v>
      </c>
    </row>
    <row r="428" spans="1:25" x14ac:dyDescent="0.25">
      <c r="A428" s="1" t="s">
        <v>624</v>
      </c>
      <c r="B428" s="2" t="s">
        <v>23</v>
      </c>
      <c r="C428" s="2" t="s">
        <v>82</v>
      </c>
      <c r="D428" s="10">
        <f t="shared" ca="1" si="84"/>
        <v>73</v>
      </c>
      <c r="E428" s="2" t="s">
        <v>26</v>
      </c>
      <c r="F428" s="3">
        <v>165</v>
      </c>
      <c r="G428" s="3">
        <v>56</v>
      </c>
      <c r="H428" s="11">
        <f t="shared" si="85"/>
        <v>20.569329660238754</v>
      </c>
      <c r="I428" s="2">
        <v>85</v>
      </c>
      <c r="J428" s="3">
        <v>120</v>
      </c>
      <c r="K428" s="3">
        <v>80</v>
      </c>
      <c r="L428" s="10">
        <f t="shared" si="86"/>
        <v>0</v>
      </c>
      <c r="M428" s="10">
        <f t="shared" ca="1" si="87"/>
        <v>2</v>
      </c>
      <c r="N428" s="10">
        <f t="shared" si="88"/>
        <v>0</v>
      </c>
      <c r="O428" s="10">
        <f t="shared" si="89"/>
        <v>0</v>
      </c>
      <c r="P428" s="10">
        <f t="shared" si="90"/>
        <v>2</v>
      </c>
      <c r="Q428" s="10">
        <f t="shared" si="91"/>
        <v>0</v>
      </c>
      <c r="R428" s="10">
        <f t="shared" ca="1" si="92"/>
        <v>4</v>
      </c>
      <c r="S428" s="10" t="str">
        <f t="shared" ca="1" si="93"/>
        <v>Không cần</v>
      </c>
      <c r="T428" s="10" t="str">
        <f t="shared" ca="1" si="94"/>
        <v>Không</v>
      </c>
      <c r="U428" s="10" t="str">
        <f t="shared" si="95"/>
        <v>Không</v>
      </c>
      <c r="V428" s="2" t="s">
        <v>298</v>
      </c>
      <c r="W428" s="4">
        <v>46142</v>
      </c>
      <c r="X428" s="8" t="str">
        <f t="shared" si="96"/>
        <v>Tháng 4</v>
      </c>
      <c r="Y428" s="8" t="str">
        <f t="shared" si="97"/>
        <v>ấp Biển Tây A</v>
      </c>
    </row>
    <row r="429" spans="1:25" x14ac:dyDescent="0.25">
      <c r="A429" s="1" t="s">
        <v>625</v>
      </c>
      <c r="B429" s="2" t="s">
        <v>23</v>
      </c>
      <c r="C429" s="2" t="s">
        <v>93</v>
      </c>
      <c r="D429" s="10">
        <f t="shared" ca="1" si="84"/>
        <v>66</v>
      </c>
      <c r="E429" s="2" t="s">
        <v>25</v>
      </c>
      <c r="F429" s="3">
        <v>158</v>
      </c>
      <c r="G429" s="3">
        <v>58</v>
      </c>
      <c r="H429" s="11">
        <f t="shared" si="85"/>
        <v>23.233456176894723</v>
      </c>
      <c r="I429" s="2">
        <v>72</v>
      </c>
      <c r="J429" s="3">
        <v>150</v>
      </c>
      <c r="K429" s="3">
        <v>80</v>
      </c>
      <c r="L429" s="10">
        <f t="shared" si="86"/>
        <v>0</v>
      </c>
      <c r="M429" s="10">
        <f t="shared" ca="1" si="87"/>
        <v>2</v>
      </c>
      <c r="N429" s="10">
        <f t="shared" si="88"/>
        <v>4</v>
      </c>
      <c r="O429" s="10">
        <f t="shared" si="89"/>
        <v>3</v>
      </c>
      <c r="P429" s="10">
        <f t="shared" si="90"/>
        <v>0</v>
      </c>
      <c r="Q429" s="10">
        <f t="shared" si="91"/>
        <v>2</v>
      </c>
      <c r="R429" s="10">
        <f t="shared" ca="1" si="92"/>
        <v>11</v>
      </c>
      <c r="S429" s="10" t="str">
        <f t="shared" ca="1" si="93"/>
        <v>Có</v>
      </c>
      <c r="T429" s="10" t="str">
        <f t="shared" ca="1" si="94"/>
        <v>Có</v>
      </c>
      <c r="U429" s="10" t="str">
        <f t="shared" si="95"/>
        <v>Có</v>
      </c>
      <c r="V429" s="2" t="s">
        <v>164</v>
      </c>
      <c r="W429" s="4">
        <v>46142</v>
      </c>
      <c r="X429" s="8" t="str">
        <f t="shared" si="96"/>
        <v>Tháng 4</v>
      </c>
      <c r="Y429" s="8" t="str">
        <f t="shared" si="97"/>
        <v>ấp Biển Đông B</v>
      </c>
    </row>
    <row r="430" spans="1:25" x14ac:dyDescent="0.25">
      <c r="A430" s="1" t="s">
        <v>626</v>
      </c>
      <c r="B430" s="2" t="s">
        <v>23</v>
      </c>
      <c r="C430" s="2" t="s">
        <v>42</v>
      </c>
      <c r="D430" s="10">
        <f t="shared" ca="1" si="84"/>
        <v>59</v>
      </c>
      <c r="E430" s="2" t="s">
        <v>26</v>
      </c>
      <c r="F430" s="3">
        <v>158</v>
      </c>
      <c r="G430" s="3">
        <v>58</v>
      </c>
      <c r="H430" s="11">
        <f t="shared" si="85"/>
        <v>23.233456176894723</v>
      </c>
      <c r="I430" s="2">
        <v>76</v>
      </c>
      <c r="J430" s="3">
        <v>140</v>
      </c>
      <c r="K430" s="3">
        <v>80</v>
      </c>
      <c r="L430" s="10">
        <f t="shared" si="86"/>
        <v>0</v>
      </c>
      <c r="M430" s="10">
        <f t="shared" ca="1" si="87"/>
        <v>2</v>
      </c>
      <c r="N430" s="10">
        <f t="shared" si="88"/>
        <v>0</v>
      </c>
      <c r="O430" s="10">
        <f t="shared" si="89"/>
        <v>3</v>
      </c>
      <c r="P430" s="10">
        <f t="shared" si="90"/>
        <v>0</v>
      </c>
      <c r="Q430" s="10">
        <f t="shared" si="91"/>
        <v>2</v>
      </c>
      <c r="R430" s="10">
        <f t="shared" ca="1" si="92"/>
        <v>7</v>
      </c>
      <c r="S430" s="10" t="str">
        <f t="shared" ca="1" si="93"/>
        <v>Có</v>
      </c>
      <c r="T430" s="10" t="str">
        <f t="shared" ca="1" si="94"/>
        <v>Có</v>
      </c>
      <c r="U430" s="10" t="str">
        <f t="shared" si="95"/>
        <v>Có</v>
      </c>
      <c r="V430" s="2" t="s">
        <v>111</v>
      </c>
      <c r="W430" s="4">
        <v>46142</v>
      </c>
      <c r="X430" s="8" t="str">
        <f t="shared" si="96"/>
        <v>Tháng 4</v>
      </c>
      <c r="Y430" s="8" t="str">
        <f t="shared" si="97"/>
        <v>Phường Vĩnh Trạch</v>
      </c>
    </row>
    <row r="431" spans="1:25" x14ac:dyDescent="0.25">
      <c r="A431" s="1" t="s">
        <v>424</v>
      </c>
      <c r="B431" s="2" t="s">
        <v>23</v>
      </c>
      <c r="C431" s="2" t="s">
        <v>87</v>
      </c>
      <c r="D431" s="10">
        <f t="shared" ca="1" si="84"/>
        <v>49</v>
      </c>
      <c r="E431" s="2" t="s">
        <v>26</v>
      </c>
      <c r="F431" s="3">
        <v>158</v>
      </c>
      <c r="G431" s="3">
        <v>58</v>
      </c>
      <c r="H431" s="11">
        <f t="shared" si="85"/>
        <v>23.233456176894723</v>
      </c>
      <c r="I431" s="2">
        <v>94</v>
      </c>
      <c r="J431" s="3">
        <v>110</v>
      </c>
      <c r="K431" s="3">
        <v>80</v>
      </c>
      <c r="L431" s="10">
        <f t="shared" si="86"/>
        <v>0</v>
      </c>
      <c r="M431" s="10">
        <f t="shared" ca="1" si="87"/>
        <v>1</v>
      </c>
      <c r="N431" s="10">
        <f t="shared" si="88"/>
        <v>0</v>
      </c>
      <c r="O431" s="10">
        <f t="shared" si="89"/>
        <v>3</v>
      </c>
      <c r="P431" s="10">
        <f t="shared" si="90"/>
        <v>2</v>
      </c>
      <c r="Q431" s="10">
        <f t="shared" si="91"/>
        <v>0</v>
      </c>
      <c r="R431" s="10">
        <f t="shared" ca="1" si="92"/>
        <v>6</v>
      </c>
      <c r="S431" s="10" t="str">
        <f t="shared" ca="1" si="93"/>
        <v>Có</v>
      </c>
      <c r="T431" s="10" t="str">
        <f t="shared" ca="1" si="94"/>
        <v>Có</v>
      </c>
      <c r="U431" s="10" t="str">
        <f t="shared" si="95"/>
        <v>Không</v>
      </c>
      <c r="V431" s="2" t="s">
        <v>51</v>
      </c>
      <c r="W431" s="4">
        <v>46112</v>
      </c>
      <c r="X431" s="8" t="str">
        <f t="shared" si="96"/>
        <v>Tháng 3</v>
      </c>
      <c r="Y431" s="8" t="str">
        <f t="shared" si="97"/>
        <v>Phường Hiệp Thành</v>
      </c>
    </row>
    <row r="432" spans="1:25" x14ac:dyDescent="0.25">
      <c r="A432" s="1" t="s">
        <v>627</v>
      </c>
      <c r="B432" s="2" t="s">
        <v>23</v>
      </c>
      <c r="C432" s="2" t="s">
        <v>82</v>
      </c>
      <c r="D432" s="10">
        <f t="shared" ca="1" si="84"/>
        <v>73</v>
      </c>
      <c r="E432" s="2" t="s">
        <v>25</v>
      </c>
      <c r="F432" s="3">
        <v>157</v>
      </c>
      <c r="G432" s="3">
        <v>50</v>
      </c>
      <c r="H432" s="11">
        <f t="shared" si="85"/>
        <v>20.28479857195018</v>
      </c>
      <c r="I432" s="2">
        <v>66</v>
      </c>
      <c r="J432" s="3">
        <v>120</v>
      </c>
      <c r="K432" s="3">
        <v>70</v>
      </c>
      <c r="L432" s="10">
        <f t="shared" si="86"/>
        <v>0</v>
      </c>
      <c r="M432" s="10">
        <f t="shared" ca="1" si="87"/>
        <v>2</v>
      </c>
      <c r="N432" s="10">
        <f t="shared" si="88"/>
        <v>4</v>
      </c>
      <c r="O432" s="10">
        <f t="shared" si="89"/>
        <v>0</v>
      </c>
      <c r="P432" s="10">
        <f t="shared" si="90"/>
        <v>0</v>
      </c>
      <c r="Q432" s="10">
        <f t="shared" si="91"/>
        <v>0</v>
      </c>
      <c r="R432" s="10">
        <f t="shared" ca="1" si="92"/>
        <v>6</v>
      </c>
      <c r="S432" s="10" t="str">
        <f t="shared" ca="1" si="93"/>
        <v>Có</v>
      </c>
      <c r="T432" s="10" t="str">
        <f t="shared" ca="1" si="94"/>
        <v>Có</v>
      </c>
      <c r="U432" s="10" t="str">
        <f t="shared" si="95"/>
        <v>Không</v>
      </c>
      <c r="V432" s="2" t="s">
        <v>91</v>
      </c>
      <c r="W432" s="4">
        <v>46142</v>
      </c>
      <c r="X432" s="8" t="str">
        <f t="shared" si="96"/>
        <v>Tháng 4</v>
      </c>
      <c r="Y432" s="8" t="str">
        <f t="shared" si="97"/>
        <v>Ấp Giồng Giữa</v>
      </c>
    </row>
    <row r="433" spans="1:25" x14ac:dyDescent="0.25">
      <c r="A433" s="1" t="s">
        <v>628</v>
      </c>
      <c r="B433" s="2" t="s">
        <v>30</v>
      </c>
      <c r="C433" s="2" t="s">
        <v>59</v>
      </c>
      <c r="D433" s="10">
        <f t="shared" ca="1" si="84"/>
        <v>74</v>
      </c>
      <c r="E433" s="2" t="s">
        <v>26</v>
      </c>
      <c r="F433" s="3">
        <v>169</v>
      </c>
      <c r="G433" s="3">
        <v>68</v>
      </c>
      <c r="H433" s="11">
        <f t="shared" si="85"/>
        <v>23.808690171912751</v>
      </c>
      <c r="I433" s="2">
        <v>94</v>
      </c>
      <c r="J433" s="3">
        <v>140</v>
      </c>
      <c r="K433" s="3">
        <v>80</v>
      </c>
      <c r="L433" s="10">
        <f t="shared" si="86"/>
        <v>2</v>
      </c>
      <c r="M433" s="10">
        <f t="shared" ca="1" si="87"/>
        <v>2</v>
      </c>
      <c r="N433" s="10">
        <f t="shared" si="88"/>
        <v>0</v>
      </c>
      <c r="O433" s="10">
        <f t="shared" si="89"/>
        <v>3</v>
      </c>
      <c r="P433" s="10">
        <f t="shared" si="90"/>
        <v>2</v>
      </c>
      <c r="Q433" s="10">
        <f t="shared" si="91"/>
        <v>2</v>
      </c>
      <c r="R433" s="10">
        <f t="shared" ca="1" si="92"/>
        <v>11</v>
      </c>
      <c r="S433" s="10" t="str">
        <f t="shared" ca="1" si="93"/>
        <v>Có</v>
      </c>
      <c r="T433" s="10" t="str">
        <f t="shared" ca="1" si="94"/>
        <v>Có</v>
      </c>
      <c r="U433" s="10" t="str">
        <f t="shared" si="95"/>
        <v>Có</v>
      </c>
      <c r="V433" s="2" t="s">
        <v>28</v>
      </c>
      <c r="W433" s="4">
        <v>46142</v>
      </c>
      <c r="X433" s="8" t="str">
        <f t="shared" si="96"/>
        <v>Tháng 4</v>
      </c>
      <c r="Y433" s="8" t="str">
        <f t="shared" si="97"/>
        <v>Ấp Biển Đông A</v>
      </c>
    </row>
    <row r="434" spans="1:25" x14ac:dyDescent="0.25">
      <c r="A434" s="1" t="s">
        <v>629</v>
      </c>
      <c r="B434" s="2" t="s">
        <v>23</v>
      </c>
      <c r="C434" s="2" t="s">
        <v>329</v>
      </c>
      <c r="D434" s="10">
        <f t="shared" ca="1" si="84"/>
        <v>81</v>
      </c>
      <c r="E434" s="2" t="s">
        <v>26</v>
      </c>
      <c r="F434" s="3">
        <v>158</v>
      </c>
      <c r="G434" s="3">
        <v>58</v>
      </c>
      <c r="H434" s="11">
        <f t="shared" si="85"/>
        <v>23.233456176894723</v>
      </c>
      <c r="I434" s="2">
        <v>89</v>
      </c>
      <c r="J434" s="3">
        <v>120</v>
      </c>
      <c r="K434" s="3">
        <v>80</v>
      </c>
      <c r="L434" s="10">
        <f t="shared" si="86"/>
        <v>0</v>
      </c>
      <c r="M434" s="10">
        <f t="shared" ca="1" si="87"/>
        <v>2</v>
      </c>
      <c r="N434" s="10">
        <f t="shared" si="88"/>
        <v>0</v>
      </c>
      <c r="O434" s="10">
        <f t="shared" si="89"/>
        <v>3</v>
      </c>
      <c r="P434" s="10">
        <f t="shared" si="90"/>
        <v>2</v>
      </c>
      <c r="Q434" s="10">
        <f t="shared" si="91"/>
        <v>0</v>
      </c>
      <c r="R434" s="10">
        <f t="shared" ca="1" si="92"/>
        <v>7</v>
      </c>
      <c r="S434" s="10" t="str">
        <f t="shared" ca="1" si="93"/>
        <v>Có</v>
      </c>
      <c r="T434" s="10" t="str">
        <f t="shared" ca="1" si="94"/>
        <v>Có</v>
      </c>
      <c r="U434" s="10" t="str">
        <f t="shared" si="95"/>
        <v>Không</v>
      </c>
      <c r="V434" s="2" t="s">
        <v>68</v>
      </c>
      <c r="W434" s="4">
        <v>46142</v>
      </c>
      <c r="X434" s="8" t="str">
        <f t="shared" si="96"/>
        <v>Tháng 4</v>
      </c>
      <c r="Y434" s="8" t="str">
        <f t="shared" si="97"/>
        <v>Ấp Biển Tây B</v>
      </c>
    </row>
    <row r="435" spans="1:25" x14ac:dyDescent="0.25">
      <c r="A435" s="1" t="s">
        <v>630</v>
      </c>
      <c r="B435" s="2" t="s">
        <v>23</v>
      </c>
      <c r="C435" s="2" t="s">
        <v>256</v>
      </c>
      <c r="D435" s="10">
        <f t="shared" ca="1" si="84"/>
        <v>41</v>
      </c>
      <c r="E435" s="2" t="s">
        <v>26</v>
      </c>
      <c r="F435" s="3">
        <v>158</v>
      </c>
      <c r="G435" s="3">
        <v>58</v>
      </c>
      <c r="H435" s="11">
        <f t="shared" si="85"/>
        <v>23.233456176894723</v>
      </c>
      <c r="I435" s="2">
        <v>90</v>
      </c>
      <c r="J435" s="3">
        <v>130</v>
      </c>
      <c r="K435" s="3">
        <v>80</v>
      </c>
      <c r="L435" s="10">
        <f t="shared" si="86"/>
        <v>0</v>
      </c>
      <c r="M435" s="10">
        <f t="shared" ca="1" si="87"/>
        <v>0</v>
      </c>
      <c r="N435" s="10">
        <f t="shared" si="88"/>
        <v>0</v>
      </c>
      <c r="O435" s="10">
        <f t="shared" si="89"/>
        <v>3</v>
      </c>
      <c r="P435" s="10">
        <f t="shared" si="90"/>
        <v>2</v>
      </c>
      <c r="Q435" s="10">
        <f t="shared" si="91"/>
        <v>0</v>
      </c>
      <c r="R435" s="10">
        <f t="shared" ca="1" si="92"/>
        <v>5</v>
      </c>
      <c r="S435" s="10" t="str">
        <f t="shared" ca="1" si="93"/>
        <v>Không cần</v>
      </c>
      <c r="T435" s="10" t="str">
        <f t="shared" ca="1" si="94"/>
        <v>Không</v>
      </c>
      <c r="U435" s="10" t="str">
        <f t="shared" si="95"/>
        <v>Không</v>
      </c>
      <c r="V435" s="2" t="s">
        <v>298</v>
      </c>
      <c r="W435" s="4">
        <v>46142</v>
      </c>
      <c r="X435" s="8" t="str">
        <f t="shared" si="96"/>
        <v>Tháng 4</v>
      </c>
      <c r="Y435" s="8" t="str">
        <f t="shared" si="97"/>
        <v>ấp Biển Tây A</v>
      </c>
    </row>
    <row r="436" spans="1:25" x14ac:dyDescent="0.25">
      <c r="A436" s="1" t="s">
        <v>631</v>
      </c>
      <c r="B436" s="2" t="s">
        <v>30</v>
      </c>
      <c r="C436" s="2" t="s">
        <v>90</v>
      </c>
      <c r="D436" s="10">
        <f t="shared" ca="1" si="84"/>
        <v>54</v>
      </c>
      <c r="E436" s="2" t="s">
        <v>25</v>
      </c>
      <c r="F436" s="3">
        <v>169</v>
      </c>
      <c r="G436" s="3">
        <v>68</v>
      </c>
      <c r="H436" s="11">
        <f t="shared" si="85"/>
        <v>23.808690171912751</v>
      </c>
      <c r="I436" s="2">
        <v>76</v>
      </c>
      <c r="J436" s="3">
        <v>140</v>
      </c>
      <c r="K436" s="3">
        <v>80</v>
      </c>
      <c r="L436" s="10">
        <f t="shared" si="86"/>
        <v>2</v>
      </c>
      <c r="M436" s="10">
        <f t="shared" ca="1" si="87"/>
        <v>2</v>
      </c>
      <c r="N436" s="10">
        <f t="shared" si="88"/>
        <v>4</v>
      </c>
      <c r="O436" s="10">
        <f t="shared" si="89"/>
        <v>3</v>
      </c>
      <c r="P436" s="10">
        <f t="shared" si="90"/>
        <v>0</v>
      </c>
      <c r="Q436" s="10">
        <f t="shared" si="91"/>
        <v>2</v>
      </c>
      <c r="R436" s="10">
        <f t="shared" ca="1" si="92"/>
        <v>13</v>
      </c>
      <c r="S436" s="10" t="str">
        <f t="shared" ca="1" si="93"/>
        <v>Có</v>
      </c>
      <c r="T436" s="10" t="str">
        <f t="shared" ca="1" si="94"/>
        <v>Có</v>
      </c>
      <c r="U436" s="10" t="str">
        <f t="shared" si="95"/>
        <v>Có</v>
      </c>
      <c r="V436" s="2" t="s">
        <v>298</v>
      </c>
      <c r="W436" s="4">
        <v>46142</v>
      </c>
      <c r="X436" s="8" t="str">
        <f t="shared" si="96"/>
        <v>Tháng 4</v>
      </c>
      <c r="Y436" s="8" t="str">
        <f t="shared" si="97"/>
        <v>ấp Biển Tây A</v>
      </c>
    </row>
    <row r="437" spans="1:25" x14ac:dyDescent="0.25">
      <c r="A437" s="1" t="s">
        <v>632</v>
      </c>
      <c r="B437" s="2" t="s">
        <v>23</v>
      </c>
      <c r="C437" s="2" t="s">
        <v>87</v>
      </c>
      <c r="D437" s="10">
        <f t="shared" ca="1" si="84"/>
        <v>49</v>
      </c>
      <c r="E437" s="2" t="s">
        <v>25</v>
      </c>
      <c r="F437" s="3">
        <v>158</v>
      </c>
      <c r="G437" s="3">
        <v>58</v>
      </c>
      <c r="H437" s="11">
        <f t="shared" si="85"/>
        <v>23.233456176894723</v>
      </c>
      <c r="I437" s="2">
        <v>89</v>
      </c>
      <c r="J437" s="3">
        <v>140</v>
      </c>
      <c r="K437" s="3">
        <v>80</v>
      </c>
      <c r="L437" s="10">
        <f t="shared" si="86"/>
        <v>0</v>
      </c>
      <c r="M437" s="10">
        <f t="shared" ca="1" si="87"/>
        <v>1</v>
      </c>
      <c r="N437" s="10">
        <f t="shared" si="88"/>
        <v>4</v>
      </c>
      <c r="O437" s="10">
        <f t="shared" si="89"/>
        <v>3</v>
      </c>
      <c r="P437" s="10">
        <f t="shared" si="90"/>
        <v>2</v>
      </c>
      <c r="Q437" s="10">
        <f t="shared" si="91"/>
        <v>2</v>
      </c>
      <c r="R437" s="10">
        <f t="shared" ca="1" si="92"/>
        <v>12</v>
      </c>
      <c r="S437" s="10" t="str">
        <f t="shared" ca="1" si="93"/>
        <v>Có</v>
      </c>
      <c r="T437" s="10" t="str">
        <f t="shared" ca="1" si="94"/>
        <v>Có</v>
      </c>
      <c r="U437" s="10" t="str">
        <f t="shared" si="95"/>
        <v>Có</v>
      </c>
      <c r="V437" s="2" t="s">
        <v>298</v>
      </c>
      <c r="W437" s="4">
        <v>46142</v>
      </c>
      <c r="X437" s="8" t="str">
        <f t="shared" si="96"/>
        <v>Tháng 4</v>
      </c>
      <c r="Y437" s="8" t="str">
        <f t="shared" si="97"/>
        <v>ấp Biển Tây A</v>
      </c>
    </row>
    <row r="438" spans="1:25" x14ac:dyDescent="0.25">
      <c r="A438" s="1" t="s">
        <v>633</v>
      </c>
      <c r="B438" s="2" t="s">
        <v>23</v>
      </c>
      <c r="C438" s="2" t="s">
        <v>80</v>
      </c>
      <c r="D438" s="10">
        <f t="shared" ca="1" si="84"/>
        <v>71</v>
      </c>
      <c r="E438" s="2" t="s">
        <v>25</v>
      </c>
      <c r="F438" s="3">
        <v>158</v>
      </c>
      <c r="G438" s="3">
        <v>58</v>
      </c>
      <c r="H438" s="11">
        <f t="shared" si="85"/>
        <v>23.233456176894723</v>
      </c>
      <c r="I438" s="2">
        <v>81</v>
      </c>
      <c r="J438" s="3">
        <v>140</v>
      </c>
      <c r="K438" s="3">
        <v>80</v>
      </c>
      <c r="L438" s="10">
        <f t="shared" si="86"/>
        <v>0</v>
      </c>
      <c r="M438" s="10">
        <f t="shared" ca="1" si="87"/>
        <v>2</v>
      </c>
      <c r="N438" s="10">
        <f t="shared" si="88"/>
        <v>4</v>
      </c>
      <c r="O438" s="10">
        <f t="shared" si="89"/>
        <v>3</v>
      </c>
      <c r="P438" s="10">
        <f t="shared" si="90"/>
        <v>2</v>
      </c>
      <c r="Q438" s="10">
        <f t="shared" si="91"/>
        <v>2</v>
      </c>
      <c r="R438" s="10">
        <f t="shared" ca="1" si="92"/>
        <v>13</v>
      </c>
      <c r="S438" s="10" t="str">
        <f t="shared" ca="1" si="93"/>
        <v>Có</v>
      </c>
      <c r="T438" s="10" t="str">
        <f t="shared" ca="1" si="94"/>
        <v>Có</v>
      </c>
      <c r="U438" s="10" t="str">
        <f t="shared" si="95"/>
        <v>Có</v>
      </c>
      <c r="V438" s="2" t="s">
        <v>28</v>
      </c>
      <c r="W438" s="4">
        <v>46142</v>
      </c>
      <c r="X438" s="8" t="str">
        <f t="shared" si="96"/>
        <v>Tháng 4</v>
      </c>
      <c r="Y438" s="8" t="str">
        <f t="shared" si="97"/>
        <v>Ấp Biển Đông A</v>
      </c>
    </row>
    <row r="439" spans="1:25" x14ac:dyDescent="0.25">
      <c r="A439" s="1" t="s">
        <v>634</v>
      </c>
      <c r="B439" s="2" t="s">
        <v>23</v>
      </c>
      <c r="C439" s="2" t="s">
        <v>133</v>
      </c>
      <c r="D439" s="10">
        <f t="shared" ca="1" si="84"/>
        <v>56</v>
      </c>
      <c r="E439" s="2" t="s">
        <v>26</v>
      </c>
      <c r="F439" s="3">
        <v>160</v>
      </c>
      <c r="G439" s="3">
        <v>80</v>
      </c>
      <c r="H439" s="11">
        <f t="shared" si="85"/>
        <v>31.249999999999993</v>
      </c>
      <c r="I439" s="2">
        <v>83</v>
      </c>
      <c r="J439" s="3">
        <v>130</v>
      </c>
      <c r="K439" s="3">
        <v>80</v>
      </c>
      <c r="L439" s="10">
        <f t="shared" si="86"/>
        <v>0</v>
      </c>
      <c r="M439" s="10">
        <f t="shared" ca="1" si="87"/>
        <v>2</v>
      </c>
      <c r="N439" s="10">
        <f t="shared" si="88"/>
        <v>0</v>
      </c>
      <c r="O439" s="10">
        <f t="shared" si="89"/>
        <v>5</v>
      </c>
      <c r="P439" s="10">
        <f t="shared" si="90"/>
        <v>2</v>
      </c>
      <c r="Q439" s="10">
        <f t="shared" si="91"/>
        <v>0</v>
      </c>
      <c r="R439" s="10">
        <f t="shared" ca="1" si="92"/>
        <v>9</v>
      </c>
      <c r="S439" s="10" t="str">
        <f t="shared" ca="1" si="93"/>
        <v>Có</v>
      </c>
      <c r="T439" s="10" t="str">
        <f t="shared" ca="1" si="94"/>
        <v>Có</v>
      </c>
      <c r="U439" s="10" t="str">
        <f t="shared" si="95"/>
        <v>Không</v>
      </c>
      <c r="V439" s="2" t="s">
        <v>51</v>
      </c>
      <c r="W439" s="4">
        <v>46142</v>
      </c>
      <c r="X439" s="8" t="str">
        <f t="shared" si="96"/>
        <v>Tháng 4</v>
      </c>
      <c r="Y439" s="8" t="str">
        <f t="shared" si="97"/>
        <v>Phường Hiệp Thành</v>
      </c>
    </row>
    <row r="440" spans="1:25" x14ac:dyDescent="0.25">
      <c r="A440" s="1" t="s">
        <v>635</v>
      </c>
      <c r="B440" s="2" t="s">
        <v>23</v>
      </c>
      <c r="C440" s="2" t="s">
        <v>188</v>
      </c>
      <c r="D440" s="10">
        <f t="shared" ca="1" si="84"/>
        <v>63</v>
      </c>
      <c r="E440" s="2" t="s">
        <v>26</v>
      </c>
      <c r="F440" s="3">
        <v>167</v>
      </c>
      <c r="G440" s="3">
        <v>67</v>
      </c>
      <c r="H440" s="11">
        <f t="shared" si="85"/>
        <v>24.023808670084982</v>
      </c>
      <c r="I440" s="2">
        <v>81</v>
      </c>
      <c r="J440" s="3">
        <v>120</v>
      </c>
      <c r="K440" s="3">
        <v>80</v>
      </c>
      <c r="L440" s="10">
        <f t="shared" si="86"/>
        <v>0</v>
      </c>
      <c r="M440" s="10">
        <f t="shared" ca="1" si="87"/>
        <v>2</v>
      </c>
      <c r="N440" s="10">
        <f t="shared" si="88"/>
        <v>0</v>
      </c>
      <c r="O440" s="10">
        <f t="shared" si="89"/>
        <v>3</v>
      </c>
      <c r="P440" s="10">
        <f t="shared" si="90"/>
        <v>2</v>
      </c>
      <c r="Q440" s="10">
        <f t="shared" si="91"/>
        <v>0</v>
      </c>
      <c r="R440" s="10">
        <f t="shared" ca="1" si="92"/>
        <v>7</v>
      </c>
      <c r="S440" s="10" t="str">
        <f t="shared" ca="1" si="93"/>
        <v>Có</v>
      </c>
      <c r="T440" s="10" t="str">
        <f t="shared" ca="1" si="94"/>
        <v>Có</v>
      </c>
      <c r="U440" s="10" t="str">
        <f t="shared" si="95"/>
        <v>Không</v>
      </c>
      <c r="V440" s="2" t="s">
        <v>174</v>
      </c>
      <c r="W440" s="4">
        <v>46142</v>
      </c>
      <c r="X440" s="8" t="str">
        <f t="shared" si="96"/>
        <v>Tháng 4</v>
      </c>
      <c r="Y440" s="8" t="str">
        <f t="shared" si="97"/>
        <v>khóm Giồng giữa</v>
      </c>
    </row>
    <row r="441" spans="1:25" x14ac:dyDescent="0.25">
      <c r="A441" s="1" t="s">
        <v>636</v>
      </c>
      <c r="B441" s="2" t="s">
        <v>30</v>
      </c>
      <c r="C441" s="2" t="s">
        <v>127</v>
      </c>
      <c r="D441" s="10">
        <f t="shared" ca="1" si="84"/>
        <v>76</v>
      </c>
      <c r="E441" s="2" t="s">
        <v>25</v>
      </c>
      <c r="F441" s="3">
        <v>160</v>
      </c>
      <c r="G441" s="3">
        <v>49</v>
      </c>
      <c r="H441" s="11">
        <f t="shared" si="85"/>
        <v>19.140624999999996</v>
      </c>
      <c r="I441" s="2">
        <v>80</v>
      </c>
      <c r="J441" s="3">
        <v>120</v>
      </c>
      <c r="K441" s="3">
        <v>70</v>
      </c>
      <c r="L441" s="10">
        <f t="shared" si="86"/>
        <v>2</v>
      </c>
      <c r="M441" s="10">
        <f t="shared" ca="1" si="87"/>
        <v>2</v>
      </c>
      <c r="N441" s="10">
        <f t="shared" si="88"/>
        <v>4</v>
      </c>
      <c r="O441" s="10">
        <f t="shared" si="89"/>
        <v>0</v>
      </c>
      <c r="P441" s="10">
        <f t="shared" si="90"/>
        <v>0</v>
      </c>
      <c r="Q441" s="10">
        <f t="shared" si="91"/>
        <v>0</v>
      </c>
      <c r="R441" s="10">
        <f t="shared" ca="1" si="92"/>
        <v>8</v>
      </c>
      <c r="S441" s="10" t="str">
        <f t="shared" ca="1" si="93"/>
        <v>Có</v>
      </c>
      <c r="T441" s="10" t="str">
        <f t="shared" ca="1" si="94"/>
        <v>Có</v>
      </c>
      <c r="U441" s="10" t="str">
        <f t="shared" si="95"/>
        <v>Không</v>
      </c>
      <c r="V441" s="2" t="s">
        <v>51</v>
      </c>
      <c r="W441" s="4">
        <v>46142</v>
      </c>
      <c r="X441" s="8" t="str">
        <f t="shared" si="96"/>
        <v>Tháng 4</v>
      </c>
      <c r="Y441" s="8" t="str">
        <f t="shared" si="97"/>
        <v>Phường Hiệp Thành</v>
      </c>
    </row>
    <row r="442" spans="1:25" x14ac:dyDescent="0.25">
      <c r="A442" s="1" t="s">
        <v>637</v>
      </c>
      <c r="B442" s="2" t="s">
        <v>23</v>
      </c>
      <c r="C442" s="2" t="s">
        <v>59</v>
      </c>
      <c r="D442" s="10">
        <f t="shared" ca="1" si="84"/>
        <v>74</v>
      </c>
      <c r="E442" s="2" t="s">
        <v>26</v>
      </c>
      <c r="F442" s="3">
        <v>150</v>
      </c>
      <c r="G442" s="3">
        <v>60</v>
      </c>
      <c r="H442" s="11">
        <f t="shared" si="85"/>
        <v>26.666666666666668</v>
      </c>
      <c r="I442" s="2">
        <v>76</v>
      </c>
      <c r="J442" s="3">
        <v>120</v>
      </c>
      <c r="K442" s="3">
        <v>80</v>
      </c>
      <c r="L442" s="10">
        <f t="shared" si="86"/>
        <v>0</v>
      </c>
      <c r="M442" s="10">
        <f t="shared" ca="1" si="87"/>
        <v>2</v>
      </c>
      <c r="N442" s="10">
        <f t="shared" si="88"/>
        <v>0</v>
      </c>
      <c r="O442" s="10">
        <f t="shared" si="89"/>
        <v>3</v>
      </c>
      <c r="P442" s="10">
        <f t="shared" si="90"/>
        <v>0</v>
      </c>
      <c r="Q442" s="10">
        <f t="shared" si="91"/>
        <v>0</v>
      </c>
      <c r="R442" s="10">
        <f t="shared" ca="1" si="92"/>
        <v>5</v>
      </c>
      <c r="S442" s="10" t="str">
        <f t="shared" ca="1" si="93"/>
        <v>Không cần</v>
      </c>
      <c r="T442" s="10" t="str">
        <f t="shared" ca="1" si="94"/>
        <v>Không</v>
      </c>
      <c r="U442" s="10" t="str">
        <f t="shared" si="95"/>
        <v>Không</v>
      </c>
      <c r="V442" s="2" t="s">
        <v>91</v>
      </c>
      <c r="W442" s="4">
        <v>46142</v>
      </c>
      <c r="X442" s="8" t="str">
        <f t="shared" si="96"/>
        <v>Tháng 4</v>
      </c>
      <c r="Y442" s="8" t="str">
        <f t="shared" si="97"/>
        <v>Ấp Giồng Giữa</v>
      </c>
    </row>
    <row r="443" spans="1:25" x14ac:dyDescent="0.25">
      <c r="A443" s="1" t="s">
        <v>638</v>
      </c>
      <c r="B443" s="2" t="s">
        <v>23</v>
      </c>
      <c r="C443" s="2" t="s">
        <v>62</v>
      </c>
      <c r="D443" s="10">
        <f t="shared" ca="1" si="84"/>
        <v>64</v>
      </c>
      <c r="E443" s="2" t="s">
        <v>26</v>
      </c>
      <c r="F443" s="3">
        <v>158</v>
      </c>
      <c r="G443" s="3">
        <v>58</v>
      </c>
      <c r="H443" s="11">
        <f t="shared" si="85"/>
        <v>23.233456176894723</v>
      </c>
      <c r="I443" s="2">
        <v>86</v>
      </c>
      <c r="J443" s="3">
        <v>140</v>
      </c>
      <c r="K443" s="3">
        <v>80</v>
      </c>
      <c r="L443" s="10">
        <f t="shared" si="86"/>
        <v>0</v>
      </c>
      <c r="M443" s="10">
        <f t="shared" ca="1" si="87"/>
        <v>2</v>
      </c>
      <c r="N443" s="10">
        <f t="shared" si="88"/>
        <v>0</v>
      </c>
      <c r="O443" s="10">
        <f t="shared" si="89"/>
        <v>3</v>
      </c>
      <c r="P443" s="10">
        <f t="shared" si="90"/>
        <v>2</v>
      </c>
      <c r="Q443" s="10">
        <f t="shared" si="91"/>
        <v>2</v>
      </c>
      <c r="R443" s="10">
        <f t="shared" ca="1" si="92"/>
        <v>9</v>
      </c>
      <c r="S443" s="10" t="str">
        <f t="shared" ca="1" si="93"/>
        <v>Có</v>
      </c>
      <c r="T443" s="10" t="str">
        <f t="shared" ca="1" si="94"/>
        <v>Có</v>
      </c>
      <c r="U443" s="10" t="str">
        <f t="shared" si="95"/>
        <v>Có</v>
      </c>
      <c r="V443" s="2" t="s">
        <v>28</v>
      </c>
      <c r="W443" s="4">
        <v>46142</v>
      </c>
      <c r="X443" s="8" t="str">
        <f t="shared" si="96"/>
        <v>Tháng 4</v>
      </c>
      <c r="Y443" s="8" t="str">
        <f t="shared" si="97"/>
        <v>Ấp Biển Đông A</v>
      </c>
    </row>
    <row r="444" spans="1:25" x14ac:dyDescent="0.25">
      <c r="A444" s="1" t="s">
        <v>639</v>
      </c>
      <c r="B444" s="2" t="s">
        <v>30</v>
      </c>
      <c r="C444" s="2" t="s">
        <v>373</v>
      </c>
      <c r="D444" s="10">
        <f t="shared" ca="1" si="84"/>
        <v>61</v>
      </c>
      <c r="E444" s="2" t="s">
        <v>26</v>
      </c>
      <c r="F444" s="3">
        <v>159</v>
      </c>
      <c r="G444" s="3">
        <v>70</v>
      </c>
      <c r="H444" s="11">
        <f t="shared" si="85"/>
        <v>27.688778133776353</v>
      </c>
      <c r="I444" s="2">
        <v>71</v>
      </c>
      <c r="J444" s="3">
        <v>130</v>
      </c>
      <c r="K444" s="3">
        <v>80</v>
      </c>
      <c r="L444" s="10">
        <f t="shared" si="86"/>
        <v>2</v>
      </c>
      <c r="M444" s="10">
        <f t="shared" ca="1" si="87"/>
        <v>2</v>
      </c>
      <c r="N444" s="10">
        <f t="shared" si="88"/>
        <v>0</v>
      </c>
      <c r="O444" s="10">
        <f t="shared" si="89"/>
        <v>5</v>
      </c>
      <c r="P444" s="10">
        <f t="shared" si="90"/>
        <v>0</v>
      </c>
      <c r="Q444" s="10">
        <f t="shared" si="91"/>
        <v>0</v>
      </c>
      <c r="R444" s="10">
        <f t="shared" ca="1" si="92"/>
        <v>9</v>
      </c>
      <c r="S444" s="10" t="str">
        <f t="shared" ca="1" si="93"/>
        <v>Có</v>
      </c>
      <c r="T444" s="10" t="str">
        <f t="shared" ca="1" si="94"/>
        <v>Có</v>
      </c>
      <c r="U444" s="10" t="str">
        <f t="shared" si="95"/>
        <v>Không</v>
      </c>
      <c r="V444" s="2" t="s">
        <v>51</v>
      </c>
      <c r="W444" s="4">
        <v>46142</v>
      </c>
      <c r="X444" s="8" t="str">
        <f t="shared" si="96"/>
        <v>Tháng 4</v>
      </c>
      <c r="Y444" s="8" t="str">
        <f t="shared" si="97"/>
        <v>Phường Hiệp Thành</v>
      </c>
    </row>
    <row r="445" spans="1:25" x14ac:dyDescent="0.25">
      <c r="A445" s="1" t="s">
        <v>640</v>
      </c>
      <c r="B445" s="2" t="s">
        <v>23</v>
      </c>
      <c r="C445" s="2" t="s">
        <v>50</v>
      </c>
      <c r="D445" s="10">
        <f t="shared" ca="1" si="84"/>
        <v>58</v>
      </c>
      <c r="E445" s="2" t="s">
        <v>26</v>
      </c>
      <c r="F445" s="3">
        <v>163</v>
      </c>
      <c r="G445" s="3">
        <v>54</v>
      </c>
      <c r="H445" s="11">
        <f t="shared" si="85"/>
        <v>20.324438255109339</v>
      </c>
      <c r="I445" s="2">
        <v>87</v>
      </c>
      <c r="J445" s="3">
        <v>150</v>
      </c>
      <c r="K445" s="3">
        <v>80</v>
      </c>
      <c r="L445" s="10">
        <f t="shared" si="86"/>
        <v>0</v>
      </c>
      <c r="M445" s="10">
        <f t="shared" ca="1" si="87"/>
        <v>2</v>
      </c>
      <c r="N445" s="10">
        <f t="shared" si="88"/>
        <v>0</v>
      </c>
      <c r="O445" s="10">
        <f t="shared" si="89"/>
        <v>0</v>
      </c>
      <c r="P445" s="10">
        <f t="shared" si="90"/>
        <v>2</v>
      </c>
      <c r="Q445" s="10">
        <f t="shared" si="91"/>
        <v>2</v>
      </c>
      <c r="R445" s="10">
        <f t="shared" ca="1" si="92"/>
        <v>6</v>
      </c>
      <c r="S445" s="10" t="str">
        <f t="shared" ca="1" si="93"/>
        <v>Có</v>
      </c>
      <c r="T445" s="10" t="str">
        <f t="shared" ca="1" si="94"/>
        <v>Có</v>
      </c>
      <c r="U445" s="10" t="str">
        <f t="shared" si="95"/>
        <v>Có</v>
      </c>
      <c r="V445" s="2" t="s">
        <v>395</v>
      </c>
      <c r="W445" s="4">
        <v>46142</v>
      </c>
      <c r="X445" s="8" t="str">
        <f t="shared" si="96"/>
        <v>Tháng 4</v>
      </c>
      <c r="Y445" s="8" t="str">
        <f t="shared" si="97"/>
        <v>Khóm Chòm Xoài</v>
      </c>
    </row>
    <row r="446" spans="1:25" x14ac:dyDescent="0.25">
      <c r="A446" s="1" t="s">
        <v>641</v>
      </c>
      <c r="B446" s="2" t="s">
        <v>23</v>
      </c>
      <c r="C446" s="2" t="s">
        <v>45</v>
      </c>
      <c r="D446" s="10">
        <f t="shared" ca="1" si="84"/>
        <v>50</v>
      </c>
      <c r="E446" s="2" t="s">
        <v>25</v>
      </c>
      <c r="F446" s="3">
        <v>158</v>
      </c>
      <c r="G446" s="3">
        <v>58</v>
      </c>
      <c r="H446" s="11">
        <f t="shared" si="85"/>
        <v>23.233456176894723</v>
      </c>
      <c r="I446" s="2">
        <v>65</v>
      </c>
      <c r="J446" s="3">
        <v>120</v>
      </c>
      <c r="K446" s="3">
        <v>80</v>
      </c>
      <c r="L446" s="10">
        <f t="shared" si="86"/>
        <v>0</v>
      </c>
      <c r="M446" s="10">
        <f t="shared" ca="1" si="87"/>
        <v>2</v>
      </c>
      <c r="N446" s="10">
        <f t="shared" si="88"/>
        <v>4</v>
      </c>
      <c r="O446" s="10">
        <f t="shared" si="89"/>
        <v>3</v>
      </c>
      <c r="P446" s="10">
        <f t="shared" si="90"/>
        <v>0</v>
      </c>
      <c r="Q446" s="10">
        <f t="shared" si="91"/>
        <v>0</v>
      </c>
      <c r="R446" s="10">
        <f t="shared" ca="1" si="92"/>
        <v>9</v>
      </c>
      <c r="S446" s="10" t="str">
        <f t="shared" ca="1" si="93"/>
        <v>Có</v>
      </c>
      <c r="T446" s="10" t="str">
        <f t="shared" ca="1" si="94"/>
        <v>Có</v>
      </c>
      <c r="U446" s="10" t="str">
        <f t="shared" si="95"/>
        <v>Không</v>
      </c>
      <c r="V446" s="2" t="s">
        <v>51</v>
      </c>
      <c r="W446" s="4">
        <v>46112</v>
      </c>
      <c r="X446" s="8" t="str">
        <f t="shared" si="96"/>
        <v>Tháng 3</v>
      </c>
      <c r="Y446" s="8" t="str">
        <f t="shared" si="97"/>
        <v>Phường Hiệp Thành</v>
      </c>
    </row>
    <row r="447" spans="1:25" x14ac:dyDescent="0.25">
      <c r="A447" s="1" t="s">
        <v>642</v>
      </c>
      <c r="B447" s="2" t="s">
        <v>23</v>
      </c>
      <c r="C447" s="2" t="s">
        <v>268</v>
      </c>
      <c r="D447" s="10">
        <f t="shared" ca="1" si="84"/>
        <v>44</v>
      </c>
      <c r="E447" s="2" t="s">
        <v>26</v>
      </c>
      <c r="F447" s="3">
        <v>158</v>
      </c>
      <c r="G447" s="3">
        <v>58</v>
      </c>
      <c r="H447" s="11">
        <f t="shared" si="85"/>
        <v>23.233456176894723</v>
      </c>
      <c r="I447" s="2">
        <v>75</v>
      </c>
      <c r="J447" s="3">
        <v>120</v>
      </c>
      <c r="K447" s="3">
        <v>80</v>
      </c>
      <c r="L447" s="10">
        <f t="shared" si="86"/>
        <v>0</v>
      </c>
      <c r="M447" s="10">
        <f t="shared" ca="1" si="87"/>
        <v>0</v>
      </c>
      <c r="N447" s="10">
        <f t="shared" si="88"/>
        <v>0</v>
      </c>
      <c r="O447" s="10">
        <f t="shared" si="89"/>
        <v>3</v>
      </c>
      <c r="P447" s="10">
        <f t="shared" si="90"/>
        <v>0</v>
      </c>
      <c r="Q447" s="10">
        <f t="shared" si="91"/>
        <v>0</v>
      </c>
      <c r="R447" s="10">
        <f t="shared" ca="1" si="92"/>
        <v>3</v>
      </c>
      <c r="S447" s="10" t="str">
        <f t="shared" ca="1" si="93"/>
        <v>Không cần</v>
      </c>
      <c r="T447" s="10" t="str">
        <f t="shared" ca="1" si="94"/>
        <v>Không</v>
      </c>
      <c r="U447" s="10" t="str">
        <f t="shared" si="95"/>
        <v>Không</v>
      </c>
      <c r="V447" s="2" t="s">
        <v>111</v>
      </c>
      <c r="W447" s="4">
        <v>46081</v>
      </c>
      <c r="X447" s="8" t="str">
        <f t="shared" si="96"/>
        <v>Tháng 2</v>
      </c>
      <c r="Y447" s="8" t="str">
        <f t="shared" si="97"/>
        <v>Phường Vĩnh Trạch</v>
      </c>
    </row>
    <row r="448" spans="1:25" x14ac:dyDescent="0.25">
      <c r="A448" s="1" t="s">
        <v>643</v>
      </c>
      <c r="B448" s="2" t="s">
        <v>23</v>
      </c>
      <c r="C448" s="2" t="s">
        <v>50</v>
      </c>
      <c r="D448" s="10">
        <f t="shared" ca="1" si="84"/>
        <v>58</v>
      </c>
      <c r="E448" s="2" t="s">
        <v>26</v>
      </c>
      <c r="F448" s="3">
        <v>157</v>
      </c>
      <c r="G448" s="3">
        <v>85</v>
      </c>
      <c r="H448" s="11">
        <f t="shared" si="85"/>
        <v>34.484157572315304</v>
      </c>
      <c r="I448" s="2">
        <v>72</v>
      </c>
      <c r="J448" s="3">
        <v>130</v>
      </c>
      <c r="K448" s="3">
        <v>80</v>
      </c>
      <c r="L448" s="10">
        <f t="shared" si="86"/>
        <v>0</v>
      </c>
      <c r="M448" s="10">
        <f t="shared" ca="1" si="87"/>
        <v>2</v>
      </c>
      <c r="N448" s="10">
        <f t="shared" si="88"/>
        <v>0</v>
      </c>
      <c r="O448" s="10">
        <f t="shared" si="89"/>
        <v>5</v>
      </c>
      <c r="P448" s="10">
        <f t="shared" si="90"/>
        <v>0</v>
      </c>
      <c r="Q448" s="10">
        <f t="shared" si="91"/>
        <v>0</v>
      </c>
      <c r="R448" s="10">
        <f t="shared" ca="1" si="92"/>
        <v>7</v>
      </c>
      <c r="S448" s="10" t="str">
        <f t="shared" ca="1" si="93"/>
        <v>Có</v>
      </c>
      <c r="T448" s="10" t="str">
        <f t="shared" ca="1" si="94"/>
        <v>Có</v>
      </c>
      <c r="U448" s="10" t="str">
        <f t="shared" si="95"/>
        <v>Không</v>
      </c>
      <c r="V448" s="2" t="s">
        <v>319</v>
      </c>
      <c r="W448" s="4">
        <v>46142</v>
      </c>
      <c r="X448" s="8" t="str">
        <f t="shared" si="96"/>
        <v>Tháng 4</v>
      </c>
      <c r="Y448" s="8" t="str">
        <f t="shared" si="97"/>
        <v>Khóm Đầu Lộ A</v>
      </c>
    </row>
    <row r="449" spans="1:25" x14ac:dyDescent="0.25">
      <c r="A449" s="1" t="s">
        <v>644</v>
      </c>
      <c r="B449" s="2" t="s">
        <v>23</v>
      </c>
      <c r="C449" s="2" t="s">
        <v>87</v>
      </c>
      <c r="D449" s="10">
        <f t="shared" ca="1" si="84"/>
        <v>49</v>
      </c>
      <c r="E449" s="2" t="s">
        <v>26</v>
      </c>
      <c r="F449" s="3">
        <v>158</v>
      </c>
      <c r="G449" s="3">
        <v>58</v>
      </c>
      <c r="H449" s="11">
        <f t="shared" si="85"/>
        <v>23.233456176894723</v>
      </c>
      <c r="I449" s="2">
        <v>95</v>
      </c>
      <c r="J449" s="3">
        <v>130</v>
      </c>
      <c r="K449" s="3">
        <v>80</v>
      </c>
      <c r="L449" s="10">
        <f t="shared" si="86"/>
        <v>0</v>
      </c>
      <c r="M449" s="10">
        <f t="shared" ca="1" si="87"/>
        <v>1</v>
      </c>
      <c r="N449" s="10">
        <f t="shared" si="88"/>
        <v>0</v>
      </c>
      <c r="O449" s="10">
        <f t="shared" si="89"/>
        <v>3</v>
      </c>
      <c r="P449" s="10">
        <f t="shared" si="90"/>
        <v>2</v>
      </c>
      <c r="Q449" s="10">
        <f t="shared" si="91"/>
        <v>0</v>
      </c>
      <c r="R449" s="10">
        <f t="shared" ca="1" si="92"/>
        <v>6</v>
      </c>
      <c r="S449" s="10" t="str">
        <f t="shared" ca="1" si="93"/>
        <v>Có</v>
      </c>
      <c r="T449" s="10" t="str">
        <f t="shared" ca="1" si="94"/>
        <v>Có</v>
      </c>
      <c r="U449" s="10" t="str">
        <f t="shared" si="95"/>
        <v>Không</v>
      </c>
      <c r="V449" s="2" t="s">
        <v>306</v>
      </c>
      <c r="W449" s="4">
        <v>46142</v>
      </c>
      <c r="X449" s="8" t="str">
        <f t="shared" si="96"/>
        <v>Tháng 4</v>
      </c>
      <c r="Y449" s="8" t="str">
        <f t="shared" si="97"/>
        <v>Giồng Giữa A</v>
      </c>
    </row>
    <row r="450" spans="1:25" x14ac:dyDescent="0.25">
      <c r="A450" s="1" t="s">
        <v>645</v>
      </c>
      <c r="B450" s="2" t="s">
        <v>23</v>
      </c>
      <c r="C450" s="2" t="s">
        <v>188</v>
      </c>
      <c r="D450" s="10">
        <f t="shared" ca="1" si="84"/>
        <v>63</v>
      </c>
      <c r="E450" s="2" t="s">
        <v>26</v>
      </c>
      <c r="F450" s="3">
        <v>158</v>
      </c>
      <c r="G450" s="3">
        <v>58</v>
      </c>
      <c r="H450" s="11">
        <f t="shared" si="85"/>
        <v>23.233456176894723</v>
      </c>
      <c r="I450" s="2">
        <v>87</v>
      </c>
      <c r="J450" s="3">
        <v>160</v>
      </c>
      <c r="K450" s="3">
        <v>80</v>
      </c>
      <c r="L450" s="10">
        <f t="shared" si="86"/>
        <v>0</v>
      </c>
      <c r="M450" s="10">
        <f t="shared" ca="1" si="87"/>
        <v>2</v>
      </c>
      <c r="N450" s="10">
        <f t="shared" si="88"/>
        <v>0</v>
      </c>
      <c r="O450" s="10">
        <f t="shared" si="89"/>
        <v>3</v>
      </c>
      <c r="P450" s="10">
        <f t="shared" si="90"/>
        <v>2</v>
      </c>
      <c r="Q450" s="10">
        <f t="shared" si="91"/>
        <v>2</v>
      </c>
      <c r="R450" s="10">
        <f t="shared" ca="1" si="92"/>
        <v>9</v>
      </c>
      <c r="S450" s="10" t="str">
        <f t="shared" ca="1" si="93"/>
        <v>Có</v>
      </c>
      <c r="T450" s="10" t="str">
        <f t="shared" ca="1" si="94"/>
        <v>Có</v>
      </c>
      <c r="U450" s="10" t="str">
        <f t="shared" si="95"/>
        <v>Có</v>
      </c>
      <c r="V450" s="2" t="s">
        <v>38</v>
      </c>
      <c r="W450" s="4">
        <v>46081</v>
      </c>
      <c r="X450" s="8" t="str">
        <f t="shared" si="96"/>
        <v>Tháng 2</v>
      </c>
      <c r="Y450" s="8" t="str">
        <f t="shared" si="97"/>
        <v>Ấp Biển Đông B</v>
      </c>
    </row>
    <row r="451" spans="1:25" x14ac:dyDescent="0.25">
      <c r="A451" s="1" t="s">
        <v>646</v>
      </c>
      <c r="B451" s="2" t="s">
        <v>30</v>
      </c>
      <c r="C451" s="2" t="s">
        <v>56</v>
      </c>
      <c r="D451" s="10">
        <f t="shared" ref="D451:D514" ca="1" si="98">DATEDIF(C451,TODAY(),"Y")</f>
        <v>65</v>
      </c>
      <c r="E451" s="2" t="s">
        <v>25</v>
      </c>
      <c r="F451" s="3">
        <v>169</v>
      </c>
      <c r="G451" s="3">
        <v>68</v>
      </c>
      <c r="H451" s="11">
        <f t="shared" ref="H451:H514" si="99">G451/((F451/100)*(F451/100))</f>
        <v>23.808690171912751</v>
      </c>
      <c r="I451" s="2">
        <v>90</v>
      </c>
      <c r="J451" s="3">
        <v>120</v>
      </c>
      <c r="K451" s="3">
        <v>80</v>
      </c>
      <c r="L451" s="10">
        <f t="shared" ref="L451:L514" si="100">IF(B451="Nữ",0,2)</f>
        <v>2</v>
      </c>
      <c r="M451" s="10">
        <f t="shared" ref="M451:M514" ca="1" si="101">IF(D451&lt;45,0,IF(D451&lt;=49,1,2))</f>
        <v>2</v>
      </c>
      <c r="N451" s="10">
        <f t="shared" ref="N451:N514" si="102">IF(E451="Có",4,0)</f>
        <v>4</v>
      </c>
      <c r="O451" s="10">
        <f t="shared" ref="O451:O514" si="103">IF(H451&lt;23,0,IF(H451&lt;27.5,3,5))</f>
        <v>3</v>
      </c>
      <c r="P451" s="10">
        <f t="shared" ref="P451:P514" si="104">IF(OR(AND(B451="Nam",I451&gt;=90),AND(B451="Nữ",I451&gt;=80)),2,0)</f>
        <v>2</v>
      </c>
      <c r="Q451" s="10">
        <f t="shared" ref="Q451:Q514" si="105">IF(OR(J451&gt;=140,K451&gt;=90),2,0)</f>
        <v>0</v>
      </c>
      <c r="R451" s="10">
        <f t="shared" ref="R451:R514" ca="1" si="106">SUM(L451:Q451)</f>
        <v>13</v>
      </c>
      <c r="S451" s="10" t="str">
        <f t="shared" ref="S451:S514" ca="1" si="107">IF((R451)&gt;=6,"Có","Không cần")</f>
        <v>Có</v>
      </c>
      <c r="T451" s="10" t="str">
        <f t="shared" ref="T451:T514" ca="1" si="108">IF((R451)&gt;=6,"Có","Không")</f>
        <v>Có</v>
      </c>
      <c r="U451" s="10" t="str">
        <f t="shared" ref="U451:U514" si="109">IF(OR(J451&gt;=140,K451&gt;=90),"Có","Không")</f>
        <v>Không</v>
      </c>
      <c r="V451" s="2" t="s">
        <v>70</v>
      </c>
      <c r="W451" s="4">
        <v>46142</v>
      </c>
      <c r="X451" s="8" t="str">
        <f t="shared" ref="X451:X514" si="110">"Tháng "&amp;MONTH(W451)</f>
        <v>Tháng 4</v>
      </c>
      <c r="Y451" s="8" t="str">
        <f t="shared" ref="Y451:Y514" si="111">LEFT(V451,FIND(",",V451)-1)</f>
        <v>Ấp Biển Tây A</v>
      </c>
    </row>
    <row r="452" spans="1:25" x14ac:dyDescent="0.25">
      <c r="A452" s="1" t="s">
        <v>647</v>
      </c>
      <c r="B452" s="2" t="s">
        <v>30</v>
      </c>
      <c r="C452" s="2" t="s">
        <v>105</v>
      </c>
      <c r="D452" s="10">
        <f t="shared" ca="1" si="98"/>
        <v>60</v>
      </c>
      <c r="E452" s="2" t="s">
        <v>25</v>
      </c>
      <c r="F452" s="3">
        <v>162</v>
      </c>
      <c r="G452" s="3">
        <v>64</v>
      </c>
      <c r="H452" s="11">
        <f t="shared" si="99"/>
        <v>24.386526444139609</v>
      </c>
      <c r="I452" s="2">
        <v>76</v>
      </c>
      <c r="J452" s="3">
        <v>120</v>
      </c>
      <c r="K452" s="3">
        <v>80</v>
      </c>
      <c r="L452" s="10">
        <f t="shared" si="100"/>
        <v>2</v>
      </c>
      <c r="M452" s="10">
        <f t="shared" ca="1" si="101"/>
        <v>2</v>
      </c>
      <c r="N452" s="10">
        <f t="shared" si="102"/>
        <v>4</v>
      </c>
      <c r="O452" s="10">
        <f t="shared" si="103"/>
        <v>3</v>
      </c>
      <c r="P452" s="10">
        <f t="shared" si="104"/>
        <v>0</v>
      </c>
      <c r="Q452" s="10">
        <f t="shared" si="105"/>
        <v>0</v>
      </c>
      <c r="R452" s="10">
        <f t="shared" ca="1" si="106"/>
        <v>11</v>
      </c>
      <c r="S452" s="10" t="str">
        <f t="shared" ca="1" si="107"/>
        <v>Có</v>
      </c>
      <c r="T452" s="10" t="str">
        <f t="shared" ca="1" si="108"/>
        <v>Có</v>
      </c>
      <c r="U452" s="10" t="str">
        <f t="shared" si="109"/>
        <v>Không</v>
      </c>
      <c r="V452" s="2" t="s">
        <v>648</v>
      </c>
      <c r="W452" s="4">
        <v>46142</v>
      </c>
      <c r="X452" s="8" t="str">
        <f t="shared" si="110"/>
        <v>Tháng 4</v>
      </c>
      <c r="Y452" s="8" t="str">
        <f t="shared" si="111"/>
        <v>ấp Mai Hoa</v>
      </c>
    </row>
    <row r="453" spans="1:25" x14ac:dyDescent="0.25">
      <c r="A453" s="1" t="s">
        <v>649</v>
      </c>
      <c r="B453" s="2" t="s">
        <v>23</v>
      </c>
      <c r="C453" s="2" t="s">
        <v>133</v>
      </c>
      <c r="D453" s="10">
        <f t="shared" ca="1" si="98"/>
        <v>56</v>
      </c>
      <c r="E453" s="2" t="s">
        <v>26</v>
      </c>
      <c r="F453" s="3">
        <v>158</v>
      </c>
      <c r="G453" s="3">
        <v>58</v>
      </c>
      <c r="H453" s="11">
        <f t="shared" si="99"/>
        <v>23.233456176894723</v>
      </c>
      <c r="I453" s="2">
        <v>93</v>
      </c>
      <c r="J453" s="3">
        <v>140</v>
      </c>
      <c r="K453" s="3">
        <v>80</v>
      </c>
      <c r="L453" s="10">
        <f t="shared" si="100"/>
        <v>0</v>
      </c>
      <c r="M453" s="10">
        <f t="shared" ca="1" si="101"/>
        <v>2</v>
      </c>
      <c r="N453" s="10">
        <f t="shared" si="102"/>
        <v>0</v>
      </c>
      <c r="O453" s="10">
        <f t="shared" si="103"/>
        <v>3</v>
      </c>
      <c r="P453" s="10">
        <f t="shared" si="104"/>
        <v>2</v>
      </c>
      <c r="Q453" s="10">
        <f t="shared" si="105"/>
        <v>2</v>
      </c>
      <c r="R453" s="10">
        <f t="shared" ca="1" si="106"/>
        <v>9</v>
      </c>
      <c r="S453" s="10" t="str">
        <f t="shared" ca="1" si="107"/>
        <v>Có</v>
      </c>
      <c r="T453" s="10" t="str">
        <f t="shared" ca="1" si="108"/>
        <v>Có</v>
      </c>
      <c r="U453" s="10" t="str">
        <f t="shared" si="109"/>
        <v>Có</v>
      </c>
      <c r="V453" s="2" t="s">
        <v>650</v>
      </c>
      <c r="W453" s="4">
        <v>46142</v>
      </c>
      <c r="X453" s="8" t="str">
        <f t="shared" si="110"/>
        <v>Tháng 4</v>
      </c>
      <c r="Y453" s="8" t="str">
        <f t="shared" si="111"/>
        <v>TÂN QUI</v>
      </c>
    </row>
    <row r="454" spans="1:25" x14ac:dyDescent="0.25">
      <c r="A454" s="1" t="s">
        <v>651</v>
      </c>
      <c r="B454" s="2" t="s">
        <v>30</v>
      </c>
      <c r="C454" s="2" t="s">
        <v>40</v>
      </c>
      <c r="D454" s="10">
        <f t="shared" ca="1" si="98"/>
        <v>70</v>
      </c>
      <c r="E454" s="2" t="s">
        <v>26</v>
      </c>
      <c r="F454" s="3">
        <v>168</v>
      </c>
      <c r="G454" s="3">
        <v>68</v>
      </c>
      <c r="H454" s="11">
        <f t="shared" si="99"/>
        <v>24.092970521541954</v>
      </c>
      <c r="I454" s="2">
        <v>73</v>
      </c>
      <c r="J454" s="3">
        <v>120</v>
      </c>
      <c r="K454" s="3">
        <v>80</v>
      </c>
      <c r="L454" s="10">
        <f t="shared" si="100"/>
        <v>2</v>
      </c>
      <c r="M454" s="10">
        <f t="shared" ca="1" si="101"/>
        <v>2</v>
      </c>
      <c r="N454" s="10">
        <f t="shared" si="102"/>
        <v>0</v>
      </c>
      <c r="O454" s="10">
        <f t="shared" si="103"/>
        <v>3</v>
      </c>
      <c r="P454" s="10">
        <f t="shared" si="104"/>
        <v>0</v>
      </c>
      <c r="Q454" s="10">
        <f t="shared" si="105"/>
        <v>0</v>
      </c>
      <c r="R454" s="10">
        <f t="shared" ca="1" si="106"/>
        <v>7</v>
      </c>
      <c r="S454" s="10" t="str">
        <f t="shared" ca="1" si="107"/>
        <v>Có</v>
      </c>
      <c r="T454" s="10" t="str">
        <f t="shared" ca="1" si="108"/>
        <v>Có</v>
      </c>
      <c r="U454" s="10" t="str">
        <f t="shared" si="109"/>
        <v>Không</v>
      </c>
      <c r="V454" s="2" t="s">
        <v>652</v>
      </c>
      <c r="W454" s="4">
        <v>46142</v>
      </c>
      <c r="X454" s="8" t="str">
        <f t="shared" si="110"/>
        <v>Tháng 4</v>
      </c>
      <c r="Y454" s="8" t="str">
        <f t="shared" si="111"/>
        <v>ấp Sóc Bưng</v>
      </c>
    </row>
    <row r="455" spans="1:25" x14ac:dyDescent="0.25">
      <c r="A455" s="1" t="s">
        <v>653</v>
      </c>
      <c r="B455" s="2" t="s">
        <v>23</v>
      </c>
      <c r="C455" s="2" t="s">
        <v>56</v>
      </c>
      <c r="D455" s="10">
        <f t="shared" ca="1" si="98"/>
        <v>65</v>
      </c>
      <c r="E455" s="2" t="s">
        <v>26</v>
      </c>
      <c r="F455" s="3">
        <v>158</v>
      </c>
      <c r="G455" s="3">
        <v>58</v>
      </c>
      <c r="H455" s="11">
        <f t="shared" si="99"/>
        <v>23.233456176894723</v>
      </c>
      <c r="I455" s="2">
        <v>91</v>
      </c>
      <c r="J455" s="3">
        <v>150</v>
      </c>
      <c r="K455" s="3">
        <v>80</v>
      </c>
      <c r="L455" s="10">
        <f t="shared" si="100"/>
        <v>0</v>
      </c>
      <c r="M455" s="10">
        <f t="shared" ca="1" si="101"/>
        <v>2</v>
      </c>
      <c r="N455" s="10">
        <f t="shared" si="102"/>
        <v>0</v>
      </c>
      <c r="O455" s="10">
        <f t="shared" si="103"/>
        <v>3</v>
      </c>
      <c r="P455" s="10">
        <f t="shared" si="104"/>
        <v>2</v>
      </c>
      <c r="Q455" s="10">
        <f t="shared" si="105"/>
        <v>2</v>
      </c>
      <c r="R455" s="10">
        <f t="shared" ca="1" si="106"/>
        <v>9</v>
      </c>
      <c r="S455" s="10" t="str">
        <f t="shared" ca="1" si="107"/>
        <v>Có</v>
      </c>
      <c r="T455" s="10" t="str">
        <f t="shared" ca="1" si="108"/>
        <v>Có</v>
      </c>
      <c r="U455" s="10" t="str">
        <f t="shared" si="109"/>
        <v>Có</v>
      </c>
      <c r="V455" s="2" t="s">
        <v>70</v>
      </c>
      <c r="W455" s="4">
        <v>46142</v>
      </c>
      <c r="X455" s="8" t="str">
        <f t="shared" si="110"/>
        <v>Tháng 4</v>
      </c>
      <c r="Y455" s="8" t="str">
        <f t="shared" si="111"/>
        <v>Ấp Biển Tây A</v>
      </c>
    </row>
    <row r="456" spans="1:25" x14ac:dyDescent="0.25">
      <c r="A456" s="1" t="s">
        <v>654</v>
      </c>
      <c r="B456" s="2" t="s">
        <v>23</v>
      </c>
      <c r="C456" s="2" t="s">
        <v>268</v>
      </c>
      <c r="D456" s="10">
        <f t="shared" ca="1" si="98"/>
        <v>44</v>
      </c>
      <c r="E456" s="2" t="s">
        <v>26</v>
      </c>
      <c r="F456" s="3">
        <v>160</v>
      </c>
      <c r="G456" s="3">
        <v>70</v>
      </c>
      <c r="H456" s="11">
        <f t="shared" si="99"/>
        <v>27.343749999999996</v>
      </c>
      <c r="I456" s="2">
        <v>90</v>
      </c>
      <c r="J456" s="3">
        <v>120</v>
      </c>
      <c r="K456" s="3">
        <v>80</v>
      </c>
      <c r="L456" s="10">
        <f t="shared" si="100"/>
        <v>0</v>
      </c>
      <c r="M456" s="10">
        <f t="shared" ca="1" si="101"/>
        <v>0</v>
      </c>
      <c r="N456" s="10">
        <f t="shared" si="102"/>
        <v>0</v>
      </c>
      <c r="O456" s="10">
        <f t="shared" si="103"/>
        <v>3</v>
      </c>
      <c r="P456" s="10">
        <f t="shared" si="104"/>
        <v>2</v>
      </c>
      <c r="Q456" s="10">
        <f t="shared" si="105"/>
        <v>0</v>
      </c>
      <c r="R456" s="10">
        <f t="shared" ca="1" si="106"/>
        <v>5</v>
      </c>
      <c r="S456" s="10" t="str">
        <f t="shared" ca="1" si="107"/>
        <v>Không cần</v>
      </c>
      <c r="T456" s="10" t="str">
        <f t="shared" ca="1" si="108"/>
        <v>Không</v>
      </c>
      <c r="U456" s="10" t="str">
        <f t="shared" si="109"/>
        <v>Không</v>
      </c>
      <c r="V456" s="2" t="s">
        <v>655</v>
      </c>
      <c r="W456" s="4">
        <v>46112</v>
      </c>
      <c r="X456" s="8" t="str">
        <f t="shared" si="110"/>
        <v>Tháng 3</v>
      </c>
      <c r="Y456" s="8" t="str">
        <f t="shared" si="111"/>
        <v>Khóm 4</v>
      </c>
    </row>
    <row r="457" spans="1:25" x14ac:dyDescent="0.25">
      <c r="A457" s="1" t="s">
        <v>656</v>
      </c>
      <c r="B457" s="2" t="s">
        <v>30</v>
      </c>
      <c r="C457" s="2" t="s">
        <v>53</v>
      </c>
      <c r="D457" s="10">
        <f t="shared" ca="1" si="98"/>
        <v>72</v>
      </c>
      <c r="E457" s="2" t="s">
        <v>26</v>
      </c>
      <c r="F457" s="3">
        <v>156</v>
      </c>
      <c r="G457" s="3">
        <v>53</v>
      </c>
      <c r="H457" s="11">
        <f t="shared" si="99"/>
        <v>21.7784352399737</v>
      </c>
      <c r="I457" s="2">
        <v>71</v>
      </c>
      <c r="J457" s="3">
        <v>140</v>
      </c>
      <c r="K457" s="3">
        <v>80</v>
      </c>
      <c r="L457" s="10">
        <f t="shared" si="100"/>
        <v>2</v>
      </c>
      <c r="M457" s="10">
        <f t="shared" ca="1" si="101"/>
        <v>2</v>
      </c>
      <c r="N457" s="10">
        <f t="shared" si="102"/>
        <v>0</v>
      </c>
      <c r="O457" s="10">
        <f t="shared" si="103"/>
        <v>0</v>
      </c>
      <c r="P457" s="10">
        <f t="shared" si="104"/>
        <v>0</v>
      </c>
      <c r="Q457" s="10">
        <f t="shared" si="105"/>
        <v>2</v>
      </c>
      <c r="R457" s="10">
        <f t="shared" ca="1" si="106"/>
        <v>6</v>
      </c>
      <c r="S457" s="10" t="str">
        <f t="shared" ca="1" si="107"/>
        <v>Có</v>
      </c>
      <c r="T457" s="10" t="str">
        <f t="shared" ca="1" si="108"/>
        <v>Có</v>
      </c>
      <c r="U457" s="10" t="str">
        <f t="shared" si="109"/>
        <v>Có</v>
      </c>
      <c r="V457" s="2" t="s">
        <v>657</v>
      </c>
      <c r="W457" s="4">
        <v>46112</v>
      </c>
      <c r="X457" s="8" t="str">
        <f t="shared" si="110"/>
        <v>Tháng 3</v>
      </c>
      <c r="Y457" s="8" t="str">
        <f t="shared" si="111"/>
        <v>khóm 2</v>
      </c>
    </row>
    <row r="458" spans="1:25" x14ac:dyDescent="0.25">
      <c r="A458" s="1" t="s">
        <v>658</v>
      </c>
      <c r="B458" s="2" t="s">
        <v>23</v>
      </c>
      <c r="C458" s="2" t="s">
        <v>62</v>
      </c>
      <c r="D458" s="10">
        <f t="shared" ca="1" si="98"/>
        <v>64</v>
      </c>
      <c r="E458" s="2" t="s">
        <v>26</v>
      </c>
      <c r="F458" s="3">
        <v>169</v>
      </c>
      <c r="G458" s="3">
        <v>68</v>
      </c>
      <c r="H458" s="11">
        <f t="shared" si="99"/>
        <v>23.808690171912751</v>
      </c>
      <c r="I458" s="2">
        <v>96</v>
      </c>
      <c r="J458" s="3">
        <v>120</v>
      </c>
      <c r="K458" s="3">
        <v>80</v>
      </c>
      <c r="L458" s="10">
        <f t="shared" si="100"/>
        <v>0</v>
      </c>
      <c r="M458" s="10">
        <f t="shared" ca="1" si="101"/>
        <v>2</v>
      </c>
      <c r="N458" s="10">
        <f t="shared" si="102"/>
        <v>0</v>
      </c>
      <c r="O458" s="10">
        <f t="shared" si="103"/>
        <v>3</v>
      </c>
      <c r="P458" s="10">
        <f t="shared" si="104"/>
        <v>2</v>
      </c>
      <c r="Q458" s="10">
        <f t="shared" si="105"/>
        <v>0</v>
      </c>
      <c r="R458" s="10">
        <f t="shared" ca="1" si="106"/>
        <v>7</v>
      </c>
      <c r="S458" s="10" t="str">
        <f t="shared" ca="1" si="107"/>
        <v>Có</v>
      </c>
      <c r="T458" s="10" t="str">
        <f t="shared" ca="1" si="108"/>
        <v>Có</v>
      </c>
      <c r="U458" s="10" t="str">
        <f t="shared" si="109"/>
        <v>Không</v>
      </c>
      <c r="V458" s="2" t="s">
        <v>68</v>
      </c>
      <c r="W458" s="4">
        <v>46112</v>
      </c>
      <c r="X458" s="8" t="str">
        <f t="shared" si="110"/>
        <v>Tháng 3</v>
      </c>
      <c r="Y458" s="8" t="str">
        <f t="shared" si="111"/>
        <v>Ấp Biển Tây B</v>
      </c>
    </row>
    <row r="459" spans="1:25" x14ac:dyDescent="0.25">
      <c r="A459" s="1" t="s">
        <v>659</v>
      </c>
      <c r="B459" s="2" t="s">
        <v>30</v>
      </c>
      <c r="C459" s="2" t="s">
        <v>76</v>
      </c>
      <c r="D459" s="10">
        <f t="shared" ca="1" si="98"/>
        <v>68</v>
      </c>
      <c r="E459" s="2" t="s">
        <v>26</v>
      </c>
      <c r="F459" s="3">
        <v>160</v>
      </c>
      <c r="G459" s="3">
        <v>48</v>
      </c>
      <c r="H459" s="11">
        <f t="shared" si="99"/>
        <v>18.749999999999996</v>
      </c>
      <c r="I459" s="2">
        <v>65</v>
      </c>
      <c r="J459" s="3">
        <v>120</v>
      </c>
      <c r="K459" s="3">
        <v>70</v>
      </c>
      <c r="L459" s="10">
        <f t="shared" si="100"/>
        <v>2</v>
      </c>
      <c r="M459" s="10">
        <f t="shared" ca="1" si="101"/>
        <v>2</v>
      </c>
      <c r="N459" s="10">
        <f t="shared" si="102"/>
        <v>0</v>
      </c>
      <c r="O459" s="10">
        <f t="shared" si="103"/>
        <v>0</v>
      </c>
      <c r="P459" s="10">
        <f t="shared" si="104"/>
        <v>0</v>
      </c>
      <c r="Q459" s="10">
        <f t="shared" si="105"/>
        <v>0</v>
      </c>
      <c r="R459" s="10">
        <f t="shared" ca="1" si="106"/>
        <v>4</v>
      </c>
      <c r="S459" s="10" t="str">
        <f t="shared" ca="1" si="107"/>
        <v>Không cần</v>
      </c>
      <c r="T459" s="10" t="str">
        <f t="shared" ca="1" si="108"/>
        <v>Không</v>
      </c>
      <c r="U459" s="10" t="str">
        <f t="shared" si="109"/>
        <v>Không</v>
      </c>
      <c r="V459" s="2" t="s">
        <v>91</v>
      </c>
      <c r="W459" s="4">
        <v>46112</v>
      </c>
      <c r="X459" s="8" t="str">
        <f t="shared" si="110"/>
        <v>Tháng 3</v>
      </c>
      <c r="Y459" s="8" t="str">
        <f t="shared" si="111"/>
        <v>Ấp Giồng Giữa</v>
      </c>
    </row>
    <row r="460" spans="1:25" x14ac:dyDescent="0.25">
      <c r="A460" s="1" t="s">
        <v>660</v>
      </c>
      <c r="B460" s="2" t="s">
        <v>30</v>
      </c>
      <c r="C460" s="2" t="s">
        <v>50</v>
      </c>
      <c r="D460" s="10">
        <f t="shared" ca="1" si="98"/>
        <v>58</v>
      </c>
      <c r="E460" s="2" t="s">
        <v>26</v>
      </c>
      <c r="F460" s="3">
        <v>169</v>
      </c>
      <c r="G460" s="3">
        <v>68</v>
      </c>
      <c r="H460" s="11">
        <f t="shared" si="99"/>
        <v>23.808690171912751</v>
      </c>
      <c r="I460" s="2">
        <v>75</v>
      </c>
      <c r="J460" s="3">
        <v>150</v>
      </c>
      <c r="K460" s="3">
        <v>80</v>
      </c>
      <c r="L460" s="10">
        <f t="shared" si="100"/>
        <v>2</v>
      </c>
      <c r="M460" s="10">
        <f t="shared" ca="1" si="101"/>
        <v>2</v>
      </c>
      <c r="N460" s="10">
        <f t="shared" si="102"/>
        <v>0</v>
      </c>
      <c r="O460" s="10">
        <f t="shared" si="103"/>
        <v>3</v>
      </c>
      <c r="P460" s="10">
        <f t="shared" si="104"/>
        <v>0</v>
      </c>
      <c r="Q460" s="10">
        <f t="shared" si="105"/>
        <v>2</v>
      </c>
      <c r="R460" s="10">
        <f t="shared" ca="1" si="106"/>
        <v>9</v>
      </c>
      <c r="S460" s="10" t="str">
        <f t="shared" ca="1" si="107"/>
        <v>Có</v>
      </c>
      <c r="T460" s="10" t="str">
        <f t="shared" ca="1" si="108"/>
        <v>Có</v>
      </c>
      <c r="U460" s="10" t="str">
        <f t="shared" si="109"/>
        <v>Có</v>
      </c>
      <c r="V460" s="2" t="s">
        <v>38</v>
      </c>
      <c r="W460" s="4">
        <v>46112</v>
      </c>
      <c r="X460" s="8" t="str">
        <f t="shared" si="110"/>
        <v>Tháng 3</v>
      </c>
      <c r="Y460" s="8" t="str">
        <f t="shared" si="111"/>
        <v>Ấp Biển Đông B</v>
      </c>
    </row>
    <row r="461" spans="1:25" x14ac:dyDescent="0.25">
      <c r="A461" s="1" t="s">
        <v>661</v>
      </c>
      <c r="B461" s="2" t="s">
        <v>30</v>
      </c>
      <c r="C461" s="2" t="s">
        <v>59</v>
      </c>
      <c r="D461" s="10">
        <f t="shared" ca="1" si="98"/>
        <v>74</v>
      </c>
      <c r="E461" s="2" t="s">
        <v>26</v>
      </c>
      <c r="F461" s="3">
        <v>169</v>
      </c>
      <c r="G461" s="3">
        <v>68</v>
      </c>
      <c r="H461" s="11">
        <f t="shared" si="99"/>
        <v>23.808690171912751</v>
      </c>
      <c r="I461" s="2">
        <v>83</v>
      </c>
      <c r="J461" s="3">
        <v>120</v>
      </c>
      <c r="K461" s="3">
        <v>80</v>
      </c>
      <c r="L461" s="10">
        <f t="shared" si="100"/>
        <v>2</v>
      </c>
      <c r="M461" s="10">
        <f t="shared" ca="1" si="101"/>
        <v>2</v>
      </c>
      <c r="N461" s="10">
        <f t="shared" si="102"/>
        <v>0</v>
      </c>
      <c r="O461" s="10">
        <f t="shared" si="103"/>
        <v>3</v>
      </c>
      <c r="P461" s="10">
        <f t="shared" si="104"/>
        <v>0</v>
      </c>
      <c r="Q461" s="10">
        <f t="shared" si="105"/>
        <v>0</v>
      </c>
      <c r="R461" s="10">
        <f t="shared" ca="1" si="106"/>
        <v>7</v>
      </c>
      <c r="S461" s="10" t="str">
        <f t="shared" ca="1" si="107"/>
        <v>Có</v>
      </c>
      <c r="T461" s="10" t="str">
        <f t="shared" ca="1" si="108"/>
        <v>Có</v>
      </c>
      <c r="U461" s="10" t="str">
        <f t="shared" si="109"/>
        <v>Không</v>
      </c>
      <c r="V461" s="2" t="s">
        <v>28</v>
      </c>
      <c r="W461" s="4">
        <v>46112</v>
      </c>
      <c r="X461" s="8" t="str">
        <f t="shared" si="110"/>
        <v>Tháng 3</v>
      </c>
      <c r="Y461" s="8" t="str">
        <f t="shared" si="111"/>
        <v>Ấp Biển Đông A</v>
      </c>
    </row>
    <row r="462" spans="1:25" x14ac:dyDescent="0.25">
      <c r="A462" s="1" t="s">
        <v>662</v>
      </c>
      <c r="B462" s="2" t="s">
        <v>23</v>
      </c>
      <c r="C462" s="2" t="s">
        <v>155</v>
      </c>
      <c r="D462" s="10">
        <f t="shared" ca="1" si="98"/>
        <v>53</v>
      </c>
      <c r="E462" s="2" t="s">
        <v>26</v>
      </c>
      <c r="F462" s="3">
        <v>158</v>
      </c>
      <c r="G462" s="3">
        <v>58</v>
      </c>
      <c r="H462" s="11">
        <f t="shared" si="99"/>
        <v>23.233456176894723</v>
      </c>
      <c r="I462" s="2">
        <v>73</v>
      </c>
      <c r="J462" s="3">
        <v>130</v>
      </c>
      <c r="K462" s="3">
        <v>80</v>
      </c>
      <c r="L462" s="10">
        <f t="shared" si="100"/>
        <v>0</v>
      </c>
      <c r="M462" s="10">
        <f t="shared" ca="1" si="101"/>
        <v>2</v>
      </c>
      <c r="N462" s="10">
        <f t="shared" si="102"/>
        <v>0</v>
      </c>
      <c r="O462" s="10">
        <f t="shared" si="103"/>
        <v>3</v>
      </c>
      <c r="P462" s="10">
        <f t="shared" si="104"/>
        <v>0</v>
      </c>
      <c r="Q462" s="10">
        <f t="shared" si="105"/>
        <v>0</v>
      </c>
      <c r="R462" s="10">
        <f t="shared" ca="1" si="106"/>
        <v>5</v>
      </c>
      <c r="S462" s="10" t="str">
        <f t="shared" ca="1" si="107"/>
        <v>Không cần</v>
      </c>
      <c r="T462" s="10" t="str">
        <f t="shared" ca="1" si="108"/>
        <v>Không</v>
      </c>
      <c r="U462" s="10" t="str">
        <f t="shared" si="109"/>
        <v>Không</v>
      </c>
      <c r="V462" s="2" t="s">
        <v>246</v>
      </c>
      <c r="W462" s="4">
        <v>46112</v>
      </c>
      <c r="X462" s="8" t="str">
        <f t="shared" si="110"/>
        <v>Tháng 3</v>
      </c>
      <c r="Y462" s="8" t="str">
        <f t="shared" si="111"/>
        <v>ấp Biển Tây B</v>
      </c>
    </row>
    <row r="463" spans="1:25" x14ac:dyDescent="0.25">
      <c r="A463" s="1" t="s">
        <v>663</v>
      </c>
      <c r="B463" s="2" t="s">
        <v>30</v>
      </c>
      <c r="C463" s="2" t="s">
        <v>146</v>
      </c>
      <c r="D463" s="10">
        <f t="shared" ca="1" si="98"/>
        <v>52</v>
      </c>
      <c r="E463" s="2" t="s">
        <v>26</v>
      </c>
      <c r="F463" s="3">
        <v>169</v>
      </c>
      <c r="G463" s="3">
        <v>68</v>
      </c>
      <c r="H463" s="11">
        <f t="shared" si="99"/>
        <v>23.808690171912751</v>
      </c>
      <c r="I463" s="2">
        <v>68</v>
      </c>
      <c r="J463" s="3">
        <v>120</v>
      </c>
      <c r="K463" s="3">
        <v>80</v>
      </c>
      <c r="L463" s="10">
        <f t="shared" si="100"/>
        <v>2</v>
      </c>
      <c r="M463" s="10">
        <f t="shared" ca="1" si="101"/>
        <v>2</v>
      </c>
      <c r="N463" s="10">
        <f t="shared" si="102"/>
        <v>0</v>
      </c>
      <c r="O463" s="10">
        <f t="shared" si="103"/>
        <v>3</v>
      </c>
      <c r="P463" s="10">
        <f t="shared" si="104"/>
        <v>0</v>
      </c>
      <c r="Q463" s="10">
        <f t="shared" si="105"/>
        <v>0</v>
      </c>
      <c r="R463" s="10">
        <f t="shared" ca="1" si="106"/>
        <v>7</v>
      </c>
      <c r="S463" s="10" t="str">
        <f t="shared" ca="1" si="107"/>
        <v>Có</v>
      </c>
      <c r="T463" s="10" t="str">
        <f t="shared" ca="1" si="108"/>
        <v>Có</v>
      </c>
      <c r="U463" s="10" t="str">
        <f t="shared" si="109"/>
        <v>Không</v>
      </c>
      <c r="V463" s="2" t="s">
        <v>234</v>
      </c>
      <c r="W463" s="4">
        <v>46112</v>
      </c>
      <c r="X463" s="8" t="str">
        <f t="shared" si="110"/>
        <v>Tháng 3</v>
      </c>
      <c r="Y463" s="8" t="str">
        <f t="shared" si="111"/>
        <v>ấp Biển Đông B</v>
      </c>
    </row>
    <row r="464" spans="1:25" x14ac:dyDescent="0.25">
      <c r="A464" s="1" t="s">
        <v>664</v>
      </c>
      <c r="B464" s="2" t="s">
        <v>30</v>
      </c>
      <c r="C464" s="2" t="s">
        <v>394</v>
      </c>
      <c r="D464" s="10">
        <f t="shared" ca="1" si="98"/>
        <v>45</v>
      </c>
      <c r="E464" s="2" t="s">
        <v>26</v>
      </c>
      <c r="F464" s="3">
        <v>160</v>
      </c>
      <c r="G464" s="3">
        <v>60</v>
      </c>
      <c r="H464" s="11">
        <f t="shared" si="99"/>
        <v>23.437499999999996</v>
      </c>
      <c r="I464" s="2">
        <v>83</v>
      </c>
      <c r="J464" s="3">
        <v>120</v>
      </c>
      <c r="K464" s="3">
        <v>80</v>
      </c>
      <c r="L464" s="10">
        <f t="shared" si="100"/>
        <v>2</v>
      </c>
      <c r="M464" s="10">
        <f t="shared" ca="1" si="101"/>
        <v>1</v>
      </c>
      <c r="N464" s="10">
        <f t="shared" si="102"/>
        <v>0</v>
      </c>
      <c r="O464" s="10">
        <f t="shared" si="103"/>
        <v>3</v>
      </c>
      <c r="P464" s="10">
        <f t="shared" si="104"/>
        <v>0</v>
      </c>
      <c r="Q464" s="10">
        <f t="shared" si="105"/>
        <v>0</v>
      </c>
      <c r="R464" s="10">
        <f t="shared" ca="1" si="106"/>
        <v>6</v>
      </c>
      <c r="S464" s="10" t="str">
        <f t="shared" ca="1" si="107"/>
        <v>Có</v>
      </c>
      <c r="T464" s="10" t="str">
        <f t="shared" ca="1" si="108"/>
        <v>Có</v>
      </c>
      <c r="U464" s="10" t="str">
        <f t="shared" si="109"/>
        <v>Không</v>
      </c>
      <c r="V464" s="2" t="s">
        <v>51</v>
      </c>
      <c r="W464" s="4">
        <v>46112</v>
      </c>
      <c r="X464" s="8" t="str">
        <f t="shared" si="110"/>
        <v>Tháng 3</v>
      </c>
      <c r="Y464" s="8" t="str">
        <f t="shared" si="111"/>
        <v>Phường Hiệp Thành</v>
      </c>
    </row>
    <row r="465" spans="1:25" x14ac:dyDescent="0.25">
      <c r="A465" s="1" t="s">
        <v>665</v>
      </c>
      <c r="B465" s="2" t="s">
        <v>23</v>
      </c>
      <c r="C465" s="2" t="s">
        <v>82</v>
      </c>
      <c r="D465" s="10">
        <f t="shared" ca="1" si="98"/>
        <v>73</v>
      </c>
      <c r="E465" s="2" t="s">
        <v>25</v>
      </c>
      <c r="F465" s="3">
        <v>158</v>
      </c>
      <c r="G465" s="3">
        <v>58</v>
      </c>
      <c r="H465" s="11">
        <f t="shared" si="99"/>
        <v>23.233456176894723</v>
      </c>
      <c r="I465" s="2">
        <v>79</v>
      </c>
      <c r="J465" s="3">
        <v>150</v>
      </c>
      <c r="K465" s="3">
        <v>80</v>
      </c>
      <c r="L465" s="10">
        <f t="shared" si="100"/>
        <v>0</v>
      </c>
      <c r="M465" s="10">
        <f t="shared" ca="1" si="101"/>
        <v>2</v>
      </c>
      <c r="N465" s="10">
        <f t="shared" si="102"/>
        <v>4</v>
      </c>
      <c r="O465" s="10">
        <f t="shared" si="103"/>
        <v>3</v>
      </c>
      <c r="P465" s="10">
        <f t="shared" si="104"/>
        <v>0</v>
      </c>
      <c r="Q465" s="10">
        <f t="shared" si="105"/>
        <v>2</v>
      </c>
      <c r="R465" s="10">
        <f t="shared" ca="1" si="106"/>
        <v>11</v>
      </c>
      <c r="S465" s="10" t="str">
        <f t="shared" ca="1" si="107"/>
        <v>Có</v>
      </c>
      <c r="T465" s="10" t="str">
        <f t="shared" ca="1" si="108"/>
        <v>Có</v>
      </c>
      <c r="U465" s="10" t="str">
        <f t="shared" si="109"/>
        <v>Có</v>
      </c>
      <c r="V465" s="2" t="s">
        <v>48</v>
      </c>
      <c r="W465" s="4">
        <v>46112</v>
      </c>
      <c r="X465" s="8" t="str">
        <f t="shared" si="110"/>
        <v>Tháng 3</v>
      </c>
      <c r="Y465" s="8" t="str">
        <f t="shared" si="111"/>
        <v>ấp Giồng Giữa A</v>
      </c>
    </row>
    <row r="466" spans="1:25" x14ac:dyDescent="0.25">
      <c r="A466" s="1" t="s">
        <v>666</v>
      </c>
      <c r="B466" s="2" t="s">
        <v>23</v>
      </c>
      <c r="C466" s="2" t="s">
        <v>138</v>
      </c>
      <c r="D466" s="10">
        <f t="shared" ca="1" si="98"/>
        <v>67</v>
      </c>
      <c r="E466" s="2" t="s">
        <v>26</v>
      </c>
      <c r="F466" s="3">
        <v>168</v>
      </c>
      <c r="G466" s="3">
        <v>68</v>
      </c>
      <c r="H466" s="11">
        <f t="shared" si="99"/>
        <v>24.092970521541954</v>
      </c>
      <c r="I466" s="2">
        <v>89</v>
      </c>
      <c r="J466" s="3">
        <v>120</v>
      </c>
      <c r="K466" s="3">
        <v>80</v>
      </c>
      <c r="L466" s="10">
        <f t="shared" si="100"/>
        <v>0</v>
      </c>
      <c r="M466" s="10">
        <f t="shared" ca="1" si="101"/>
        <v>2</v>
      </c>
      <c r="N466" s="10">
        <f t="shared" si="102"/>
        <v>0</v>
      </c>
      <c r="O466" s="10">
        <f t="shared" si="103"/>
        <v>3</v>
      </c>
      <c r="P466" s="10">
        <f t="shared" si="104"/>
        <v>2</v>
      </c>
      <c r="Q466" s="10">
        <f t="shared" si="105"/>
        <v>0</v>
      </c>
      <c r="R466" s="10">
        <f t="shared" ca="1" si="106"/>
        <v>7</v>
      </c>
      <c r="S466" s="10" t="str">
        <f t="shared" ca="1" si="107"/>
        <v>Có</v>
      </c>
      <c r="T466" s="10" t="str">
        <f t="shared" ca="1" si="108"/>
        <v>Có</v>
      </c>
      <c r="U466" s="10" t="str">
        <f t="shared" si="109"/>
        <v>Không</v>
      </c>
      <c r="V466" s="2" t="s">
        <v>68</v>
      </c>
      <c r="W466" s="4">
        <v>46142</v>
      </c>
      <c r="X466" s="8" t="str">
        <f t="shared" si="110"/>
        <v>Tháng 4</v>
      </c>
      <c r="Y466" s="8" t="str">
        <f t="shared" si="111"/>
        <v>Ấp Biển Tây B</v>
      </c>
    </row>
    <row r="467" spans="1:25" x14ac:dyDescent="0.25">
      <c r="A467" s="1" t="s">
        <v>667</v>
      </c>
      <c r="B467" s="2" t="s">
        <v>23</v>
      </c>
      <c r="C467" s="2" t="s">
        <v>76</v>
      </c>
      <c r="D467" s="10">
        <f t="shared" ca="1" si="98"/>
        <v>68</v>
      </c>
      <c r="E467" s="2" t="s">
        <v>26</v>
      </c>
      <c r="F467" s="3">
        <v>168</v>
      </c>
      <c r="G467" s="3">
        <v>68</v>
      </c>
      <c r="H467" s="11">
        <f t="shared" si="99"/>
        <v>24.092970521541954</v>
      </c>
      <c r="I467" s="2">
        <v>85</v>
      </c>
      <c r="J467" s="3">
        <v>120</v>
      </c>
      <c r="K467" s="3">
        <v>80</v>
      </c>
      <c r="L467" s="10">
        <f t="shared" si="100"/>
        <v>0</v>
      </c>
      <c r="M467" s="10">
        <f t="shared" ca="1" si="101"/>
        <v>2</v>
      </c>
      <c r="N467" s="10">
        <f t="shared" si="102"/>
        <v>0</v>
      </c>
      <c r="O467" s="10">
        <f t="shared" si="103"/>
        <v>3</v>
      </c>
      <c r="P467" s="10">
        <f t="shared" si="104"/>
        <v>2</v>
      </c>
      <c r="Q467" s="10">
        <f t="shared" si="105"/>
        <v>0</v>
      </c>
      <c r="R467" s="10">
        <f t="shared" ca="1" si="106"/>
        <v>7</v>
      </c>
      <c r="S467" s="10" t="str">
        <f t="shared" ca="1" si="107"/>
        <v>Có</v>
      </c>
      <c r="T467" s="10" t="str">
        <f t="shared" ca="1" si="108"/>
        <v>Có</v>
      </c>
      <c r="U467" s="10" t="str">
        <f t="shared" si="109"/>
        <v>Không</v>
      </c>
      <c r="V467" s="2" t="s">
        <v>51</v>
      </c>
      <c r="W467" s="4">
        <v>46142</v>
      </c>
      <c r="X467" s="8" t="str">
        <f t="shared" si="110"/>
        <v>Tháng 4</v>
      </c>
      <c r="Y467" s="8" t="str">
        <f t="shared" si="111"/>
        <v>Phường Hiệp Thành</v>
      </c>
    </row>
    <row r="468" spans="1:25" x14ac:dyDescent="0.25">
      <c r="A468" s="1" t="s">
        <v>668</v>
      </c>
      <c r="B468" s="2" t="s">
        <v>30</v>
      </c>
      <c r="C468" s="2" t="s">
        <v>93</v>
      </c>
      <c r="D468" s="10">
        <f t="shared" ca="1" si="98"/>
        <v>66</v>
      </c>
      <c r="E468" s="2" t="s">
        <v>25</v>
      </c>
      <c r="F468" s="3">
        <v>169</v>
      </c>
      <c r="G468" s="3">
        <v>68</v>
      </c>
      <c r="H468" s="11">
        <f t="shared" si="99"/>
        <v>23.808690171912751</v>
      </c>
      <c r="I468" s="2">
        <v>72</v>
      </c>
      <c r="J468" s="3">
        <v>120</v>
      </c>
      <c r="K468" s="3">
        <v>80</v>
      </c>
      <c r="L468" s="10">
        <f t="shared" si="100"/>
        <v>2</v>
      </c>
      <c r="M468" s="10">
        <f t="shared" ca="1" si="101"/>
        <v>2</v>
      </c>
      <c r="N468" s="10">
        <f t="shared" si="102"/>
        <v>4</v>
      </c>
      <c r="O468" s="10">
        <f t="shared" si="103"/>
        <v>3</v>
      </c>
      <c r="P468" s="10">
        <f t="shared" si="104"/>
        <v>0</v>
      </c>
      <c r="Q468" s="10">
        <f t="shared" si="105"/>
        <v>0</v>
      </c>
      <c r="R468" s="10">
        <f t="shared" ca="1" si="106"/>
        <v>11</v>
      </c>
      <c r="S468" s="10" t="str">
        <f t="shared" ca="1" si="107"/>
        <v>Có</v>
      </c>
      <c r="T468" s="10" t="str">
        <f t="shared" ca="1" si="108"/>
        <v>Có</v>
      </c>
      <c r="U468" s="10" t="str">
        <f t="shared" si="109"/>
        <v>Không</v>
      </c>
      <c r="V468" s="2" t="s">
        <v>38</v>
      </c>
      <c r="W468" s="4">
        <v>46142</v>
      </c>
      <c r="X468" s="8" t="str">
        <f t="shared" si="110"/>
        <v>Tháng 4</v>
      </c>
      <c r="Y468" s="8" t="str">
        <f t="shared" si="111"/>
        <v>Ấp Biển Đông B</v>
      </c>
    </row>
    <row r="469" spans="1:25" x14ac:dyDescent="0.25">
      <c r="A469" s="1" t="s">
        <v>669</v>
      </c>
      <c r="B469" s="2" t="s">
        <v>30</v>
      </c>
      <c r="C469" s="2" t="s">
        <v>273</v>
      </c>
      <c r="D469" s="10">
        <f t="shared" ca="1" si="98"/>
        <v>47</v>
      </c>
      <c r="E469" s="2" t="s">
        <v>26</v>
      </c>
      <c r="F469" s="3">
        <v>170</v>
      </c>
      <c r="G469" s="3">
        <v>60</v>
      </c>
      <c r="H469" s="11">
        <f t="shared" si="99"/>
        <v>20.761245674740486</v>
      </c>
      <c r="I469" s="2">
        <v>86</v>
      </c>
      <c r="J469" s="3">
        <v>120</v>
      </c>
      <c r="K469" s="3">
        <v>80</v>
      </c>
      <c r="L469" s="10">
        <f t="shared" si="100"/>
        <v>2</v>
      </c>
      <c r="M469" s="10">
        <f t="shared" ca="1" si="101"/>
        <v>1</v>
      </c>
      <c r="N469" s="10">
        <f t="shared" si="102"/>
        <v>0</v>
      </c>
      <c r="O469" s="10">
        <f t="shared" si="103"/>
        <v>0</v>
      </c>
      <c r="P469" s="10">
        <f t="shared" si="104"/>
        <v>0</v>
      </c>
      <c r="Q469" s="10">
        <f t="shared" si="105"/>
        <v>0</v>
      </c>
      <c r="R469" s="10">
        <f t="shared" ca="1" si="106"/>
        <v>3</v>
      </c>
      <c r="S469" s="10" t="str">
        <f t="shared" ca="1" si="107"/>
        <v>Không cần</v>
      </c>
      <c r="T469" s="10" t="str">
        <f t="shared" ca="1" si="108"/>
        <v>Không</v>
      </c>
      <c r="U469" s="10" t="str">
        <f t="shared" si="109"/>
        <v>Không</v>
      </c>
      <c r="V469" s="2" t="s">
        <v>670</v>
      </c>
      <c r="W469" s="4">
        <v>46142</v>
      </c>
      <c r="X469" s="8" t="str">
        <f t="shared" si="110"/>
        <v>Tháng 4</v>
      </c>
      <c r="Y469" s="8" t="str">
        <f t="shared" si="111"/>
        <v>C4/33E Ấp 24 Tân Nhựt</v>
      </c>
    </row>
    <row r="470" spans="1:25" x14ac:dyDescent="0.25">
      <c r="A470" s="1" t="s">
        <v>671</v>
      </c>
      <c r="B470" s="2" t="s">
        <v>23</v>
      </c>
      <c r="C470" s="2" t="s">
        <v>40</v>
      </c>
      <c r="D470" s="10">
        <f t="shared" ca="1" si="98"/>
        <v>70</v>
      </c>
      <c r="E470" s="2" t="s">
        <v>26</v>
      </c>
      <c r="F470" s="3">
        <v>158</v>
      </c>
      <c r="G470" s="3">
        <v>58</v>
      </c>
      <c r="H470" s="11">
        <f t="shared" si="99"/>
        <v>23.233456176894723</v>
      </c>
      <c r="I470" s="2">
        <v>99</v>
      </c>
      <c r="J470" s="3">
        <v>130</v>
      </c>
      <c r="K470" s="3">
        <v>80</v>
      </c>
      <c r="L470" s="10">
        <f t="shared" si="100"/>
        <v>0</v>
      </c>
      <c r="M470" s="10">
        <f t="shared" ca="1" si="101"/>
        <v>2</v>
      </c>
      <c r="N470" s="10">
        <f t="shared" si="102"/>
        <v>0</v>
      </c>
      <c r="O470" s="10">
        <f t="shared" si="103"/>
        <v>3</v>
      </c>
      <c r="P470" s="10">
        <f t="shared" si="104"/>
        <v>2</v>
      </c>
      <c r="Q470" s="10">
        <f t="shared" si="105"/>
        <v>0</v>
      </c>
      <c r="R470" s="10">
        <f t="shared" ca="1" si="106"/>
        <v>7</v>
      </c>
      <c r="S470" s="10" t="str">
        <f t="shared" ca="1" si="107"/>
        <v>Có</v>
      </c>
      <c r="T470" s="10" t="str">
        <f t="shared" ca="1" si="108"/>
        <v>Có</v>
      </c>
      <c r="U470" s="10" t="str">
        <f t="shared" si="109"/>
        <v>Không</v>
      </c>
      <c r="V470" s="2" t="s">
        <v>68</v>
      </c>
      <c r="W470" s="4">
        <v>46142</v>
      </c>
      <c r="X470" s="8" t="str">
        <f t="shared" si="110"/>
        <v>Tháng 4</v>
      </c>
      <c r="Y470" s="8" t="str">
        <f t="shared" si="111"/>
        <v>Ấp Biển Tây B</v>
      </c>
    </row>
    <row r="471" spans="1:25" x14ac:dyDescent="0.25">
      <c r="A471" s="1" t="s">
        <v>672</v>
      </c>
      <c r="B471" s="2" t="s">
        <v>23</v>
      </c>
      <c r="C471" s="2" t="s">
        <v>67</v>
      </c>
      <c r="D471" s="10">
        <f t="shared" ca="1" si="98"/>
        <v>48</v>
      </c>
      <c r="E471" s="2" t="s">
        <v>26</v>
      </c>
      <c r="F471" s="3">
        <v>160</v>
      </c>
      <c r="G471" s="3">
        <v>52</v>
      </c>
      <c r="H471" s="11">
        <f t="shared" si="99"/>
        <v>20.312499999999996</v>
      </c>
      <c r="I471" s="2">
        <v>99</v>
      </c>
      <c r="J471" s="3">
        <v>130</v>
      </c>
      <c r="K471" s="3">
        <v>80</v>
      </c>
      <c r="L471" s="10">
        <f t="shared" si="100"/>
        <v>0</v>
      </c>
      <c r="M471" s="10">
        <f t="shared" ca="1" si="101"/>
        <v>1</v>
      </c>
      <c r="N471" s="10">
        <f t="shared" si="102"/>
        <v>0</v>
      </c>
      <c r="O471" s="10">
        <f t="shared" si="103"/>
        <v>0</v>
      </c>
      <c r="P471" s="10">
        <f t="shared" si="104"/>
        <v>2</v>
      </c>
      <c r="Q471" s="10">
        <f t="shared" si="105"/>
        <v>0</v>
      </c>
      <c r="R471" s="10">
        <f t="shared" ca="1" si="106"/>
        <v>3</v>
      </c>
      <c r="S471" s="10" t="str">
        <f t="shared" ca="1" si="107"/>
        <v>Không cần</v>
      </c>
      <c r="T471" s="10" t="str">
        <f t="shared" ca="1" si="108"/>
        <v>Không</v>
      </c>
      <c r="U471" s="10" t="str">
        <f t="shared" si="109"/>
        <v>Không</v>
      </c>
      <c r="V471" s="2" t="s">
        <v>215</v>
      </c>
      <c r="W471" s="4">
        <v>46142</v>
      </c>
      <c r="X471" s="8" t="str">
        <f t="shared" si="110"/>
        <v>Tháng 4</v>
      </c>
      <c r="Y471" s="8" t="str">
        <f t="shared" si="111"/>
        <v>Giồng Nhãn A</v>
      </c>
    </row>
    <row r="472" spans="1:25" x14ac:dyDescent="0.25">
      <c r="A472" s="1" t="s">
        <v>673</v>
      </c>
      <c r="B472" s="2" t="s">
        <v>23</v>
      </c>
      <c r="C472" s="2" t="s">
        <v>62</v>
      </c>
      <c r="D472" s="10">
        <f t="shared" ca="1" si="98"/>
        <v>64</v>
      </c>
      <c r="E472" s="2" t="s">
        <v>26</v>
      </c>
      <c r="F472" s="3">
        <v>158</v>
      </c>
      <c r="G472" s="3">
        <v>58</v>
      </c>
      <c r="H472" s="11">
        <f t="shared" si="99"/>
        <v>23.233456176894723</v>
      </c>
      <c r="I472" s="2">
        <v>81</v>
      </c>
      <c r="J472" s="3">
        <v>120</v>
      </c>
      <c r="K472" s="3">
        <v>80</v>
      </c>
      <c r="L472" s="10">
        <f t="shared" si="100"/>
        <v>0</v>
      </c>
      <c r="M472" s="10">
        <f t="shared" ca="1" si="101"/>
        <v>2</v>
      </c>
      <c r="N472" s="10">
        <f t="shared" si="102"/>
        <v>0</v>
      </c>
      <c r="O472" s="10">
        <f t="shared" si="103"/>
        <v>3</v>
      </c>
      <c r="P472" s="10">
        <f t="shared" si="104"/>
        <v>2</v>
      </c>
      <c r="Q472" s="10">
        <f t="shared" si="105"/>
        <v>0</v>
      </c>
      <c r="R472" s="10">
        <f t="shared" ca="1" si="106"/>
        <v>7</v>
      </c>
      <c r="S472" s="10" t="str">
        <f t="shared" ca="1" si="107"/>
        <v>Có</v>
      </c>
      <c r="T472" s="10" t="str">
        <f t="shared" ca="1" si="108"/>
        <v>Có</v>
      </c>
      <c r="U472" s="10" t="str">
        <f t="shared" si="109"/>
        <v>Không</v>
      </c>
      <c r="V472" s="2" t="s">
        <v>674</v>
      </c>
      <c r="W472" s="4">
        <v>46142</v>
      </c>
      <c r="X472" s="8" t="str">
        <f t="shared" si="110"/>
        <v>Tháng 4</v>
      </c>
      <c r="Y472" s="8" t="str">
        <f t="shared" si="111"/>
        <v>ấp biển tây b</v>
      </c>
    </row>
    <row r="473" spans="1:25" x14ac:dyDescent="0.25">
      <c r="A473" s="1" t="s">
        <v>675</v>
      </c>
      <c r="B473" s="2" t="s">
        <v>30</v>
      </c>
      <c r="C473" s="2" t="s">
        <v>138</v>
      </c>
      <c r="D473" s="10">
        <f t="shared" ca="1" si="98"/>
        <v>67</v>
      </c>
      <c r="E473" s="2" t="s">
        <v>25</v>
      </c>
      <c r="F473" s="3">
        <v>158</v>
      </c>
      <c r="G473" s="3">
        <v>60</v>
      </c>
      <c r="H473" s="11">
        <f t="shared" si="99"/>
        <v>24.034609838166958</v>
      </c>
      <c r="I473" s="2">
        <v>66</v>
      </c>
      <c r="J473" s="3">
        <v>120</v>
      </c>
      <c r="K473" s="3">
        <v>70</v>
      </c>
      <c r="L473" s="10">
        <f t="shared" si="100"/>
        <v>2</v>
      </c>
      <c r="M473" s="10">
        <f t="shared" ca="1" si="101"/>
        <v>2</v>
      </c>
      <c r="N473" s="10">
        <f t="shared" si="102"/>
        <v>4</v>
      </c>
      <c r="O473" s="10">
        <f t="shared" si="103"/>
        <v>3</v>
      </c>
      <c r="P473" s="10">
        <f t="shared" si="104"/>
        <v>0</v>
      </c>
      <c r="Q473" s="10">
        <f t="shared" si="105"/>
        <v>0</v>
      </c>
      <c r="R473" s="10">
        <f t="shared" ca="1" si="106"/>
        <v>11</v>
      </c>
      <c r="S473" s="10" t="str">
        <f t="shared" ca="1" si="107"/>
        <v>Có</v>
      </c>
      <c r="T473" s="10" t="str">
        <f t="shared" ca="1" si="108"/>
        <v>Có</v>
      </c>
      <c r="U473" s="10" t="str">
        <f t="shared" si="109"/>
        <v>Không</v>
      </c>
      <c r="V473" s="2" t="s">
        <v>88</v>
      </c>
      <c r="W473" s="4">
        <v>46142</v>
      </c>
      <c r="X473" s="8" t="str">
        <f t="shared" si="110"/>
        <v>Tháng 4</v>
      </c>
      <c r="Y473" s="8" t="str">
        <f t="shared" si="111"/>
        <v>Giồng Giữa</v>
      </c>
    </row>
    <row r="474" spans="1:25" x14ac:dyDescent="0.25">
      <c r="A474" s="1" t="s">
        <v>676</v>
      </c>
      <c r="B474" s="2" t="s">
        <v>30</v>
      </c>
      <c r="C474" s="2" t="s">
        <v>341</v>
      </c>
      <c r="D474" s="10">
        <f t="shared" ca="1" si="98"/>
        <v>51</v>
      </c>
      <c r="E474" s="2" t="s">
        <v>26</v>
      </c>
      <c r="F474" s="3">
        <v>162</v>
      </c>
      <c r="G474" s="3">
        <v>76</v>
      </c>
      <c r="H474" s="11">
        <f t="shared" si="99"/>
        <v>28.959000152415786</v>
      </c>
      <c r="I474" s="2">
        <v>89</v>
      </c>
      <c r="J474" s="3">
        <v>130</v>
      </c>
      <c r="K474" s="3">
        <v>80</v>
      </c>
      <c r="L474" s="10">
        <f t="shared" si="100"/>
        <v>2</v>
      </c>
      <c r="M474" s="10">
        <f t="shared" ca="1" si="101"/>
        <v>2</v>
      </c>
      <c r="N474" s="10">
        <f t="shared" si="102"/>
        <v>0</v>
      </c>
      <c r="O474" s="10">
        <f t="shared" si="103"/>
        <v>5</v>
      </c>
      <c r="P474" s="10">
        <f t="shared" si="104"/>
        <v>0</v>
      </c>
      <c r="Q474" s="10">
        <f t="shared" si="105"/>
        <v>0</v>
      </c>
      <c r="R474" s="10">
        <f t="shared" ca="1" si="106"/>
        <v>9</v>
      </c>
      <c r="S474" s="10" t="str">
        <f t="shared" ca="1" si="107"/>
        <v>Có</v>
      </c>
      <c r="T474" s="10" t="str">
        <f t="shared" ca="1" si="108"/>
        <v>Có</v>
      </c>
      <c r="U474" s="10" t="str">
        <f t="shared" si="109"/>
        <v>Không</v>
      </c>
      <c r="V474" s="2" t="s">
        <v>88</v>
      </c>
      <c r="W474" s="4">
        <v>46142</v>
      </c>
      <c r="X474" s="8" t="str">
        <f t="shared" si="110"/>
        <v>Tháng 4</v>
      </c>
      <c r="Y474" s="8" t="str">
        <f t="shared" si="111"/>
        <v>Giồng Giữa</v>
      </c>
    </row>
    <row r="475" spans="1:25" x14ac:dyDescent="0.25">
      <c r="A475" s="1" t="s">
        <v>677</v>
      </c>
      <c r="B475" s="2" t="s">
        <v>30</v>
      </c>
      <c r="C475" s="2" t="s">
        <v>40</v>
      </c>
      <c r="D475" s="10">
        <f t="shared" ca="1" si="98"/>
        <v>70</v>
      </c>
      <c r="E475" s="2" t="s">
        <v>25</v>
      </c>
      <c r="F475" s="3">
        <v>169</v>
      </c>
      <c r="G475" s="3">
        <v>68</v>
      </c>
      <c r="H475" s="11">
        <f t="shared" si="99"/>
        <v>23.808690171912751</v>
      </c>
      <c r="I475" s="2">
        <v>93</v>
      </c>
      <c r="J475" s="3">
        <v>120</v>
      </c>
      <c r="K475" s="3">
        <v>80</v>
      </c>
      <c r="L475" s="10">
        <f t="shared" si="100"/>
        <v>2</v>
      </c>
      <c r="M475" s="10">
        <f t="shared" ca="1" si="101"/>
        <v>2</v>
      </c>
      <c r="N475" s="10">
        <f t="shared" si="102"/>
        <v>4</v>
      </c>
      <c r="O475" s="10">
        <f t="shared" si="103"/>
        <v>3</v>
      </c>
      <c r="P475" s="10">
        <f t="shared" si="104"/>
        <v>2</v>
      </c>
      <c r="Q475" s="10">
        <f t="shared" si="105"/>
        <v>0</v>
      </c>
      <c r="R475" s="10">
        <f t="shared" ca="1" si="106"/>
        <v>13</v>
      </c>
      <c r="S475" s="10" t="str">
        <f t="shared" ca="1" si="107"/>
        <v>Có</v>
      </c>
      <c r="T475" s="10" t="str">
        <f t="shared" ca="1" si="108"/>
        <v>Có</v>
      </c>
      <c r="U475" s="10" t="str">
        <f t="shared" si="109"/>
        <v>Không</v>
      </c>
      <c r="V475" s="2" t="s">
        <v>308</v>
      </c>
      <c r="W475" s="4">
        <v>46142</v>
      </c>
      <c r="X475" s="8" t="str">
        <f t="shared" si="110"/>
        <v>Tháng 4</v>
      </c>
      <c r="Y475" s="8" t="str">
        <f t="shared" si="111"/>
        <v>ấp Giồng Giữa A</v>
      </c>
    </row>
    <row r="476" spans="1:25" x14ac:dyDescent="0.25">
      <c r="A476" s="1" t="s">
        <v>678</v>
      </c>
      <c r="B476" s="2" t="s">
        <v>23</v>
      </c>
      <c r="C476" s="2" t="s">
        <v>314</v>
      </c>
      <c r="D476" s="10">
        <f t="shared" ca="1" si="98"/>
        <v>77</v>
      </c>
      <c r="E476" s="2" t="s">
        <v>25</v>
      </c>
      <c r="F476" s="3">
        <v>158</v>
      </c>
      <c r="G476" s="3">
        <v>58</v>
      </c>
      <c r="H476" s="11">
        <f t="shared" si="99"/>
        <v>23.233456176894723</v>
      </c>
      <c r="I476" s="2">
        <v>89</v>
      </c>
      <c r="J476" s="3">
        <v>140</v>
      </c>
      <c r="K476" s="3">
        <v>80</v>
      </c>
      <c r="L476" s="10">
        <f t="shared" si="100"/>
        <v>0</v>
      </c>
      <c r="M476" s="10">
        <f t="shared" ca="1" si="101"/>
        <v>2</v>
      </c>
      <c r="N476" s="10">
        <f t="shared" si="102"/>
        <v>4</v>
      </c>
      <c r="O476" s="10">
        <f t="shared" si="103"/>
        <v>3</v>
      </c>
      <c r="P476" s="10">
        <f t="shared" si="104"/>
        <v>2</v>
      </c>
      <c r="Q476" s="10">
        <f t="shared" si="105"/>
        <v>2</v>
      </c>
      <c r="R476" s="10">
        <f t="shared" ca="1" si="106"/>
        <v>13</v>
      </c>
      <c r="S476" s="10" t="str">
        <f t="shared" ca="1" si="107"/>
        <v>Có</v>
      </c>
      <c r="T476" s="10" t="str">
        <f t="shared" ca="1" si="108"/>
        <v>Có</v>
      </c>
      <c r="U476" s="10" t="str">
        <f t="shared" si="109"/>
        <v>Có</v>
      </c>
      <c r="V476" s="2" t="s">
        <v>32</v>
      </c>
      <c r="W476" s="4">
        <v>46142</v>
      </c>
      <c r="X476" s="8" t="str">
        <f t="shared" si="110"/>
        <v>Tháng 4</v>
      </c>
      <c r="Y476" s="8" t="str">
        <f t="shared" si="111"/>
        <v>Ấp Giồng Giữa B</v>
      </c>
    </row>
    <row r="477" spans="1:25" x14ac:dyDescent="0.25">
      <c r="A477" s="1" t="s">
        <v>679</v>
      </c>
      <c r="B477" s="2" t="s">
        <v>30</v>
      </c>
      <c r="C477" s="2" t="s">
        <v>93</v>
      </c>
      <c r="D477" s="10">
        <f t="shared" ca="1" si="98"/>
        <v>66</v>
      </c>
      <c r="E477" s="2" t="s">
        <v>26</v>
      </c>
      <c r="F477" s="3">
        <v>158</v>
      </c>
      <c r="G477" s="3">
        <v>68</v>
      </c>
      <c r="H477" s="11">
        <f t="shared" si="99"/>
        <v>27.239224483255885</v>
      </c>
      <c r="I477" s="2">
        <v>87</v>
      </c>
      <c r="J477" s="3">
        <v>120</v>
      </c>
      <c r="K477" s="3">
        <v>80</v>
      </c>
      <c r="L477" s="10">
        <f t="shared" si="100"/>
        <v>2</v>
      </c>
      <c r="M477" s="10">
        <f t="shared" ca="1" si="101"/>
        <v>2</v>
      </c>
      <c r="N477" s="10">
        <f t="shared" si="102"/>
        <v>0</v>
      </c>
      <c r="O477" s="10">
        <f t="shared" si="103"/>
        <v>3</v>
      </c>
      <c r="P477" s="10">
        <f t="shared" si="104"/>
        <v>0</v>
      </c>
      <c r="Q477" s="10">
        <f t="shared" si="105"/>
        <v>0</v>
      </c>
      <c r="R477" s="10">
        <f t="shared" ca="1" si="106"/>
        <v>7</v>
      </c>
      <c r="S477" s="10" t="str">
        <f t="shared" ca="1" si="107"/>
        <v>Có</v>
      </c>
      <c r="T477" s="10" t="str">
        <f t="shared" ca="1" si="108"/>
        <v>Có</v>
      </c>
      <c r="U477" s="10" t="str">
        <f t="shared" si="109"/>
        <v>Không</v>
      </c>
      <c r="V477" s="2" t="s">
        <v>335</v>
      </c>
      <c r="W477" s="4">
        <v>46142</v>
      </c>
      <c r="X477" s="8" t="str">
        <f t="shared" si="110"/>
        <v>Tháng 4</v>
      </c>
      <c r="Y477" s="8" t="str">
        <f t="shared" si="111"/>
        <v>ấp Giồng Giữa B</v>
      </c>
    </row>
    <row r="478" spans="1:25" x14ac:dyDescent="0.25">
      <c r="A478" s="1" t="s">
        <v>680</v>
      </c>
      <c r="B478" s="2" t="s">
        <v>23</v>
      </c>
      <c r="C478" s="2" t="s">
        <v>76</v>
      </c>
      <c r="D478" s="10">
        <f t="shared" ca="1" si="98"/>
        <v>68</v>
      </c>
      <c r="E478" s="2" t="s">
        <v>26</v>
      </c>
      <c r="F478" s="3">
        <v>158</v>
      </c>
      <c r="G478" s="3">
        <v>58</v>
      </c>
      <c r="H478" s="11">
        <f t="shared" si="99"/>
        <v>23.233456176894723</v>
      </c>
      <c r="I478" s="2">
        <v>92</v>
      </c>
      <c r="J478" s="3">
        <v>120</v>
      </c>
      <c r="K478" s="3">
        <v>80</v>
      </c>
      <c r="L478" s="10">
        <f t="shared" si="100"/>
        <v>0</v>
      </c>
      <c r="M478" s="10">
        <f t="shared" ca="1" si="101"/>
        <v>2</v>
      </c>
      <c r="N478" s="10">
        <f t="shared" si="102"/>
        <v>0</v>
      </c>
      <c r="O478" s="10">
        <f t="shared" si="103"/>
        <v>3</v>
      </c>
      <c r="P478" s="10">
        <f t="shared" si="104"/>
        <v>2</v>
      </c>
      <c r="Q478" s="10">
        <f t="shared" si="105"/>
        <v>0</v>
      </c>
      <c r="R478" s="10">
        <f t="shared" ca="1" si="106"/>
        <v>7</v>
      </c>
      <c r="S478" s="10" t="str">
        <f t="shared" ca="1" si="107"/>
        <v>Có</v>
      </c>
      <c r="T478" s="10" t="str">
        <f t="shared" ca="1" si="108"/>
        <v>Có</v>
      </c>
      <c r="U478" s="10" t="str">
        <f t="shared" si="109"/>
        <v>Không</v>
      </c>
      <c r="V478" s="2" t="s">
        <v>72</v>
      </c>
      <c r="W478" s="4">
        <v>46142</v>
      </c>
      <c r="X478" s="8" t="str">
        <f t="shared" si="110"/>
        <v>Tháng 4</v>
      </c>
      <c r="Y478" s="8" t="str">
        <f t="shared" si="111"/>
        <v>Ấp Giồng Giữa A</v>
      </c>
    </row>
    <row r="479" spans="1:25" x14ac:dyDescent="0.25">
      <c r="A479" s="1" t="s">
        <v>681</v>
      </c>
      <c r="B479" s="2" t="s">
        <v>23</v>
      </c>
      <c r="C479" s="2" t="s">
        <v>42</v>
      </c>
      <c r="D479" s="10">
        <f t="shared" ca="1" si="98"/>
        <v>59</v>
      </c>
      <c r="E479" s="2" t="s">
        <v>25</v>
      </c>
      <c r="F479" s="3">
        <v>160</v>
      </c>
      <c r="G479" s="3">
        <v>80</v>
      </c>
      <c r="H479" s="11">
        <f t="shared" si="99"/>
        <v>31.249999999999993</v>
      </c>
      <c r="I479" s="2">
        <v>89</v>
      </c>
      <c r="J479" s="3">
        <v>120</v>
      </c>
      <c r="K479" s="3">
        <v>80</v>
      </c>
      <c r="L479" s="10">
        <f t="shared" si="100"/>
        <v>0</v>
      </c>
      <c r="M479" s="10">
        <f t="shared" ca="1" si="101"/>
        <v>2</v>
      </c>
      <c r="N479" s="10">
        <f t="shared" si="102"/>
        <v>4</v>
      </c>
      <c r="O479" s="10">
        <f t="shared" si="103"/>
        <v>5</v>
      </c>
      <c r="P479" s="10">
        <f t="shared" si="104"/>
        <v>2</v>
      </c>
      <c r="Q479" s="10">
        <f t="shared" si="105"/>
        <v>0</v>
      </c>
      <c r="R479" s="10">
        <f t="shared" ca="1" si="106"/>
        <v>13</v>
      </c>
      <c r="S479" s="10" t="str">
        <f t="shared" ca="1" si="107"/>
        <v>Có</v>
      </c>
      <c r="T479" s="10" t="str">
        <f t="shared" ca="1" si="108"/>
        <v>Có</v>
      </c>
      <c r="U479" s="10" t="str">
        <f t="shared" si="109"/>
        <v>Không</v>
      </c>
      <c r="V479" s="2" t="s">
        <v>51</v>
      </c>
      <c r="W479" s="4">
        <v>46112</v>
      </c>
      <c r="X479" s="8" t="str">
        <f t="shared" si="110"/>
        <v>Tháng 3</v>
      </c>
      <c r="Y479" s="8" t="str">
        <f t="shared" si="111"/>
        <v>Phường Hiệp Thành</v>
      </c>
    </row>
    <row r="480" spans="1:25" x14ac:dyDescent="0.25">
      <c r="A480" s="1" t="s">
        <v>682</v>
      </c>
      <c r="B480" s="2" t="s">
        <v>30</v>
      </c>
      <c r="C480" s="2" t="s">
        <v>683</v>
      </c>
      <c r="D480" s="10">
        <f t="shared" ca="1" si="98"/>
        <v>88</v>
      </c>
      <c r="E480" s="2" t="s">
        <v>26</v>
      </c>
      <c r="F480" s="3">
        <v>169</v>
      </c>
      <c r="G480" s="3">
        <v>68</v>
      </c>
      <c r="H480" s="11">
        <f t="shared" si="99"/>
        <v>23.808690171912751</v>
      </c>
      <c r="I480" s="2">
        <v>81</v>
      </c>
      <c r="J480" s="3">
        <v>130</v>
      </c>
      <c r="K480" s="3">
        <v>80</v>
      </c>
      <c r="L480" s="10">
        <f t="shared" si="100"/>
        <v>2</v>
      </c>
      <c r="M480" s="10">
        <f t="shared" ca="1" si="101"/>
        <v>2</v>
      </c>
      <c r="N480" s="10">
        <f t="shared" si="102"/>
        <v>0</v>
      </c>
      <c r="O480" s="10">
        <f t="shared" si="103"/>
        <v>3</v>
      </c>
      <c r="P480" s="10">
        <f t="shared" si="104"/>
        <v>0</v>
      </c>
      <c r="Q480" s="10">
        <f t="shared" si="105"/>
        <v>0</v>
      </c>
      <c r="R480" s="10">
        <f t="shared" ca="1" si="106"/>
        <v>7</v>
      </c>
      <c r="S480" s="10" t="str">
        <f t="shared" ca="1" si="107"/>
        <v>Có</v>
      </c>
      <c r="T480" s="10" t="str">
        <f t="shared" ca="1" si="108"/>
        <v>Có</v>
      </c>
      <c r="U480" s="10" t="str">
        <f t="shared" si="109"/>
        <v>Không</v>
      </c>
      <c r="V480" s="2" t="s">
        <v>28</v>
      </c>
      <c r="W480" s="4">
        <v>46142</v>
      </c>
      <c r="X480" s="8" t="str">
        <f t="shared" si="110"/>
        <v>Tháng 4</v>
      </c>
      <c r="Y480" s="8" t="str">
        <f t="shared" si="111"/>
        <v>Ấp Biển Đông A</v>
      </c>
    </row>
    <row r="481" spans="1:25" x14ac:dyDescent="0.25">
      <c r="A481" s="1" t="s">
        <v>684</v>
      </c>
      <c r="B481" s="2" t="s">
        <v>23</v>
      </c>
      <c r="C481" s="2" t="s">
        <v>40</v>
      </c>
      <c r="D481" s="10">
        <f t="shared" ca="1" si="98"/>
        <v>70</v>
      </c>
      <c r="E481" s="2" t="s">
        <v>26</v>
      </c>
      <c r="F481" s="3">
        <v>150</v>
      </c>
      <c r="G481" s="3">
        <v>52</v>
      </c>
      <c r="H481" s="11">
        <f t="shared" si="99"/>
        <v>23.111111111111111</v>
      </c>
      <c r="I481" s="2">
        <v>95</v>
      </c>
      <c r="J481" s="3">
        <v>120</v>
      </c>
      <c r="K481" s="3">
        <v>80</v>
      </c>
      <c r="L481" s="10">
        <f t="shared" si="100"/>
        <v>0</v>
      </c>
      <c r="M481" s="10">
        <f t="shared" ca="1" si="101"/>
        <v>2</v>
      </c>
      <c r="N481" s="10">
        <f t="shared" si="102"/>
        <v>0</v>
      </c>
      <c r="O481" s="10">
        <f t="shared" si="103"/>
        <v>3</v>
      </c>
      <c r="P481" s="10">
        <f t="shared" si="104"/>
        <v>2</v>
      </c>
      <c r="Q481" s="10">
        <f t="shared" si="105"/>
        <v>0</v>
      </c>
      <c r="R481" s="10">
        <f t="shared" ca="1" si="106"/>
        <v>7</v>
      </c>
      <c r="S481" s="10" t="str">
        <f t="shared" ca="1" si="107"/>
        <v>Có</v>
      </c>
      <c r="T481" s="10" t="str">
        <f t="shared" ca="1" si="108"/>
        <v>Có</v>
      </c>
      <c r="U481" s="10" t="str">
        <f t="shared" si="109"/>
        <v>Không</v>
      </c>
      <c r="V481" s="2" t="s">
        <v>685</v>
      </c>
      <c r="W481" s="4">
        <v>46081</v>
      </c>
      <c r="X481" s="8" t="str">
        <f t="shared" si="110"/>
        <v>Tháng 2</v>
      </c>
      <c r="Y481" s="8" t="str">
        <f t="shared" si="111"/>
        <v>Khóm Giồng Nhãn A</v>
      </c>
    </row>
    <row r="482" spans="1:25" x14ac:dyDescent="0.25">
      <c r="A482" s="1" t="s">
        <v>686</v>
      </c>
      <c r="B482" s="2" t="s">
        <v>30</v>
      </c>
      <c r="C482" s="2" t="s">
        <v>163</v>
      </c>
      <c r="D482" s="10">
        <f t="shared" ca="1" si="98"/>
        <v>46</v>
      </c>
      <c r="E482" s="2" t="s">
        <v>26</v>
      </c>
      <c r="F482" s="3">
        <v>165</v>
      </c>
      <c r="G482" s="3">
        <v>100</v>
      </c>
      <c r="H482" s="11">
        <f t="shared" si="99"/>
        <v>36.730945821854917</v>
      </c>
      <c r="I482" s="2">
        <v>73</v>
      </c>
      <c r="J482" s="3">
        <v>120</v>
      </c>
      <c r="K482" s="3">
        <v>70</v>
      </c>
      <c r="L482" s="10">
        <f t="shared" si="100"/>
        <v>2</v>
      </c>
      <c r="M482" s="10">
        <f t="shared" ca="1" si="101"/>
        <v>1</v>
      </c>
      <c r="N482" s="10">
        <f t="shared" si="102"/>
        <v>0</v>
      </c>
      <c r="O482" s="10">
        <f t="shared" si="103"/>
        <v>5</v>
      </c>
      <c r="P482" s="10">
        <f t="shared" si="104"/>
        <v>0</v>
      </c>
      <c r="Q482" s="10">
        <f t="shared" si="105"/>
        <v>0</v>
      </c>
      <c r="R482" s="10">
        <f t="shared" ca="1" si="106"/>
        <v>8</v>
      </c>
      <c r="S482" s="10" t="str">
        <f t="shared" ca="1" si="107"/>
        <v>Có</v>
      </c>
      <c r="T482" s="10" t="str">
        <f t="shared" ca="1" si="108"/>
        <v>Có</v>
      </c>
      <c r="U482" s="10" t="str">
        <f t="shared" si="109"/>
        <v>Không</v>
      </c>
      <c r="V482" s="2" t="s">
        <v>346</v>
      </c>
      <c r="W482" s="4">
        <v>46142</v>
      </c>
      <c r="X482" s="8" t="str">
        <f t="shared" si="110"/>
        <v>Tháng 4</v>
      </c>
      <c r="Y482" s="8" t="str">
        <f t="shared" si="111"/>
        <v>ấp Giồng giữa</v>
      </c>
    </row>
    <row r="483" spans="1:25" x14ac:dyDescent="0.25">
      <c r="A483" s="1" t="s">
        <v>687</v>
      </c>
      <c r="B483" s="2" t="s">
        <v>30</v>
      </c>
      <c r="C483" s="2" t="s">
        <v>47</v>
      </c>
      <c r="D483" s="10">
        <f t="shared" ca="1" si="98"/>
        <v>55</v>
      </c>
      <c r="E483" s="2" t="s">
        <v>26</v>
      </c>
      <c r="F483" s="3">
        <v>169</v>
      </c>
      <c r="G483" s="3">
        <v>68</v>
      </c>
      <c r="H483" s="11">
        <f t="shared" si="99"/>
        <v>23.808690171912751</v>
      </c>
      <c r="I483" s="2">
        <v>75</v>
      </c>
      <c r="J483" s="3">
        <v>150</v>
      </c>
      <c r="K483" s="3">
        <v>80</v>
      </c>
      <c r="L483" s="10">
        <f t="shared" si="100"/>
        <v>2</v>
      </c>
      <c r="M483" s="10">
        <f t="shared" ca="1" si="101"/>
        <v>2</v>
      </c>
      <c r="N483" s="10">
        <f t="shared" si="102"/>
        <v>0</v>
      </c>
      <c r="O483" s="10">
        <f t="shared" si="103"/>
        <v>3</v>
      </c>
      <c r="P483" s="10">
        <f t="shared" si="104"/>
        <v>0</v>
      </c>
      <c r="Q483" s="10">
        <f t="shared" si="105"/>
        <v>2</v>
      </c>
      <c r="R483" s="10">
        <f t="shared" ca="1" si="106"/>
        <v>9</v>
      </c>
      <c r="S483" s="10" t="str">
        <f t="shared" ca="1" si="107"/>
        <v>Có</v>
      </c>
      <c r="T483" s="10" t="str">
        <f t="shared" ca="1" si="108"/>
        <v>Có</v>
      </c>
      <c r="U483" s="10" t="str">
        <f t="shared" si="109"/>
        <v>Có</v>
      </c>
      <c r="V483" s="2" t="s">
        <v>688</v>
      </c>
      <c r="W483" s="4">
        <v>46142</v>
      </c>
      <c r="X483" s="8" t="str">
        <f t="shared" si="110"/>
        <v>Tháng 4</v>
      </c>
      <c r="Y483" s="8" t="str">
        <f t="shared" si="111"/>
        <v>ấp Xẻo Trâm</v>
      </c>
    </row>
    <row r="484" spans="1:25" x14ac:dyDescent="0.25">
      <c r="A484" s="1" t="s">
        <v>689</v>
      </c>
      <c r="B484" s="2" t="s">
        <v>23</v>
      </c>
      <c r="C484" s="2" t="s">
        <v>84</v>
      </c>
      <c r="D484" s="10">
        <f t="shared" ca="1" si="98"/>
        <v>69</v>
      </c>
      <c r="E484" s="2" t="s">
        <v>25</v>
      </c>
      <c r="F484" s="3">
        <v>158</v>
      </c>
      <c r="G484" s="3">
        <v>50</v>
      </c>
      <c r="H484" s="11">
        <f t="shared" si="99"/>
        <v>20.028841531805796</v>
      </c>
      <c r="I484" s="2">
        <v>88</v>
      </c>
      <c r="J484" s="3">
        <v>120</v>
      </c>
      <c r="K484" s="3">
        <v>70</v>
      </c>
      <c r="L484" s="10">
        <f t="shared" si="100"/>
        <v>0</v>
      </c>
      <c r="M484" s="10">
        <f t="shared" ca="1" si="101"/>
        <v>2</v>
      </c>
      <c r="N484" s="10">
        <f t="shared" si="102"/>
        <v>4</v>
      </c>
      <c r="O484" s="10">
        <f t="shared" si="103"/>
        <v>0</v>
      </c>
      <c r="P484" s="10">
        <f t="shared" si="104"/>
        <v>2</v>
      </c>
      <c r="Q484" s="10">
        <f t="shared" si="105"/>
        <v>0</v>
      </c>
      <c r="R484" s="10">
        <f t="shared" ca="1" si="106"/>
        <v>8</v>
      </c>
      <c r="S484" s="10" t="str">
        <f t="shared" ca="1" si="107"/>
        <v>Có</v>
      </c>
      <c r="T484" s="10" t="str">
        <f t="shared" ca="1" si="108"/>
        <v>Có</v>
      </c>
      <c r="U484" s="10" t="str">
        <f t="shared" si="109"/>
        <v>Không</v>
      </c>
      <c r="V484" s="2" t="s">
        <v>91</v>
      </c>
      <c r="W484" s="4">
        <v>46142</v>
      </c>
      <c r="X484" s="8" t="str">
        <f t="shared" si="110"/>
        <v>Tháng 4</v>
      </c>
      <c r="Y484" s="8" t="str">
        <f t="shared" si="111"/>
        <v>Ấp Giồng Giữa</v>
      </c>
    </row>
    <row r="485" spans="1:25" x14ac:dyDescent="0.25">
      <c r="A485" s="1" t="s">
        <v>690</v>
      </c>
      <c r="B485" s="2" t="s">
        <v>30</v>
      </c>
      <c r="C485" s="2" t="s">
        <v>53</v>
      </c>
      <c r="D485" s="10">
        <f t="shared" ca="1" si="98"/>
        <v>72</v>
      </c>
      <c r="E485" s="2" t="s">
        <v>26</v>
      </c>
      <c r="F485" s="3">
        <v>160</v>
      </c>
      <c r="G485" s="3">
        <v>55</v>
      </c>
      <c r="H485" s="11">
        <f t="shared" si="99"/>
        <v>21.484374999999996</v>
      </c>
      <c r="I485" s="2">
        <v>83</v>
      </c>
      <c r="J485" s="3">
        <v>120</v>
      </c>
      <c r="K485" s="3">
        <v>70</v>
      </c>
      <c r="L485" s="10">
        <f t="shared" si="100"/>
        <v>2</v>
      </c>
      <c r="M485" s="10">
        <f t="shared" ca="1" si="101"/>
        <v>2</v>
      </c>
      <c r="N485" s="10">
        <f t="shared" si="102"/>
        <v>0</v>
      </c>
      <c r="O485" s="10">
        <f t="shared" si="103"/>
        <v>0</v>
      </c>
      <c r="P485" s="10">
        <f t="shared" si="104"/>
        <v>0</v>
      </c>
      <c r="Q485" s="10">
        <f t="shared" si="105"/>
        <v>0</v>
      </c>
      <c r="R485" s="10">
        <f t="shared" ca="1" si="106"/>
        <v>4</v>
      </c>
      <c r="S485" s="10" t="str">
        <f t="shared" ca="1" si="107"/>
        <v>Không cần</v>
      </c>
      <c r="T485" s="10" t="str">
        <f t="shared" ca="1" si="108"/>
        <v>Không</v>
      </c>
      <c r="U485" s="10" t="str">
        <f t="shared" si="109"/>
        <v>Không</v>
      </c>
      <c r="V485" s="2" t="s">
        <v>91</v>
      </c>
      <c r="W485" s="4">
        <v>46142</v>
      </c>
      <c r="X485" s="8" t="str">
        <f t="shared" si="110"/>
        <v>Tháng 4</v>
      </c>
      <c r="Y485" s="8" t="str">
        <f t="shared" si="111"/>
        <v>Ấp Giồng Giữa</v>
      </c>
    </row>
    <row r="486" spans="1:25" x14ac:dyDescent="0.25">
      <c r="A486" s="1" t="s">
        <v>691</v>
      </c>
      <c r="B486" s="2" t="s">
        <v>23</v>
      </c>
      <c r="C486" s="2" t="s">
        <v>105</v>
      </c>
      <c r="D486" s="10">
        <f t="shared" ca="1" si="98"/>
        <v>60</v>
      </c>
      <c r="E486" s="2" t="s">
        <v>26</v>
      </c>
      <c r="F486" s="3">
        <v>158</v>
      </c>
      <c r="G486" s="3">
        <v>58</v>
      </c>
      <c r="H486" s="11">
        <f t="shared" si="99"/>
        <v>23.233456176894723</v>
      </c>
      <c r="I486" s="2">
        <v>83</v>
      </c>
      <c r="J486" s="3">
        <v>140</v>
      </c>
      <c r="K486" s="3">
        <v>80</v>
      </c>
      <c r="L486" s="10">
        <f t="shared" si="100"/>
        <v>0</v>
      </c>
      <c r="M486" s="10">
        <f t="shared" ca="1" si="101"/>
        <v>2</v>
      </c>
      <c r="N486" s="10">
        <f t="shared" si="102"/>
        <v>0</v>
      </c>
      <c r="O486" s="10">
        <f t="shared" si="103"/>
        <v>3</v>
      </c>
      <c r="P486" s="10">
        <f t="shared" si="104"/>
        <v>2</v>
      </c>
      <c r="Q486" s="10">
        <f t="shared" si="105"/>
        <v>2</v>
      </c>
      <c r="R486" s="10">
        <f t="shared" ca="1" si="106"/>
        <v>9</v>
      </c>
      <c r="S486" s="10" t="str">
        <f t="shared" ca="1" si="107"/>
        <v>Có</v>
      </c>
      <c r="T486" s="10" t="str">
        <f t="shared" ca="1" si="108"/>
        <v>Có</v>
      </c>
      <c r="U486" s="10" t="str">
        <f t="shared" si="109"/>
        <v>Có</v>
      </c>
      <c r="V486" s="2" t="s">
        <v>692</v>
      </c>
      <c r="W486" s="4">
        <v>46142</v>
      </c>
      <c r="X486" s="8" t="str">
        <f t="shared" si="110"/>
        <v>Tháng 4</v>
      </c>
      <c r="Y486" s="8" t="str">
        <f t="shared" si="111"/>
        <v>khóm 3</v>
      </c>
    </row>
    <row r="487" spans="1:25" x14ac:dyDescent="0.25">
      <c r="A487" s="1" t="s">
        <v>693</v>
      </c>
      <c r="B487" s="2" t="s">
        <v>30</v>
      </c>
      <c r="C487" s="2" t="s">
        <v>373</v>
      </c>
      <c r="D487" s="10">
        <f t="shared" ca="1" si="98"/>
        <v>61</v>
      </c>
      <c r="E487" s="2" t="s">
        <v>26</v>
      </c>
      <c r="F487" s="3">
        <v>168</v>
      </c>
      <c r="G487" s="3">
        <v>68</v>
      </c>
      <c r="H487" s="11">
        <f t="shared" si="99"/>
        <v>24.092970521541954</v>
      </c>
      <c r="I487" s="2">
        <v>86</v>
      </c>
      <c r="J487" s="3">
        <v>150</v>
      </c>
      <c r="K487" s="3">
        <v>80</v>
      </c>
      <c r="L487" s="10">
        <f t="shared" si="100"/>
        <v>2</v>
      </c>
      <c r="M487" s="10">
        <f t="shared" ca="1" si="101"/>
        <v>2</v>
      </c>
      <c r="N487" s="10">
        <f t="shared" si="102"/>
        <v>0</v>
      </c>
      <c r="O487" s="10">
        <f t="shared" si="103"/>
        <v>3</v>
      </c>
      <c r="P487" s="10">
        <f t="shared" si="104"/>
        <v>0</v>
      </c>
      <c r="Q487" s="10">
        <f t="shared" si="105"/>
        <v>2</v>
      </c>
      <c r="R487" s="10">
        <f t="shared" ca="1" si="106"/>
        <v>9</v>
      </c>
      <c r="S487" s="10" t="str">
        <f t="shared" ca="1" si="107"/>
        <v>Có</v>
      </c>
      <c r="T487" s="10" t="str">
        <f t="shared" ca="1" si="108"/>
        <v>Có</v>
      </c>
      <c r="U487" s="10" t="str">
        <f t="shared" si="109"/>
        <v>Có</v>
      </c>
      <c r="V487" s="2" t="s">
        <v>91</v>
      </c>
      <c r="W487" s="4">
        <v>46112</v>
      </c>
      <c r="X487" s="8" t="str">
        <f t="shared" si="110"/>
        <v>Tháng 3</v>
      </c>
      <c r="Y487" s="8" t="str">
        <f t="shared" si="111"/>
        <v>Ấp Giồng Giữa</v>
      </c>
    </row>
    <row r="488" spans="1:25" x14ac:dyDescent="0.25">
      <c r="A488" s="1" t="s">
        <v>694</v>
      </c>
      <c r="B488" s="2" t="s">
        <v>30</v>
      </c>
      <c r="C488" s="2" t="s">
        <v>90</v>
      </c>
      <c r="D488" s="10">
        <f t="shared" ca="1" si="98"/>
        <v>54</v>
      </c>
      <c r="E488" s="2" t="s">
        <v>26</v>
      </c>
      <c r="F488" s="3">
        <v>169</v>
      </c>
      <c r="G488" s="3">
        <v>68</v>
      </c>
      <c r="H488" s="11">
        <f t="shared" si="99"/>
        <v>23.808690171912751</v>
      </c>
      <c r="I488" s="2">
        <v>81</v>
      </c>
      <c r="J488" s="3">
        <v>140</v>
      </c>
      <c r="K488" s="3">
        <v>80</v>
      </c>
      <c r="L488" s="10">
        <f t="shared" si="100"/>
        <v>2</v>
      </c>
      <c r="M488" s="10">
        <f t="shared" ca="1" si="101"/>
        <v>2</v>
      </c>
      <c r="N488" s="10">
        <f t="shared" si="102"/>
        <v>0</v>
      </c>
      <c r="O488" s="10">
        <f t="shared" si="103"/>
        <v>3</v>
      </c>
      <c r="P488" s="10">
        <f t="shared" si="104"/>
        <v>0</v>
      </c>
      <c r="Q488" s="10">
        <f t="shared" si="105"/>
        <v>2</v>
      </c>
      <c r="R488" s="10">
        <f t="shared" ca="1" si="106"/>
        <v>9</v>
      </c>
      <c r="S488" s="10" t="str">
        <f t="shared" ca="1" si="107"/>
        <v>Có</v>
      </c>
      <c r="T488" s="10" t="str">
        <f t="shared" ca="1" si="108"/>
        <v>Có</v>
      </c>
      <c r="U488" s="10" t="str">
        <f t="shared" si="109"/>
        <v>Có</v>
      </c>
      <c r="V488" s="2" t="s">
        <v>695</v>
      </c>
      <c r="W488" s="4">
        <v>46142</v>
      </c>
      <c r="X488" s="8" t="str">
        <f t="shared" si="110"/>
        <v>Tháng 4</v>
      </c>
      <c r="Y488" s="8" t="str">
        <f t="shared" si="111"/>
        <v>Ấp Kim Cấu</v>
      </c>
    </row>
    <row r="489" spans="1:25" x14ac:dyDescent="0.25">
      <c r="A489" s="1" t="s">
        <v>696</v>
      </c>
      <c r="B489" s="2" t="s">
        <v>23</v>
      </c>
      <c r="C489" s="2" t="s">
        <v>76</v>
      </c>
      <c r="D489" s="10">
        <f t="shared" ca="1" si="98"/>
        <v>68</v>
      </c>
      <c r="E489" s="2" t="s">
        <v>26</v>
      </c>
      <c r="F489" s="3">
        <v>160</v>
      </c>
      <c r="G489" s="3">
        <v>57</v>
      </c>
      <c r="H489" s="11">
        <f t="shared" si="99"/>
        <v>22.265624999999996</v>
      </c>
      <c r="I489" s="2">
        <v>65</v>
      </c>
      <c r="J489" s="3">
        <v>120</v>
      </c>
      <c r="K489" s="3">
        <v>70</v>
      </c>
      <c r="L489" s="10">
        <f t="shared" si="100"/>
        <v>0</v>
      </c>
      <c r="M489" s="10">
        <f t="shared" ca="1" si="101"/>
        <v>2</v>
      </c>
      <c r="N489" s="10">
        <f t="shared" si="102"/>
        <v>0</v>
      </c>
      <c r="O489" s="10">
        <f t="shared" si="103"/>
        <v>0</v>
      </c>
      <c r="P489" s="10">
        <f t="shared" si="104"/>
        <v>0</v>
      </c>
      <c r="Q489" s="10">
        <f t="shared" si="105"/>
        <v>0</v>
      </c>
      <c r="R489" s="10">
        <f t="shared" ca="1" si="106"/>
        <v>2</v>
      </c>
      <c r="S489" s="10" t="str">
        <f t="shared" ca="1" si="107"/>
        <v>Không cần</v>
      </c>
      <c r="T489" s="10" t="str">
        <f t="shared" ca="1" si="108"/>
        <v>Không</v>
      </c>
      <c r="U489" s="10" t="str">
        <f t="shared" si="109"/>
        <v>Không</v>
      </c>
      <c r="V489" s="2" t="s">
        <v>122</v>
      </c>
      <c r="W489" s="4">
        <v>46112</v>
      </c>
      <c r="X489" s="8" t="str">
        <f t="shared" si="110"/>
        <v>Tháng 3</v>
      </c>
      <c r="Y489" s="8" t="str">
        <f t="shared" si="111"/>
        <v>Giồng Nhãn</v>
      </c>
    </row>
    <row r="490" spans="1:25" x14ac:dyDescent="0.25">
      <c r="A490" s="1" t="s">
        <v>697</v>
      </c>
      <c r="B490" s="2" t="s">
        <v>30</v>
      </c>
      <c r="C490" s="2" t="s">
        <v>87</v>
      </c>
      <c r="D490" s="10">
        <f t="shared" ca="1" si="98"/>
        <v>49</v>
      </c>
      <c r="E490" s="2" t="s">
        <v>26</v>
      </c>
      <c r="F490" s="3">
        <v>169</v>
      </c>
      <c r="G490" s="3">
        <v>68</v>
      </c>
      <c r="H490" s="11">
        <f t="shared" si="99"/>
        <v>23.808690171912751</v>
      </c>
      <c r="I490" s="2">
        <v>100</v>
      </c>
      <c r="J490" s="3">
        <v>150</v>
      </c>
      <c r="K490" s="3">
        <v>80</v>
      </c>
      <c r="L490" s="10">
        <f t="shared" si="100"/>
        <v>2</v>
      </c>
      <c r="M490" s="10">
        <f t="shared" ca="1" si="101"/>
        <v>1</v>
      </c>
      <c r="N490" s="10">
        <f t="shared" si="102"/>
        <v>0</v>
      </c>
      <c r="O490" s="10">
        <f t="shared" si="103"/>
        <v>3</v>
      </c>
      <c r="P490" s="10">
        <f t="shared" si="104"/>
        <v>2</v>
      </c>
      <c r="Q490" s="10">
        <f t="shared" si="105"/>
        <v>2</v>
      </c>
      <c r="R490" s="10">
        <f t="shared" ca="1" si="106"/>
        <v>10</v>
      </c>
      <c r="S490" s="10" t="str">
        <f t="shared" ca="1" si="107"/>
        <v>Có</v>
      </c>
      <c r="T490" s="10" t="str">
        <f t="shared" ca="1" si="108"/>
        <v>Có</v>
      </c>
      <c r="U490" s="10" t="str">
        <f t="shared" si="109"/>
        <v>Có</v>
      </c>
      <c r="V490" s="2" t="s">
        <v>51</v>
      </c>
      <c r="W490" s="4">
        <v>46112</v>
      </c>
      <c r="X490" s="8" t="str">
        <f t="shared" si="110"/>
        <v>Tháng 3</v>
      </c>
      <c r="Y490" s="8" t="str">
        <f t="shared" si="111"/>
        <v>Phường Hiệp Thành</v>
      </c>
    </row>
    <row r="491" spans="1:25" x14ac:dyDescent="0.25">
      <c r="A491" s="1" t="s">
        <v>698</v>
      </c>
      <c r="B491" s="2" t="s">
        <v>30</v>
      </c>
      <c r="C491" s="2" t="s">
        <v>699</v>
      </c>
      <c r="D491" s="10">
        <f t="shared" ca="1" si="98"/>
        <v>84</v>
      </c>
      <c r="E491" s="2" t="s">
        <v>26</v>
      </c>
      <c r="F491" s="3">
        <v>170</v>
      </c>
      <c r="G491" s="3">
        <v>59</v>
      </c>
      <c r="H491" s="11">
        <f t="shared" si="99"/>
        <v>20.415224913494811</v>
      </c>
      <c r="I491" s="2">
        <v>100</v>
      </c>
      <c r="J491" s="3">
        <v>120</v>
      </c>
      <c r="K491" s="3">
        <v>80</v>
      </c>
      <c r="L491" s="10">
        <f t="shared" si="100"/>
        <v>2</v>
      </c>
      <c r="M491" s="10">
        <f t="shared" ca="1" si="101"/>
        <v>2</v>
      </c>
      <c r="N491" s="10">
        <f t="shared" si="102"/>
        <v>0</v>
      </c>
      <c r="O491" s="10">
        <f t="shared" si="103"/>
        <v>0</v>
      </c>
      <c r="P491" s="10">
        <f t="shared" si="104"/>
        <v>2</v>
      </c>
      <c r="Q491" s="10">
        <f t="shared" si="105"/>
        <v>0</v>
      </c>
      <c r="R491" s="10">
        <f t="shared" ca="1" si="106"/>
        <v>6</v>
      </c>
      <c r="S491" s="10" t="str">
        <f t="shared" ca="1" si="107"/>
        <v>Có</v>
      </c>
      <c r="T491" s="10" t="str">
        <f t="shared" ca="1" si="108"/>
        <v>Có</v>
      </c>
      <c r="U491" s="10" t="str">
        <f t="shared" si="109"/>
        <v>Không</v>
      </c>
      <c r="V491" s="2" t="s">
        <v>51</v>
      </c>
      <c r="W491" s="4">
        <v>46142</v>
      </c>
      <c r="X491" s="8" t="str">
        <f t="shared" si="110"/>
        <v>Tháng 4</v>
      </c>
      <c r="Y491" s="8" t="str">
        <f t="shared" si="111"/>
        <v>Phường Hiệp Thành</v>
      </c>
    </row>
    <row r="492" spans="1:25" x14ac:dyDescent="0.25">
      <c r="A492" s="1" t="s">
        <v>700</v>
      </c>
      <c r="B492" s="2" t="s">
        <v>23</v>
      </c>
      <c r="C492" s="2" t="s">
        <v>90</v>
      </c>
      <c r="D492" s="10">
        <f t="shared" ca="1" si="98"/>
        <v>54</v>
      </c>
      <c r="E492" s="2" t="s">
        <v>26</v>
      </c>
      <c r="F492" s="3">
        <v>158</v>
      </c>
      <c r="G492" s="3">
        <v>58</v>
      </c>
      <c r="H492" s="11">
        <f t="shared" si="99"/>
        <v>23.233456176894723</v>
      </c>
      <c r="I492" s="2">
        <v>96</v>
      </c>
      <c r="J492" s="3">
        <v>120</v>
      </c>
      <c r="K492" s="3">
        <v>80</v>
      </c>
      <c r="L492" s="10">
        <f t="shared" si="100"/>
        <v>0</v>
      </c>
      <c r="M492" s="10">
        <f t="shared" ca="1" si="101"/>
        <v>2</v>
      </c>
      <c r="N492" s="10">
        <f t="shared" si="102"/>
        <v>0</v>
      </c>
      <c r="O492" s="10">
        <f t="shared" si="103"/>
        <v>3</v>
      </c>
      <c r="P492" s="10">
        <f t="shared" si="104"/>
        <v>2</v>
      </c>
      <c r="Q492" s="10">
        <f t="shared" si="105"/>
        <v>0</v>
      </c>
      <c r="R492" s="10">
        <f t="shared" ca="1" si="106"/>
        <v>7</v>
      </c>
      <c r="S492" s="10" t="str">
        <f t="shared" ca="1" si="107"/>
        <v>Có</v>
      </c>
      <c r="T492" s="10" t="str">
        <f t="shared" ca="1" si="108"/>
        <v>Có</v>
      </c>
      <c r="U492" s="10" t="str">
        <f t="shared" si="109"/>
        <v>Không</v>
      </c>
      <c r="V492" s="2" t="s">
        <v>306</v>
      </c>
      <c r="W492" s="4">
        <v>46112</v>
      </c>
      <c r="X492" s="8" t="str">
        <f t="shared" si="110"/>
        <v>Tháng 3</v>
      </c>
      <c r="Y492" s="8" t="str">
        <f t="shared" si="111"/>
        <v>Giồng Giữa A</v>
      </c>
    </row>
    <row r="493" spans="1:25" x14ac:dyDescent="0.25">
      <c r="A493" s="1" t="s">
        <v>701</v>
      </c>
      <c r="B493" s="2" t="s">
        <v>23</v>
      </c>
      <c r="C493" s="2" t="s">
        <v>373</v>
      </c>
      <c r="D493" s="10">
        <f t="shared" ca="1" si="98"/>
        <v>61</v>
      </c>
      <c r="E493" s="2" t="s">
        <v>26</v>
      </c>
      <c r="F493" s="3">
        <v>158</v>
      </c>
      <c r="G493" s="3">
        <v>58</v>
      </c>
      <c r="H493" s="11">
        <f t="shared" si="99"/>
        <v>23.233456176894723</v>
      </c>
      <c r="I493" s="2">
        <v>90</v>
      </c>
      <c r="J493" s="3">
        <v>120</v>
      </c>
      <c r="K493" s="3">
        <v>80</v>
      </c>
      <c r="L493" s="10">
        <f t="shared" si="100"/>
        <v>0</v>
      </c>
      <c r="M493" s="10">
        <f t="shared" ca="1" si="101"/>
        <v>2</v>
      </c>
      <c r="N493" s="10">
        <f t="shared" si="102"/>
        <v>0</v>
      </c>
      <c r="O493" s="10">
        <f t="shared" si="103"/>
        <v>3</v>
      </c>
      <c r="P493" s="10">
        <f t="shared" si="104"/>
        <v>2</v>
      </c>
      <c r="Q493" s="10">
        <f t="shared" si="105"/>
        <v>0</v>
      </c>
      <c r="R493" s="10">
        <f t="shared" ca="1" si="106"/>
        <v>7</v>
      </c>
      <c r="S493" s="10" t="str">
        <f t="shared" ca="1" si="107"/>
        <v>Có</v>
      </c>
      <c r="T493" s="10" t="str">
        <f t="shared" ca="1" si="108"/>
        <v>Có</v>
      </c>
      <c r="U493" s="10" t="str">
        <f t="shared" si="109"/>
        <v>Không</v>
      </c>
      <c r="V493" s="2" t="s">
        <v>65</v>
      </c>
      <c r="W493" s="4">
        <v>46112</v>
      </c>
      <c r="X493" s="8" t="str">
        <f t="shared" si="110"/>
        <v>Tháng 3</v>
      </c>
      <c r="Y493" s="8" t="str">
        <f t="shared" si="111"/>
        <v>Biển Tây B</v>
      </c>
    </row>
    <row r="494" spans="1:25" x14ac:dyDescent="0.25">
      <c r="A494" s="1" t="s">
        <v>702</v>
      </c>
      <c r="B494" s="2" t="s">
        <v>30</v>
      </c>
      <c r="C494" s="2" t="s">
        <v>93</v>
      </c>
      <c r="D494" s="10">
        <f t="shared" ca="1" si="98"/>
        <v>66</v>
      </c>
      <c r="E494" s="2" t="s">
        <v>26</v>
      </c>
      <c r="F494" s="3">
        <v>155</v>
      </c>
      <c r="G494" s="3">
        <v>55</v>
      </c>
      <c r="H494" s="11">
        <f t="shared" si="99"/>
        <v>22.892819979188342</v>
      </c>
      <c r="I494" s="2">
        <v>88</v>
      </c>
      <c r="J494" s="3">
        <v>120</v>
      </c>
      <c r="K494" s="3">
        <v>80</v>
      </c>
      <c r="L494" s="10">
        <f t="shared" si="100"/>
        <v>2</v>
      </c>
      <c r="M494" s="10">
        <f t="shared" ca="1" si="101"/>
        <v>2</v>
      </c>
      <c r="N494" s="10">
        <f t="shared" si="102"/>
        <v>0</v>
      </c>
      <c r="O494" s="10">
        <f t="shared" si="103"/>
        <v>0</v>
      </c>
      <c r="P494" s="10">
        <f t="shared" si="104"/>
        <v>0</v>
      </c>
      <c r="Q494" s="10">
        <f t="shared" si="105"/>
        <v>0</v>
      </c>
      <c r="R494" s="10">
        <f t="shared" ca="1" si="106"/>
        <v>4</v>
      </c>
      <c r="S494" s="10" t="str">
        <f t="shared" ca="1" si="107"/>
        <v>Không cần</v>
      </c>
      <c r="T494" s="10" t="str">
        <f t="shared" ca="1" si="108"/>
        <v>Không</v>
      </c>
      <c r="U494" s="10" t="str">
        <f t="shared" si="109"/>
        <v>Không</v>
      </c>
      <c r="V494" s="2" t="s">
        <v>703</v>
      </c>
      <c r="W494" s="4">
        <v>46081</v>
      </c>
      <c r="X494" s="8" t="str">
        <f t="shared" si="110"/>
        <v>Tháng 2</v>
      </c>
      <c r="Y494" s="8" t="str">
        <f t="shared" si="111"/>
        <v>khóm Giồng Giữa</v>
      </c>
    </row>
    <row r="495" spans="1:25" x14ac:dyDescent="0.25">
      <c r="A495" s="1" t="s">
        <v>704</v>
      </c>
      <c r="B495" s="2" t="s">
        <v>23</v>
      </c>
      <c r="C495" s="2" t="s">
        <v>130</v>
      </c>
      <c r="D495" s="10">
        <f t="shared" ca="1" si="98"/>
        <v>57</v>
      </c>
      <c r="E495" s="2" t="s">
        <v>25</v>
      </c>
      <c r="F495" s="3">
        <v>160</v>
      </c>
      <c r="G495" s="3">
        <v>54</v>
      </c>
      <c r="H495" s="11">
        <f t="shared" si="99"/>
        <v>21.093749999999996</v>
      </c>
      <c r="I495" s="2">
        <v>85</v>
      </c>
      <c r="J495" s="3">
        <v>120</v>
      </c>
      <c r="K495" s="3">
        <v>70</v>
      </c>
      <c r="L495" s="10">
        <f t="shared" si="100"/>
        <v>0</v>
      </c>
      <c r="M495" s="10">
        <f t="shared" ca="1" si="101"/>
        <v>2</v>
      </c>
      <c r="N495" s="10">
        <f t="shared" si="102"/>
        <v>4</v>
      </c>
      <c r="O495" s="10">
        <f t="shared" si="103"/>
        <v>0</v>
      </c>
      <c r="P495" s="10">
        <f t="shared" si="104"/>
        <v>2</v>
      </c>
      <c r="Q495" s="10">
        <f t="shared" si="105"/>
        <v>0</v>
      </c>
      <c r="R495" s="10">
        <f t="shared" ca="1" si="106"/>
        <v>8</v>
      </c>
      <c r="S495" s="10" t="str">
        <f t="shared" ca="1" si="107"/>
        <v>Có</v>
      </c>
      <c r="T495" s="10" t="str">
        <f t="shared" ca="1" si="108"/>
        <v>Có</v>
      </c>
      <c r="U495" s="10" t="str">
        <f t="shared" si="109"/>
        <v>Không</v>
      </c>
      <c r="V495" s="2" t="s">
        <v>51</v>
      </c>
      <c r="W495" s="4">
        <v>46112</v>
      </c>
      <c r="X495" s="8" t="str">
        <f t="shared" si="110"/>
        <v>Tháng 3</v>
      </c>
      <c r="Y495" s="8" t="str">
        <f t="shared" si="111"/>
        <v>Phường Hiệp Thành</v>
      </c>
    </row>
    <row r="496" spans="1:25" x14ac:dyDescent="0.25">
      <c r="A496" s="1" t="s">
        <v>705</v>
      </c>
      <c r="B496" s="2" t="s">
        <v>30</v>
      </c>
      <c r="C496" s="2" t="s">
        <v>127</v>
      </c>
      <c r="D496" s="10">
        <f t="shared" ca="1" si="98"/>
        <v>76</v>
      </c>
      <c r="E496" s="2" t="s">
        <v>25</v>
      </c>
      <c r="F496" s="3">
        <v>169</v>
      </c>
      <c r="G496" s="3">
        <v>69</v>
      </c>
      <c r="H496" s="11">
        <f t="shared" si="99"/>
        <v>24.158817968558527</v>
      </c>
      <c r="I496" s="2">
        <v>76</v>
      </c>
      <c r="J496" s="3">
        <v>140</v>
      </c>
      <c r="K496" s="3">
        <v>80</v>
      </c>
      <c r="L496" s="10">
        <f t="shared" si="100"/>
        <v>2</v>
      </c>
      <c r="M496" s="10">
        <f t="shared" ca="1" si="101"/>
        <v>2</v>
      </c>
      <c r="N496" s="10">
        <f t="shared" si="102"/>
        <v>4</v>
      </c>
      <c r="O496" s="10">
        <f t="shared" si="103"/>
        <v>3</v>
      </c>
      <c r="P496" s="10">
        <f t="shared" si="104"/>
        <v>0</v>
      </c>
      <c r="Q496" s="10">
        <f t="shared" si="105"/>
        <v>2</v>
      </c>
      <c r="R496" s="10">
        <f t="shared" ca="1" si="106"/>
        <v>13</v>
      </c>
      <c r="S496" s="10" t="str">
        <f t="shared" ca="1" si="107"/>
        <v>Có</v>
      </c>
      <c r="T496" s="10" t="str">
        <f t="shared" ca="1" si="108"/>
        <v>Có</v>
      </c>
      <c r="U496" s="10" t="str">
        <f t="shared" si="109"/>
        <v>Có</v>
      </c>
      <c r="V496" s="2" t="s">
        <v>243</v>
      </c>
      <c r="W496" s="4">
        <v>46053</v>
      </c>
      <c r="X496" s="8" t="str">
        <f t="shared" si="110"/>
        <v>Tháng 1</v>
      </c>
      <c r="Y496" s="8" t="str">
        <f t="shared" si="111"/>
        <v>ấp Giồng Giữa B</v>
      </c>
    </row>
    <row r="497" spans="1:25" x14ac:dyDescent="0.25">
      <c r="A497" s="1" t="s">
        <v>706</v>
      </c>
      <c r="B497" s="2" t="s">
        <v>23</v>
      </c>
      <c r="C497" s="2" t="s">
        <v>82</v>
      </c>
      <c r="D497" s="10">
        <f t="shared" ca="1" si="98"/>
        <v>73</v>
      </c>
      <c r="E497" s="2" t="s">
        <v>26</v>
      </c>
      <c r="F497" s="3">
        <v>158</v>
      </c>
      <c r="G497" s="3">
        <v>58</v>
      </c>
      <c r="H497" s="11">
        <f t="shared" si="99"/>
        <v>23.233456176894723</v>
      </c>
      <c r="I497" s="2">
        <v>82</v>
      </c>
      <c r="J497" s="3">
        <v>140</v>
      </c>
      <c r="K497" s="3">
        <v>80</v>
      </c>
      <c r="L497" s="10">
        <f t="shared" si="100"/>
        <v>0</v>
      </c>
      <c r="M497" s="10">
        <f t="shared" ca="1" si="101"/>
        <v>2</v>
      </c>
      <c r="N497" s="10">
        <f t="shared" si="102"/>
        <v>0</v>
      </c>
      <c r="O497" s="10">
        <f t="shared" si="103"/>
        <v>3</v>
      </c>
      <c r="P497" s="10">
        <f t="shared" si="104"/>
        <v>2</v>
      </c>
      <c r="Q497" s="10">
        <f t="shared" si="105"/>
        <v>2</v>
      </c>
      <c r="R497" s="10">
        <f t="shared" ca="1" si="106"/>
        <v>9</v>
      </c>
      <c r="S497" s="10" t="str">
        <f t="shared" ca="1" si="107"/>
        <v>Có</v>
      </c>
      <c r="T497" s="10" t="str">
        <f t="shared" ca="1" si="108"/>
        <v>Có</v>
      </c>
      <c r="U497" s="10" t="str">
        <f t="shared" si="109"/>
        <v>Có</v>
      </c>
      <c r="V497" s="2" t="s">
        <v>707</v>
      </c>
      <c r="W497" s="4">
        <v>46053</v>
      </c>
      <c r="X497" s="8" t="str">
        <f t="shared" si="110"/>
        <v>Tháng 1</v>
      </c>
      <c r="Y497" s="8" t="str">
        <f t="shared" si="111"/>
        <v>Biển đông b</v>
      </c>
    </row>
    <row r="498" spans="1:25" x14ac:dyDescent="0.25">
      <c r="A498" s="1" t="s">
        <v>708</v>
      </c>
      <c r="B498" s="2" t="s">
        <v>30</v>
      </c>
      <c r="C498" s="2" t="s">
        <v>53</v>
      </c>
      <c r="D498" s="10">
        <f t="shared" ca="1" si="98"/>
        <v>72</v>
      </c>
      <c r="E498" s="2" t="s">
        <v>26</v>
      </c>
      <c r="F498" s="3">
        <v>170</v>
      </c>
      <c r="G498" s="3">
        <v>65</v>
      </c>
      <c r="H498" s="11">
        <f t="shared" si="99"/>
        <v>22.491349480968861</v>
      </c>
      <c r="I498" s="2">
        <v>67</v>
      </c>
      <c r="J498" s="3">
        <v>170</v>
      </c>
      <c r="K498" s="3">
        <v>80</v>
      </c>
      <c r="L498" s="10">
        <f t="shared" si="100"/>
        <v>2</v>
      </c>
      <c r="M498" s="10">
        <f t="shared" ca="1" si="101"/>
        <v>2</v>
      </c>
      <c r="N498" s="10">
        <f t="shared" si="102"/>
        <v>0</v>
      </c>
      <c r="O498" s="10">
        <f t="shared" si="103"/>
        <v>0</v>
      </c>
      <c r="P498" s="10">
        <f t="shared" si="104"/>
        <v>0</v>
      </c>
      <c r="Q498" s="10">
        <f t="shared" si="105"/>
        <v>2</v>
      </c>
      <c r="R498" s="10">
        <f t="shared" ca="1" si="106"/>
        <v>6</v>
      </c>
      <c r="S498" s="10" t="str">
        <f t="shared" ca="1" si="107"/>
        <v>Có</v>
      </c>
      <c r="T498" s="10" t="str">
        <f t="shared" ca="1" si="108"/>
        <v>Có</v>
      </c>
      <c r="U498" s="10" t="str">
        <f t="shared" si="109"/>
        <v>Có</v>
      </c>
      <c r="V498" s="2" t="s">
        <v>108</v>
      </c>
      <c r="W498" s="4">
        <v>46053</v>
      </c>
      <c r="X498" s="8" t="str">
        <f t="shared" si="110"/>
        <v>Tháng 1</v>
      </c>
      <c r="Y498" s="8" t="str">
        <f t="shared" si="111"/>
        <v>Phường Hiệp Thành</v>
      </c>
    </row>
    <row r="499" spans="1:25" x14ac:dyDescent="0.25">
      <c r="A499" s="1" t="s">
        <v>709</v>
      </c>
      <c r="B499" s="2" t="s">
        <v>23</v>
      </c>
      <c r="C499" s="2" t="s">
        <v>133</v>
      </c>
      <c r="D499" s="10">
        <f t="shared" ca="1" si="98"/>
        <v>56</v>
      </c>
      <c r="E499" s="2" t="s">
        <v>26</v>
      </c>
      <c r="F499" s="3">
        <v>158</v>
      </c>
      <c r="G499" s="3">
        <v>58</v>
      </c>
      <c r="H499" s="11">
        <f t="shared" si="99"/>
        <v>23.233456176894723</v>
      </c>
      <c r="I499" s="2">
        <v>65</v>
      </c>
      <c r="J499" s="3">
        <v>130</v>
      </c>
      <c r="K499" s="3">
        <v>80</v>
      </c>
      <c r="L499" s="10">
        <f t="shared" si="100"/>
        <v>0</v>
      </c>
      <c r="M499" s="10">
        <f t="shared" ca="1" si="101"/>
        <v>2</v>
      </c>
      <c r="N499" s="10">
        <f t="shared" si="102"/>
        <v>0</v>
      </c>
      <c r="O499" s="10">
        <f t="shared" si="103"/>
        <v>3</v>
      </c>
      <c r="P499" s="10">
        <f t="shared" si="104"/>
        <v>0</v>
      </c>
      <c r="Q499" s="10">
        <f t="shared" si="105"/>
        <v>0</v>
      </c>
      <c r="R499" s="10">
        <f t="shared" ca="1" si="106"/>
        <v>5</v>
      </c>
      <c r="S499" s="10" t="str">
        <f t="shared" ca="1" si="107"/>
        <v>Không cần</v>
      </c>
      <c r="T499" s="10" t="str">
        <f t="shared" ca="1" si="108"/>
        <v>Không</v>
      </c>
      <c r="U499" s="10" t="str">
        <f t="shared" si="109"/>
        <v>Không</v>
      </c>
      <c r="V499" s="2" t="s">
        <v>70</v>
      </c>
      <c r="W499" s="4">
        <v>46142</v>
      </c>
      <c r="X499" s="8" t="str">
        <f t="shared" si="110"/>
        <v>Tháng 4</v>
      </c>
      <c r="Y499" s="8" t="str">
        <f t="shared" si="111"/>
        <v>Ấp Biển Tây A</v>
      </c>
    </row>
    <row r="500" spans="1:25" x14ac:dyDescent="0.25">
      <c r="A500" s="1" t="s">
        <v>710</v>
      </c>
      <c r="B500" s="2" t="s">
        <v>23</v>
      </c>
      <c r="C500" s="2" t="s">
        <v>67</v>
      </c>
      <c r="D500" s="10">
        <f t="shared" ca="1" si="98"/>
        <v>48</v>
      </c>
      <c r="E500" s="2" t="s">
        <v>26</v>
      </c>
      <c r="F500" s="3">
        <v>160</v>
      </c>
      <c r="G500" s="3">
        <v>65</v>
      </c>
      <c r="H500" s="11">
        <f t="shared" si="99"/>
        <v>25.390624999999996</v>
      </c>
      <c r="I500" s="2">
        <v>83</v>
      </c>
      <c r="J500" s="3">
        <v>120</v>
      </c>
      <c r="K500" s="3">
        <v>80</v>
      </c>
      <c r="L500" s="10">
        <f t="shared" si="100"/>
        <v>0</v>
      </c>
      <c r="M500" s="10">
        <f t="shared" ca="1" si="101"/>
        <v>1</v>
      </c>
      <c r="N500" s="10">
        <f t="shared" si="102"/>
        <v>0</v>
      </c>
      <c r="O500" s="10">
        <f t="shared" si="103"/>
        <v>3</v>
      </c>
      <c r="P500" s="10">
        <f t="shared" si="104"/>
        <v>2</v>
      </c>
      <c r="Q500" s="10">
        <f t="shared" si="105"/>
        <v>0</v>
      </c>
      <c r="R500" s="10">
        <f t="shared" ca="1" si="106"/>
        <v>6</v>
      </c>
      <c r="S500" s="10" t="str">
        <f t="shared" ca="1" si="107"/>
        <v>Có</v>
      </c>
      <c r="T500" s="10" t="str">
        <f t="shared" ca="1" si="108"/>
        <v>Có</v>
      </c>
      <c r="U500" s="10" t="str">
        <f t="shared" si="109"/>
        <v>Không</v>
      </c>
      <c r="V500" s="2" t="s">
        <v>711</v>
      </c>
      <c r="W500" s="4">
        <v>46142</v>
      </c>
      <c r="X500" s="8" t="str">
        <f t="shared" si="110"/>
        <v>Tháng 4</v>
      </c>
      <c r="Y500" s="8" t="str">
        <f t="shared" si="111"/>
        <v>khóm giồng nhãn A</v>
      </c>
    </row>
    <row r="501" spans="1:25" x14ac:dyDescent="0.25">
      <c r="A501" s="1" t="s">
        <v>712</v>
      </c>
      <c r="B501" s="2" t="s">
        <v>30</v>
      </c>
      <c r="C501" s="2" t="s">
        <v>146</v>
      </c>
      <c r="D501" s="10">
        <f t="shared" ca="1" si="98"/>
        <v>52</v>
      </c>
      <c r="E501" s="2" t="s">
        <v>26</v>
      </c>
      <c r="F501" s="3">
        <v>169</v>
      </c>
      <c r="G501" s="3">
        <v>68</v>
      </c>
      <c r="H501" s="11">
        <f t="shared" si="99"/>
        <v>23.808690171912751</v>
      </c>
      <c r="I501" s="2">
        <v>72</v>
      </c>
      <c r="J501" s="3">
        <v>150</v>
      </c>
      <c r="K501" s="3">
        <v>80</v>
      </c>
      <c r="L501" s="10">
        <f t="shared" si="100"/>
        <v>2</v>
      </c>
      <c r="M501" s="10">
        <f t="shared" ca="1" si="101"/>
        <v>2</v>
      </c>
      <c r="N501" s="10">
        <f t="shared" si="102"/>
        <v>0</v>
      </c>
      <c r="O501" s="10">
        <f t="shared" si="103"/>
        <v>3</v>
      </c>
      <c r="P501" s="10">
        <f t="shared" si="104"/>
        <v>0</v>
      </c>
      <c r="Q501" s="10">
        <f t="shared" si="105"/>
        <v>2</v>
      </c>
      <c r="R501" s="10">
        <f t="shared" ca="1" si="106"/>
        <v>9</v>
      </c>
      <c r="S501" s="10" t="str">
        <f t="shared" ca="1" si="107"/>
        <v>Có</v>
      </c>
      <c r="T501" s="10" t="str">
        <f t="shared" ca="1" si="108"/>
        <v>Có</v>
      </c>
      <c r="U501" s="10" t="str">
        <f t="shared" si="109"/>
        <v>Có</v>
      </c>
      <c r="V501" s="2" t="s">
        <v>70</v>
      </c>
      <c r="W501" s="4">
        <v>46142</v>
      </c>
      <c r="X501" s="8" t="str">
        <f t="shared" si="110"/>
        <v>Tháng 4</v>
      </c>
      <c r="Y501" s="8" t="str">
        <f t="shared" si="111"/>
        <v>Ấp Biển Tây A</v>
      </c>
    </row>
    <row r="502" spans="1:25" x14ac:dyDescent="0.25">
      <c r="A502" s="1" t="s">
        <v>713</v>
      </c>
      <c r="B502" s="2" t="s">
        <v>30</v>
      </c>
      <c r="C502" s="2" t="s">
        <v>146</v>
      </c>
      <c r="D502" s="10">
        <f t="shared" ca="1" si="98"/>
        <v>52</v>
      </c>
      <c r="E502" s="2" t="s">
        <v>26</v>
      </c>
      <c r="F502" s="3">
        <v>169</v>
      </c>
      <c r="G502" s="3">
        <v>69</v>
      </c>
      <c r="H502" s="11">
        <f t="shared" si="99"/>
        <v>24.158817968558527</v>
      </c>
      <c r="I502" s="2">
        <v>96</v>
      </c>
      <c r="J502" s="3">
        <v>140</v>
      </c>
      <c r="K502" s="3">
        <v>80</v>
      </c>
      <c r="L502" s="10">
        <f t="shared" si="100"/>
        <v>2</v>
      </c>
      <c r="M502" s="10">
        <f t="shared" ca="1" si="101"/>
        <v>2</v>
      </c>
      <c r="N502" s="10">
        <f t="shared" si="102"/>
        <v>0</v>
      </c>
      <c r="O502" s="10">
        <f t="shared" si="103"/>
        <v>3</v>
      </c>
      <c r="P502" s="10">
        <f t="shared" si="104"/>
        <v>2</v>
      </c>
      <c r="Q502" s="10">
        <f t="shared" si="105"/>
        <v>2</v>
      </c>
      <c r="R502" s="10">
        <f t="shared" ca="1" si="106"/>
        <v>11</v>
      </c>
      <c r="S502" s="10" t="str">
        <f t="shared" ca="1" si="107"/>
        <v>Có</v>
      </c>
      <c r="T502" s="10" t="str">
        <f t="shared" ca="1" si="108"/>
        <v>Có</v>
      </c>
      <c r="U502" s="10" t="str">
        <f t="shared" si="109"/>
        <v>Có</v>
      </c>
      <c r="V502" s="2" t="s">
        <v>70</v>
      </c>
      <c r="W502" s="4">
        <v>46053</v>
      </c>
      <c r="X502" s="8" t="str">
        <f t="shared" si="110"/>
        <v>Tháng 1</v>
      </c>
      <c r="Y502" s="8" t="str">
        <f t="shared" si="111"/>
        <v>Ấp Biển Tây A</v>
      </c>
    </row>
    <row r="503" spans="1:25" x14ac:dyDescent="0.25">
      <c r="A503" s="1" t="s">
        <v>714</v>
      </c>
      <c r="B503" s="2" t="s">
        <v>30</v>
      </c>
      <c r="C503" s="2" t="s">
        <v>84</v>
      </c>
      <c r="D503" s="10">
        <f t="shared" ca="1" si="98"/>
        <v>69</v>
      </c>
      <c r="E503" s="2" t="s">
        <v>26</v>
      </c>
      <c r="F503" s="3">
        <v>169</v>
      </c>
      <c r="G503" s="3">
        <v>69</v>
      </c>
      <c r="H503" s="11">
        <f t="shared" si="99"/>
        <v>24.158817968558527</v>
      </c>
      <c r="I503" s="2">
        <v>68</v>
      </c>
      <c r="J503" s="3">
        <v>160</v>
      </c>
      <c r="K503" s="3">
        <v>80</v>
      </c>
      <c r="L503" s="10">
        <f t="shared" si="100"/>
        <v>2</v>
      </c>
      <c r="M503" s="10">
        <f t="shared" ca="1" si="101"/>
        <v>2</v>
      </c>
      <c r="N503" s="10">
        <f t="shared" si="102"/>
        <v>0</v>
      </c>
      <c r="O503" s="10">
        <f t="shared" si="103"/>
        <v>3</v>
      </c>
      <c r="P503" s="10">
        <f t="shared" si="104"/>
        <v>0</v>
      </c>
      <c r="Q503" s="10">
        <f t="shared" si="105"/>
        <v>2</v>
      </c>
      <c r="R503" s="10">
        <f t="shared" ca="1" si="106"/>
        <v>9</v>
      </c>
      <c r="S503" s="10" t="str">
        <f t="shared" ca="1" si="107"/>
        <v>Có</v>
      </c>
      <c r="T503" s="10" t="str">
        <f t="shared" ca="1" si="108"/>
        <v>Có</v>
      </c>
      <c r="U503" s="10" t="str">
        <f t="shared" si="109"/>
        <v>Có</v>
      </c>
      <c r="V503" s="2" t="s">
        <v>140</v>
      </c>
      <c r="W503" s="4">
        <v>46081</v>
      </c>
      <c r="X503" s="8" t="str">
        <f t="shared" si="110"/>
        <v>Tháng 2</v>
      </c>
      <c r="Y503" s="8" t="str">
        <f t="shared" si="111"/>
        <v>Biển Tây A</v>
      </c>
    </row>
    <row r="504" spans="1:25" x14ac:dyDescent="0.25">
      <c r="A504" s="1" t="s">
        <v>715</v>
      </c>
      <c r="B504" s="2" t="s">
        <v>23</v>
      </c>
      <c r="C504" s="2" t="s">
        <v>273</v>
      </c>
      <c r="D504" s="10">
        <f t="shared" ca="1" si="98"/>
        <v>47</v>
      </c>
      <c r="E504" s="2" t="s">
        <v>26</v>
      </c>
      <c r="F504" s="3">
        <v>160</v>
      </c>
      <c r="G504" s="3">
        <v>67</v>
      </c>
      <c r="H504" s="11">
        <f t="shared" si="99"/>
        <v>26.171874999999996</v>
      </c>
      <c r="I504" s="2">
        <v>77</v>
      </c>
      <c r="J504" s="3">
        <v>120</v>
      </c>
      <c r="K504" s="3">
        <v>80</v>
      </c>
      <c r="L504" s="10">
        <f t="shared" si="100"/>
        <v>0</v>
      </c>
      <c r="M504" s="10">
        <f t="shared" ca="1" si="101"/>
        <v>1</v>
      </c>
      <c r="N504" s="10">
        <f t="shared" si="102"/>
        <v>0</v>
      </c>
      <c r="O504" s="10">
        <f t="shared" si="103"/>
        <v>3</v>
      </c>
      <c r="P504" s="10">
        <f t="shared" si="104"/>
        <v>0</v>
      </c>
      <c r="Q504" s="10">
        <f t="shared" si="105"/>
        <v>0</v>
      </c>
      <c r="R504" s="10">
        <f t="shared" ca="1" si="106"/>
        <v>4</v>
      </c>
      <c r="S504" s="10" t="str">
        <f t="shared" ca="1" si="107"/>
        <v>Không cần</v>
      </c>
      <c r="T504" s="10" t="str">
        <f t="shared" ca="1" si="108"/>
        <v>Không</v>
      </c>
      <c r="U504" s="10" t="str">
        <f t="shared" si="109"/>
        <v>Không</v>
      </c>
      <c r="V504" s="2" t="s">
        <v>122</v>
      </c>
      <c r="W504" s="4">
        <v>46112</v>
      </c>
      <c r="X504" s="8" t="str">
        <f t="shared" si="110"/>
        <v>Tháng 3</v>
      </c>
      <c r="Y504" s="8" t="str">
        <f t="shared" si="111"/>
        <v>Giồng Nhãn</v>
      </c>
    </row>
    <row r="505" spans="1:25" x14ac:dyDescent="0.25">
      <c r="A505" s="1" t="s">
        <v>716</v>
      </c>
      <c r="B505" s="2" t="s">
        <v>23</v>
      </c>
      <c r="C505" s="2" t="s">
        <v>146</v>
      </c>
      <c r="D505" s="10">
        <f t="shared" ca="1" si="98"/>
        <v>52</v>
      </c>
      <c r="E505" s="2" t="s">
        <v>26</v>
      </c>
      <c r="F505" s="3">
        <v>156</v>
      </c>
      <c r="G505" s="3">
        <v>54</v>
      </c>
      <c r="H505" s="11">
        <f t="shared" si="99"/>
        <v>22.189349112426033</v>
      </c>
      <c r="I505" s="2">
        <v>78</v>
      </c>
      <c r="J505" s="3">
        <v>130</v>
      </c>
      <c r="K505" s="3">
        <v>80</v>
      </c>
      <c r="L505" s="10">
        <f t="shared" si="100"/>
        <v>0</v>
      </c>
      <c r="M505" s="10">
        <f t="shared" ca="1" si="101"/>
        <v>2</v>
      </c>
      <c r="N505" s="10">
        <f t="shared" si="102"/>
        <v>0</v>
      </c>
      <c r="O505" s="10">
        <f t="shared" si="103"/>
        <v>0</v>
      </c>
      <c r="P505" s="10">
        <f t="shared" si="104"/>
        <v>0</v>
      </c>
      <c r="Q505" s="10">
        <f t="shared" si="105"/>
        <v>0</v>
      </c>
      <c r="R505" s="10">
        <f t="shared" ca="1" si="106"/>
        <v>2</v>
      </c>
      <c r="S505" s="10" t="str">
        <f t="shared" ca="1" si="107"/>
        <v>Không cần</v>
      </c>
      <c r="T505" s="10" t="str">
        <f t="shared" ca="1" si="108"/>
        <v>Không</v>
      </c>
      <c r="U505" s="10" t="str">
        <f t="shared" si="109"/>
        <v>Không</v>
      </c>
      <c r="V505" s="2" t="s">
        <v>501</v>
      </c>
      <c r="W505" s="4">
        <v>46112</v>
      </c>
      <c r="X505" s="8" t="str">
        <f t="shared" si="110"/>
        <v>Tháng 3</v>
      </c>
      <c r="Y505" s="8" t="str">
        <f t="shared" si="111"/>
        <v>ấp Giồng Nhãn</v>
      </c>
    </row>
    <row r="506" spans="1:25" x14ac:dyDescent="0.25">
      <c r="A506" s="1" t="s">
        <v>717</v>
      </c>
      <c r="B506" s="2" t="s">
        <v>30</v>
      </c>
      <c r="C506" s="2" t="s">
        <v>42</v>
      </c>
      <c r="D506" s="10">
        <f t="shared" ca="1" si="98"/>
        <v>59</v>
      </c>
      <c r="E506" s="2" t="s">
        <v>26</v>
      </c>
      <c r="F506" s="3">
        <v>169</v>
      </c>
      <c r="G506" s="3">
        <v>78</v>
      </c>
      <c r="H506" s="11">
        <f t="shared" si="99"/>
        <v>27.309968138370508</v>
      </c>
      <c r="I506" s="2">
        <v>96</v>
      </c>
      <c r="J506" s="3">
        <v>160</v>
      </c>
      <c r="K506" s="3">
        <v>90</v>
      </c>
      <c r="L506" s="10">
        <f t="shared" si="100"/>
        <v>2</v>
      </c>
      <c r="M506" s="10">
        <f t="shared" ca="1" si="101"/>
        <v>2</v>
      </c>
      <c r="N506" s="10">
        <f t="shared" si="102"/>
        <v>0</v>
      </c>
      <c r="O506" s="10">
        <f t="shared" si="103"/>
        <v>3</v>
      </c>
      <c r="P506" s="10">
        <f t="shared" si="104"/>
        <v>2</v>
      </c>
      <c r="Q506" s="10">
        <f t="shared" si="105"/>
        <v>2</v>
      </c>
      <c r="R506" s="10">
        <f t="shared" ca="1" si="106"/>
        <v>11</v>
      </c>
      <c r="S506" s="10" t="str">
        <f t="shared" ca="1" si="107"/>
        <v>Có</v>
      </c>
      <c r="T506" s="10" t="str">
        <f t="shared" ca="1" si="108"/>
        <v>Có</v>
      </c>
      <c r="U506" s="10" t="str">
        <f t="shared" si="109"/>
        <v>Có</v>
      </c>
      <c r="V506" s="2" t="s">
        <v>509</v>
      </c>
      <c r="W506" s="4">
        <v>46142</v>
      </c>
      <c r="X506" s="8" t="str">
        <f t="shared" si="110"/>
        <v>Tháng 4</v>
      </c>
      <c r="Y506" s="8" t="str">
        <f t="shared" si="111"/>
        <v>Khóm Nhà Mát</v>
      </c>
    </row>
    <row r="507" spans="1:25" x14ac:dyDescent="0.25">
      <c r="A507" s="1" t="s">
        <v>718</v>
      </c>
      <c r="B507" s="2" t="s">
        <v>30</v>
      </c>
      <c r="C507" s="2" t="s">
        <v>90</v>
      </c>
      <c r="D507" s="10">
        <f t="shared" ca="1" si="98"/>
        <v>54</v>
      </c>
      <c r="E507" s="2" t="s">
        <v>26</v>
      </c>
      <c r="F507" s="3">
        <v>169</v>
      </c>
      <c r="G507" s="3">
        <v>68</v>
      </c>
      <c r="H507" s="11">
        <f t="shared" si="99"/>
        <v>23.808690171912751</v>
      </c>
      <c r="I507" s="2">
        <v>97</v>
      </c>
      <c r="J507" s="3">
        <v>120</v>
      </c>
      <c r="K507" s="3">
        <v>80</v>
      </c>
      <c r="L507" s="10">
        <f t="shared" si="100"/>
        <v>2</v>
      </c>
      <c r="M507" s="10">
        <f t="shared" ca="1" si="101"/>
        <v>2</v>
      </c>
      <c r="N507" s="10">
        <f t="shared" si="102"/>
        <v>0</v>
      </c>
      <c r="O507" s="10">
        <f t="shared" si="103"/>
        <v>3</v>
      </c>
      <c r="P507" s="10">
        <f t="shared" si="104"/>
        <v>2</v>
      </c>
      <c r="Q507" s="10">
        <f t="shared" si="105"/>
        <v>0</v>
      </c>
      <c r="R507" s="10">
        <f t="shared" ca="1" si="106"/>
        <v>9</v>
      </c>
      <c r="S507" s="10" t="str">
        <f t="shared" ca="1" si="107"/>
        <v>Có</v>
      </c>
      <c r="T507" s="10" t="str">
        <f t="shared" ca="1" si="108"/>
        <v>Có</v>
      </c>
      <c r="U507" s="10" t="str">
        <f t="shared" si="109"/>
        <v>Không</v>
      </c>
      <c r="V507" s="2" t="s">
        <v>719</v>
      </c>
      <c r="W507" s="4">
        <v>46112</v>
      </c>
      <c r="X507" s="8" t="str">
        <f t="shared" si="110"/>
        <v>Tháng 3</v>
      </c>
      <c r="Y507" s="8" t="str">
        <f t="shared" si="111"/>
        <v>413/1 Khóm Đầu Lộ</v>
      </c>
    </row>
    <row r="508" spans="1:25" x14ac:dyDescent="0.25">
      <c r="A508" s="1" t="s">
        <v>720</v>
      </c>
      <c r="B508" s="2" t="s">
        <v>30</v>
      </c>
      <c r="C508" s="2" t="s">
        <v>110</v>
      </c>
      <c r="D508" s="10">
        <f t="shared" ca="1" si="98"/>
        <v>62</v>
      </c>
      <c r="E508" s="2" t="s">
        <v>26</v>
      </c>
      <c r="F508" s="3">
        <v>168</v>
      </c>
      <c r="G508" s="3">
        <v>68</v>
      </c>
      <c r="H508" s="11">
        <f t="shared" si="99"/>
        <v>24.092970521541954</v>
      </c>
      <c r="I508" s="2">
        <v>86</v>
      </c>
      <c r="J508" s="3">
        <v>120</v>
      </c>
      <c r="K508" s="3">
        <v>80</v>
      </c>
      <c r="L508" s="10">
        <f t="shared" si="100"/>
        <v>2</v>
      </c>
      <c r="M508" s="10">
        <f t="shared" ca="1" si="101"/>
        <v>2</v>
      </c>
      <c r="N508" s="10">
        <f t="shared" si="102"/>
        <v>0</v>
      </c>
      <c r="O508" s="10">
        <f t="shared" si="103"/>
        <v>3</v>
      </c>
      <c r="P508" s="10">
        <f t="shared" si="104"/>
        <v>0</v>
      </c>
      <c r="Q508" s="10">
        <f t="shared" si="105"/>
        <v>0</v>
      </c>
      <c r="R508" s="10">
        <f t="shared" ca="1" si="106"/>
        <v>7</v>
      </c>
      <c r="S508" s="10" t="str">
        <f t="shared" ca="1" si="107"/>
        <v>Có</v>
      </c>
      <c r="T508" s="10" t="str">
        <f t="shared" ca="1" si="108"/>
        <v>Có</v>
      </c>
      <c r="U508" s="10" t="str">
        <f t="shared" si="109"/>
        <v>Không</v>
      </c>
      <c r="V508" s="2" t="s">
        <v>68</v>
      </c>
      <c r="W508" s="4">
        <v>46081</v>
      </c>
      <c r="X508" s="8" t="str">
        <f t="shared" si="110"/>
        <v>Tháng 2</v>
      </c>
      <c r="Y508" s="8" t="str">
        <f t="shared" si="111"/>
        <v>Ấp Biển Tây B</v>
      </c>
    </row>
    <row r="509" spans="1:25" x14ac:dyDescent="0.25">
      <c r="A509" s="1" t="s">
        <v>721</v>
      </c>
      <c r="B509" s="2" t="s">
        <v>30</v>
      </c>
      <c r="C509" s="2" t="s">
        <v>31</v>
      </c>
      <c r="D509" s="10">
        <f t="shared" ca="1" si="98"/>
        <v>79</v>
      </c>
      <c r="E509" s="2" t="s">
        <v>26</v>
      </c>
      <c r="F509" s="3">
        <v>169</v>
      </c>
      <c r="G509" s="3">
        <v>68</v>
      </c>
      <c r="H509" s="11">
        <f t="shared" si="99"/>
        <v>23.808690171912751</v>
      </c>
      <c r="I509" s="2">
        <v>75</v>
      </c>
      <c r="J509" s="3">
        <v>150</v>
      </c>
      <c r="K509" s="3">
        <v>80</v>
      </c>
      <c r="L509" s="10">
        <f t="shared" si="100"/>
        <v>2</v>
      </c>
      <c r="M509" s="10">
        <f t="shared" ca="1" si="101"/>
        <v>2</v>
      </c>
      <c r="N509" s="10">
        <f t="shared" si="102"/>
        <v>0</v>
      </c>
      <c r="O509" s="10">
        <f t="shared" si="103"/>
        <v>3</v>
      </c>
      <c r="P509" s="10">
        <f t="shared" si="104"/>
        <v>0</v>
      </c>
      <c r="Q509" s="10">
        <f t="shared" si="105"/>
        <v>2</v>
      </c>
      <c r="R509" s="10">
        <f t="shared" ca="1" si="106"/>
        <v>9</v>
      </c>
      <c r="S509" s="10" t="str">
        <f t="shared" ca="1" si="107"/>
        <v>Có</v>
      </c>
      <c r="T509" s="10" t="str">
        <f t="shared" ca="1" si="108"/>
        <v>Có</v>
      </c>
      <c r="U509" s="10" t="str">
        <f t="shared" si="109"/>
        <v>Có</v>
      </c>
      <c r="V509" s="2" t="s">
        <v>32</v>
      </c>
      <c r="W509" s="4">
        <v>46112</v>
      </c>
      <c r="X509" s="8" t="str">
        <f t="shared" si="110"/>
        <v>Tháng 3</v>
      </c>
      <c r="Y509" s="8" t="str">
        <f t="shared" si="111"/>
        <v>Ấp Giồng Giữa B</v>
      </c>
    </row>
    <row r="510" spans="1:25" x14ac:dyDescent="0.25">
      <c r="A510" s="1" t="s">
        <v>722</v>
      </c>
      <c r="B510" s="2" t="s">
        <v>30</v>
      </c>
      <c r="C510" s="2" t="s">
        <v>105</v>
      </c>
      <c r="D510" s="10">
        <f t="shared" ca="1" si="98"/>
        <v>60</v>
      </c>
      <c r="E510" s="2" t="s">
        <v>26</v>
      </c>
      <c r="F510" s="3">
        <v>169</v>
      </c>
      <c r="G510" s="3">
        <v>68</v>
      </c>
      <c r="H510" s="11">
        <f t="shared" si="99"/>
        <v>23.808690171912751</v>
      </c>
      <c r="I510" s="2">
        <v>82</v>
      </c>
      <c r="J510" s="3">
        <v>120</v>
      </c>
      <c r="K510" s="3">
        <v>80</v>
      </c>
      <c r="L510" s="10">
        <f t="shared" si="100"/>
        <v>2</v>
      </c>
      <c r="M510" s="10">
        <f t="shared" ca="1" si="101"/>
        <v>2</v>
      </c>
      <c r="N510" s="10">
        <f t="shared" si="102"/>
        <v>0</v>
      </c>
      <c r="O510" s="10">
        <f t="shared" si="103"/>
        <v>3</v>
      </c>
      <c r="P510" s="10">
        <f t="shared" si="104"/>
        <v>0</v>
      </c>
      <c r="Q510" s="10">
        <f t="shared" si="105"/>
        <v>0</v>
      </c>
      <c r="R510" s="10">
        <f t="shared" ca="1" si="106"/>
        <v>7</v>
      </c>
      <c r="S510" s="10" t="str">
        <f t="shared" ca="1" si="107"/>
        <v>Có</v>
      </c>
      <c r="T510" s="10" t="str">
        <f t="shared" ca="1" si="108"/>
        <v>Có</v>
      </c>
      <c r="U510" s="10" t="str">
        <f t="shared" si="109"/>
        <v>Không</v>
      </c>
      <c r="V510" s="2" t="s">
        <v>234</v>
      </c>
      <c r="W510" s="4">
        <v>46142</v>
      </c>
      <c r="X510" s="8" t="str">
        <f t="shared" si="110"/>
        <v>Tháng 4</v>
      </c>
      <c r="Y510" s="8" t="str">
        <f t="shared" si="111"/>
        <v>ấp Biển Đông B</v>
      </c>
    </row>
    <row r="511" spans="1:25" x14ac:dyDescent="0.25">
      <c r="A511" s="1" t="s">
        <v>723</v>
      </c>
      <c r="B511" s="2" t="s">
        <v>23</v>
      </c>
      <c r="C511" s="2" t="s">
        <v>87</v>
      </c>
      <c r="D511" s="10">
        <f t="shared" ca="1" si="98"/>
        <v>49</v>
      </c>
      <c r="E511" s="2" t="s">
        <v>26</v>
      </c>
      <c r="F511" s="3">
        <v>158</v>
      </c>
      <c r="G511" s="3">
        <v>58</v>
      </c>
      <c r="H511" s="11">
        <f t="shared" si="99"/>
        <v>23.233456176894723</v>
      </c>
      <c r="I511" s="2">
        <v>88</v>
      </c>
      <c r="J511" s="3">
        <v>130</v>
      </c>
      <c r="K511" s="3">
        <v>80</v>
      </c>
      <c r="L511" s="10">
        <f t="shared" si="100"/>
        <v>0</v>
      </c>
      <c r="M511" s="10">
        <f t="shared" ca="1" si="101"/>
        <v>1</v>
      </c>
      <c r="N511" s="10">
        <f t="shared" si="102"/>
        <v>0</v>
      </c>
      <c r="O511" s="10">
        <f t="shared" si="103"/>
        <v>3</v>
      </c>
      <c r="P511" s="10">
        <f t="shared" si="104"/>
        <v>2</v>
      </c>
      <c r="Q511" s="10">
        <f t="shared" si="105"/>
        <v>0</v>
      </c>
      <c r="R511" s="10">
        <f t="shared" ca="1" si="106"/>
        <v>6</v>
      </c>
      <c r="S511" s="10" t="str">
        <f t="shared" ca="1" si="107"/>
        <v>Có</v>
      </c>
      <c r="T511" s="10" t="str">
        <f t="shared" ca="1" si="108"/>
        <v>Có</v>
      </c>
      <c r="U511" s="10" t="str">
        <f t="shared" si="109"/>
        <v>Không</v>
      </c>
      <c r="V511" s="2" t="s">
        <v>68</v>
      </c>
      <c r="W511" s="4">
        <v>46142</v>
      </c>
      <c r="X511" s="8" t="str">
        <f t="shared" si="110"/>
        <v>Tháng 4</v>
      </c>
      <c r="Y511" s="8" t="str">
        <f t="shared" si="111"/>
        <v>Ấp Biển Tây B</v>
      </c>
    </row>
    <row r="512" spans="1:25" x14ac:dyDescent="0.25">
      <c r="A512" s="1" t="s">
        <v>724</v>
      </c>
      <c r="B512" s="2" t="s">
        <v>30</v>
      </c>
      <c r="C512" s="2" t="s">
        <v>373</v>
      </c>
      <c r="D512" s="10">
        <f t="shared" ca="1" si="98"/>
        <v>61</v>
      </c>
      <c r="E512" s="2" t="s">
        <v>26</v>
      </c>
      <c r="F512" s="3">
        <v>165</v>
      </c>
      <c r="G512" s="3">
        <v>62</v>
      </c>
      <c r="H512" s="11">
        <f t="shared" si="99"/>
        <v>22.77318640955005</v>
      </c>
      <c r="I512" s="2">
        <v>88</v>
      </c>
      <c r="J512" s="3">
        <v>120</v>
      </c>
      <c r="K512" s="3">
        <v>70</v>
      </c>
      <c r="L512" s="10">
        <f t="shared" si="100"/>
        <v>2</v>
      </c>
      <c r="M512" s="10">
        <f t="shared" ca="1" si="101"/>
        <v>2</v>
      </c>
      <c r="N512" s="10">
        <f t="shared" si="102"/>
        <v>0</v>
      </c>
      <c r="O512" s="10">
        <f t="shared" si="103"/>
        <v>0</v>
      </c>
      <c r="P512" s="10">
        <f t="shared" si="104"/>
        <v>0</v>
      </c>
      <c r="Q512" s="10">
        <f t="shared" si="105"/>
        <v>0</v>
      </c>
      <c r="R512" s="10">
        <f t="shared" ca="1" si="106"/>
        <v>4</v>
      </c>
      <c r="S512" s="10" t="str">
        <f t="shared" ca="1" si="107"/>
        <v>Không cần</v>
      </c>
      <c r="T512" s="10" t="str">
        <f t="shared" ca="1" si="108"/>
        <v>Không</v>
      </c>
      <c r="U512" s="10" t="str">
        <f t="shared" si="109"/>
        <v>Không</v>
      </c>
      <c r="V512" s="2" t="s">
        <v>51</v>
      </c>
      <c r="W512" s="4">
        <v>46081</v>
      </c>
      <c r="X512" s="8" t="str">
        <f t="shared" si="110"/>
        <v>Tháng 2</v>
      </c>
      <c r="Y512" s="8" t="str">
        <f t="shared" si="111"/>
        <v>Phường Hiệp Thành</v>
      </c>
    </row>
    <row r="513" spans="1:25" x14ac:dyDescent="0.25">
      <c r="A513" s="1" t="s">
        <v>725</v>
      </c>
      <c r="B513" s="2" t="s">
        <v>30</v>
      </c>
      <c r="C513" s="2" t="s">
        <v>188</v>
      </c>
      <c r="D513" s="10">
        <f t="shared" ca="1" si="98"/>
        <v>63</v>
      </c>
      <c r="E513" s="2" t="s">
        <v>26</v>
      </c>
      <c r="F513" s="3">
        <v>169</v>
      </c>
      <c r="G513" s="3">
        <v>68</v>
      </c>
      <c r="H513" s="11">
        <f t="shared" si="99"/>
        <v>23.808690171912751</v>
      </c>
      <c r="I513" s="2">
        <v>89</v>
      </c>
      <c r="J513" s="3">
        <v>140</v>
      </c>
      <c r="K513" s="3">
        <v>80</v>
      </c>
      <c r="L513" s="10">
        <f t="shared" si="100"/>
        <v>2</v>
      </c>
      <c r="M513" s="10">
        <f t="shared" ca="1" si="101"/>
        <v>2</v>
      </c>
      <c r="N513" s="10">
        <f t="shared" si="102"/>
        <v>0</v>
      </c>
      <c r="O513" s="10">
        <f t="shared" si="103"/>
        <v>3</v>
      </c>
      <c r="P513" s="10">
        <f t="shared" si="104"/>
        <v>0</v>
      </c>
      <c r="Q513" s="10">
        <f t="shared" si="105"/>
        <v>2</v>
      </c>
      <c r="R513" s="10">
        <f t="shared" ca="1" si="106"/>
        <v>9</v>
      </c>
      <c r="S513" s="10" t="str">
        <f t="shared" ca="1" si="107"/>
        <v>Có</v>
      </c>
      <c r="T513" s="10" t="str">
        <f t="shared" ca="1" si="108"/>
        <v>Có</v>
      </c>
      <c r="U513" s="10" t="str">
        <f t="shared" si="109"/>
        <v>Có</v>
      </c>
      <c r="V513" s="2" t="s">
        <v>51</v>
      </c>
      <c r="W513" s="4">
        <v>46142</v>
      </c>
      <c r="X513" s="8" t="str">
        <f t="shared" si="110"/>
        <v>Tháng 4</v>
      </c>
      <c r="Y513" s="8" t="str">
        <f t="shared" si="111"/>
        <v>Phường Hiệp Thành</v>
      </c>
    </row>
    <row r="514" spans="1:25" x14ac:dyDescent="0.25">
      <c r="A514" s="1" t="s">
        <v>726</v>
      </c>
      <c r="B514" s="2" t="s">
        <v>23</v>
      </c>
      <c r="C514" s="2" t="s">
        <v>24</v>
      </c>
      <c r="D514" s="10">
        <f t="shared" ca="1" si="98"/>
        <v>83</v>
      </c>
      <c r="E514" s="2" t="s">
        <v>25</v>
      </c>
      <c r="F514" s="3">
        <v>158</v>
      </c>
      <c r="G514" s="3">
        <v>45</v>
      </c>
      <c r="H514" s="11">
        <f t="shared" si="99"/>
        <v>18.025957378625218</v>
      </c>
      <c r="I514" s="2">
        <v>73</v>
      </c>
      <c r="J514" s="3">
        <v>130</v>
      </c>
      <c r="K514" s="3">
        <v>80</v>
      </c>
      <c r="L514" s="10">
        <f t="shared" si="100"/>
        <v>0</v>
      </c>
      <c r="M514" s="10">
        <f t="shared" ca="1" si="101"/>
        <v>2</v>
      </c>
      <c r="N514" s="10">
        <f t="shared" si="102"/>
        <v>4</v>
      </c>
      <c r="O514" s="10">
        <f t="shared" si="103"/>
        <v>0</v>
      </c>
      <c r="P514" s="10">
        <f t="shared" si="104"/>
        <v>0</v>
      </c>
      <c r="Q514" s="10">
        <f t="shared" si="105"/>
        <v>0</v>
      </c>
      <c r="R514" s="10">
        <f t="shared" ca="1" si="106"/>
        <v>6</v>
      </c>
      <c r="S514" s="10" t="str">
        <f t="shared" ca="1" si="107"/>
        <v>Có</v>
      </c>
      <c r="T514" s="10" t="str">
        <f t="shared" ca="1" si="108"/>
        <v>Có</v>
      </c>
      <c r="U514" s="10" t="str">
        <f t="shared" si="109"/>
        <v>Không</v>
      </c>
      <c r="V514" s="2" t="s">
        <v>51</v>
      </c>
      <c r="W514" s="4">
        <v>46081</v>
      </c>
      <c r="X514" s="8" t="str">
        <f t="shared" si="110"/>
        <v>Tháng 2</v>
      </c>
      <c r="Y514" s="8" t="str">
        <f t="shared" si="111"/>
        <v>Phường Hiệp Thành</v>
      </c>
    </row>
    <row r="515" spans="1:25" x14ac:dyDescent="0.25">
      <c r="A515" s="1" t="s">
        <v>727</v>
      </c>
      <c r="B515" s="2" t="s">
        <v>30</v>
      </c>
      <c r="C515" s="2" t="s">
        <v>87</v>
      </c>
      <c r="D515" s="10">
        <f t="shared" ref="D515:D578" ca="1" si="112">DATEDIF(C515,TODAY(),"Y")</f>
        <v>49</v>
      </c>
      <c r="E515" s="2" t="s">
        <v>25</v>
      </c>
      <c r="F515" s="3">
        <v>169</v>
      </c>
      <c r="G515" s="3">
        <v>69</v>
      </c>
      <c r="H515" s="11">
        <f t="shared" ref="H515:H578" si="113">G515/((F515/100)*(F515/100))</f>
        <v>24.158817968558527</v>
      </c>
      <c r="I515" s="2">
        <v>68</v>
      </c>
      <c r="J515" s="3">
        <v>120</v>
      </c>
      <c r="K515" s="3">
        <v>80</v>
      </c>
      <c r="L515" s="10">
        <f t="shared" ref="L515:L578" si="114">IF(B515="Nữ",0,2)</f>
        <v>2</v>
      </c>
      <c r="M515" s="10">
        <f t="shared" ref="M515:M578" ca="1" si="115">IF(D515&lt;45,0,IF(D515&lt;=49,1,2))</f>
        <v>1</v>
      </c>
      <c r="N515" s="10">
        <f t="shared" ref="N515:N578" si="116">IF(E515="Có",4,0)</f>
        <v>4</v>
      </c>
      <c r="O515" s="10">
        <f t="shared" ref="O515:O578" si="117">IF(H515&lt;23,0,IF(H515&lt;27.5,3,5))</f>
        <v>3</v>
      </c>
      <c r="P515" s="10">
        <f t="shared" ref="P515:P578" si="118">IF(OR(AND(B515="Nam",I515&gt;=90),AND(B515="Nữ",I515&gt;=80)),2,0)</f>
        <v>0</v>
      </c>
      <c r="Q515" s="10">
        <f t="shared" ref="Q515:Q578" si="119">IF(OR(J515&gt;=140,K515&gt;=90),2,0)</f>
        <v>0</v>
      </c>
      <c r="R515" s="10">
        <f t="shared" ref="R515:R578" ca="1" si="120">SUM(L515:Q515)</f>
        <v>10</v>
      </c>
      <c r="S515" s="10" t="str">
        <f t="shared" ref="S515:S578" ca="1" si="121">IF((R515)&gt;=6,"Có","Không cần")</f>
        <v>Có</v>
      </c>
      <c r="T515" s="10" t="str">
        <f t="shared" ref="T515:T578" ca="1" si="122">IF((R515)&gt;=6,"Có","Không")</f>
        <v>Có</v>
      </c>
      <c r="U515" s="10" t="str">
        <f t="shared" ref="U515:U578" si="123">IF(OR(J515&gt;=140,K515&gt;=90),"Có","Không")</f>
        <v>Không</v>
      </c>
      <c r="V515" s="2" t="s">
        <v>32</v>
      </c>
      <c r="W515" s="4">
        <v>46081</v>
      </c>
      <c r="X515" s="8" t="str">
        <f t="shared" ref="X515:X578" si="124">"Tháng "&amp;MONTH(W515)</f>
        <v>Tháng 2</v>
      </c>
      <c r="Y515" s="8" t="str">
        <f t="shared" ref="Y515:Y578" si="125">LEFT(V515,FIND(",",V515)-1)</f>
        <v>Ấp Giồng Giữa B</v>
      </c>
    </row>
    <row r="516" spans="1:25" x14ac:dyDescent="0.25">
      <c r="A516" s="1" t="s">
        <v>728</v>
      </c>
      <c r="B516" s="2" t="s">
        <v>23</v>
      </c>
      <c r="C516" s="2" t="s">
        <v>373</v>
      </c>
      <c r="D516" s="10">
        <f t="shared" ca="1" si="112"/>
        <v>61</v>
      </c>
      <c r="E516" s="2" t="s">
        <v>26</v>
      </c>
      <c r="F516" s="3">
        <v>158</v>
      </c>
      <c r="G516" s="3">
        <v>58</v>
      </c>
      <c r="H516" s="11">
        <f t="shared" si="113"/>
        <v>23.233456176894723</v>
      </c>
      <c r="I516" s="2">
        <v>76</v>
      </c>
      <c r="J516" s="3">
        <v>140</v>
      </c>
      <c r="K516" s="3">
        <v>80</v>
      </c>
      <c r="L516" s="10">
        <f t="shared" si="114"/>
        <v>0</v>
      </c>
      <c r="M516" s="10">
        <f t="shared" ca="1" si="115"/>
        <v>2</v>
      </c>
      <c r="N516" s="10">
        <f t="shared" si="116"/>
        <v>0</v>
      </c>
      <c r="O516" s="10">
        <f t="shared" si="117"/>
        <v>3</v>
      </c>
      <c r="P516" s="10">
        <f t="shared" si="118"/>
        <v>0</v>
      </c>
      <c r="Q516" s="10">
        <f t="shared" si="119"/>
        <v>2</v>
      </c>
      <c r="R516" s="10">
        <f t="shared" ca="1" si="120"/>
        <v>7</v>
      </c>
      <c r="S516" s="10" t="str">
        <f t="shared" ca="1" si="121"/>
        <v>Có</v>
      </c>
      <c r="T516" s="10" t="str">
        <f t="shared" ca="1" si="122"/>
        <v>Có</v>
      </c>
      <c r="U516" s="10" t="str">
        <f t="shared" si="123"/>
        <v>Có</v>
      </c>
      <c r="V516" s="2" t="s">
        <v>298</v>
      </c>
      <c r="W516" s="4">
        <v>46142</v>
      </c>
      <c r="X516" s="8" t="str">
        <f t="shared" si="124"/>
        <v>Tháng 4</v>
      </c>
      <c r="Y516" s="8" t="str">
        <f t="shared" si="125"/>
        <v>ấp Biển Tây A</v>
      </c>
    </row>
    <row r="517" spans="1:25" x14ac:dyDescent="0.25">
      <c r="A517" s="1" t="s">
        <v>729</v>
      </c>
      <c r="B517" s="2" t="s">
        <v>23</v>
      </c>
      <c r="C517" s="2" t="s">
        <v>56</v>
      </c>
      <c r="D517" s="10">
        <f t="shared" ca="1" si="112"/>
        <v>65</v>
      </c>
      <c r="E517" s="2" t="s">
        <v>25</v>
      </c>
      <c r="F517" s="3">
        <v>158</v>
      </c>
      <c r="G517" s="3">
        <v>48</v>
      </c>
      <c r="H517" s="11">
        <f t="shared" si="113"/>
        <v>19.227687870533565</v>
      </c>
      <c r="I517" s="2">
        <v>83</v>
      </c>
      <c r="J517" s="3">
        <v>120</v>
      </c>
      <c r="K517" s="3">
        <v>70</v>
      </c>
      <c r="L517" s="10">
        <f t="shared" si="114"/>
        <v>0</v>
      </c>
      <c r="M517" s="10">
        <f t="shared" ca="1" si="115"/>
        <v>2</v>
      </c>
      <c r="N517" s="10">
        <f t="shared" si="116"/>
        <v>4</v>
      </c>
      <c r="O517" s="10">
        <f t="shared" si="117"/>
        <v>0</v>
      </c>
      <c r="P517" s="10">
        <f t="shared" si="118"/>
        <v>2</v>
      </c>
      <c r="Q517" s="10">
        <f t="shared" si="119"/>
        <v>0</v>
      </c>
      <c r="R517" s="10">
        <f t="shared" ca="1" si="120"/>
        <v>8</v>
      </c>
      <c r="S517" s="10" t="str">
        <f t="shared" ca="1" si="121"/>
        <v>Có</v>
      </c>
      <c r="T517" s="10" t="str">
        <f t="shared" ca="1" si="122"/>
        <v>Có</v>
      </c>
      <c r="U517" s="10" t="str">
        <f t="shared" si="123"/>
        <v>Không</v>
      </c>
      <c r="V517" s="2" t="s">
        <v>730</v>
      </c>
      <c r="W517" s="4">
        <v>46112</v>
      </c>
      <c r="X517" s="8" t="str">
        <f t="shared" si="124"/>
        <v>Tháng 3</v>
      </c>
      <c r="Y517" s="8" t="str">
        <f t="shared" si="125"/>
        <v>giồng nhãn a</v>
      </c>
    </row>
    <row r="518" spans="1:25" x14ac:dyDescent="0.25">
      <c r="A518" s="1" t="s">
        <v>731</v>
      </c>
      <c r="B518" s="2" t="s">
        <v>23</v>
      </c>
      <c r="C518" s="2" t="s">
        <v>133</v>
      </c>
      <c r="D518" s="10">
        <f t="shared" ca="1" si="112"/>
        <v>56</v>
      </c>
      <c r="E518" s="2" t="s">
        <v>26</v>
      </c>
      <c r="F518" s="3">
        <v>158</v>
      </c>
      <c r="G518" s="3">
        <v>58</v>
      </c>
      <c r="H518" s="11">
        <f t="shared" si="113"/>
        <v>23.233456176894723</v>
      </c>
      <c r="I518" s="2">
        <v>100</v>
      </c>
      <c r="J518" s="3">
        <v>150</v>
      </c>
      <c r="K518" s="3">
        <v>80</v>
      </c>
      <c r="L518" s="10">
        <f t="shared" si="114"/>
        <v>0</v>
      </c>
      <c r="M518" s="10">
        <f t="shared" ca="1" si="115"/>
        <v>2</v>
      </c>
      <c r="N518" s="10">
        <f t="shared" si="116"/>
        <v>0</v>
      </c>
      <c r="O518" s="10">
        <f t="shared" si="117"/>
        <v>3</v>
      </c>
      <c r="P518" s="10">
        <f t="shared" si="118"/>
        <v>2</v>
      </c>
      <c r="Q518" s="10">
        <f t="shared" si="119"/>
        <v>2</v>
      </c>
      <c r="R518" s="10">
        <f t="shared" ca="1" si="120"/>
        <v>9</v>
      </c>
      <c r="S518" s="10" t="str">
        <f t="shared" ca="1" si="121"/>
        <v>Có</v>
      </c>
      <c r="T518" s="10" t="str">
        <f t="shared" ca="1" si="122"/>
        <v>Có</v>
      </c>
      <c r="U518" s="10" t="str">
        <f t="shared" si="123"/>
        <v>Có</v>
      </c>
      <c r="V518" s="2" t="s">
        <v>298</v>
      </c>
      <c r="W518" s="4">
        <v>46112</v>
      </c>
      <c r="X518" s="8" t="str">
        <f t="shared" si="124"/>
        <v>Tháng 3</v>
      </c>
      <c r="Y518" s="8" t="str">
        <f t="shared" si="125"/>
        <v>ấp Biển Tây A</v>
      </c>
    </row>
    <row r="519" spans="1:25" x14ac:dyDescent="0.25">
      <c r="A519" s="1" t="s">
        <v>732</v>
      </c>
      <c r="B519" s="2" t="s">
        <v>23</v>
      </c>
      <c r="C519" s="2" t="s">
        <v>127</v>
      </c>
      <c r="D519" s="10">
        <f t="shared" ca="1" si="112"/>
        <v>76</v>
      </c>
      <c r="E519" s="2" t="s">
        <v>26</v>
      </c>
      <c r="F519" s="3">
        <v>158</v>
      </c>
      <c r="G519" s="3">
        <v>58</v>
      </c>
      <c r="H519" s="11">
        <f t="shared" si="113"/>
        <v>23.233456176894723</v>
      </c>
      <c r="I519" s="2">
        <v>98</v>
      </c>
      <c r="J519" s="3">
        <v>120</v>
      </c>
      <c r="K519" s="3">
        <v>80</v>
      </c>
      <c r="L519" s="10">
        <f t="shared" si="114"/>
        <v>0</v>
      </c>
      <c r="M519" s="10">
        <f t="shared" ca="1" si="115"/>
        <v>2</v>
      </c>
      <c r="N519" s="10">
        <f t="shared" si="116"/>
        <v>0</v>
      </c>
      <c r="O519" s="10">
        <f t="shared" si="117"/>
        <v>3</v>
      </c>
      <c r="P519" s="10">
        <f t="shared" si="118"/>
        <v>2</v>
      </c>
      <c r="Q519" s="10">
        <f t="shared" si="119"/>
        <v>0</v>
      </c>
      <c r="R519" s="10">
        <f t="shared" ca="1" si="120"/>
        <v>7</v>
      </c>
      <c r="S519" s="10" t="str">
        <f t="shared" ca="1" si="121"/>
        <v>Có</v>
      </c>
      <c r="T519" s="10" t="str">
        <f t="shared" ca="1" si="122"/>
        <v>Có</v>
      </c>
      <c r="U519" s="10" t="str">
        <f t="shared" si="123"/>
        <v>Không</v>
      </c>
      <c r="V519" s="2" t="s">
        <v>218</v>
      </c>
      <c r="W519" s="4">
        <v>46112</v>
      </c>
      <c r="X519" s="8" t="str">
        <f t="shared" si="124"/>
        <v>Tháng 3</v>
      </c>
      <c r="Y519" s="8" t="str">
        <f t="shared" si="125"/>
        <v>Biển Đông B</v>
      </c>
    </row>
    <row r="520" spans="1:25" x14ac:dyDescent="0.25">
      <c r="A520" s="1" t="s">
        <v>733</v>
      </c>
      <c r="B520" s="2" t="s">
        <v>23</v>
      </c>
      <c r="C520" s="2" t="s">
        <v>138</v>
      </c>
      <c r="D520" s="10">
        <f t="shared" ca="1" si="112"/>
        <v>67</v>
      </c>
      <c r="E520" s="2" t="s">
        <v>26</v>
      </c>
      <c r="F520" s="3">
        <v>155</v>
      </c>
      <c r="G520" s="3">
        <v>57</v>
      </c>
      <c r="H520" s="11">
        <f t="shared" si="113"/>
        <v>23.725286160249738</v>
      </c>
      <c r="I520" s="2">
        <v>65</v>
      </c>
      <c r="J520" s="3">
        <v>120</v>
      </c>
      <c r="K520" s="3">
        <v>70</v>
      </c>
      <c r="L520" s="10">
        <f t="shared" si="114"/>
        <v>0</v>
      </c>
      <c r="M520" s="10">
        <f t="shared" ca="1" si="115"/>
        <v>2</v>
      </c>
      <c r="N520" s="10">
        <f t="shared" si="116"/>
        <v>0</v>
      </c>
      <c r="O520" s="10">
        <f t="shared" si="117"/>
        <v>3</v>
      </c>
      <c r="P520" s="10">
        <f t="shared" si="118"/>
        <v>0</v>
      </c>
      <c r="Q520" s="10">
        <f t="shared" si="119"/>
        <v>0</v>
      </c>
      <c r="R520" s="10">
        <f t="shared" ca="1" si="120"/>
        <v>5</v>
      </c>
      <c r="S520" s="10" t="str">
        <f t="shared" ca="1" si="121"/>
        <v>Không cần</v>
      </c>
      <c r="T520" s="10" t="str">
        <f t="shared" ca="1" si="122"/>
        <v>Không</v>
      </c>
      <c r="U520" s="10" t="str">
        <f t="shared" si="123"/>
        <v>Không</v>
      </c>
      <c r="V520" s="2" t="s">
        <v>734</v>
      </c>
      <c r="W520" s="4">
        <v>46112</v>
      </c>
      <c r="X520" s="8" t="str">
        <f t="shared" si="124"/>
        <v>Tháng 3</v>
      </c>
      <c r="Y520" s="8" t="str">
        <f t="shared" si="125"/>
        <v>ấp Xóm Lẩm</v>
      </c>
    </row>
    <row r="521" spans="1:25" x14ac:dyDescent="0.25">
      <c r="A521" s="1" t="s">
        <v>735</v>
      </c>
      <c r="B521" s="2" t="s">
        <v>23</v>
      </c>
      <c r="C521" s="2" t="s">
        <v>87</v>
      </c>
      <c r="D521" s="10">
        <f t="shared" ca="1" si="112"/>
        <v>49</v>
      </c>
      <c r="E521" s="2" t="s">
        <v>26</v>
      </c>
      <c r="F521" s="3">
        <v>158</v>
      </c>
      <c r="G521" s="3">
        <v>58</v>
      </c>
      <c r="H521" s="11">
        <f t="shared" si="113"/>
        <v>23.233456176894723</v>
      </c>
      <c r="I521" s="2">
        <v>75</v>
      </c>
      <c r="J521" s="3">
        <v>120</v>
      </c>
      <c r="K521" s="3">
        <v>80</v>
      </c>
      <c r="L521" s="10">
        <f t="shared" si="114"/>
        <v>0</v>
      </c>
      <c r="M521" s="10">
        <f t="shared" ca="1" si="115"/>
        <v>1</v>
      </c>
      <c r="N521" s="10">
        <f t="shared" si="116"/>
        <v>0</v>
      </c>
      <c r="O521" s="10">
        <f t="shared" si="117"/>
        <v>3</v>
      </c>
      <c r="P521" s="10">
        <f t="shared" si="118"/>
        <v>0</v>
      </c>
      <c r="Q521" s="10">
        <f t="shared" si="119"/>
        <v>0</v>
      </c>
      <c r="R521" s="10">
        <f t="shared" ca="1" si="120"/>
        <v>4</v>
      </c>
      <c r="S521" s="10" t="str">
        <f t="shared" ca="1" si="121"/>
        <v>Không cần</v>
      </c>
      <c r="T521" s="10" t="str">
        <f t="shared" ca="1" si="122"/>
        <v>Không</v>
      </c>
      <c r="U521" s="10" t="str">
        <f t="shared" si="123"/>
        <v>Không</v>
      </c>
      <c r="V521" s="2" t="s">
        <v>68</v>
      </c>
      <c r="W521" s="4">
        <v>46112</v>
      </c>
      <c r="X521" s="8" t="str">
        <f t="shared" si="124"/>
        <v>Tháng 3</v>
      </c>
      <c r="Y521" s="8" t="str">
        <f t="shared" si="125"/>
        <v>Ấp Biển Tây B</v>
      </c>
    </row>
    <row r="522" spans="1:25" x14ac:dyDescent="0.25">
      <c r="A522" s="1" t="s">
        <v>736</v>
      </c>
      <c r="B522" s="2" t="s">
        <v>30</v>
      </c>
      <c r="C522" s="2" t="s">
        <v>138</v>
      </c>
      <c r="D522" s="10">
        <f t="shared" ca="1" si="112"/>
        <v>67</v>
      </c>
      <c r="E522" s="2" t="s">
        <v>26</v>
      </c>
      <c r="F522" s="3">
        <v>165</v>
      </c>
      <c r="G522" s="3">
        <v>55</v>
      </c>
      <c r="H522" s="11">
        <f t="shared" si="113"/>
        <v>20.202020202020204</v>
      </c>
      <c r="I522" s="2">
        <v>87</v>
      </c>
      <c r="J522" s="3">
        <v>120</v>
      </c>
      <c r="K522" s="3">
        <v>80</v>
      </c>
      <c r="L522" s="10">
        <f t="shared" si="114"/>
        <v>2</v>
      </c>
      <c r="M522" s="10">
        <f t="shared" ca="1" si="115"/>
        <v>2</v>
      </c>
      <c r="N522" s="10">
        <f t="shared" si="116"/>
        <v>0</v>
      </c>
      <c r="O522" s="10">
        <f t="shared" si="117"/>
        <v>0</v>
      </c>
      <c r="P522" s="10">
        <f t="shared" si="118"/>
        <v>0</v>
      </c>
      <c r="Q522" s="10">
        <f t="shared" si="119"/>
        <v>0</v>
      </c>
      <c r="R522" s="10">
        <f t="shared" ca="1" si="120"/>
        <v>4</v>
      </c>
      <c r="S522" s="10" t="str">
        <f t="shared" ca="1" si="121"/>
        <v>Không cần</v>
      </c>
      <c r="T522" s="10" t="str">
        <f t="shared" ca="1" si="122"/>
        <v>Không</v>
      </c>
      <c r="U522" s="10" t="str">
        <f t="shared" si="123"/>
        <v>Không</v>
      </c>
      <c r="V522" s="2" t="s">
        <v>737</v>
      </c>
      <c r="W522" s="4">
        <v>46142</v>
      </c>
      <c r="X522" s="8" t="str">
        <f t="shared" si="124"/>
        <v>Tháng 4</v>
      </c>
      <c r="Y522" s="8" t="str">
        <f t="shared" si="125"/>
        <v>Khóm Kinh Tế</v>
      </c>
    </row>
    <row r="523" spans="1:25" x14ac:dyDescent="0.25">
      <c r="A523" s="1" t="s">
        <v>738</v>
      </c>
      <c r="B523" s="2" t="s">
        <v>23</v>
      </c>
      <c r="C523" s="2" t="s">
        <v>373</v>
      </c>
      <c r="D523" s="10">
        <f t="shared" ca="1" si="112"/>
        <v>61</v>
      </c>
      <c r="E523" s="2" t="s">
        <v>26</v>
      </c>
      <c r="F523" s="3">
        <v>155</v>
      </c>
      <c r="G523" s="3">
        <v>56</v>
      </c>
      <c r="H523" s="11">
        <f t="shared" si="113"/>
        <v>23.309053069719038</v>
      </c>
      <c r="I523" s="2">
        <v>90</v>
      </c>
      <c r="J523" s="3">
        <v>120</v>
      </c>
      <c r="K523" s="3">
        <v>80</v>
      </c>
      <c r="L523" s="10">
        <f t="shared" si="114"/>
        <v>0</v>
      </c>
      <c r="M523" s="10">
        <f t="shared" ca="1" si="115"/>
        <v>2</v>
      </c>
      <c r="N523" s="10">
        <f t="shared" si="116"/>
        <v>0</v>
      </c>
      <c r="O523" s="10">
        <f t="shared" si="117"/>
        <v>3</v>
      </c>
      <c r="P523" s="10">
        <f t="shared" si="118"/>
        <v>2</v>
      </c>
      <c r="Q523" s="10">
        <f t="shared" si="119"/>
        <v>0</v>
      </c>
      <c r="R523" s="10">
        <f t="shared" ca="1" si="120"/>
        <v>7</v>
      </c>
      <c r="S523" s="10" t="str">
        <f t="shared" ca="1" si="121"/>
        <v>Có</v>
      </c>
      <c r="T523" s="10" t="str">
        <f t="shared" ca="1" si="122"/>
        <v>Có</v>
      </c>
      <c r="U523" s="10" t="str">
        <f t="shared" si="123"/>
        <v>Không</v>
      </c>
      <c r="V523" s="2" t="s">
        <v>43</v>
      </c>
      <c r="W523" s="4">
        <v>46112</v>
      </c>
      <c r="X523" s="8" t="str">
        <f t="shared" si="124"/>
        <v>Tháng 3</v>
      </c>
      <c r="Y523" s="8" t="str">
        <f t="shared" si="125"/>
        <v>Ấp Giồng Nhãn A</v>
      </c>
    </row>
    <row r="524" spans="1:25" x14ac:dyDescent="0.25">
      <c r="A524" s="1" t="s">
        <v>739</v>
      </c>
      <c r="B524" s="2" t="s">
        <v>30</v>
      </c>
      <c r="C524" s="2" t="s">
        <v>110</v>
      </c>
      <c r="D524" s="10">
        <f t="shared" ca="1" si="112"/>
        <v>62</v>
      </c>
      <c r="E524" s="2" t="s">
        <v>26</v>
      </c>
      <c r="F524" s="3">
        <v>169</v>
      </c>
      <c r="G524" s="3">
        <v>68</v>
      </c>
      <c r="H524" s="11">
        <f t="shared" si="113"/>
        <v>23.808690171912751</v>
      </c>
      <c r="I524" s="2">
        <v>79</v>
      </c>
      <c r="J524" s="3">
        <v>120</v>
      </c>
      <c r="K524" s="3">
        <v>80</v>
      </c>
      <c r="L524" s="10">
        <f t="shared" si="114"/>
        <v>2</v>
      </c>
      <c r="M524" s="10">
        <f t="shared" ca="1" si="115"/>
        <v>2</v>
      </c>
      <c r="N524" s="10">
        <f t="shared" si="116"/>
        <v>0</v>
      </c>
      <c r="O524" s="10">
        <f t="shared" si="117"/>
        <v>3</v>
      </c>
      <c r="P524" s="10">
        <f t="shared" si="118"/>
        <v>0</v>
      </c>
      <c r="Q524" s="10">
        <f t="shared" si="119"/>
        <v>0</v>
      </c>
      <c r="R524" s="10">
        <f t="shared" ca="1" si="120"/>
        <v>7</v>
      </c>
      <c r="S524" s="10" t="str">
        <f t="shared" ca="1" si="121"/>
        <v>Có</v>
      </c>
      <c r="T524" s="10" t="str">
        <f t="shared" ca="1" si="122"/>
        <v>Có</v>
      </c>
      <c r="U524" s="10" t="str">
        <f t="shared" si="123"/>
        <v>Không</v>
      </c>
      <c r="V524" s="2" t="s">
        <v>72</v>
      </c>
      <c r="W524" s="4">
        <v>46142</v>
      </c>
      <c r="X524" s="8" t="str">
        <f t="shared" si="124"/>
        <v>Tháng 4</v>
      </c>
      <c r="Y524" s="8" t="str">
        <f t="shared" si="125"/>
        <v>Ấp Giồng Giữa A</v>
      </c>
    </row>
    <row r="525" spans="1:25" x14ac:dyDescent="0.25">
      <c r="A525" s="1" t="s">
        <v>740</v>
      </c>
      <c r="B525" s="2" t="s">
        <v>23</v>
      </c>
      <c r="C525" s="2" t="s">
        <v>273</v>
      </c>
      <c r="D525" s="10">
        <f t="shared" ca="1" si="112"/>
        <v>47</v>
      </c>
      <c r="E525" s="2" t="s">
        <v>26</v>
      </c>
      <c r="F525" s="3">
        <v>168</v>
      </c>
      <c r="G525" s="3">
        <v>60</v>
      </c>
      <c r="H525" s="11">
        <f t="shared" si="113"/>
        <v>21.258503401360546</v>
      </c>
      <c r="I525" s="2">
        <v>76</v>
      </c>
      <c r="J525" s="3">
        <v>120</v>
      </c>
      <c r="K525" s="3">
        <v>80</v>
      </c>
      <c r="L525" s="10">
        <f t="shared" si="114"/>
        <v>0</v>
      </c>
      <c r="M525" s="10">
        <f t="shared" ca="1" si="115"/>
        <v>1</v>
      </c>
      <c r="N525" s="10">
        <f t="shared" si="116"/>
        <v>0</v>
      </c>
      <c r="O525" s="10">
        <f t="shared" si="117"/>
        <v>0</v>
      </c>
      <c r="P525" s="10">
        <f t="shared" si="118"/>
        <v>0</v>
      </c>
      <c r="Q525" s="10">
        <f t="shared" si="119"/>
        <v>0</v>
      </c>
      <c r="R525" s="10">
        <f t="shared" ca="1" si="120"/>
        <v>1</v>
      </c>
      <c r="S525" s="10" t="str">
        <f t="shared" ca="1" si="121"/>
        <v>Không cần</v>
      </c>
      <c r="T525" s="10" t="str">
        <f t="shared" ca="1" si="122"/>
        <v>Không</v>
      </c>
      <c r="U525" s="10" t="str">
        <f t="shared" si="123"/>
        <v>Không</v>
      </c>
      <c r="V525" s="2" t="s">
        <v>395</v>
      </c>
      <c r="W525" s="4">
        <v>46112</v>
      </c>
      <c r="X525" s="8" t="str">
        <f t="shared" si="124"/>
        <v>Tháng 3</v>
      </c>
      <c r="Y525" s="8" t="str">
        <f t="shared" si="125"/>
        <v>Khóm Chòm Xoài</v>
      </c>
    </row>
    <row r="526" spans="1:25" x14ac:dyDescent="0.25">
      <c r="A526" s="1" t="s">
        <v>741</v>
      </c>
      <c r="B526" s="2" t="s">
        <v>23</v>
      </c>
      <c r="C526" s="2" t="s">
        <v>47</v>
      </c>
      <c r="D526" s="10">
        <f t="shared" ca="1" si="112"/>
        <v>55</v>
      </c>
      <c r="E526" s="2" t="s">
        <v>26</v>
      </c>
      <c r="F526" s="3">
        <v>160</v>
      </c>
      <c r="G526" s="3">
        <v>100</v>
      </c>
      <c r="H526" s="11">
        <f t="shared" si="113"/>
        <v>39.062499999999993</v>
      </c>
      <c r="I526" s="2">
        <v>73</v>
      </c>
      <c r="J526" s="3">
        <v>120</v>
      </c>
      <c r="K526" s="3">
        <v>80</v>
      </c>
      <c r="L526" s="10">
        <f t="shared" si="114"/>
        <v>0</v>
      </c>
      <c r="M526" s="10">
        <f t="shared" ca="1" si="115"/>
        <v>2</v>
      </c>
      <c r="N526" s="10">
        <f t="shared" si="116"/>
        <v>0</v>
      </c>
      <c r="O526" s="10">
        <f t="shared" si="117"/>
        <v>5</v>
      </c>
      <c r="P526" s="10">
        <f t="shared" si="118"/>
        <v>0</v>
      </c>
      <c r="Q526" s="10">
        <f t="shared" si="119"/>
        <v>0</v>
      </c>
      <c r="R526" s="10">
        <f t="shared" ca="1" si="120"/>
        <v>7</v>
      </c>
      <c r="S526" s="10" t="str">
        <f t="shared" ca="1" si="121"/>
        <v>Có</v>
      </c>
      <c r="T526" s="10" t="str">
        <f t="shared" ca="1" si="122"/>
        <v>Có</v>
      </c>
      <c r="U526" s="10" t="str">
        <f t="shared" si="123"/>
        <v>Không</v>
      </c>
      <c r="V526" s="2" t="s">
        <v>168</v>
      </c>
      <c r="W526" s="4">
        <v>46112</v>
      </c>
      <c r="X526" s="8" t="str">
        <f t="shared" si="124"/>
        <v>Tháng 3</v>
      </c>
      <c r="Y526" s="8" t="str">
        <f t="shared" si="125"/>
        <v>giồng Nhãn</v>
      </c>
    </row>
    <row r="527" spans="1:25" x14ac:dyDescent="0.25">
      <c r="A527" s="1" t="s">
        <v>742</v>
      </c>
      <c r="B527" s="2" t="s">
        <v>30</v>
      </c>
      <c r="C527" s="2" t="s">
        <v>155</v>
      </c>
      <c r="D527" s="10">
        <f t="shared" ca="1" si="112"/>
        <v>53</v>
      </c>
      <c r="E527" s="2" t="s">
        <v>25</v>
      </c>
      <c r="F527" s="3">
        <v>160</v>
      </c>
      <c r="G527" s="3">
        <v>70</v>
      </c>
      <c r="H527" s="11">
        <f t="shared" si="113"/>
        <v>27.343749999999996</v>
      </c>
      <c r="I527" s="2">
        <v>72</v>
      </c>
      <c r="J527" s="3">
        <v>120</v>
      </c>
      <c r="K527" s="3">
        <v>70</v>
      </c>
      <c r="L527" s="10">
        <f t="shared" si="114"/>
        <v>2</v>
      </c>
      <c r="M527" s="10">
        <f t="shared" ca="1" si="115"/>
        <v>2</v>
      </c>
      <c r="N527" s="10">
        <f t="shared" si="116"/>
        <v>4</v>
      </c>
      <c r="O527" s="10">
        <f t="shared" si="117"/>
        <v>3</v>
      </c>
      <c r="P527" s="10">
        <f t="shared" si="118"/>
        <v>0</v>
      </c>
      <c r="Q527" s="10">
        <f t="shared" si="119"/>
        <v>0</v>
      </c>
      <c r="R527" s="10">
        <f t="shared" ca="1" si="120"/>
        <v>11</v>
      </c>
      <c r="S527" s="10" t="str">
        <f t="shared" ca="1" si="121"/>
        <v>Có</v>
      </c>
      <c r="T527" s="10" t="str">
        <f t="shared" ca="1" si="122"/>
        <v>Có</v>
      </c>
      <c r="U527" s="10" t="str">
        <f t="shared" si="123"/>
        <v>Không</v>
      </c>
      <c r="V527" s="2" t="s">
        <v>168</v>
      </c>
      <c r="W527" s="4">
        <v>46112</v>
      </c>
      <c r="X527" s="8" t="str">
        <f t="shared" si="124"/>
        <v>Tháng 3</v>
      </c>
      <c r="Y527" s="8" t="str">
        <f t="shared" si="125"/>
        <v>giồng Nhãn</v>
      </c>
    </row>
    <row r="528" spans="1:25" x14ac:dyDescent="0.25">
      <c r="A528" s="1" t="s">
        <v>743</v>
      </c>
      <c r="B528" s="2" t="s">
        <v>23</v>
      </c>
      <c r="C528" s="2" t="s">
        <v>373</v>
      </c>
      <c r="D528" s="10">
        <f t="shared" ca="1" si="112"/>
        <v>61</v>
      </c>
      <c r="E528" s="2" t="s">
        <v>26</v>
      </c>
      <c r="F528" s="3">
        <v>158</v>
      </c>
      <c r="G528" s="3">
        <v>58</v>
      </c>
      <c r="H528" s="11">
        <f t="shared" si="113"/>
        <v>23.233456176894723</v>
      </c>
      <c r="I528" s="2">
        <v>91</v>
      </c>
      <c r="J528" s="3">
        <v>170</v>
      </c>
      <c r="K528" s="3">
        <v>80</v>
      </c>
      <c r="L528" s="10">
        <f t="shared" si="114"/>
        <v>0</v>
      </c>
      <c r="M528" s="10">
        <f t="shared" ca="1" si="115"/>
        <v>2</v>
      </c>
      <c r="N528" s="10">
        <f t="shared" si="116"/>
        <v>0</v>
      </c>
      <c r="O528" s="10">
        <f t="shared" si="117"/>
        <v>3</v>
      </c>
      <c r="P528" s="10">
        <f t="shared" si="118"/>
        <v>2</v>
      </c>
      <c r="Q528" s="10">
        <f t="shared" si="119"/>
        <v>2</v>
      </c>
      <c r="R528" s="10">
        <f t="shared" ca="1" si="120"/>
        <v>9</v>
      </c>
      <c r="S528" s="10" t="str">
        <f t="shared" ca="1" si="121"/>
        <v>Có</v>
      </c>
      <c r="T528" s="10" t="str">
        <f t="shared" ca="1" si="122"/>
        <v>Có</v>
      </c>
      <c r="U528" s="10" t="str">
        <f t="shared" si="123"/>
        <v>Có</v>
      </c>
      <c r="V528" s="2" t="s">
        <v>744</v>
      </c>
      <c r="W528" s="4">
        <v>46112</v>
      </c>
      <c r="X528" s="8" t="str">
        <f t="shared" si="124"/>
        <v>Tháng 3</v>
      </c>
      <c r="Y528" s="8" t="str">
        <f t="shared" si="125"/>
        <v>ấp Vĩnh Mẫu</v>
      </c>
    </row>
    <row r="529" spans="1:25" x14ac:dyDescent="0.25">
      <c r="A529" s="1" t="s">
        <v>745</v>
      </c>
      <c r="B529" s="2" t="s">
        <v>23</v>
      </c>
      <c r="C529" s="2" t="s">
        <v>110</v>
      </c>
      <c r="D529" s="10">
        <f t="shared" ca="1" si="112"/>
        <v>62</v>
      </c>
      <c r="E529" s="2" t="s">
        <v>26</v>
      </c>
      <c r="F529" s="3">
        <v>160</v>
      </c>
      <c r="G529" s="3">
        <v>62</v>
      </c>
      <c r="H529" s="11">
        <f t="shared" si="113"/>
        <v>24.218749999999996</v>
      </c>
      <c r="I529" s="2">
        <v>65</v>
      </c>
      <c r="J529" s="3">
        <v>120</v>
      </c>
      <c r="K529" s="3">
        <v>70</v>
      </c>
      <c r="L529" s="10">
        <f t="shared" si="114"/>
        <v>0</v>
      </c>
      <c r="M529" s="10">
        <f t="shared" ca="1" si="115"/>
        <v>2</v>
      </c>
      <c r="N529" s="10">
        <f t="shared" si="116"/>
        <v>0</v>
      </c>
      <c r="O529" s="10">
        <f t="shared" si="117"/>
        <v>3</v>
      </c>
      <c r="P529" s="10">
        <f t="shared" si="118"/>
        <v>0</v>
      </c>
      <c r="Q529" s="10">
        <f t="shared" si="119"/>
        <v>0</v>
      </c>
      <c r="R529" s="10">
        <f t="shared" ca="1" si="120"/>
        <v>5</v>
      </c>
      <c r="S529" s="10" t="str">
        <f t="shared" ca="1" si="121"/>
        <v>Không cần</v>
      </c>
      <c r="T529" s="10" t="str">
        <f t="shared" ca="1" si="122"/>
        <v>Không</v>
      </c>
      <c r="U529" s="10" t="str">
        <f t="shared" si="123"/>
        <v>Không</v>
      </c>
      <c r="V529" s="2" t="s">
        <v>51</v>
      </c>
      <c r="W529" s="4">
        <v>46053</v>
      </c>
      <c r="X529" s="8" t="str">
        <f t="shared" si="124"/>
        <v>Tháng 1</v>
      </c>
      <c r="Y529" s="8" t="str">
        <f t="shared" si="125"/>
        <v>Phường Hiệp Thành</v>
      </c>
    </row>
    <row r="530" spans="1:25" x14ac:dyDescent="0.25">
      <c r="A530" s="1" t="s">
        <v>746</v>
      </c>
      <c r="B530" s="2" t="s">
        <v>30</v>
      </c>
      <c r="C530" s="2" t="s">
        <v>273</v>
      </c>
      <c r="D530" s="10">
        <f t="shared" ca="1" si="112"/>
        <v>47</v>
      </c>
      <c r="E530" s="2" t="s">
        <v>25</v>
      </c>
      <c r="F530" s="3">
        <v>160</v>
      </c>
      <c r="G530" s="3">
        <v>45</v>
      </c>
      <c r="H530" s="11">
        <f t="shared" si="113"/>
        <v>17.578124999999996</v>
      </c>
      <c r="I530" s="2">
        <v>74</v>
      </c>
      <c r="J530" s="3">
        <v>100</v>
      </c>
      <c r="K530" s="3">
        <v>70</v>
      </c>
      <c r="L530" s="10">
        <f t="shared" si="114"/>
        <v>2</v>
      </c>
      <c r="M530" s="10">
        <f t="shared" ca="1" si="115"/>
        <v>1</v>
      </c>
      <c r="N530" s="10">
        <f t="shared" si="116"/>
        <v>4</v>
      </c>
      <c r="O530" s="10">
        <f t="shared" si="117"/>
        <v>0</v>
      </c>
      <c r="P530" s="10">
        <f t="shared" si="118"/>
        <v>0</v>
      </c>
      <c r="Q530" s="10">
        <f t="shared" si="119"/>
        <v>0</v>
      </c>
      <c r="R530" s="10">
        <f t="shared" ca="1" si="120"/>
        <v>7</v>
      </c>
      <c r="S530" s="10" t="str">
        <f t="shared" ca="1" si="121"/>
        <v>Có</v>
      </c>
      <c r="T530" s="10" t="str">
        <f t="shared" ca="1" si="122"/>
        <v>Có</v>
      </c>
      <c r="U530" s="10" t="str">
        <f t="shared" si="123"/>
        <v>Không</v>
      </c>
      <c r="V530" s="2" t="s">
        <v>747</v>
      </c>
      <c r="W530" s="4">
        <v>46142</v>
      </c>
      <c r="X530" s="8" t="str">
        <f t="shared" si="124"/>
        <v>Tháng 4</v>
      </c>
      <c r="Y530" s="8" t="str">
        <f t="shared" si="125"/>
        <v>Ấp Tân Long</v>
      </c>
    </row>
    <row r="531" spans="1:25" x14ac:dyDescent="0.25">
      <c r="A531" s="1" t="s">
        <v>748</v>
      </c>
      <c r="B531" s="2" t="s">
        <v>30</v>
      </c>
      <c r="C531" s="2" t="s">
        <v>115</v>
      </c>
      <c r="D531" s="10">
        <f t="shared" ca="1" si="112"/>
        <v>40</v>
      </c>
      <c r="E531" s="2" t="s">
        <v>26</v>
      </c>
      <c r="F531" s="3">
        <v>169</v>
      </c>
      <c r="G531" s="3">
        <v>68</v>
      </c>
      <c r="H531" s="11">
        <f t="shared" si="113"/>
        <v>23.808690171912751</v>
      </c>
      <c r="I531" s="2">
        <v>88</v>
      </c>
      <c r="J531" s="3">
        <v>120</v>
      </c>
      <c r="K531" s="3">
        <v>80</v>
      </c>
      <c r="L531" s="10">
        <f t="shared" si="114"/>
        <v>2</v>
      </c>
      <c r="M531" s="10">
        <f t="shared" ca="1" si="115"/>
        <v>0</v>
      </c>
      <c r="N531" s="10">
        <f t="shared" si="116"/>
        <v>0</v>
      </c>
      <c r="O531" s="10">
        <f t="shared" si="117"/>
        <v>3</v>
      </c>
      <c r="P531" s="10">
        <f t="shared" si="118"/>
        <v>0</v>
      </c>
      <c r="Q531" s="10">
        <f t="shared" si="119"/>
        <v>0</v>
      </c>
      <c r="R531" s="10">
        <f t="shared" ca="1" si="120"/>
        <v>5</v>
      </c>
      <c r="S531" s="10" t="str">
        <f t="shared" ca="1" si="121"/>
        <v>Không cần</v>
      </c>
      <c r="T531" s="10" t="str">
        <f t="shared" ca="1" si="122"/>
        <v>Không</v>
      </c>
      <c r="U531" s="10" t="str">
        <f t="shared" si="123"/>
        <v>Không</v>
      </c>
      <c r="V531" s="2" t="s">
        <v>335</v>
      </c>
      <c r="W531" s="4">
        <v>46142</v>
      </c>
      <c r="X531" s="8" t="str">
        <f t="shared" si="124"/>
        <v>Tháng 4</v>
      </c>
      <c r="Y531" s="8" t="str">
        <f t="shared" si="125"/>
        <v>ấp Giồng Giữa B</v>
      </c>
    </row>
    <row r="532" spans="1:25" x14ac:dyDescent="0.25">
      <c r="A532" s="1" t="s">
        <v>749</v>
      </c>
      <c r="B532" s="2" t="s">
        <v>30</v>
      </c>
      <c r="C532" s="2" t="s">
        <v>50</v>
      </c>
      <c r="D532" s="10">
        <f t="shared" ca="1" si="112"/>
        <v>58</v>
      </c>
      <c r="E532" s="2" t="s">
        <v>26</v>
      </c>
      <c r="F532" s="3">
        <v>169</v>
      </c>
      <c r="G532" s="3">
        <v>69</v>
      </c>
      <c r="H532" s="11">
        <f t="shared" si="113"/>
        <v>24.158817968558527</v>
      </c>
      <c r="I532" s="2">
        <v>72</v>
      </c>
      <c r="J532" s="3">
        <v>140</v>
      </c>
      <c r="K532" s="3">
        <v>80</v>
      </c>
      <c r="L532" s="10">
        <f t="shared" si="114"/>
        <v>2</v>
      </c>
      <c r="M532" s="10">
        <f t="shared" ca="1" si="115"/>
        <v>2</v>
      </c>
      <c r="N532" s="10">
        <f t="shared" si="116"/>
        <v>0</v>
      </c>
      <c r="O532" s="10">
        <f t="shared" si="117"/>
        <v>3</v>
      </c>
      <c r="P532" s="10">
        <f t="shared" si="118"/>
        <v>0</v>
      </c>
      <c r="Q532" s="10">
        <f t="shared" si="119"/>
        <v>2</v>
      </c>
      <c r="R532" s="10">
        <f t="shared" ca="1" si="120"/>
        <v>9</v>
      </c>
      <c r="S532" s="10" t="str">
        <f t="shared" ca="1" si="121"/>
        <v>Có</v>
      </c>
      <c r="T532" s="10" t="str">
        <f t="shared" ca="1" si="122"/>
        <v>Có</v>
      </c>
      <c r="U532" s="10" t="str">
        <f t="shared" si="123"/>
        <v>Có</v>
      </c>
      <c r="V532" s="2" t="s">
        <v>750</v>
      </c>
      <c r="W532" s="4">
        <v>46053</v>
      </c>
      <c r="X532" s="8" t="str">
        <f t="shared" si="124"/>
        <v>Tháng 1</v>
      </c>
      <c r="Y532" s="8" t="str">
        <f t="shared" si="125"/>
        <v>Tân Qui</v>
      </c>
    </row>
    <row r="533" spans="1:25" x14ac:dyDescent="0.25">
      <c r="A533" s="1" t="s">
        <v>751</v>
      </c>
      <c r="B533" s="2" t="s">
        <v>23</v>
      </c>
      <c r="C533" s="2" t="s">
        <v>105</v>
      </c>
      <c r="D533" s="10">
        <f t="shared" ca="1" si="112"/>
        <v>60</v>
      </c>
      <c r="E533" s="2" t="s">
        <v>26</v>
      </c>
      <c r="F533" s="3">
        <v>158</v>
      </c>
      <c r="G533" s="3">
        <v>58</v>
      </c>
      <c r="H533" s="11">
        <f t="shared" si="113"/>
        <v>23.233456176894723</v>
      </c>
      <c r="I533" s="2">
        <v>65</v>
      </c>
      <c r="J533" s="3">
        <v>140</v>
      </c>
      <c r="K533" s="3">
        <v>80</v>
      </c>
      <c r="L533" s="10">
        <f t="shared" si="114"/>
        <v>0</v>
      </c>
      <c r="M533" s="10">
        <f t="shared" ca="1" si="115"/>
        <v>2</v>
      </c>
      <c r="N533" s="10">
        <f t="shared" si="116"/>
        <v>0</v>
      </c>
      <c r="O533" s="10">
        <f t="shared" si="117"/>
        <v>3</v>
      </c>
      <c r="P533" s="10">
        <f t="shared" si="118"/>
        <v>0</v>
      </c>
      <c r="Q533" s="10">
        <f t="shared" si="119"/>
        <v>2</v>
      </c>
      <c r="R533" s="10">
        <f t="shared" ca="1" si="120"/>
        <v>7</v>
      </c>
      <c r="S533" s="10" t="str">
        <f t="shared" ca="1" si="121"/>
        <v>Có</v>
      </c>
      <c r="T533" s="10" t="str">
        <f t="shared" ca="1" si="122"/>
        <v>Có</v>
      </c>
      <c r="U533" s="10" t="str">
        <f t="shared" si="123"/>
        <v>Có</v>
      </c>
      <c r="V533" s="2" t="s">
        <v>28</v>
      </c>
      <c r="W533" s="4">
        <v>46112</v>
      </c>
      <c r="X533" s="8" t="str">
        <f t="shared" si="124"/>
        <v>Tháng 3</v>
      </c>
      <c r="Y533" s="8" t="str">
        <f t="shared" si="125"/>
        <v>Ấp Biển Đông A</v>
      </c>
    </row>
    <row r="534" spans="1:25" x14ac:dyDescent="0.25">
      <c r="A534" s="1" t="s">
        <v>752</v>
      </c>
      <c r="B534" s="2" t="s">
        <v>30</v>
      </c>
      <c r="C534" s="2" t="s">
        <v>105</v>
      </c>
      <c r="D534" s="10">
        <f t="shared" ca="1" si="112"/>
        <v>60</v>
      </c>
      <c r="E534" s="2" t="s">
        <v>26</v>
      </c>
      <c r="F534" s="3">
        <v>169</v>
      </c>
      <c r="G534" s="3">
        <v>68</v>
      </c>
      <c r="H534" s="11">
        <f t="shared" si="113"/>
        <v>23.808690171912751</v>
      </c>
      <c r="I534" s="2">
        <v>72</v>
      </c>
      <c r="J534" s="3">
        <v>140</v>
      </c>
      <c r="K534" s="3">
        <v>80</v>
      </c>
      <c r="L534" s="10">
        <f t="shared" si="114"/>
        <v>2</v>
      </c>
      <c r="M534" s="10">
        <f t="shared" ca="1" si="115"/>
        <v>2</v>
      </c>
      <c r="N534" s="10">
        <f t="shared" si="116"/>
        <v>0</v>
      </c>
      <c r="O534" s="10">
        <f t="shared" si="117"/>
        <v>3</v>
      </c>
      <c r="P534" s="10">
        <f t="shared" si="118"/>
        <v>0</v>
      </c>
      <c r="Q534" s="10">
        <f t="shared" si="119"/>
        <v>2</v>
      </c>
      <c r="R534" s="10">
        <f t="shared" ca="1" si="120"/>
        <v>9</v>
      </c>
      <c r="S534" s="10" t="str">
        <f t="shared" ca="1" si="121"/>
        <v>Có</v>
      </c>
      <c r="T534" s="10" t="str">
        <f t="shared" ca="1" si="122"/>
        <v>Có</v>
      </c>
      <c r="U534" s="10" t="str">
        <f t="shared" si="123"/>
        <v>Có</v>
      </c>
      <c r="V534" s="2" t="s">
        <v>28</v>
      </c>
      <c r="W534" s="4">
        <v>46112</v>
      </c>
      <c r="X534" s="8" t="str">
        <f t="shared" si="124"/>
        <v>Tháng 3</v>
      </c>
      <c r="Y534" s="8" t="str">
        <f t="shared" si="125"/>
        <v>Ấp Biển Đông A</v>
      </c>
    </row>
    <row r="535" spans="1:25" x14ac:dyDescent="0.25">
      <c r="A535" s="1" t="s">
        <v>753</v>
      </c>
      <c r="B535" s="2" t="s">
        <v>30</v>
      </c>
      <c r="C535" s="2" t="s">
        <v>373</v>
      </c>
      <c r="D535" s="10">
        <f t="shared" ca="1" si="112"/>
        <v>61</v>
      </c>
      <c r="E535" s="2" t="s">
        <v>26</v>
      </c>
      <c r="F535" s="3">
        <v>169</v>
      </c>
      <c r="G535" s="3">
        <v>69</v>
      </c>
      <c r="H535" s="11">
        <f t="shared" si="113"/>
        <v>24.158817968558527</v>
      </c>
      <c r="I535" s="2">
        <v>76</v>
      </c>
      <c r="J535" s="3">
        <v>120</v>
      </c>
      <c r="K535" s="3">
        <v>80</v>
      </c>
      <c r="L535" s="10">
        <f t="shared" si="114"/>
        <v>2</v>
      </c>
      <c r="M535" s="10">
        <f t="shared" ca="1" si="115"/>
        <v>2</v>
      </c>
      <c r="N535" s="10">
        <f t="shared" si="116"/>
        <v>0</v>
      </c>
      <c r="O535" s="10">
        <f t="shared" si="117"/>
        <v>3</v>
      </c>
      <c r="P535" s="10">
        <f t="shared" si="118"/>
        <v>0</v>
      </c>
      <c r="Q535" s="10">
        <f t="shared" si="119"/>
        <v>0</v>
      </c>
      <c r="R535" s="10">
        <f t="shared" ca="1" si="120"/>
        <v>7</v>
      </c>
      <c r="S535" s="10" t="str">
        <f t="shared" ca="1" si="121"/>
        <v>Có</v>
      </c>
      <c r="T535" s="10" t="str">
        <f t="shared" ca="1" si="122"/>
        <v>Có</v>
      </c>
      <c r="U535" s="10" t="str">
        <f t="shared" si="123"/>
        <v>Không</v>
      </c>
      <c r="V535" s="2" t="s">
        <v>70</v>
      </c>
      <c r="W535" s="4">
        <v>46053</v>
      </c>
      <c r="X535" s="8" t="str">
        <f t="shared" si="124"/>
        <v>Tháng 1</v>
      </c>
      <c r="Y535" s="8" t="str">
        <f t="shared" si="125"/>
        <v>Ấp Biển Tây A</v>
      </c>
    </row>
    <row r="536" spans="1:25" x14ac:dyDescent="0.25">
      <c r="A536" s="1" t="s">
        <v>754</v>
      </c>
      <c r="B536" s="2" t="s">
        <v>23</v>
      </c>
      <c r="C536" s="2" t="s">
        <v>50</v>
      </c>
      <c r="D536" s="10">
        <f t="shared" ca="1" si="112"/>
        <v>58</v>
      </c>
      <c r="E536" s="2" t="s">
        <v>26</v>
      </c>
      <c r="F536" s="3">
        <v>158</v>
      </c>
      <c r="G536" s="3">
        <v>58</v>
      </c>
      <c r="H536" s="11">
        <f t="shared" si="113"/>
        <v>23.233456176894723</v>
      </c>
      <c r="I536" s="2">
        <v>96</v>
      </c>
      <c r="J536" s="3">
        <v>140</v>
      </c>
      <c r="K536" s="3">
        <v>80</v>
      </c>
      <c r="L536" s="10">
        <f t="shared" si="114"/>
        <v>0</v>
      </c>
      <c r="M536" s="10">
        <f t="shared" ca="1" si="115"/>
        <v>2</v>
      </c>
      <c r="N536" s="10">
        <f t="shared" si="116"/>
        <v>0</v>
      </c>
      <c r="O536" s="10">
        <f t="shared" si="117"/>
        <v>3</v>
      </c>
      <c r="P536" s="10">
        <f t="shared" si="118"/>
        <v>2</v>
      </c>
      <c r="Q536" s="10">
        <f t="shared" si="119"/>
        <v>2</v>
      </c>
      <c r="R536" s="10">
        <f t="shared" ca="1" si="120"/>
        <v>9</v>
      </c>
      <c r="S536" s="10" t="str">
        <f t="shared" ca="1" si="121"/>
        <v>Có</v>
      </c>
      <c r="T536" s="10" t="str">
        <f t="shared" ca="1" si="122"/>
        <v>Có</v>
      </c>
      <c r="U536" s="10" t="str">
        <f t="shared" si="123"/>
        <v>Có</v>
      </c>
      <c r="V536" s="2" t="s">
        <v>381</v>
      </c>
      <c r="W536" s="4">
        <v>46053</v>
      </c>
      <c r="X536" s="8" t="str">
        <f t="shared" si="124"/>
        <v>Tháng 1</v>
      </c>
      <c r="Y536" s="8" t="str">
        <f t="shared" si="125"/>
        <v>Ấp Biển Đông B</v>
      </c>
    </row>
    <row r="537" spans="1:25" x14ac:dyDescent="0.25">
      <c r="A537" s="1" t="s">
        <v>755</v>
      </c>
      <c r="B537" s="2" t="s">
        <v>30</v>
      </c>
      <c r="C537" s="2" t="s">
        <v>56</v>
      </c>
      <c r="D537" s="10">
        <f t="shared" ca="1" si="112"/>
        <v>65</v>
      </c>
      <c r="E537" s="2" t="s">
        <v>26</v>
      </c>
      <c r="F537" s="3">
        <v>169</v>
      </c>
      <c r="G537" s="3">
        <v>69</v>
      </c>
      <c r="H537" s="11">
        <f t="shared" si="113"/>
        <v>24.158817968558527</v>
      </c>
      <c r="I537" s="2">
        <v>69</v>
      </c>
      <c r="J537" s="3">
        <v>120</v>
      </c>
      <c r="K537" s="3">
        <v>80</v>
      </c>
      <c r="L537" s="10">
        <f t="shared" si="114"/>
        <v>2</v>
      </c>
      <c r="M537" s="10">
        <f t="shared" ca="1" si="115"/>
        <v>2</v>
      </c>
      <c r="N537" s="10">
        <f t="shared" si="116"/>
        <v>0</v>
      </c>
      <c r="O537" s="10">
        <f t="shared" si="117"/>
        <v>3</v>
      </c>
      <c r="P537" s="10">
        <f t="shared" si="118"/>
        <v>0</v>
      </c>
      <c r="Q537" s="10">
        <f t="shared" si="119"/>
        <v>0</v>
      </c>
      <c r="R537" s="10">
        <f t="shared" ca="1" si="120"/>
        <v>7</v>
      </c>
      <c r="S537" s="10" t="str">
        <f t="shared" ca="1" si="121"/>
        <v>Có</v>
      </c>
      <c r="T537" s="10" t="str">
        <f t="shared" ca="1" si="122"/>
        <v>Có</v>
      </c>
      <c r="U537" s="10" t="str">
        <f t="shared" si="123"/>
        <v>Không</v>
      </c>
      <c r="V537" s="2" t="s">
        <v>38</v>
      </c>
      <c r="W537" s="4">
        <v>46053</v>
      </c>
      <c r="X537" s="8" t="str">
        <f t="shared" si="124"/>
        <v>Tháng 1</v>
      </c>
      <c r="Y537" s="8" t="str">
        <f t="shared" si="125"/>
        <v>Ấp Biển Đông B</v>
      </c>
    </row>
    <row r="538" spans="1:25" x14ac:dyDescent="0.25">
      <c r="A538" s="1" t="s">
        <v>756</v>
      </c>
      <c r="B538" s="2" t="s">
        <v>30</v>
      </c>
      <c r="C538" s="2" t="s">
        <v>64</v>
      </c>
      <c r="D538" s="10">
        <f t="shared" ca="1" si="112"/>
        <v>42</v>
      </c>
      <c r="E538" s="2" t="s">
        <v>26</v>
      </c>
      <c r="F538" s="3">
        <v>169</v>
      </c>
      <c r="G538" s="3">
        <v>69</v>
      </c>
      <c r="H538" s="11">
        <f t="shared" si="113"/>
        <v>24.158817968558527</v>
      </c>
      <c r="I538" s="2">
        <v>88</v>
      </c>
      <c r="J538" s="3">
        <v>120</v>
      </c>
      <c r="K538" s="3">
        <v>80</v>
      </c>
      <c r="L538" s="10">
        <f t="shared" si="114"/>
        <v>2</v>
      </c>
      <c r="M538" s="10">
        <f t="shared" ca="1" si="115"/>
        <v>0</v>
      </c>
      <c r="N538" s="10">
        <f t="shared" si="116"/>
        <v>0</v>
      </c>
      <c r="O538" s="10">
        <f t="shared" si="117"/>
        <v>3</v>
      </c>
      <c r="P538" s="10">
        <f t="shared" si="118"/>
        <v>0</v>
      </c>
      <c r="Q538" s="10">
        <f t="shared" si="119"/>
        <v>0</v>
      </c>
      <c r="R538" s="10">
        <f t="shared" ca="1" si="120"/>
        <v>5</v>
      </c>
      <c r="S538" s="10" t="str">
        <f t="shared" ca="1" si="121"/>
        <v>Không cần</v>
      </c>
      <c r="T538" s="10" t="str">
        <f t="shared" ca="1" si="122"/>
        <v>Không</v>
      </c>
      <c r="U538" s="10" t="str">
        <f t="shared" si="123"/>
        <v>Không</v>
      </c>
      <c r="V538" s="2" t="s">
        <v>757</v>
      </c>
      <c r="W538" s="4">
        <v>46053</v>
      </c>
      <c r="X538" s="8" t="str">
        <f t="shared" si="124"/>
        <v>Tháng 1</v>
      </c>
      <c r="Y538" s="8" t="str">
        <f t="shared" si="125"/>
        <v>Ấp Giồng Giữa B</v>
      </c>
    </row>
    <row r="539" spans="1:25" x14ac:dyDescent="0.25">
      <c r="A539" s="1" t="s">
        <v>758</v>
      </c>
      <c r="B539" s="2" t="s">
        <v>23</v>
      </c>
      <c r="C539" s="2" t="s">
        <v>93</v>
      </c>
      <c r="D539" s="10">
        <f t="shared" ca="1" si="112"/>
        <v>66</v>
      </c>
      <c r="E539" s="2" t="s">
        <v>26</v>
      </c>
      <c r="F539" s="3">
        <v>152</v>
      </c>
      <c r="G539" s="3">
        <v>56</v>
      </c>
      <c r="H539" s="11">
        <f t="shared" si="113"/>
        <v>24.238227146814403</v>
      </c>
      <c r="I539" s="2">
        <v>71</v>
      </c>
      <c r="J539" s="3">
        <v>120</v>
      </c>
      <c r="K539" s="3">
        <v>70</v>
      </c>
      <c r="L539" s="10">
        <f t="shared" si="114"/>
        <v>0</v>
      </c>
      <c r="M539" s="10">
        <f t="shared" ca="1" si="115"/>
        <v>2</v>
      </c>
      <c r="N539" s="10">
        <f t="shared" si="116"/>
        <v>0</v>
      </c>
      <c r="O539" s="10">
        <f t="shared" si="117"/>
        <v>3</v>
      </c>
      <c r="P539" s="10">
        <f t="shared" si="118"/>
        <v>0</v>
      </c>
      <c r="Q539" s="10">
        <f t="shared" si="119"/>
        <v>0</v>
      </c>
      <c r="R539" s="10">
        <f t="shared" ca="1" si="120"/>
        <v>5</v>
      </c>
      <c r="S539" s="10" t="str">
        <f t="shared" ca="1" si="121"/>
        <v>Không cần</v>
      </c>
      <c r="T539" s="10" t="str">
        <f t="shared" ca="1" si="122"/>
        <v>Không</v>
      </c>
      <c r="U539" s="10" t="str">
        <f t="shared" si="123"/>
        <v>Không</v>
      </c>
      <c r="V539" s="2" t="s">
        <v>166</v>
      </c>
      <c r="W539" s="4">
        <v>46112</v>
      </c>
      <c r="X539" s="8" t="str">
        <f t="shared" si="124"/>
        <v>Tháng 3</v>
      </c>
      <c r="Y539" s="8" t="str">
        <f t="shared" si="125"/>
        <v>khóm Giồng Nhãn</v>
      </c>
    </row>
    <row r="540" spans="1:25" x14ac:dyDescent="0.25">
      <c r="A540" s="1" t="s">
        <v>759</v>
      </c>
      <c r="B540" s="2" t="s">
        <v>30</v>
      </c>
      <c r="C540" s="2" t="s">
        <v>47</v>
      </c>
      <c r="D540" s="10">
        <f t="shared" ca="1" si="112"/>
        <v>55</v>
      </c>
      <c r="E540" s="2" t="s">
        <v>26</v>
      </c>
      <c r="F540" s="3">
        <v>168</v>
      </c>
      <c r="G540" s="3">
        <v>62</v>
      </c>
      <c r="H540" s="11">
        <f t="shared" si="113"/>
        <v>21.9671201814059</v>
      </c>
      <c r="I540" s="2">
        <v>80</v>
      </c>
      <c r="J540" s="3">
        <v>120</v>
      </c>
      <c r="K540" s="3">
        <v>70</v>
      </c>
      <c r="L540" s="10">
        <f t="shared" si="114"/>
        <v>2</v>
      </c>
      <c r="M540" s="10">
        <f t="shared" ca="1" si="115"/>
        <v>2</v>
      </c>
      <c r="N540" s="10">
        <f t="shared" si="116"/>
        <v>0</v>
      </c>
      <c r="O540" s="10">
        <f t="shared" si="117"/>
        <v>0</v>
      </c>
      <c r="P540" s="10">
        <f t="shared" si="118"/>
        <v>0</v>
      </c>
      <c r="Q540" s="10">
        <f t="shared" si="119"/>
        <v>0</v>
      </c>
      <c r="R540" s="10">
        <f t="shared" ca="1" si="120"/>
        <v>4</v>
      </c>
      <c r="S540" s="10" t="str">
        <f t="shared" ca="1" si="121"/>
        <v>Không cần</v>
      </c>
      <c r="T540" s="10" t="str">
        <f t="shared" ca="1" si="122"/>
        <v>Không</v>
      </c>
      <c r="U540" s="10" t="str">
        <f t="shared" si="123"/>
        <v>Không</v>
      </c>
      <c r="V540" s="2" t="s">
        <v>172</v>
      </c>
      <c r="W540" s="4">
        <v>46142</v>
      </c>
      <c r="X540" s="8" t="str">
        <f t="shared" si="124"/>
        <v>Tháng 4</v>
      </c>
      <c r="Y540" s="8" t="str">
        <f t="shared" si="125"/>
        <v>Khóm Bờ Tây</v>
      </c>
    </row>
    <row r="541" spans="1:25" x14ac:dyDescent="0.25">
      <c r="A541" s="1" t="s">
        <v>760</v>
      </c>
      <c r="B541" s="2" t="s">
        <v>23</v>
      </c>
      <c r="C541" s="2" t="s">
        <v>56</v>
      </c>
      <c r="D541" s="10">
        <f t="shared" ca="1" si="112"/>
        <v>65</v>
      </c>
      <c r="E541" s="2" t="s">
        <v>25</v>
      </c>
      <c r="F541" s="3">
        <v>158</v>
      </c>
      <c r="G541" s="3">
        <v>58</v>
      </c>
      <c r="H541" s="11">
        <f t="shared" si="113"/>
        <v>23.233456176894723</v>
      </c>
      <c r="I541" s="2">
        <v>99</v>
      </c>
      <c r="J541" s="3">
        <v>140</v>
      </c>
      <c r="K541" s="3">
        <v>80</v>
      </c>
      <c r="L541" s="10">
        <f t="shared" si="114"/>
        <v>0</v>
      </c>
      <c r="M541" s="10">
        <f t="shared" ca="1" si="115"/>
        <v>2</v>
      </c>
      <c r="N541" s="10">
        <f t="shared" si="116"/>
        <v>4</v>
      </c>
      <c r="O541" s="10">
        <f t="shared" si="117"/>
        <v>3</v>
      </c>
      <c r="P541" s="10">
        <f t="shared" si="118"/>
        <v>2</v>
      </c>
      <c r="Q541" s="10">
        <f t="shared" si="119"/>
        <v>2</v>
      </c>
      <c r="R541" s="10">
        <f t="shared" ca="1" si="120"/>
        <v>13</v>
      </c>
      <c r="S541" s="10" t="str">
        <f t="shared" ca="1" si="121"/>
        <v>Có</v>
      </c>
      <c r="T541" s="10" t="str">
        <f t="shared" ca="1" si="122"/>
        <v>Có</v>
      </c>
      <c r="U541" s="10" t="str">
        <f t="shared" si="123"/>
        <v>Có</v>
      </c>
      <c r="V541" s="2" t="s">
        <v>459</v>
      </c>
      <c r="W541" s="4">
        <v>46142</v>
      </c>
      <c r="X541" s="8" t="str">
        <f t="shared" si="124"/>
        <v>Tháng 4</v>
      </c>
      <c r="Y541" s="8" t="str">
        <f t="shared" si="125"/>
        <v>Ấp Phước Hậu</v>
      </c>
    </row>
    <row r="542" spans="1:25" x14ac:dyDescent="0.25">
      <c r="A542" s="1" t="s">
        <v>761</v>
      </c>
      <c r="B542" s="2" t="s">
        <v>30</v>
      </c>
      <c r="C542" s="2" t="s">
        <v>62</v>
      </c>
      <c r="D542" s="10">
        <f t="shared" ca="1" si="112"/>
        <v>64</v>
      </c>
      <c r="E542" s="2" t="s">
        <v>25</v>
      </c>
      <c r="F542" s="3">
        <v>158</v>
      </c>
      <c r="G542" s="3">
        <v>58</v>
      </c>
      <c r="H542" s="11">
        <f t="shared" si="113"/>
        <v>23.233456176894723</v>
      </c>
      <c r="I542" s="2">
        <v>76</v>
      </c>
      <c r="J542" s="3">
        <v>120</v>
      </c>
      <c r="K542" s="3">
        <v>80</v>
      </c>
      <c r="L542" s="10">
        <f t="shared" si="114"/>
        <v>2</v>
      </c>
      <c r="M542" s="10">
        <f t="shared" ca="1" si="115"/>
        <v>2</v>
      </c>
      <c r="N542" s="10">
        <f t="shared" si="116"/>
        <v>4</v>
      </c>
      <c r="O542" s="10">
        <f t="shared" si="117"/>
        <v>3</v>
      </c>
      <c r="P542" s="10">
        <f t="shared" si="118"/>
        <v>0</v>
      </c>
      <c r="Q542" s="10">
        <f t="shared" si="119"/>
        <v>0</v>
      </c>
      <c r="R542" s="10">
        <f t="shared" ca="1" si="120"/>
        <v>11</v>
      </c>
      <c r="S542" s="10" t="str">
        <f t="shared" ca="1" si="121"/>
        <v>Có</v>
      </c>
      <c r="T542" s="10" t="str">
        <f t="shared" ca="1" si="122"/>
        <v>Có</v>
      </c>
      <c r="U542" s="10" t="str">
        <f t="shared" si="123"/>
        <v>Không</v>
      </c>
      <c r="V542" s="2" t="s">
        <v>94</v>
      </c>
      <c r="W542" s="4">
        <v>46081</v>
      </c>
      <c r="X542" s="8" t="str">
        <f t="shared" si="124"/>
        <v>Tháng 2</v>
      </c>
      <c r="Y542" s="8" t="str">
        <f t="shared" si="125"/>
        <v>.</v>
      </c>
    </row>
    <row r="543" spans="1:25" x14ac:dyDescent="0.25">
      <c r="A543" s="1" t="s">
        <v>762</v>
      </c>
      <c r="B543" s="2" t="s">
        <v>30</v>
      </c>
      <c r="C543" s="2" t="s">
        <v>50</v>
      </c>
      <c r="D543" s="10">
        <f t="shared" ca="1" si="112"/>
        <v>58</v>
      </c>
      <c r="E543" s="2" t="s">
        <v>25</v>
      </c>
      <c r="F543" s="3">
        <v>169</v>
      </c>
      <c r="G543" s="3">
        <v>69</v>
      </c>
      <c r="H543" s="11">
        <f t="shared" si="113"/>
        <v>24.158817968558527</v>
      </c>
      <c r="I543" s="2">
        <v>86</v>
      </c>
      <c r="J543" s="3">
        <v>120</v>
      </c>
      <c r="K543" s="3">
        <v>80</v>
      </c>
      <c r="L543" s="10">
        <f t="shared" si="114"/>
        <v>2</v>
      </c>
      <c r="M543" s="10">
        <f t="shared" ca="1" si="115"/>
        <v>2</v>
      </c>
      <c r="N543" s="10">
        <f t="shared" si="116"/>
        <v>4</v>
      </c>
      <c r="O543" s="10">
        <f t="shared" si="117"/>
        <v>3</v>
      </c>
      <c r="P543" s="10">
        <f t="shared" si="118"/>
        <v>0</v>
      </c>
      <c r="Q543" s="10">
        <f t="shared" si="119"/>
        <v>0</v>
      </c>
      <c r="R543" s="10">
        <f t="shared" ca="1" si="120"/>
        <v>11</v>
      </c>
      <c r="S543" s="10" t="str">
        <f t="shared" ca="1" si="121"/>
        <v>Có</v>
      </c>
      <c r="T543" s="10" t="str">
        <f t="shared" ca="1" si="122"/>
        <v>Có</v>
      </c>
      <c r="U543" s="10" t="str">
        <f t="shared" si="123"/>
        <v>Không</v>
      </c>
      <c r="V543" s="2" t="s">
        <v>763</v>
      </c>
      <c r="W543" s="4">
        <v>46081</v>
      </c>
      <c r="X543" s="8" t="str">
        <f t="shared" si="124"/>
        <v>Tháng 2</v>
      </c>
      <c r="Y543" s="8" t="str">
        <f t="shared" si="125"/>
        <v>Xung Thum B</v>
      </c>
    </row>
    <row r="544" spans="1:25" x14ac:dyDescent="0.25">
      <c r="A544" s="1" t="s">
        <v>764</v>
      </c>
      <c r="B544" s="2" t="s">
        <v>23</v>
      </c>
      <c r="C544" s="2" t="s">
        <v>110</v>
      </c>
      <c r="D544" s="10">
        <f t="shared" ca="1" si="112"/>
        <v>62</v>
      </c>
      <c r="E544" s="2" t="s">
        <v>26</v>
      </c>
      <c r="F544" s="3">
        <v>161</v>
      </c>
      <c r="G544" s="3">
        <v>58</v>
      </c>
      <c r="H544" s="11">
        <f t="shared" si="113"/>
        <v>22.375679950619187</v>
      </c>
      <c r="I544" s="2">
        <v>88</v>
      </c>
      <c r="J544" s="3">
        <v>120</v>
      </c>
      <c r="K544" s="3">
        <v>70</v>
      </c>
      <c r="L544" s="10">
        <f t="shared" si="114"/>
        <v>0</v>
      </c>
      <c r="M544" s="10">
        <f t="shared" ca="1" si="115"/>
        <v>2</v>
      </c>
      <c r="N544" s="10">
        <f t="shared" si="116"/>
        <v>0</v>
      </c>
      <c r="O544" s="10">
        <f t="shared" si="117"/>
        <v>0</v>
      </c>
      <c r="P544" s="10">
        <f t="shared" si="118"/>
        <v>2</v>
      </c>
      <c r="Q544" s="10">
        <f t="shared" si="119"/>
        <v>0</v>
      </c>
      <c r="R544" s="10">
        <f t="shared" ca="1" si="120"/>
        <v>4</v>
      </c>
      <c r="S544" s="10" t="str">
        <f t="shared" ca="1" si="121"/>
        <v>Không cần</v>
      </c>
      <c r="T544" s="10" t="str">
        <f t="shared" ca="1" si="122"/>
        <v>Không</v>
      </c>
      <c r="U544" s="10" t="str">
        <f t="shared" si="123"/>
        <v>Không</v>
      </c>
      <c r="V544" s="2" t="s">
        <v>51</v>
      </c>
      <c r="W544" s="4">
        <v>46081</v>
      </c>
      <c r="X544" s="8" t="str">
        <f t="shared" si="124"/>
        <v>Tháng 2</v>
      </c>
      <c r="Y544" s="8" t="str">
        <f t="shared" si="125"/>
        <v>Phường Hiệp Thành</v>
      </c>
    </row>
    <row r="545" spans="1:25" x14ac:dyDescent="0.25">
      <c r="A545" s="1" t="s">
        <v>765</v>
      </c>
      <c r="B545" s="2" t="s">
        <v>23</v>
      </c>
      <c r="C545" s="2" t="s">
        <v>80</v>
      </c>
      <c r="D545" s="10">
        <f t="shared" ca="1" si="112"/>
        <v>71</v>
      </c>
      <c r="E545" s="2" t="s">
        <v>25</v>
      </c>
      <c r="F545" s="3">
        <v>158</v>
      </c>
      <c r="G545" s="3">
        <v>58</v>
      </c>
      <c r="H545" s="11">
        <f t="shared" si="113"/>
        <v>23.233456176894723</v>
      </c>
      <c r="I545" s="2">
        <v>74</v>
      </c>
      <c r="J545" s="3">
        <v>160</v>
      </c>
      <c r="K545" s="3">
        <v>80</v>
      </c>
      <c r="L545" s="10">
        <f t="shared" si="114"/>
        <v>0</v>
      </c>
      <c r="M545" s="10">
        <f t="shared" ca="1" si="115"/>
        <v>2</v>
      </c>
      <c r="N545" s="10">
        <f t="shared" si="116"/>
        <v>4</v>
      </c>
      <c r="O545" s="10">
        <f t="shared" si="117"/>
        <v>3</v>
      </c>
      <c r="P545" s="10">
        <f t="shared" si="118"/>
        <v>0</v>
      </c>
      <c r="Q545" s="10">
        <f t="shared" si="119"/>
        <v>2</v>
      </c>
      <c r="R545" s="10">
        <f t="shared" ca="1" si="120"/>
        <v>11</v>
      </c>
      <c r="S545" s="10" t="str">
        <f t="shared" ca="1" si="121"/>
        <v>Có</v>
      </c>
      <c r="T545" s="10" t="str">
        <f t="shared" ca="1" si="122"/>
        <v>Có</v>
      </c>
      <c r="U545" s="10" t="str">
        <f t="shared" si="123"/>
        <v>Có</v>
      </c>
      <c r="V545" s="2" t="s">
        <v>68</v>
      </c>
      <c r="W545" s="4">
        <v>46081</v>
      </c>
      <c r="X545" s="8" t="str">
        <f t="shared" si="124"/>
        <v>Tháng 2</v>
      </c>
      <c r="Y545" s="8" t="str">
        <f t="shared" si="125"/>
        <v>Ấp Biển Tây B</v>
      </c>
    </row>
    <row r="546" spans="1:25" x14ac:dyDescent="0.25">
      <c r="A546" s="1" t="s">
        <v>766</v>
      </c>
      <c r="B546" s="2" t="s">
        <v>23</v>
      </c>
      <c r="C546" s="2" t="s">
        <v>373</v>
      </c>
      <c r="D546" s="10">
        <f t="shared" ca="1" si="112"/>
        <v>61</v>
      </c>
      <c r="E546" s="2" t="s">
        <v>26</v>
      </c>
      <c r="F546" s="3">
        <v>158</v>
      </c>
      <c r="G546" s="3">
        <v>58</v>
      </c>
      <c r="H546" s="11">
        <f t="shared" si="113"/>
        <v>23.233456176894723</v>
      </c>
      <c r="I546" s="2">
        <v>90</v>
      </c>
      <c r="J546" s="3">
        <v>130</v>
      </c>
      <c r="K546" s="3">
        <v>80</v>
      </c>
      <c r="L546" s="10">
        <f t="shared" si="114"/>
        <v>0</v>
      </c>
      <c r="M546" s="10">
        <f t="shared" ca="1" si="115"/>
        <v>2</v>
      </c>
      <c r="N546" s="10">
        <f t="shared" si="116"/>
        <v>0</v>
      </c>
      <c r="O546" s="10">
        <f t="shared" si="117"/>
        <v>3</v>
      </c>
      <c r="P546" s="10">
        <f t="shared" si="118"/>
        <v>2</v>
      </c>
      <c r="Q546" s="10">
        <f t="shared" si="119"/>
        <v>0</v>
      </c>
      <c r="R546" s="10">
        <f t="shared" ca="1" si="120"/>
        <v>7</v>
      </c>
      <c r="S546" s="10" t="str">
        <f t="shared" ca="1" si="121"/>
        <v>Có</v>
      </c>
      <c r="T546" s="10" t="str">
        <f t="shared" ca="1" si="122"/>
        <v>Có</v>
      </c>
      <c r="U546" s="10" t="str">
        <f t="shared" si="123"/>
        <v>Không</v>
      </c>
      <c r="V546" s="2" t="s">
        <v>291</v>
      </c>
      <c r="W546" s="4">
        <v>46142</v>
      </c>
      <c r="X546" s="8" t="str">
        <f t="shared" si="124"/>
        <v>Tháng 4</v>
      </c>
      <c r="Y546" s="8" t="str">
        <f t="shared" si="125"/>
        <v>Ấp 15</v>
      </c>
    </row>
    <row r="547" spans="1:25" x14ac:dyDescent="0.25">
      <c r="A547" s="1" t="s">
        <v>767</v>
      </c>
      <c r="B547" s="2" t="s">
        <v>23</v>
      </c>
      <c r="C547" s="2" t="s">
        <v>188</v>
      </c>
      <c r="D547" s="10">
        <f t="shared" ca="1" si="112"/>
        <v>63</v>
      </c>
      <c r="E547" s="2" t="s">
        <v>25</v>
      </c>
      <c r="F547" s="3">
        <v>158</v>
      </c>
      <c r="G547" s="3">
        <v>58</v>
      </c>
      <c r="H547" s="11">
        <f t="shared" si="113"/>
        <v>23.233456176894723</v>
      </c>
      <c r="I547" s="2">
        <v>69</v>
      </c>
      <c r="J547" s="3">
        <v>140</v>
      </c>
      <c r="K547" s="3">
        <v>80</v>
      </c>
      <c r="L547" s="10">
        <f t="shared" si="114"/>
        <v>0</v>
      </c>
      <c r="M547" s="10">
        <f t="shared" ca="1" si="115"/>
        <v>2</v>
      </c>
      <c r="N547" s="10">
        <f t="shared" si="116"/>
        <v>4</v>
      </c>
      <c r="O547" s="10">
        <f t="shared" si="117"/>
        <v>3</v>
      </c>
      <c r="P547" s="10">
        <f t="shared" si="118"/>
        <v>0</v>
      </c>
      <c r="Q547" s="10">
        <f t="shared" si="119"/>
        <v>2</v>
      </c>
      <c r="R547" s="10">
        <f t="shared" ca="1" si="120"/>
        <v>11</v>
      </c>
      <c r="S547" s="10" t="str">
        <f t="shared" ca="1" si="121"/>
        <v>Có</v>
      </c>
      <c r="T547" s="10" t="str">
        <f t="shared" ca="1" si="122"/>
        <v>Có</v>
      </c>
      <c r="U547" s="10" t="str">
        <f t="shared" si="123"/>
        <v>Có</v>
      </c>
      <c r="V547" s="2" t="s">
        <v>60</v>
      </c>
      <c r="W547" s="4">
        <v>46142</v>
      </c>
      <c r="X547" s="8" t="str">
        <f t="shared" si="124"/>
        <v>Tháng 4</v>
      </c>
      <c r="Y547" s="8" t="str">
        <f t="shared" si="125"/>
        <v>ấp Biển Đông A</v>
      </c>
    </row>
    <row r="548" spans="1:25" x14ac:dyDescent="0.25">
      <c r="A548" s="1" t="s">
        <v>768</v>
      </c>
      <c r="B548" s="2" t="s">
        <v>23</v>
      </c>
      <c r="C548" s="2" t="s">
        <v>42</v>
      </c>
      <c r="D548" s="10">
        <f t="shared" ca="1" si="112"/>
        <v>59</v>
      </c>
      <c r="E548" s="2" t="s">
        <v>26</v>
      </c>
      <c r="F548" s="3">
        <v>158</v>
      </c>
      <c r="G548" s="3">
        <v>58</v>
      </c>
      <c r="H548" s="11">
        <f t="shared" si="113"/>
        <v>23.233456176894723</v>
      </c>
      <c r="I548" s="2">
        <v>85</v>
      </c>
      <c r="J548" s="3">
        <v>150</v>
      </c>
      <c r="K548" s="3">
        <v>80</v>
      </c>
      <c r="L548" s="10">
        <f t="shared" si="114"/>
        <v>0</v>
      </c>
      <c r="M548" s="10">
        <f t="shared" ca="1" si="115"/>
        <v>2</v>
      </c>
      <c r="N548" s="10">
        <f t="shared" si="116"/>
        <v>0</v>
      </c>
      <c r="O548" s="10">
        <f t="shared" si="117"/>
        <v>3</v>
      </c>
      <c r="P548" s="10">
        <f t="shared" si="118"/>
        <v>2</v>
      </c>
      <c r="Q548" s="10">
        <f t="shared" si="119"/>
        <v>2</v>
      </c>
      <c r="R548" s="10">
        <f t="shared" ca="1" si="120"/>
        <v>9</v>
      </c>
      <c r="S548" s="10" t="str">
        <f t="shared" ca="1" si="121"/>
        <v>Có</v>
      </c>
      <c r="T548" s="10" t="str">
        <f t="shared" ca="1" si="122"/>
        <v>Có</v>
      </c>
      <c r="U548" s="10" t="str">
        <f t="shared" si="123"/>
        <v>Có</v>
      </c>
      <c r="V548" s="2" t="s">
        <v>246</v>
      </c>
      <c r="W548" s="4">
        <v>46112</v>
      </c>
      <c r="X548" s="8" t="str">
        <f t="shared" si="124"/>
        <v>Tháng 3</v>
      </c>
      <c r="Y548" s="8" t="str">
        <f t="shared" si="125"/>
        <v>ấp Biển Tây B</v>
      </c>
    </row>
    <row r="549" spans="1:25" x14ac:dyDescent="0.25">
      <c r="A549" s="1" t="s">
        <v>769</v>
      </c>
      <c r="B549" s="2" t="s">
        <v>23</v>
      </c>
      <c r="C549" s="2" t="s">
        <v>138</v>
      </c>
      <c r="D549" s="10">
        <f t="shared" ca="1" si="112"/>
        <v>67</v>
      </c>
      <c r="E549" s="2" t="s">
        <v>26</v>
      </c>
      <c r="F549" s="3">
        <v>162</v>
      </c>
      <c r="G549" s="3">
        <v>56</v>
      </c>
      <c r="H549" s="11">
        <f t="shared" si="113"/>
        <v>21.338210638622158</v>
      </c>
      <c r="I549" s="2">
        <v>90</v>
      </c>
      <c r="J549" s="3">
        <v>130</v>
      </c>
      <c r="K549" s="3">
        <v>80</v>
      </c>
      <c r="L549" s="10">
        <f t="shared" si="114"/>
        <v>0</v>
      </c>
      <c r="M549" s="10">
        <f t="shared" ca="1" si="115"/>
        <v>2</v>
      </c>
      <c r="N549" s="10">
        <f t="shared" si="116"/>
        <v>0</v>
      </c>
      <c r="O549" s="10">
        <f t="shared" si="117"/>
        <v>0</v>
      </c>
      <c r="P549" s="10">
        <f t="shared" si="118"/>
        <v>2</v>
      </c>
      <c r="Q549" s="10">
        <f t="shared" si="119"/>
        <v>0</v>
      </c>
      <c r="R549" s="10">
        <f t="shared" ca="1" si="120"/>
        <v>4</v>
      </c>
      <c r="S549" s="10" t="str">
        <f t="shared" ca="1" si="121"/>
        <v>Không cần</v>
      </c>
      <c r="T549" s="10" t="str">
        <f t="shared" ca="1" si="122"/>
        <v>Không</v>
      </c>
      <c r="U549" s="10" t="str">
        <f t="shared" si="123"/>
        <v>Không</v>
      </c>
      <c r="V549" s="2" t="s">
        <v>51</v>
      </c>
      <c r="W549" s="4">
        <v>46112</v>
      </c>
      <c r="X549" s="8" t="str">
        <f t="shared" si="124"/>
        <v>Tháng 3</v>
      </c>
      <c r="Y549" s="8" t="str">
        <f t="shared" si="125"/>
        <v>Phường Hiệp Thành</v>
      </c>
    </row>
    <row r="550" spans="1:25" x14ac:dyDescent="0.25">
      <c r="A550" s="1" t="s">
        <v>770</v>
      </c>
      <c r="B550" s="2" t="s">
        <v>30</v>
      </c>
      <c r="C550" s="2" t="s">
        <v>47</v>
      </c>
      <c r="D550" s="10">
        <f t="shared" ca="1" si="112"/>
        <v>55</v>
      </c>
      <c r="E550" s="2" t="s">
        <v>26</v>
      </c>
      <c r="F550" s="3">
        <v>160</v>
      </c>
      <c r="G550" s="3">
        <v>56</v>
      </c>
      <c r="H550" s="11">
        <f t="shared" si="113"/>
        <v>21.874999999999996</v>
      </c>
      <c r="I550" s="2">
        <v>91</v>
      </c>
      <c r="J550" s="3">
        <v>120</v>
      </c>
      <c r="K550" s="3">
        <v>80</v>
      </c>
      <c r="L550" s="10">
        <f t="shared" si="114"/>
        <v>2</v>
      </c>
      <c r="M550" s="10">
        <f t="shared" ca="1" si="115"/>
        <v>2</v>
      </c>
      <c r="N550" s="10">
        <f t="shared" si="116"/>
        <v>0</v>
      </c>
      <c r="O550" s="10">
        <f t="shared" si="117"/>
        <v>0</v>
      </c>
      <c r="P550" s="10">
        <f t="shared" si="118"/>
        <v>2</v>
      </c>
      <c r="Q550" s="10">
        <f t="shared" si="119"/>
        <v>0</v>
      </c>
      <c r="R550" s="10">
        <f t="shared" ca="1" si="120"/>
        <v>6</v>
      </c>
      <c r="S550" s="10" t="str">
        <f t="shared" ca="1" si="121"/>
        <v>Có</v>
      </c>
      <c r="T550" s="10" t="str">
        <f t="shared" ca="1" si="122"/>
        <v>Có</v>
      </c>
      <c r="U550" s="10" t="str">
        <f t="shared" si="123"/>
        <v>Không</v>
      </c>
      <c r="V550" s="2" t="s">
        <v>771</v>
      </c>
      <c r="W550" s="4">
        <v>46081</v>
      </c>
      <c r="X550" s="8" t="str">
        <f t="shared" si="124"/>
        <v>Tháng 2</v>
      </c>
      <c r="Y550" s="8" t="str">
        <f t="shared" si="125"/>
        <v>ấp Giồng Giữa</v>
      </c>
    </row>
    <row r="551" spans="1:25" x14ac:dyDescent="0.25">
      <c r="A551" s="1" t="s">
        <v>772</v>
      </c>
      <c r="B551" s="2" t="s">
        <v>23</v>
      </c>
      <c r="C551" s="2" t="s">
        <v>50</v>
      </c>
      <c r="D551" s="10">
        <f t="shared" ca="1" si="112"/>
        <v>58</v>
      </c>
      <c r="E551" s="2" t="s">
        <v>26</v>
      </c>
      <c r="F551" s="3">
        <v>158</v>
      </c>
      <c r="G551" s="3">
        <v>58</v>
      </c>
      <c r="H551" s="11">
        <f t="shared" si="113"/>
        <v>23.233456176894723</v>
      </c>
      <c r="I551" s="2">
        <v>78</v>
      </c>
      <c r="J551" s="3">
        <v>150</v>
      </c>
      <c r="K551" s="3" t="s">
        <v>27</v>
      </c>
      <c r="L551" s="10">
        <f t="shared" si="114"/>
        <v>0</v>
      </c>
      <c r="M551" s="10">
        <f t="shared" ca="1" si="115"/>
        <v>2</v>
      </c>
      <c r="N551" s="10">
        <f t="shared" si="116"/>
        <v>0</v>
      </c>
      <c r="O551" s="10">
        <f t="shared" si="117"/>
        <v>3</v>
      </c>
      <c r="P551" s="10">
        <f t="shared" si="118"/>
        <v>0</v>
      </c>
      <c r="Q551" s="10">
        <f t="shared" si="119"/>
        <v>2</v>
      </c>
      <c r="R551" s="10">
        <f t="shared" ca="1" si="120"/>
        <v>7</v>
      </c>
      <c r="S551" s="10" t="str">
        <f t="shared" ca="1" si="121"/>
        <v>Có</v>
      </c>
      <c r="T551" s="10" t="str">
        <f t="shared" ca="1" si="122"/>
        <v>Có</v>
      </c>
      <c r="U551" s="10" t="str">
        <f t="shared" si="123"/>
        <v>Có</v>
      </c>
      <c r="V551" s="2" t="s">
        <v>51</v>
      </c>
      <c r="W551" s="4">
        <v>46112</v>
      </c>
      <c r="X551" s="8" t="str">
        <f t="shared" si="124"/>
        <v>Tháng 3</v>
      </c>
      <c r="Y551" s="8" t="str">
        <f t="shared" si="125"/>
        <v>Phường Hiệp Thành</v>
      </c>
    </row>
    <row r="552" spans="1:25" x14ac:dyDescent="0.25">
      <c r="A552" s="1" t="s">
        <v>773</v>
      </c>
      <c r="B552" s="2" t="s">
        <v>30</v>
      </c>
      <c r="C552" s="2" t="s">
        <v>115</v>
      </c>
      <c r="D552" s="10">
        <f t="shared" ca="1" si="112"/>
        <v>40</v>
      </c>
      <c r="E552" s="2" t="s">
        <v>26</v>
      </c>
      <c r="F552" s="3">
        <v>175</v>
      </c>
      <c r="G552" s="3">
        <v>80</v>
      </c>
      <c r="H552" s="11">
        <f t="shared" si="113"/>
        <v>26.122448979591837</v>
      </c>
      <c r="I552" s="2">
        <v>85</v>
      </c>
      <c r="J552" s="3">
        <v>150</v>
      </c>
      <c r="K552" s="3">
        <v>90</v>
      </c>
      <c r="L552" s="10">
        <f t="shared" si="114"/>
        <v>2</v>
      </c>
      <c r="M552" s="10">
        <f t="shared" ca="1" si="115"/>
        <v>0</v>
      </c>
      <c r="N552" s="10">
        <f t="shared" si="116"/>
        <v>0</v>
      </c>
      <c r="O552" s="10">
        <f t="shared" si="117"/>
        <v>3</v>
      </c>
      <c r="P552" s="10">
        <f t="shared" si="118"/>
        <v>0</v>
      </c>
      <c r="Q552" s="10">
        <f t="shared" si="119"/>
        <v>2</v>
      </c>
      <c r="R552" s="10">
        <f t="shared" ca="1" si="120"/>
        <v>7</v>
      </c>
      <c r="S552" s="10" t="str">
        <f t="shared" ca="1" si="121"/>
        <v>Có</v>
      </c>
      <c r="T552" s="10" t="str">
        <f t="shared" ca="1" si="122"/>
        <v>Có</v>
      </c>
      <c r="U552" s="10" t="str">
        <f t="shared" si="123"/>
        <v>Có</v>
      </c>
      <c r="V552" s="2" t="s">
        <v>774</v>
      </c>
      <c r="W552" s="4">
        <v>46081</v>
      </c>
      <c r="X552" s="8" t="str">
        <f t="shared" si="124"/>
        <v>Tháng 2</v>
      </c>
      <c r="Y552" s="8" t="str">
        <f t="shared" si="125"/>
        <v>Khóm 2</v>
      </c>
    </row>
    <row r="553" spans="1:25" x14ac:dyDescent="0.25">
      <c r="A553" s="1" t="s">
        <v>775</v>
      </c>
      <c r="B553" s="2" t="s">
        <v>30</v>
      </c>
      <c r="C553" s="2" t="s">
        <v>394</v>
      </c>
      <c r="D553" s="10">
        <f t="shared" ca="1" si="112"/>
        <v>45</v>
      </c>
      <c r="E553" s="2" t="s">
        <v>25</v>
      </c>
      <c r="F553" s="3">
        <v>158</v>
      </c>
      <c r="G553" s="3">
        <v>93</v>
      </c>
      <c r="H553" s="11">
        <f t="shared" si="113"/>
        <v>37.25364524915878</v>
      </c>
      <c r="I553" s="2">
        <v>67</v>
      </c>
      <c r="J553" s="3">
        <v>110</v>
      </c>
      <c r="K553" s="3">
        <v>70</v>
      </c>
      <c r="L553" s="10">
        <f t="shared" si="114"/>
        <v>2</v>
      </c>
      <c r="M553" s="10">
        <f t="shared" ca="1" si="115"/>
        <v>1</v>
      </c>
      <c r="N553" s="10">
        <f t="shared" si="116"/>
        <v>4</v>
      </c>
      <c r="O553" s="10">
        <f t="shared" si="117"/>
        <v>5</v>
      </c>
      <c r="P553" s="10">
        <f t="shared" si="118"/>
        <v>0</v>
      </c>
      <c r="Q553" s="10">
        <f t="shared" si="119"/>
        <v>0</v>
      </c>
      <c r="R553" s="10">
        <f t="shared" ca="1" si="120"/>
        <v>12</v>
      </c>
      <c r="S553" s="10" t="str">
        <f t="shared" ca="1" si="121"/>
        <v>Có</v>
      </c>
      <c r="T553" s="10" t="str">
        <f t="shared" ca="1" si="122"/>
        <v>Có</v>
      </c>
      <c r="U553" s="10" t="str">
        <f t="shared" si="123"/>
        <v>Không</v>
      </c>
      <c r="V553" s="2" t="s">
        <v>776</v>
      </c>
      <c r="W553" s="4">
        <v>46081</v>
      </c>
      <c r="X553" s="8" t="str">
        <f t="shared" si="124"/>
        <v>Tháng 2</v>
      </c>
      <c r="Y553" s="8" t="str">
        <f t="shared" si="125"/>
        <v>Khóm 1</v>
      </c>
    </row>
    <row r="554" spans="1:25" x14ac:dyDescent="0.25">
      <c r="A554" s="1" t="s">
        <v>777</v>
      </c>
      <c r="B554" s="2" t="s">
        <v>23</v>
      </c>
      <c r="C554" s="2" t="s">
        <v>394</v>
      </c>
      <c r="D554" s="10">
        <f t="shared" ca="1" si="112"/>
        <v>45</v>
      </c>
      <c r="E554" s="2" t="s">
        <v>25</v>
      </c>
      <c r="F554" s="3">
        <v>157</v>
      </c>
      <c r="G554" s="3">
        <v>68</v>
      </c>
      <c r="H554" s="11">
        <f t="shared" si="113"/>
        <v>27.587326057852245</v>
      </c>
      <c r="I554" s="2">
        <v>84</v>
      </c>
      <c r="J554" s="3">
        <v>120</v>
      </c>
      <c r="K554" s="3">
        <v>70</v>
      </c>
      <c r="L554" s="10">
        <f t="shared" si="114"/>
        <v>0</v>
      </c>
      <c r="M554" s="10">
        <f t="shared" ca="1" si="115"/>
        <v>1</v>
      </c>
      <c r="N554" s="10">
        <f t="shared" si="116"/>
        <v>4</v>
      </c>
      <c r="O554" s="10">
        <f t="shared" si="117"/>
        <v>5</v>
      </c>
      <c r="P554" s="10">
        <f t="shared" si="118"/>
        <v>2</v>
      </c>
      <c r="Q554" s="10">
        <f t="shared" si="119"/>
        <v>0</v>
      </c>
      <c r="R554" s="10">
        <f t="shared" ca="1" si="120"/>
        <v>12</v>
      </c>
      <c r="S554" s="10" t="str">
        <f t="shared" ca="1" si="121"/>
        <v>Có</v>
      </c>
      <c r="T554" s="10" t="str">
        <f t="shared" ca="1" si="122"/>
        <v>Có</v>
      </c>
      <c r="U554" s="10" t="str">
        <f t="shared" si="123"/>
        <v>Không</v>
      </c>
      <c r="V554" s="2" t="s">
        <v>778</v>
      </c>
      <c r="W554" s="4">
        <v>46081</v>
      </c>
      <c r="X554" s="8" t="str">
        <f t="shared" si="124"/>
        <v>Tháng 2</v>
      </c>
      <c r="Y554" s="8" t="str">
        <f t="shared" si="125"/>
        <v>Khóm 1</v>
      </c>
    </row>
    <row r="555" spans="1:25" x14ac:dyDescent="0.25">
      <c r="A555" s="1" t="s">
        <v>779</v>
      </c>
      <c r="B555" s="2" t="s">
        <v>30</v>
      </c>
      <c r="C555" s="2" t="s">
        <v>203</v>
      </c>
      <c r="D555" s="10">
        <f t="shared" ca="1" si="112"/>
        <v>43</v>
      </c>
      <c r="E555" s="2" t="s">
        <v>26</v>
      </c>
      <c r="F555" s="3">
        <v>169</v>
      </c>
      <c r="G555" s="3">
        <v>68</v>
      </c>
      <c r="H555" s="11">
        <f t="shared" si="113"/>
        <v>23.808690171912751</v>
      </c>
      <c r="I555" s="2">
        <v>82</v>
      </c>
      <c r="J555" s="3">
        <v>130</v>
      </c>
      <c r="K555" s="3">
        <v>80</v>
      </c>
      <c r="L555" s="10">
        <f t="shared" si="114"/>
        <v>2</v>
      </c>
      <c r="M555" s="10">
        <f t="shared" ca="1" si="115"/>
        <v>0</v>
      </c>
      <c r="N555" s="10">
        <f t="shared" si="116"/>
        <v>0</v>
      </c>
      <c r="O555" s="10">
        <f t="shared" si="117"/>
        <v>3</v>
      </c>
      <c r="P555" s="10">
        <f t="shared" si="118"/>
        <v>0</v>
      </c>
      <c r="Q555" s="10">
        <f t="shared" si="119"/>
        <v>0</v>
      </c>
      <c r="R555" s="10">
        <f t="shared" ca="1" si="120"/>
        <v>5</v>
      </c>
      <c r="S555" s="10" t="str">
        <f t="shared" ca="1" si="121"/>
        <v>Không cần</v>
      </c>
      <c r="T555" s="10" t="str">
        <f t="shared" ca="1" si="122"/>
        <v>Không</v>
      </c>
      <c r="U555" s="10" t="str">
        <f t="shared" si="123"/>
        <v>Không</v>
      </c>
      <c r="V555" s="2" t="s">
        <v>780</v>
      </c>
      <c r="W555" s="4">
        <v>46112</v>
      </c>
      <c r="X555" s="8" t="str">
        <f t="shared" si="124"/>
        <v>Tháng 3</v>
      </c>
      <c r="Y555" s="8" t="str">
        <f t="shared" si="125"/>
        <v>ấp giồng Giữa B</v>
      </c>
    </row>
    <row r="556" spans="1:25" x14ac:dyDescent="0.25">
      <c r="A556" s="1" t="s">
        <v>781</v>
      </c>
      <c r="B556" s="2" t="s">
        <v>23</v>
      </c>
      <c r="C556" s="2" t="s">
        <v>40</v>
      </c>
      <c r="D556" s="10">
        <f t="shared" ca="1" si="112"/>
        <v>70</v>
      </c>
      <c r="E556" s="2" t="s">
        <v>26</v>
      </c>
      <c r="F556" s="3">
        <v>147</v>
      </c>
      <c r="G556" s="3">
        <v>47</v>
      </c>
      <c r="H556" s="11">
        <f t="shared" si="113"/>
        <v>21.750196677310381</v>
      </c>
      <c r="I556" s="2">
        <v>88</v>
      </c>
      <c r="J556" s="3">
        <v>120</v>
      </c>
      <c r="K556" s="3">
        <v>80</v>
      </c>
      <c r="L556" s="10">
        <f t="shared" si="114"/>
        <v>0</v>
      </c>
      <c r="M556" s="10">
        <f t="shared" ca="1" si="115"/>
        <v>2</v>
      </c>
      <c r="N556" s="10">
        <f t="shared" si="116"/>
        <v>0</v>
      </c>
      <c r="O556" s="10">
        <f t="shared" si="117"/>
        <v>0</v>
      </c>
      <c r="P556" s="10">
        <f t="shared" si="118"/>
        <v>2</v>
      </c>
      <c r="Q556" s="10">
        <f t="shared" si="119"/>
        <v>0</v>
      </c>
      <c r="R556" s="10">
        <f t="shared" ca="1" si="120"/>
        <v>4</v>
      </c>
      <c r="S556" s="10" t="str">
        <f t="shared" ca="1" si="121"/>
        <v>Không cần</v>
      </c>
      <c r="T556" s="10" t="str">
        <f t="shared" ca="1" si="122"/>
        <v>Không</v>
      </c>
      <c r="U556" s="10" t="str">
        <f t="shared" si="123"/>
        <v>Không</v>
      </c>
      <c r="V556" s="2" t="s">
        <v>395</v>
      </c>
      <c r="W556" s="4">
        <v>46142</v>
      </c>
      <c r="X556" s="8" t="str">
        <f t="shared" si="124"/>
        <v>Tháng 4</v>
      </c>
      <c r="Y556" s="8" t="str">
        <f t="shared" si="125"/>
        <v>Khóm Chòm Xoài</v>
      </c>
    </row>
    <row r="557" spans="1:25" x14ac:dyDescent="0.25">
      <c r="A557" s="1" t="s">
        <v>782</v>
      </c>
      <c r="B557" s="2" t="s">
        <v>23</v>
      </c>
      <c r="C557" s="2" t="s">
        <v>130</v>
      </c>
      <c r="D557" s="10">
        <f t="shared" ca="1" si="112"/>
        <v>57</v>
      </c>
      <c r="E557" s="2" t="s">
        <v>26</v>
      </c>
      <c r="F557" s="3">
        <v>160</v>
      </c>
      <c r="G557" s="3">
        <v>70</v>
      </c>
      <c r="H557" s="11">
        <f t="shared" si="113"/>
        <v>27.343749999999996</v>
      </c>
      <c r="I557" s="2">
        <v>76</v>
      </c>
      <c r="J557" s="3">
        <v>120</v>
      </c>
      <c r="K557" s="3">
        <v>80</v>
      </c>
      <c r="L557" s="10">
        <f t="shared" si="114"/>
        <v>0</v>
      </c>
      <c r="M557" s="10">
        <f t="shared" ca="1" si="115"/>
        <v>2</v>
      </c>
      <c r="N557" s="10">
        <f t="shared" si="116"/>
        <v>0</v>
      </c>
      <c r="O557" s="10">
        <f t="shared" si="117"/>
        <v>3</v>
      </c>
      <c r="P557" s="10">
        <f t="shared" si="118"/>
        <v>0</v>
      </c>
      <c r="Q557" s="10">
        <f t="shared" si="119"/>
        <v>0</v>
      </c>
      <c r="R557" s="10">
        <f t="shared" ca="1" si="120"/>
        <v>5</v>
      </c>
      <c r="S557" s="10" t="str">
        <f t="shared" ca="1" si="121"/>
        <v>Không cần</v>
      </c>
      <c r="T557" s="10" t="str">
        <f t="shared" ca="1" si="122"/>
        <v>Không</v>
      </c>
      <c r="U557" s="10" t="str">
        <f t="shared" si="123"/>
        <v>Không</v>
      </c>
      <c r="V557" s="2" t="s">
        <v>783</v>
      </c>
      <c r="W557" s="4">
        <v>46112</v>
      </c>
      <c r="X557" s="8" t="str">
        <f t="shared" si="124"/>
        <v>Tháng 3</v>
      </c>
      <c r="Y557" s="8" t="str">
        <f t="shared" si="125"/>
        <v>khóm Nhà Mát</v>
      </c>
    </row>
    <row r="558" spans="1:25" x14ac:dyDescent="0.25">
      <c r="A558" s="1" t="s">
        <v>784</v>
      </c>
      <c r="B558" s="2" t="s">
        <v>23</v>
      </c>
      <c r="C558" s="2" t="s">
        <v>50</v>
      </c>
      <c r="D558" s="10">
        <f t="shared" ca="1" si="112"/>
        <v>58</v>
      </c>
      <c r="E558" s="2" t="s">
        <v>25</v>
      </c>
      <c r="F558" s="3">
        <v>158</v>
      </c>
      <c r="G558" s="3">
        <v>58</v>
      </c>
      <c r="H558" s="11">
        <f t="shared" si="113"/>
        <v>23.233456176894723</v>
      </c>
      <c r="I558" s="2">
        <v>88</v>
      </c>
      <c r="J558" s="3">
        <v>120</v>
      </c>
      <c r="K558" s="3">
        <v>80</v>
      </c>
      <c r="L558" s="10">
        <f t="shared" si="114"/>
        <v>0</v>
      </c>
      <c r="M558" s="10">
        <f t="shared" ca="1" si="115"/>
        <v>2</v>
      </c>
      <c r="N558" s="10">
        <f t="shared" si="116"/>
        <v>4</v>
      </c>
      <c r="O558" s="10">
        <f t="shared" si="117"/>
        <v>3</v>
      </c>
      <c r="P558" s="10">
        <f t="shared" si="118"/>
        <v>2</v>
      </c>
      <c r="Q558" s="10">
        <f t="shared" si="119"/>
        <v>0</v>
      </c>
      <c r="R558" s="10">
        <f t="shared" ca="1" si="120"/>
        <v>11</v>
      </c>
      <c r="S558" s="10" t="str">
        <f t="shared" ca="1" si="121"/>
        <v>Có</v>
      </c>
      <c r="T558" s="10" t="str">
        <f t="shared" ca="1" si="122"/>
        <v>Có</v>
      </c>
      <c r="U558" s="10" t="str">
        <f t="shared" si="123"/>
        <v>Không</v>
      </c>
      <c r="V558" s="2" t="s">
        <v>51</v>
      </c>
      <c r="W558" s="4">
        <v>46112</v>
      </c>
      <c r="X558" s="8" t="str">
        <f t="shared" si="124"/>
        <v>Tháng 3</v>
      </c>
      <c r="Y558" s="8" t="str">
        <f t="shared" si="125"/>
        <v>Phường Hiệp Thành</v>
      </c>
    </row>
    <row r="559" spans="1:25" x14ac:dyDescent="0.25">
      <c r="A559" s="1" t="s">
        <v>785</v>
      </c>
      <c r="B559" s="2" t="s">
        <v>30</v>
      </c>
      <c r="C559" s="2" t="s">
        <v>115</v>
      </c>
      <c r="D559" s="10">
        <f t="shared" ca="1" si="112"/>
        <v>40</v>
      </c>
      <c r="E559" s="2" t="s">
        <v>26</v>
      </c>
      <c r="F559" s="3">
        <v>169</v>
      </c>
      <c r="G559" s="3">
        <v>68</v>
      </c>
      <c r="H559" s="11">
        <f t="shared" si="113"/>
        <v>23.808690171912751</v>
      </c>
      <c r="I559" s="2">
        <v>95</v>
      </c>
      <c r="J559" s="3">
        <v>120</v>
      </c>
      <c r="K559" s="3">
        <v>80</v>
      </c>
      <c r="L559" s="10">
        <f t="shared" si="114"/>
        <v>2</v>
      </c>
      <c r="M559" s="10">
        <f t="shared" ca="1" si="115"/>
        <v>0</v>
      </c>
      <c r="N559" s="10">
        <f t="shared" si="116"/>
        <v>0</v>
      </c>
      <c r="O559" s="10">
        <f t="shared" si="117"/>
        <v>3</v>
      </c>
      <c r="P559" s="10">
        <f t="shared" si="118"/>
        <v>2</v>
      </c>
      <c r="Q559" s="10">
        <f t="shared" si="119"/>
        <v>0</v>
      </c>
      <c r="R559" s="10">
        <f t="shared" ca="1" si="120"/>
        <v>7</v>
      </c>
      <c r="S559" s="10" t="str">
        <f t="shared" ca="1" si="121"/>
        <v>Có</v>
      </c>
      <c r="T559" s="10" t="str">
        <f t="shared" ca="1" si="122"/>
        <v>Có</v>
      </c>
      <c r="U559" s="10" t="str">
        <f t="shared" si="123"/>
        <v>Không</v>
      </c>
      <c r="V559" s="2" t="s">
        <v>51</v>
      </c>
      <c r="W559" s="4">
        <v>46112</v>
      </c>
      <c r="X559" s="8" t="str">
        <f t="shared" si="124"/>
        <v>Tháng 3</v>
      </c>
      <c r="Y559" s="8" t="str">
        <f t="shared" si="125"/>
        <v>Phường Hiệp Thành</v>
      </c>
    </row>
    <row r="560" spans="1:25" x14ac:dyDescent="0.25">
      <c r="A560" s="1" t="s">
        <v>786</v>
      </c>
      <c r="B560" s="2" t="s">
        <v>30</v>
      </c>
      <c r="C560" s="2" t="s">
        <v>341</v>
      </c>
      <c r="D560" s="10">
        <f t="shared" ca="1" si="112"/>
        <v>51</v>
      </c>
      <c r="E560" s="2" t="s">
        <v>26</v>
      </c>
      <c r="F560" s="3">
        <v>60</v>
      </c>
      <c r="G560" s="3">
        <v>167</v>
      </c>
      <c r="H560" s="11">
        <f t="shared" si="113"/>
        <v>463.88888888888891</v>
      </c>
      <c r="I560" s="2">
        <v>88</v>
      </c>
      <c r="J560" s="3">
        <v>160</v>
      </c>
      <c r="K560" s="3">
        <v>90</v>
      </c>
      <c r="L560" s="10">
        <f t="shared" si="114"/>
        <v>2</v>
      </c>
      <c r="M560" s="10">
        <f t="shared" ca="1" si="115"/>
        <v>2</v>
      </c>
      <c r="N560" s="10">
        <f t="shared" si="116"/>
        <v>0</v>
      </c>
      <c r="O560" s="10">
        <f t="shared" si="117"/>
        <v>5</v>
      </c>
      <c r="P560" s="10">
        <f t="shared" si="118"/>
        <v>0</v>
      </c>
      <c r="Q560" s="10">
        <f t="shared" si="119"/>
        <v>2</v>
      </c>
      <c r="R560" s="10">
        <f t="shared" ca="1" si="120"/>
        <v>11</v>
      </c>
      <c r="S560" s="10" t="str">
        <f t="shared" ca="1" si="121"/>
        <v>Có</v>
      </c>
      <c r="T560" s="10" t="str">
        <f t="shared" ca="1" si="122"/>
        <v>Có</v>
      </c>
      <c r="U560" s="10" t="str">
        <f t="shared" si="123"/>
        <v>Có</v>
      </c>
      <c r="V560" s="2" t="s">
        <v>395</v>
      </c>
      <c r="W560" s="4">
        <v>46112</v>
      </c>
      <c r="X560" s="8" t="str">
        <f t="shared" si="124"/>
        <v>Tháng 3</v>
      </c>
      <c r="Y560" s="8" t="str">
        <f t="shared" si="125"/>
        <v>Khóm Chòm Xoài</v>
      </c>
    </row>
    <row r="561" spans="1:25" x14ac:dyDescent="0.25">
      <c r="A561" s="1" t="s">
        <v>787</v>
      </c>
      <c r="B561" s="2" t="s">
        <v>23</v>
      </c>
      <c r="C561" s="2" t="s">
        <v>76</v>
      </c>
      <c r="D561" s="10">
        <f t="shared" ca="1" si="112"/>
        <v>68</v>
      </c>
      <c r="E561" s="2" t="s">
        <v>25</v>
      </c>
      <c r="F561" s="3">
        <v>157</v>
      </c>
      <c r="G561" s="3">
        <v>52</v>
      </c>
      <c r="H561" s="11">
        <f t="shared" si="113"/>
        <v>21.096190514828187</v>
      </c>
      <c r="I561" s="2">
        <v>66</v>
      </c>
      <c r="J561" s="3">
        <v>150</v>
      </c>
      <c r="K561" s="3">
        <v>80</v>
      </c>
      <c r="L561" s="10">
        <f t="shared" si="114"/>
        <v>0</v>
      </c>
      <c r="M561" s="10">
        <f t="shared" ca="1" si="115"/>
        <v>2</v>
      </c>
      <c r="N561" s="10">
        <f t="shared" si="116"/>
        <v>4</v>
      </c>
      <c r="O561" s="10">
        <f t="shared" si="117"/>
        <v>0</v>
      </c>
      <c r="P561" s="10">
        <f t="shared" si="118"/>
        <v>0</v>
      </c>
      <c r="Q561" s="10">
        <f t="shared" si="119"/>
        <v>2</v>
      </c>
      <c r="R561" s="10">
        <f t="shared" ca="1" si="120"/>
        <v>8</v>
      </c>
      <c r="S561" s="10" t="str">
        <f t="shared" ca="1" si="121"/>
        <v>Có</v>
      </c>
      <c r="T561" s="10" t="str">
        <f t="shared" ca="1" si="122"/>
        <v>Có</v>
      </c>
      <c r="U561" s="10" t="str">
        <f t="shared" si="123"/>
        <v>Có</v>
      </c>
      <c r="V561" s="2" t="s">
        <v>88</v>
      </c>
      <c r="W561" s="4">
        <v>46142</v>
      </c>
      <c r="X561" s="8" t="str">
        <f t="shared" si="124"/>
        <v>Tháng 4</v>
      </c>
      <c r="Y561" s="8" t="str">
        <f t="shared" si="125"/>
        <v>Giồng Giữa</v>
      </c>
    </row>
    <row r="562" spans="1:25" x14ac:dyDescent="0.25">
      <c r="A562" s="1" t="s">
        <v>788</v>
      </c>
      <c r="B562" s="2" t="s">
        <v>30</v>
      </c>
      <c r="C562" s="2" t="s">
        <v>133</v>
      </c>
      <c r="D562" s="10">
        <f t="shared" ca="1" si="112"/>
        <v>56</v>
      </c>
      <c r="E562" s="2" t="s">
        <v>26</v>
      </c>
      <c r="F562" s="3">
        <v>169</v>
      </c>
      <c r="G562" s="3">
        <v>68</v>
      </c>
      <c r="H562" s="11">
        <f t="shared" si="113"/>
        <v>23.808690171912751</v>
      </c>
      <c r="I562" s="2">
        <v>96</v>
      </c>
      <c r="J562" s="3">
        <v>90</v>
      </c>
      <c r="K562" s="3">
        <v>60</v>
      </c>
      <c r="L562" s="10">
        <f t="shared" si="114"/>
        <v>2</v>
      </c>
      <c r="M562" s="10">
        <f t="shared" ca="1" si="115"/>
        <v>2</v>
      </c>
      <c r="N562" s="10">
        <f t="shared" si="116"/>
        <v>0</v>
      </c>
      <c r="O562" s="10">
        <f t="shared" si="117"/>
        <v>3</v>
      </c>
      <c r="P562" s="10">
        <f t="shared" si="118"/>
        <v>2</v>
      </c>
      <c r="Q562" s="10">
        <f t="shared" si="119"/>
        <v>0</v>
      </c>
      <c r="R562" s="10">
        <f t="shared" ca="1" si="120"/>
        <v>9</v>
      </c>
      <c r="S562" s="10" t="str">
        <f t="shared" ca="1" si="121"/>
        <v>Có</v>
      </c>
      <c r="T562" s="10" t="str">
        <f t="shared" ca="1" si="122"/>
        <v>Có</v>
      </c>
      <c r="U562" s="10" t="str">
        <f t="shared" si="123"/>
        <v>Không</v>
      </c>
      <c r="V562" s="2" t="s">
        <v>218</v>
      </c>
      <c r="W562" s="4">
        <v>46112</v>
      </c>
      <c r="X562" s="8" t="str">
        <f t="shared" si="124"/>
        <v>Tháng 3</v>
      </c>
      <c r="Y562" s="8" t="str">
        <f t="shared" si="125"/>
        <v>Biển Đông B</v>
      </c>
    </row>
    <row r="563" spans="1:25" x14ac:dyDescent="0.25">
      <c r="A563" s="1" t="s">
        <v>789</v>
      </c>
      <c r="B563" s="2" t="s">
        <v>23</v>
      </c>
      <c r="C563" s="2" t="s">
        <v>67</v>
      </c>
      <c r="D563" s="10">
        <f t="shared" ca="1" si="112"/>
        <v>48</v>
      </c>
      <c r="E563" s="2" t="s">
        <v>26</v>
      </c>
      <c r="F563" s="3">
        <v>160</v>
      </c>
      <c r="G563" s="3">
        <v>67</v>
      </c>
      <c r="H563" s="11">
        <f t="shared" si="113"/>
        <v>26.171874999999996</v>
      </c>
      <c r="I563" s="2">
        <v>72</v>
      </c>
      <c r="J563" s="3">
        <v>120</v>
      </c>
      <c r="K563" s="3">
        <v>80</v>
      </c>
      <c r="L563" s="10">
        <f t="shared" si="114"/>
        <v>0</v>
      </c>
      <c r="M563" s="10">
        <f t="shared" ca="1" si="115"/>
        <v>1</v>
      </c>
      <c r="N563" s="10">
        <f t="shared" si="116"/>
        <v>0</v>
      </c>
      <c r="O563" s="10">
        <f t="shared" si="117"/>
        <v>3</v>
      </c>
      <c r="P563" s="10">
        <f t="shared" si="118"/>
        <v>0</v>
      </c>
      <c r="Q563" s="10">
        <f t="shared" si="119"/>
        <v>0</v>
      </c>
      <c r="R563" s="10">
        <f t="shared" ca="1" si="120"/>
        <v>4</v>
      </c>
      <c r="S563" s="10" t="str">
        <f t="shared" ca="1" si="121"/>
        <v>Không cần</v>
      </c>
      <c r="T563" s="10" t="str">
        <f t="shared" ca="1" si="122"/>
        <v>Không</v>
      </c>
      <c r="U563" s="10" t="str">
        <f t="shared" si="123"/>
        <v>Không</v>
      </c>
      <c r="V563" s="2" t="s">
        <v>790</v>
      </c>
      <c r="W563" s="4">
        <v>46142</v>
      </c>
      <c r="X563" s="8" t="str">
        <f t="shared" si="124"/>
        <v>Tháng 4</v>
      </c>
      <c r="Y563" s="8" t="str">
        <f t="shared" si="125"/>
        <v>giồng Nhãn A</v>
      </c>
    </row>
    <row r="564" spans="1:25" x14ac:dyDescent="0.25">
      <c r="A564" s="1" t="s">
        <v>791</v>
      </c>
      <c r="B564" s="2" t="s">
        <v>23</v>
      </c>
      <c r="C564" s="2" t="s">
        <v>59</v>
      </c>
      <c r="D564" s="10">
        <f t="shared" ca="1" si="112"/>
        <v>74</v>
      </c>
      <c r="E564" s="2" t="s">
        <v>26</v>
      </c>
      <c r="F564" s="3">
        <v>150</v>
      </c>
      <c r="G564" s="3">
        <v>48</v>
      </c>
      <c r="H564" s="11">
        <f t="shared" si="113"/>
        <v>21.333333333333332</v>
      </c>
      <c r="I564" s="2">
        <v>99</v>
      </c>
      <c r="J564" s="3">
        <v>120</v>
      </c>
      <c r="K564" s="3">
        <v>80</v>
      </c>
      <c r="L564" s="10">
        <f t="shared" si="114"/>
        <v>0</v>
      </c>
      <c r="M564" s="10">
        <f t="shared" ca="1" si="115"/>
        <v>2</v>
      </c>
      <c r="N564" s="10">
        <f t="shared" si="116"/>
        <v>0</v>
      </c>
      <c r="O564" s="10">
        <f t="shared" si="117"/>
        <v>0</v>
      </c>
      <c r="P564" s="10">
        <f t="shared" si="118"/>
        <v>2</v>
      </c>
      <c r="Q564" s="10">
        <f t="shared" si="119"/>
        <v>0</v>
      </c>
      <c r="R564" s="10">
        <f t="shared" ca="1" si="120"/>
        <v>4</v>
      </c>
      <c r="S564" s="10" t="str">
        <f t="shared" ca="1" si="121"/>
        <v>Không cần</v>
      </c>
      <c r="T564" s="10" t="str">
        <f t="shared" ca="1" si="122"/>
        <v>Không</v>
      </c>
      <c r="U564" s="10" t="str">
        <f t="shared" si="123"/>
        <v>Không</v>
      </c>
      <c r="V564" s="2" t="s">
        <v>792</v>
      </c>
      <c r="W564" s="4">
        <v>46142</v>
      </c>
      <c r="X564" s="8" t="str">
        <f t="shared" si="124"/>
        <v>Tháng 4</v>
      </c>
      <c r="Y564" s="8" t="str">
        <f t="shared" si="125"/>
        <v>Giống Nhãn A</v>
      </c>
    </row>
    <row r="565" spans="1:25" x14ac:dyDescent="0.25">
      <c r="A565" s="1" t="s">
        <v>793</v>
      </c>
      <c r="B565" s="2" t="s">
        <v>23</v>
      </c>
      <c r="C565" s="2" t="s">
        <v>138</v>
      </c>
      <c r="D565" s="10">
        <f t="shared" ca="1" si="112"/>
        <v>67</v>
      </c>
      <c r="E565" s="2" t="s">
        <v>26</v>
      </c>
      <c r="F565" s="3">
        <v>158</v>
      </c>
      <c r="G565" s="3">
        <v>58</v>
      </c>
      <c r="H565" s="11">
        <f t="shared" si="113"/>
        <v>23.233456176894723</v>
      </c>
      <c r="I565" s="2">
        <v>88</v>
      </c>
      <c r="J565" s="3">
        <v>160</v>
      </c>
      <c r="K565" s="3">
        <v>80</v>
      </c>
      <c r="L565" s="10">
        <f t="shared" si="114"/>
        <v>0</v>
      </c>
      <c r="M565" s="10">
        <f t="shared" ca="1" si="115"/>
        <v>2</v>
      </c>
      <c r="N565" s="10">
        <f t="shared" si="116"/>
        <v>0</v>
      </c>
      <c r="O565" s="10">
        <f t="shared" si="117"/>
        <v>3</v>
      </c>
      <c r="P565" s="10">
        <f t="shared" si="118"/>
        <v>2</v>
      </c>
      <c r="Q565" s="10">
        <f t="shared" si="119"/>
        <v>2</v>
      </c>
      <c r="R565" s="10">
        <f t="shared" ca="1" si="120"/>
        <v>9</v>
      </c>
      <c r="S565" s="10" t="str">
        <f t="shared" ca="1" si="121"/>
        <v>Có</v>
      </c>
      <c r="T565" s="10" t="str">
        <f t="shared" ca="1" si="122"/>
        <v>Có</v>
      </c>
      <c r="U565" s="10" t="str">
        <f t="shared" si="123"/>
        <v>Có</v>
      </c>
      <c r="V565" s="2" t="s">
        <v>335</v>
      </c>
      <c r="W565" s="4">
        <v>46142</v>
      </c>
      <c r="X565" s="8" t="str">
        <f t="shared" si="124"/>
        <v>Tháng 4</v>
      </c>
      <c r="Y565" s="8" t="str">
        <f t="shared" si="125"/>
        <v>ấp Giồng Giữa B</v>
      </c>
    </row>
    <row r="566" spans="1:25" x14ac:dyDescent="0.25">
      <c r="A566" s="1" t="s">
        <v>794</v>
      </c>
      <c r="B566" s="2" t="s">
        <v>30</v>
      </c>
      <c r="C566" s="2" t="s">
        <v>314</v>
      </c>
      <c r="D566" s="10">
        <f t="shared" ca="1" si="112"/>
        <v>77</v>
      </c>
      <c r="E566" s="2" t="s">
        <v>25</v>
      </c>
      <c r="F566" s="3">
        <v>170</v>
      </c>
      <c r="G566" s="3">
        <v>70</v>
      </c>
      <c r="H566" s="11">
        <f t="shared" si="113"/>
        <v>24.221453287197235</v>
      </c>
      <c r="I566" s="2">
        <v>84</v>
      </c>
      <c r="J566" s="3">
        <v>120</v>
      </c>
      <c r="K566" s="3">
        <v>80</v>
      </c>
      <c r="L566" s="10">
        <f t="shared" si="114"/>
        <v>2</v>
      </c>
      <c r="M566" s="10">
        <f t="shared" ca="1" si="115"/>
        <v>2</v>
      </c>
      <c r="N566" s="10">
        <f t="shared" si="116"/>
        <v>4</v>
      </c>
      <c r="O566" s="10">
        <f t="shared" si="117"/>
        <v>3</v>
      </c>
      <c r="P566" s="10">
        <f t="shared" si="118"/>
        <v>0</v>
      </c>
      <c r="Q566" s="10">
        <f t="shared" si="119"/>
        <v>0</v>
      </c>
      <c r="R566" s="10">
        <f t="shared" ca="1" si="120"/>
        <v>11</v>
      </c>
      <c r="S566" s="10" t="str">
        <f t="shared" ca="1" si="121"/>
        <v>Có</v>
      </c>
      <c r="T566" s="10" t="str">
        <f t="shared" ca="1" si="122"/>
        <v>Có</v>
      </c>
      <c r="U566" s="10" t="str">
        <f t="shared" si="123"/>
        <v>Không</v>
      </c>
      <c r="V566" s="2" t="s">
        <v>795</v>
      </c>
      <c r="W566" s="4">
        <v>46142</v>
      </c>
      <c r="X566" s="8" t="str">
        <f t="shared" si="124"/>
        <v>Tháng 4</v>
      </c>
      <c r="Y566" s="8" t="str">
        <f t="shared" si="125"/>
        <v>Giồng nhãn</v>
      </c>
    </row>
    <row r="567" spans="1:25" x14ac:dyDescent="0.25">
      <c r="A567" s="1" t="s">
        <v>796</v>
      </c>
      <c r="B567" s="2" t="s">
        <v>23</v>
      </c>
      <c r="C567" s="2" t="s">
        <v>797</v>
      </c>
      <c r="D567" s="10">
        <f t="shared" ca="1" si="112"/>
        <v>85</v>
      </c>
      <c r="E567" s="2" t="s">
        <v>26</v>
      </c>
      <c r="F567" s="3">
        <v>155</v>
      </c>
      <c r="G567" s="3">
        <v>70</v>
      </c>
      <c r="H567" s="11">
        <f t="shared" si="113"/>
        <v>29.136316337148799</v>
      </c>
      <c r="I567" s="2">
        <v>66</v>
      </c>
      <c r="J567" s="3">
        <v>120</v>
      </c>
      <c r="K567" s="3">
        <v>80</v>
      </c>
      <c r="L567" s="10">
        <f t="shared" si="114"/>
        <v>0</v>
      </c>
      <c r="M567" s="10">
        <f t="shared" ca="1" si="115"/>
        <v>2</v>
      </c>
      <c r="N567" s="10">
        <f t="shared" si="116"/>
        <v>0</v>
      </c>
      <c r="O567" s="10">
        <f t="shared" si="117"/>
        <v>5</v>
      </c>
      <c r="P567" s="10">
        <f t="shared" si="118"/>
        <v>0</v>
      </c>
      <c r="Q567" s="10">
        <f t="shared" si="119"/>
        <v>0</v>
      </c>
      <c r="R567" s="10">
        <f t="shared" ca="1" si="120"/>
        <v>7</v>
      </c>
      <c r="S567" s="10" t="str">
        <f t="shared" ca="1" si="121"/>
        <v>Có</v>
      </c>
      <c r="T567" s="10" t="str">
        <f t="shared" ca="1" si="122"/>
        <v>Có</v>
      </c>
      <c r="U567" s="10" t="str">
        <f t="shared" si="123"/>
        <v>Không</v>
      </c>
      <c r="V567" s="2" t="s">
        <v>509</v>
      </c>
      <c r="W567" s="4">
        <v>46142</v>
      </c>
      <c r="X567" s="8" t="str">
        <f t="shared" si="124"/>
        <v>Tháng 4</v>
      </c>
      <c r="Y567" s="8" t="str">
        <f t="shared" si="125"/>
        <v>Khóm Nhà Mát</v>
      </c>
    </row>
    <row r="568" spans="1:25" x14ac:dyDescent="0.25">
      <c r="A568" s="1" t="s">
        <v>798</v>
      </c>
      <c r="B568" s="2" t="s">
        <v>30</v>
      </c>
      <c r="C568" s="2" t="s">
        <v>203</v>
      </c>
      <c r="D568" s="10">
        <f t="shared" ca="1" si="112"/>
        <v>43</v>
      </c>
      <c r="E568" s="2" t="s">
        <v>25</v>
      </c>
      <c r="F568" s="3">
        <v>160</v>
      </c>
      <c r="G568" s="3">
        <v>55</v>
      </c>
      <c r="H568" s="11">
        <f t="shared" si="113"/>
        <v>21.484374999999996</v>
      </c>
      <c r="I568" s="2">
        <v>70</v>
      </c>
      <c r="J568" s="3">
        <v>120</v>
      </c>
      <c r="K568" s="3">
        <v>70</v>
      </c>
      <c r="L568" s="10">
        <f t="shared" si="114"/>
        <v>2</v>
      </c>
      <c r="M568" s="10">
        <f t="shared" ca="1" si="115"/>
        <v>0</v>
      </c>
      <c r="N568" s="10">
        <f t="shared" si="116"/>
        <v>4</v>
      </c>
      <c r="O568" s="10">
        <f t="shared" si="117"/>
        <v>0</v>
      </c>
      <c r="P568" s="10">
        <f t="shared" si="118"/>
        <v>0</v>
      </c>
      <c r="Q568" s="10">
        <f t="shared" si="119"/>
        <v>0</v>
      </c>
      <c r="R568" s="10">
        <f t="shared" ca="1" si="120"/>
        <v>6</v>
      </c>
      <c r="S568" s="10" t="str">
        <f t="shared" ca="1" si="121"/>
        <v>Có</v>
      </c>
      <c r="T568" s="10" t="str">
        <f t="shared" ca="1" si="122"/>
        <v>Có</v>
      </c>
      <c r="U568" s="10" t="str">
        <f t="shared" si="123"/>
        <v>Không</v>
      </c>
      <c r="V568" s="2" t="s">
        <v>94</v>
      </c>
      <c r="W568" s="4">
        <v>46142</v>
      </c>
      <c r="X568" s="8" t="str">
        <f t="shared" si="124"/>
        <v>Tháng 4</v>
      </c>
      <c r="Y568" s="8" t="str">
        <f t="shared" si="125"/>
        <v>.</v>
      </c>
    </row>
    <row r="569" spans="1:25" x14ac:dyDescent="0.25">
      <c r="A569" s="1" t="s">
        <v>799</v>
      </c>
      <c r="B569" s="2" t="s">
        <v>23</v>
      </c>
      <c r="C569" s="2" t="s">
        <v>138</v>
      </c>
      <c r="D569" s="10">
        <f t="shared" ca="1" si="112"/>
        <v>67</v>
      </c>
      <c r="E569" s="2" t="s">
        <v>26</v>
      </c>
      <c r="F569" s="3">
        <v>158</v>
      </c>
      <c r="G569" s="3">
        <v>58</v>
      </c>
      <c r="H569" s="11">
        <f t="shared" si="113"/>
        <v>23.233456176894723</v>
      </c>
      <c r="I569" s="2">
        <v>93</v>
      </c>
      <c r="J569" s="3">
        <v>120</v>
      </c>
      <c r="K569" s="3">
        <v>80</v>
      </c>
      <c r="L569" s="10">
        <f t="shared" si="114"/>
        <v>0</v>
      </c>
      <c r="M569" s="10">
        <f t="shared" ca="1" si="115"/>
        <v>2</v>
      </c>
      <c r="N569" s="10">
        <f t="shared" si="116"/>
        <v>0</v>
      </c>
      <c r="O569" s="10">
        <f t="shared" si="117"/>
        <v>3</v>
      </c>
      <c r="P569" s="10">
        <f t="shared" si="118"/>
        <v>2</v>
      </c>
      <c r="Q569" s="10">
        <f t="shared" si="119"/>
        <v>0</v>
      </c>
      <c r="R569" s="10">
        <f t="shared" ca="1" si="120"/>
        <v>7</v>
      </c>
      <c r="S569" s="10" t="str">
        <f t="shared" ca="1" si="121"/>
        <v>Có</v>
      </c>
      <c r="T569" s="10" t="str">
        <f t="shared" ca="1" si="122"/>
        <v>Có</v>
      </c>
      <c r="U569" s="10" t="str">
        <f t="shared" si="123"/>
        <v>Không</v>
      </c>
      <c r="V569" s="2" t="s">
        <v>800</v>
      </c>
      <c r="W569" s="4">
        <v>46142</v>
      </c>
      <c r="X569" s="8" t="str">
        <f t="shared" si="124"/>
        <v>Tháng 4</v>
      </c>
      <c r="Y569" s="8" t="str">
        <f t="shared" si="125"/>
        <v>ẤP GIỒNG GIỮA B</v>
      </c>
    </row>
    <row r="570" spans="1:25" x14ac:dyDescent="0.25">
      <c r="A570" s="1" t="s">
        <v>801</v>
      </c>
      <c r="B570" s="2" t="s">
        <v>30</v>
      </c>
      <c r="C570" s="2" t="s">
        <v>146</v>
      </c>
      <c r="D570" s="10">
        <f t="shared" ca="1" si="112"/>
        <v>52</v>
      </c>
      <c r="E570" s="2" t="s">
        <v>25</v>
      </c>
      <c r="F570" s="3">
        <v>158</v>
      </c>
      <c r="G570" s="3">
        <v>57</v>
      </c>
      <c r="H570" s="11">
        <f t="shared" si="113"/>
        <v>22.832879346258608</v>
      </c>
      <c r="I570" s="2">
        <v>86</v>
      </c>
      <c r="J570" s="3">
        <v>120</v>
      </c>
      <c r="K570" s="3">
        <v>70</v>
      </c>
      <c r="L570" s="10">
        <f t="shared" si="114"/>
        <v>2</v>
      </c>
      <c r="M570" s="10">
        <f t="shared" ca="1" si="115"/>
        <v>2</v>
      </c>
      <c r="N570" s="10">
        <f t="shared" si="116"/>
        <v>4</v>
      </c>
      <c r="O570" s="10">
        <f t="shared" si="117"/>
        <v>0</v>
      </c>
      <c r="P570" s="10">
        <f t="shared" si="118"/>
        <v>0</v>
      </c>
      <c r="Q570" s="10">
        <f t="shared" si="119"/>
        <v>0</v>
      </c>
      <c r="R570" s="10">
        <f t="shared" ca="1" si="120"/>
        <v>8</v>
      </c>
      <c r="S570" s="10" t="str">
        <f t="shared" ca="1" si="121"/>
        <v>Có</v>
      </c>
      <c r="T570" s="10" t="str">
        <f t="shared" ca="1" si="122"/>
        <v>Có</v>
      </c>
      <c r="U570" s="10" t="str">
        <f t="shared" si="123"/>
        <v>Không</v>
      </c>
      <c r="V570" s="2" t="s">
        <v>342</v>
      </c>
      <c r="W570" s="4">
        <v>46142</v>
      </c>
      <c r="X570" s="8" t="str">
        <f t="shared" si="124"/>
        <v>Tháng 4</v>
      </c>
      <c r="Y570" s="8" t="str">
        <f t="shared" si="125"/>
        <v>ấp Giồng nhãn A</v>
      </c>
    </row>
    <row r="571" spans="1:25" x14ac:dyDescent="0.25">
      <c r="A571" s="1" t="s">
        <v>802</v>
      </c>
      <c r="B571" s="2" t="s">
        <v>23</v>
      </c>
      <c r="C571" s="2" t="s">
        <v>341</v>
      </c>
      <c r="D571" s="10">
        <f t="shared" ca="1" si="112"/>
        <v>51</v>
      </c>
      <c r="E571" s="2" t="s">
        <v>26</v>
      </c>
      <c r="F571" s="3">
        <v>158</v>
      </c>
      <c r="G571" s="3">
        <v>58</v>
      </c>
      <c r="H571" s="11">
        <f t="shared" si="113"/>
        <v>23.233456176894723</v>
      </c>
      <c r="I571" s="2">
        <v>74</v>
      </c>
      <c r="J571" s="3">
        <v>120</v>
      </c>
      <c r="K571" s="3">
        <v>80</v>
      </c>
      <c r="L571" s="10">
        <f t="shared" si="114"/>
        <v>0</v>
      </c>
      <c r="M571" s="10">
        <f t="shared" ca="1" si="115"/>
        <v>2</v>
      </c>
      <c r="N571" s="10">
        <f t="shared" si="116"/>
        <v>0</v>
      </c>
      <c r="O571" s="10">
        <f t="shared" si="117"/>
        <v>3</v>
      </c>
      <c r="P571" s="10">
        <f t="shared" si="118"/>
        <v>0</v>
      </c>
      <c r="Q571" s="10">
        <f t="shared" si="119"/>
        <v>0</v>
      </c>
      <c r="R571" s="10">
        <f t="shared" ca="1" si="120"/>
        <v>5</v>
      </c>
      <c r="S571" s="10" t="str">
        <f t="shared" ca="1" si="121"/>
        <v>Không cần</v>
      </c>
      <c r="T571" s="10" t="str">
        <f t="shared" ca="1" si="122"/>
        <v>Không</v>
      </c>
      <c r="U571" s="10" t="str">
        <f t="shared" si="123"/>
        <v>Không</v>
      </c>
      <c r="V571" s="2" t="s">
        <v>402</v>
      </c>
      <c r="W571" s="4">
        <v>46142</v>
      </c>
      <c r="X571" s="8" t="str">
        <f t="shared" si="124"/>
        <v>Tháng 4</v>
      </c>
      <c r="Y571" s="8" t="str">
        <f t="shared" si="125"/>
        <v>Ấp An Trạch Đông</v>
      </c>
    </row>
    <row r="572" spans="1:25" x14ac:dyDescent="0.25">
      <c r="A572" s="1" t="s">
        <v>803</v>
      </c>
      <c r="B572" s="2" t="s">
        <v>23</v>
      </c>
      <c r="C572" s="2" t="s">
        <v>87</v>
      </c>
      <c r="D572" s="10">
        <f t="shared" ca="1" si="112"/>
        <v>49</v>
      </c>
      <c r="E572" s="2" t="s">
        <v>26</v>
      </c>
      <c r="F572" s="3">
        <v>158</v>
      </c>
      <c r="G572" s="3">
        <v>58</v>
      </c>
      <c r="H572" s="11">
        <f t="shared" si="113"/>
        <v>23.233456176894723</v>
      </c>
      <c r="I572" s="2">
        <v>84</v>
      </c>
      <c r="J572" s="3">
        <v>120</v>
      </c>
      <c r="K572" s="3">
        <v>80</v>
      </c>
      <c r="L572" s="10">
        <f t="shared" si="114"/>
        <v>0</v>
      </c>
      <c r="M572" s="10">
        <f t="shared" ca="1" si="115"/>
        <v>1</v>
      </c>
      <c r="N572" s="10">
        <f t="shared" si="116"/>
        <v>0</v>
      </c>
      <c r="O572" s="10">
        <f t="shared" si="117"/>
        <v>3</v>
      </c>
      <c r="P572" s="10">
        <f t="shared" si="118"/>
        <v>2</v>
      </c>
      <c r="Q572" s="10">
        <f t="shared" si="119"/>
        <v>0</v>
      </c>
      <c r="R572" s="10">
        <f t="shared" ca="1" si="120"/>
        <v>6</v>
      </c>
      <c r="S572" s="10" t="str">
        <f t="shared" ca="1" si="121"/>
        <v>Có</v>
      </c>
      <c r="T572" s="10" t="str">
        <f t="shared" ca="1" si="122"/>
        <v>Có</v>
      </c>
      <c r="U572" s="10" t="str">
        <f t="shared" si="123"/>
        <v>Không</v>
      </c>
      <c r="V572" s="2" t="s">
        <v>164</v>
      </c>
      <c r="W572" s="4">
        <v>46142</v>
      </c>
      <c r="X572" s="8" t="str">
        <f t="shared" si="124"/>
        <v>Tháng 4</v>
      </c>
      <c r="Y572" s="8" t="str">
        <f t="shared" si="125"/>
        <v>ấp Biển Đông B</v>
      </c>
    </row>
    <row r="573" spans="1:25" x14ac:dyDescent="0.25">
      <c r="A573" s="1" t="s">
        <v>804</v>
      </c>
      <c r="B573" s="2" t="s">
        <v>23</v>
      </c>
      <c r="C573" s="2" t="s">
        <v>163</v>
      </c>
      <c r="D573" s="10">
        <f t="shared" ca="1" si="112"/>
        <v>46</v>
      </c>
      <c r="E573" s="2" t="s">
        <v>26</v>
      </c>
      <c r="F573" s="3">
        <v>158</v>
      </c>
      <c r="G573" s="3">
        <v>58</v>
      </c>
      <c r="H573" s="11">
        <f t="shared" si="113"/>
        <v>23.233456176894723</v>
      </c>
      <c r="I573" s="2">
        <v>80</v>
      </c>
      <c r="J573" s="3">
        <v>120</v>
      </c>
      <c r="K573" s="3">
        <v>80</v>
      </c>
      <c r="L573" s="10">
        <f t="shared" si="114"/>
        <v>0</v>
      </c>
      <c r="M573" s="10">
        <f t="shared" ca="1" si="115"/>
        <v>1</v>
      </c>
      <c r="N573" s="10">
        <f t="shared" si="116"/>
        <v>0</v>
      </c>
      <c r="O573" s="10">
        <f t="shared" si="117"/>
        <v>3</v>
      </c>
      <c r="P573" s="10">
        <f t="shared" si="118"/>
        <v>2</v>
      </c>
      <c r="Q573" s="10">
        <f t="shared" si="119"/>
        <v>0</v>
      </c>
      <c r="R573" s="10">
        <f t="shared" ca="1" si="120"/>
        <v>6</v>
      </c>
      <c r="S573" s="10" t="str">
        <f t="shared" ca="1" si="121"/>
        <v>Có</v>
      </c>
      <c r="T573" s="10" t="str">
        <f t="shared" ca="1" si="122"/>
        <v>Có</v>
      </c>
      <c r="U573" s="10" t="str">
        <f t="shared" si="123"/>
        <v>Không</v>
      </c>
      <c r="V573" s="2" t="s">
        <v>164</v>
      </c>
      <c r="W573" s="4">
        <v>46142</v>
      </c>
      <c r="X573" s="8" t="str">
        <f t="shared" si="124"/>
        <v>Tháng 4</v>
      </c>
      <c r="Y573" s="8" t="str">
        <f t="shared" si="125"/>
        <v>ấp Biển Đông B</v>
      </c>
    </row>
    <row r="574" spans="1:25" x14ac:dyDescent="0.25">
      <c r="A574" s="1" t="s">
        <v>805</v>
      </c>
      <c r="B574" s="2" t="s">
        <v>30</v>
      </c>
      <c r="C574" s="2" t="s">
        <v>273</v>
      </c>
      <c r="D574" s="10">
        <f t="shared" ca="1" si="112"/>
        <v>47</v>
      </c>
      <c r="E574" s="2" t="s">
        <v>26</v>
      </c>
      <c r="F574" s="3">
        <v>168</v>
      </c>
      <c r="G574" s="3">
        <v>67</v>
      </c>
      <c r="H574" s="11">
        <f t="shared" si="113"/>
        <v>23.738662131519277</v>
      </c>
      <c r="I574" s="2">
        <v>84</v>
      </c>
      <c r="J574" s="3">
        <v>120</v>
      </c>
      <c r="K574" s="3">
        <v>80</v>
      </c>
      <c r="L574" s="10">
        <f t="shared" si="114"/>
        <v>2</v>
      </c>
      <c r="M574" s="10">
        <f t="shared" ca="1" si="115"/>
        <v>1</v>
      </c>
      <c r="N574" s="10">
        <f t="shared" si="116"/>
        <v>0</v>
      </c>
      <c r="O574" s="10">
        <f t="shared" si="117"/>
        <v>3</v>
      </c>
      <c r="P574" s="10">
        <f t="shared" si="118"/>
        <v>0</v>
      </c>
      <c r="Q574" s="10">
        <f t="shared" si="119"/>
        <v>0</v>
      </c>
      <c r="R574" s="10">
        <f t="shared" ca="1" si="120"/>
        <v>6</v>
      </c>
      <c r="S574" s="10" t="str">
        <f t="shared" ca="1" si="121"/>
        <v>Có</v>
      </c>
      <c r="T574" s="10" t="str">
        <f t="shared" ca="1" si="122"/>
        <v>Có</v>
      </c>
      <c r="U574" s="10" t="str">
        <f t="shared" si="123"/>
        <v>Không</v>
      </c>
      <c r="V574" s="2" t="s">
        <v>91</v>
      </c>
      <c r="W574" s="4">
        <v>46053</v>
      </c>
      <c r="X574" s="8" t="str">
        <f t="shared" si="124"/>
        <v>Tháng 1</v>
      </c>
      <c r="Y574" s="8" t="str">
        <f t="shared" si="125"/>
        <v>Ấp Giồng Giữa</v>
      </c>
    </row>
    <row r="575" spans="1:25" x14ac:dyDescent="0.25">
      <c r="A575" s="1" t="s">
        <v>806</v>
      </c>
      <c r="B575" s="2" t="s">
        <v>23</v>
      </c>
      <c r="C575" s="2" t="s">
        <v>110</v>
      </c>
      <c r="D575" s="10">
        <f t="shared" ca="1" si="112"/>
        <v>62</v>
      </c>
      <c r="E575" s="2" t="s">
        <v>26</v>
      </c>
      <c r="F575" s="3">
        <v>158</v>
      </c>
      <c r="G575" s="3">
        <v>58</v>
      </c>
      <c r="H575" s="11">
        <f t="shared" si="113"/>
        <v>23.233456176894723</v>
      </c>
      <c r="I575" s="2">
        <v>77</v>
      </c>
      <c r="J575" s="3">
        <v>130</v>
      </c>
      <c r="K575" s="3">
        <v>80</v>
      </c>
      <c r="L575" s="10">
        <f t="shared" si="114"/>
        <v>0</v>
      </c>
      <c r="M575" s="10">
        <f t="shared" ca="1" si="115"/>
        <v>2</v>
      </c>
      <c r="N575" s="10">
        <f t="shared" si="116"/>
        <v>0</v>
      </c>
      <c r="O575" s="10">
        <f t="shared" si="117"/>
        <v>3</v>
      </c>
      <c r="P575" s="10">
        <f t="shared" si="118"/>
        <v>0</v>
      </c>
      <c r="Q575" s="10">
        <f t="shared" si="119"/>
        <v>0</v>
      </c>
      <c r="R575" s="10">
        <f t="shared" ca="1" si="120"/>
        <v>5</v>
      </c>
      <c r="S575" s="10" t="str">
        <f t="shared" ca="1" si="121"/>
        <v>Không cần</v>
      </c>
      <c r="T575" s="10" t="str">
        <f t="shared" ca="1" si="122"/>
        <v>Không</v>
      </c>
      <c r="U575" s="10" t="str">
        <f t="shared" si="123"/>
        <v>Không</v>
      </c>
      <c r="V575" s="2" t="s">
        <v>140</v>
      </c>
      <c r="W575" s="4">
        <v>46142</v>
      </c>
      <c r="X575" s="8" t="str">
        <f t="shared" si="124"/>
        <v>Tháng 4</v>
      </c>
      <c r="Y575" s="8" t="str">
        <f t="shared" si="125"/>
        <v>Biển Tây A</v>
      </c>
    </row>
    <row r="576" spans="1:25" x14ac:dyDescent="0.25">
      <c r="A576" s="1" t="s">
        <v>807</v>
      </c>
      <c r="B576" s="2" t="s">
        <v>23</v>
      </c>
      <c r="C576" s="2" t="s">
        <v>64</v>
      </c>
      <c r="D576" s="10">
        <f t="shared" ca="1" si="112"/>
        <v>42</v>
      </c>
      <c r="E576" s="2" t="s">
        <v>26</v>
      </c>
      <c r="F576" s="3">
        <v>160</v>
      </c>
      <c r="G576" s="3">
        <v>70</v>
      </c>
      <c r="H576" s="11">
        <f t="shared" si="113"/>
        <v>27.343749999999996</v>
      </c>
      <c r="I576" s="2">
        <v>93</v>
      </c>
      <c r="J576" s="3">
        <v>120</v>
      </c>
      <c r="K576" s="3">
        <v>80</v>
      </c>
      <c r="L576" s="10">
        <f t="shared" si="114"/>
        <v>0</v>
      </c>
      <c r="M576" s="10">
        <f t="shared" ca="1" si="115"/>
        <v>0</v>
      </c>
      <c r="N576" s="10">
        <f t="shared" si="116"/>
        <v>0</v>
      </c>
      <c r="O576" s="10">
        <f t="shared" si="117"/>
        <v>3</v>
      </c>
      <c r="P576" s="10">
        <f t="shared" si="118"/>
        <v>2</v>
      </c>
      <c r="Q576" s="10">
        <f t="shared" si="119"/>
        <v>0</v>
      </c>
      <c r="R576" s="10">
        <f t="shared" ca="1" si="120"/>
        <v>5</v>
      </c>
      <c r="S576" s="10" t="str">
        <f t="shared" ca="1" si="121"/>
        <v>Không cần</v>
      </c>
      <c r="T576" s="10" t="str">
        <f t="shared" ca="1" si="122"/>
        <v>Không</v>
      </c>
      <c r="U576" s="10" t="str">
        <f t="shared" si="123"/>
        <v>Không</v>
      </c>
      <c r="V576" s="2" t="s">
        <v>51</v>
      </c>
      <c r="W576" s="4">
        <v>46053</v>
      </c>
      <c r="X576" s="8" t="str">
        <f t="shared" si="124"/>
        <v>Tháng 1</v>
      </c>
      <c r="Y576" s="8" t="str">
        <f t="shared" si="125"/>
        <v>Phường Hiệp Thành</v>
      </c>
    </row>
    <row r="577" spans="1:25" x14ac:dyDescent="0.25">
      <c r="A577" s="1" t="s">
        <v>808</v>
      </c>
      <c r="B577" s="2" t="s">
        <v>30</v>
      </c>
      <c r="C577" s="2" t="s">
        <v>40</v>
      </c>
      <c r="D577" s="10">
        <f t="shared" ca="1" si="112"/>
        <v>70</v>
      </c>
      <c r="E577" s="2" t="s">
        <v>26</v>
      </c>
      <c r="F577" s="3">
        <v>169</v>
      </c>
      <c r="G577" s="3">
        <v>68</v>
      </c>
      <c r="H577" s="11">
        <f t="shared" si="113"/>
        <v>23.808690171912751</v>
      </c>
      <c r="I577" s="2">
        <v>78</v>
      </c>
      <c r="J577" s="3">
        <v>120</v>
      </c>
      <c r="K577" s="3">
        <v>80</v>
      </c>
      <c r="L577" s="10">
        <f t="shared" si="114"/>
        <v>2</v>
      </c>
      <c r="M577" s="10">
        <f t="shared" ca="1" si="115"/>
        <v>2</v>
      </c>
      <c r="N577" s="10">
        <f t="shared" si="116"/>
        <v>0</v>
      </c>
      <c r="O577" s="10">
        <f t="shared" si="117"/>
        <v>3</v>
      </c>
      <c r="P577" s="10">
        <f t="shared" si="118"/>
        <v>0</v>
      </c>
      <c r="Q577" s="10">
        <f t="shared" si="119"/>
        <v>0</v>
      </c>
      <c r="R577" s="10">
        <f t="shared" ca="1" si="120"/>
        <v>7</v>
      </c>
      <c r="S577" s="10" t="str">
        <f t="shared" ca="1" si="121"/>
        <v>Có</v>
      </c>
      <c r="T577" s="10" t="str">
        <f t="shared" ca="1" si="122"/>
        <v>Có</v>
      </c>
      <c r="U577" s="10" t="str">
        <f t="shared" si="123"/>
        <v>Không</v>
      </c>
      <c r="V577" s="2" t="s">
        <v>72</v>
      </c>
      <c r="W577" s="4">
        <v>46142</v>
      </c>
      <c r="X577" s="8" t="str">
        <f t="shared" si="124"/>
        <v>Tháng 4</v>
      </c>
      <c r="Y577" s="8" t="str">
        <f t="shared" si="125"/>
        <v>Ấp Giồng Giữa A</v>
      </c>
    </row>
    <row r="578" spans="1:25" x14ac:dyDescent="0.25">
      <c r="A578" s="1" t="s">
        <v>809</v>
      </c>
      <c r="B578" s="2" t="s">
        <v>23</v>
      </c>
      <c r="C578" s="2" t="s">
        <v>67</v>
      </c>
      <c r="D578" s="10">
        <f t="shared" ca="1" si="112"/>
        <v>48</v>
      </c>
      <c r="E578" s="2" t="s">
        <v>26</v>
      </c>
      <c r="F578" s="3">
        <v>158</v>
      </c>
      <c r="G578" s="3">
        <v>58</v>
      </c>
      <c r="H578" s="11">
        <f t="shared" si="113"/>
        <v>23.233456176894723</v>
      </c>
      <c r="I578" s="2">
        <v>74</v>
      </c>
      <c r="J578" s="3">
        <v>120</v>
      </c>
      <c r="K578" s="3">
        <v>80</v>
      </c>
      <c r="L578" s="10">
        <f t="shared" si="114"/>
        <v>0</v>
      </c>
      <c r="M578" s="10">
        <f t="shared" ca="1" si="115"/>
        <v>1</v>
      </c>
      <c r="N578" s="10">
        <f t="shared" si="116"/>
        <v>0</v>
      </c>
      <c r="O578" s="10">
        <f t="shared" si="117"/>
        <v>3</v>
      </c>
      <c r="P578" s="10">
        <f t="shared" si="118"/>
        <v>0</v>
      </c>
      <c r="Q578" s="10">
        <f t="shared" si="119"/>
        <v>0</v>
      </c>
      <c r="R578" s="10">
        <f t="shared" ca="1" si="120"/>
        <v>4</v>
      </c>
      <c r="S578" s="10" t="str">
        <f t="shared" ca="1" si="121"/>
        <v>Không cần</v>
      </c>
      <c r="T578" s="10" t="str">
        <f t="shared" ca="1" si="122"/>
        <v>Không</v>
      </c>
      <c r="U578" s="10" t="str">
        <f t="shared" si="123"/>
        <v>Không</v>
      </c>
      <c r="V578" s="2" t="s">
        <v>51</v>
      </c>
      <c r="W578" s="4">
        <v>46053</v>
      </c>
      <c r="X578" s="8" t="str">
        <f t="shared" si="124"/>
        <v>Tháng 1</v>
      </c>
      <c r="Y578" s="8" t="str">
        <f t="shared" si="125"/>
        <v>Phường Hiệp Thành</v>
      </c>
    </row>
    <row r="579" spans="1:25" x14ac:dyDescent="0.25">
      <c r="A579" s="1" t="s">
        <v>810</v>
      </c>
      <c r="B579" s="2" t="s">
        <v>23</v>
      </c>
      <c r="C579" s="2" t="s">
        <v>62</v>
      </c>
      <c r="D579" s="10">
        <f t="shared" ref="D579:D642" ca="1" si="126">DATEDIF(C579,TODAY(),"Y")</f>
        <v>64</v>
      </c>
      <c r="E579" s="2" t="s">
        <v>26</v>
      </c>
      <c r="F579" s="3">
        <v>158</v>
      </c>
      <c r="G579" s="3">
        <v>58</v>
      </c>
      <c r="H579" s="11">
        <f t="shared" ref="H579:H642" si="127">G579/((F579/100)*(F579/100))</f>
        <v>23.233456176894723</v>
      </c>
      <c r="I579" s="2">
        <v>65</v>
      </c>
      <c r="J579" s="3">
        <v>130</v>
      </c>
      <c r="K579" s="3">
        <v>80</v>
      </c>
      <c r="L579" s="10">
        <f t="shared" ref="L579:L642" si="128">IF(B579="Nữ",0,2)</f>
        <v>0</v>
      </c>
      <c r="M579" s="10">
        <f t="shared" ref="M579:M642" ca="1" si="129">IF(D579&lt;45,0,IF(D579&lt;=49,1,2))</f>
        <v>2</v>
      </c>
      <c r="N579" s="10">
        <f t="shared" ref="N579:N642" si="130">IF(E579="Có",4,0)</f>
        <v>0</v>
      </c>
      <c r="O579" s="10">
        <f t="shared" ref="O579:O642" si="131">IF(H579&lt;23,0,IF(H579&lt;27.5,3,5))</f>
        <v>3</v>
      </c>
      <c r="P579" s="10">
        <f t="shared" ref="P579:P642" si="132">IF(OR(AND(B579="Nam",I579&gt;=90),AND(B579="Nữ",I579&gt;=80)),2,0)</f>
        <v>0</v>
      </c>
      <c r="Q579" s="10">
        <f t="shared" ref="Q579:Q642" si="133">IF(OR(J579&gt;=140,K579&gt;=90),2,0)</f>
        <v>0</v>
      </c>
      <c r="R579" s="10">
        <f t="shared" ref="R579:R642" ca="1" si="134">SUM(L579:Q579)</f>
        <v>5</v>
      </c>
      <c r="S579" s="10" t="str">
        <f t="shared" ref="S579:S642" ca="1" si="135">IF((R579)&gt;=6,"Có","Không cần")</f>
        <v>Không cần</v>
      </c>
      <c r="T579" s="10" t="str">
        <f t="shared" ref="T579:T642" ca="1" si="136">IF((R579)&gt;=6,"Có","Không")</f>
        <v>Không</v>
      </c>
      <c r="U579" s="10" t="str">
        <f t="shared" ref="U579:U642" si="137">IF(OR(J579&gt;=140,K579&gt;=90),"Có","Không")</f>
        <v>Không</v>
      </c>
      <c r="V579" s="2" t="s">
        <v>51</v>
      </c>
      <c r="W579" s="4">
        <v>46142</v>
      </c>
      <c r="X579" s="8" t="str">
        <f t="shared" ref="X579:X642" si="138">"Tháng "&amp;MONTH(W579)</f>
        <v>Tháng 4</v>
      </c>
      <c r="Y579" s="8" t="str">
        <f t="shared" ref="Y579:Y642" si="139">LEFT(V579,FIND(",",V579)-1)</f>
        <v>Phường Hiệp Thành</v>
      </c>
    </row>
    <row r="580" spans="1:25" x14ac:dyDescent="0.25">
      <c r="A580" s="1" t="s">
        <v>811</v>
      </c>
      <c r="B580" s="2" t="s">
        <v>23</v>
      </c>
      <c r="C580" s="2" t="s">
        <v>163</v>
      </c>
      <c r="D580" s="10">
        <f t="shared" ca="1" si="126"/>
        <v>46</v>
      </c>
      <c r="E580" s="2" t="s">
        <v>25</v>
      </c>
      <c r="F580" s="3">
        <v>158</v>
      </c>
      <c r="G580" s="3">
        <v>58</v>
      </c>
      <c r="H580" s="11">
        <f t="shared" si="127"/>
        <v>23.233456176894723</v>
      </c>
      <c r="I580" s="2">
        <v>82</v>
      </c>
      <c r="J580" s="3">
        <v>120</v>
      </c>
      <c r="K580" s="3">
        <v>80</v>
      </c>
      <c r="L580" s="10">
        <f t="shared" si="128"/>
        <v>0</v>
      </c>
      <c r="M580" s="10">
        <f t="shared" ca="1" si="129"/>
        <v>1</v>
      </c>
      <c r="N580" s="10">
        <f t="shared" si="130"/>
        <v>4</v>
      </c>
      <c r="O580" s="10">
        <f t="shared" si="131"/>
        <v>3</v>
      </c>
      <c r="P580" s="10">
        <f t="shared" si="132"/>
        <v>2</v>
      </c>
      <c r="Q580" s="10">
        <f t="shared" si="133"/>
        <v>0</v>
      </c>
      <c r="R580" s="10">
        <f t="shared" ca="1" si="134"/>
        <v>10</v>
      </c>
      <c r="S580" s="10" t="str">
        <f t="shared" ca="1" si="135"/>
        <v>Có</v>
      </c>
      <c r="T580" s="10" t="str">
        <f t="shared" ca="1" si="136"/>
        <v>Có</v>
      </c>
      <c r="U580" s="10" t="str">
        <f t="shared" si="137"/>
        <v>Không</v>
      </c>
      <c r="V580" s="2" t="s">
        <v>365</v>
      </c>
      <c r="W580" s="4">
        <v>46142</v>
      </c>
      <c r="X580" s="8" t="str">
        <f t="shared" si="138"/>
        <v>Tháng 4</v>
      </c>
      <c r="Y580" s="8" t="str">
        <f t="shared" si="139"/>
        <v>Phường Bạc Liêu</v>
      </c>
    </row>
    <row r="581" spans="1:25" x14ac:dyDescent="0.25">
      <c r="A581" s="1" t="s">
        <v>812</v>
      </c>
      <c r="B581" s="2" t="s">
        <v>23</v>
      </c>
      <c r="C581" s="2" t="s">
        <v>256</v>
      </c>
      <c r="D581" s="10">
        <f t="shared" ca="1" si="126"/>
        <v>41</v>
      </c>
      <c r="E581" s="2" t="s">
        <v>26</v>
      </c>
      <c r="F581" s="3">
        <v>158</v>
      </c>
      <c r="G581" s="3">
        <v>58</v>
      </c>
      <c r="H581" s="11">
        <f t="shared" si="127"/>
        <v>23.233456176894723</v>
      </c>
      <c r="I581" s="2">
        <v>85</v>
      </c>
      <c r="J581" s="3">
        <v>120</v>
      </c>
      <c r="K581" s="3">
        <v>80</v>
      </c>
      <c r="L581" s="10">
        <f t="shared" si="128"/>
        <v>0</v>
      </c>
      <c r="M581" s="10">
        <f t="shared" ca="1" si="129"/>
        <v>0</v>
      </c>
      <c r="N581" s="10">
        <f t="shared" si="130"/>
        <v>0</v>
      </c>
      <c r="O581" s="10">
        <f t="shared" si="131"/>
        <v>3</v>
      </c>
      <c r="P581" s="10">
        <f t="shared" si="132"/>
        <v>2</v>
      </c>
      <c r="Q581" s="10">
        <f t="shared" si="133"/>
        <v>0</v>
      </c>
      <c r="R581" s="10">
        <f t="shared" ca="1" si="134"/>
        <v>5</v>
      </c>
      <c r="S581" s="10" t="str">
        <f t="shared" ca="1" si="135"/>
        <v>Không cần</v>
      </c>
      <c r="T581" s="10" t="str">
        <f t="shared" ca="1" si="136"/>
        <v>Không</v>
      </c>
      <c r="U581" s="10" t="str">
        <f t="shared" si="137"/>
        <v>Không</v>
      </c>
      <c r="V581" s="2" t="s">
        <v>51</v>
      </c>
      <c r="W581" s="4">
        <v>46142</v>
      </c>
      <c r="X581" s="8" t="str">
        <f t="shared" si="138"/>
        <v>Tháng 4</v>
      </c>
      <c r="Y581" s="8" t="str">
        <f t="shared" si="139"/>
        <v>Phường Hiệp Thành</v>
      </c>
    </row>
    <row r="582" spans="1:25" x14ac:dyDescent="0.25">
      <c r="A582" s="1" t="s">
        <v>813</v>
      </c>
      <c r="B582" s="2" t="s">
        <v>30</v>
      </c>
      <c r="C582" s="2" t="s">
        <v>163</v>
      </c>
      <c r="D582" s="10">
        <f t="shared" ca="1" si="126"/>
        <v>46</v>
      </c>
      <c r="E582" s="2" t="s">
        <v>25</v>
      </c>
      <c r="F582" s="3">
        <v>170</v>
      </c>
      <c r="G582" s="3">
        <v>52</v>
      </c>
      <c r="H582" s="11">
        <f t="shared" si="127"/>
        <v>17.993079584775089</v>
      </c>
      <c r="I582" s="2">
        <v>72</v>
      </c>
      <c r="J582" s="3">
        <v>120</v>
      </c>
      <c r="K582" s="3">
        <v>80</v>
      </c>
      <c r="L582" s="10">
        <f t="shared" si="128"/>
        <v>2</v>
      </c>
      <c r="M582" s="10">
        <f t="shared" ca="1" si="129"/>
        <v>1</v>
      </c>
      <c r="N582" s="10">
        <f t="shared" si="130"/>
        <v>4</v>
      </c>
      <c r="O582" s="10">
        <f t="shared" si="131"/>
        <v>0</v>
      </c>
      <c r="P582" s="10">
        <f t="shared" si="132"/>
        <v>0</v>
      </c>
      <c r="Q582" s="10">
        <f t="shared" si="133"/>
        <v>0</v>
      </c>
      <c r="R582" s="10">
        <f t="shared" ca="1" si="134"/>
        <v>7</v>
      </c>
      <c r="S582" s="10" t="str">
        <f t="shared" ca="1" si="135"/>
        <v>Có</v>
      </c>
      <c r="T582" s="10" t="str">
        <f t="shared" ca="1" si="136"/>
        <v>Có</v>
      </c>
      <c r="U582" s="10" t="str">
        <f t="shared" si="137"/>
        <v>Không</v>
      </c>
      <c r="V582" s="2" t="s">
        <v>122</v>
      </c>
      <c r="W582" s="4">
        <v>46142</v>
      </c>
      <c r="X582" s="8" t="str">
        <f t="shared" si="138"/>
        <v>Tháng 4</v>
      </c>
      <c r="Y582" s="8" t="str">
        <f t="shared" si="139"/>
        <v>Giồng Nhãn</v>
      </c>
    </row>
    <row r="583" spans="1:25" x14ac:dyDescent="0.25">
      <c r="A583" s="1" t="s">
        <v>814</v>
      </c>
      <c r="B583" s="2" t="s">
        <v>30</v>
      </c>
      <c r="C583" s="2" t="s">
        <v>373</v>
      </c>
      <c r="D583" s="10">
        <f t="shared" ca="1" si="126"/>
        <v>61</v>
      </c>
      <c r="E583" s="2" t="s">
        <v>25</v>
      </c>
      <c r="F583" s="3">
        <v>169</v>
      </c>
      <c r="G583" s="3">
        <v>69</v>
      </c>
      <c r="H583" s="11">
        <f t="shared" si="127"/>
        <v>24.158817968558527</v>
      </c>
      <c r="I583" s="2">
        <v>76</v>
      </c>
      <c r="J583" s="3">
        <v>120</v>
      </c>
      <c r="K583" s="3">
        <v>80</v>
      </c>
      <c r="L583" s="10">
        <f t="shared" si="128"/>
        <v>2</v>
      </c>
      <c r="M583" s="10">
        <f t="shared" ca="1" si="129"/>
        <v>2</v>
      </c>
      <c r="N583" s="10">
        <f t="shared" si="130"/>
        <v>4</v>
      </c>
      <c r="O583" s="10">
        <f t="shared" si="131"/>
        <v>3</v>
      </c>
      <c r="P583" s="10">
        <f t="shared" si="132"/>
        <v>0</v>
      </c>
      <c r="Q583" s="10">
        <f t="shared" si="133"/>
        <v>0</v>
      </c>
      <c r="R583" s="10">
        <f t="shared" ca="1" si="134"/>
        <v>11</v>
      </c>
      <c r="S583" s="10" t="str">
        <f t="shared" ca="1" si="135"/>
        <v>Có</v>
      </c>
      <c r="T583" s="10" t="str">
        <f t="shared" ca="1" si="136"/>
        <v>Có</v>
      </c>
      <c r="U583" s="10" t="str">
        <f t="shared" si="137"/>
        <v>Không</v>
      </c>
      <c r="V583" s="2" t="s">
        <v>815</v>
      </c>
      <c r="W583" s="4">
        <v>46053</v>
      </c>
      <c r="X583" s="8" t="str">
        <f t="shared" si="138"/>
        <v>Tháng 1</v>
      </c>
      <c r="Y583" s="8" t="str">
        <f t="shared" si="139"/>
        <v>Biển Đông B</v>
      </c>
    </row>
    <row r="584" spans="1:25" x14ac:dyDescent="0.25">
      <c r="A584" s="1" t="s">
        <v>816</v>
      </c>
      <c r="B584" s="2" t="s">
        <v>23</v>
      </c>
      <c r="C584" s="2" t="s">
        <v>146</v>
      </c>
      <c r="D584" s="10">
        <f t="shared" ca="1" si="126"/>
        <v>52</v>
      </c>
      <c r="E584" s="2" t="s">
        <v>26</v>
      </c>
      <c r="F584" s="3">
        <v>158</v>
      </c>
      <c r="G584" s="3">
        <v>58</v>
      </c>
      <c r="H584" s="11">
        <f t="shared" si="127"/>
        <v>23.233456176894723</v>
      </c>
      <c r="I584" s="2">
        <v>94</v>
      </c>
      <c r="J584" s="3">
        <v>120</v>
      </c>
      <c r="K584" s="3">
        <v>80</v>
      </c>
      <c r="L584" s="10">
        <f t="shared" si="128"/>
        <v>0</v>
      </c>
      <c r="M584" s="10">
        <f t="shared" ca="1" si="129"/>
        <v>2</v>
      </c>
      <c r="N584" s="10">
        <f t="shared" si="130"/>
        <v>0</v>
      </c>
      <c r="O584" s="10">
        <f t="shared" si="131"/>
        <v>3</v>
      </c>
      <c r="P584" s="10">
        <f t="shared" si="132"/>
        <v>2</v>
      </c>
      <c r="Q584" s="10">
        <f t="shared" si="133"/>
        <v>0</v>
      </c>
      <c r="R584" s="10">
        <f t="shared" ca="1" si="134"/>
        <v>7</v>
      </c>
      <c r="S584" s="10" t="str">
        <f t="shared" ca="1" si="135"/>
        <v>Có</v>
      </c>
      <c r="T584" s="10" t="str">
        <f t="shared" ca="1" si="136"/>
        <v>Có</v>
      </c>
      <c r="U584" s="10" t="str">
        <f t="shared" si="137"/>
        <v>Không</v>
      </c>
      <c r="V584" s="2" t="s">
        <v>381</v>
      </c>
      <c r="W584" s="4">
        <v>46053</v>
      </c>
      <c r="X584" s="8" t="str">
        <f t="shared" si="138"/>
        <v>Tháng 1</v>
      </c>
      <c r="Y584" s="8" t="str">
        <f t="shared" si="139"/>
        <v>Ấp Biển Đông B</v>
      </c>
    </row>
    <row r="585" spans="1:25" x14ac:dyDescent="0.25">
      <c r="A585" s="1" t="s">
        <v>817</v>
      </c>
      <c r="B585" s="2" t="s">
        <v>30</v>
      </c>
      <c r="C585" s="2" t="s">
        <v>268</v>
      </c>
      <c r="D585" s="10">
        <f t="shared" ca="1" si="126"/>
        <v>44</v>
      </c>
      <c r="E585" s="2" t="s">
        <v>26</v>
      </c>
      <c r="F585" s="3">
        <v>169</v>
      </c>
      <c r="G585" s="3">
        <v>69</v>
      </c>
      <c r="H585" s="11">
        <f t="shared" si="127"/>
        <v>24.158817968558527</v>
      </c>
      <c r="I585" s="2">
        <v>66</v>
      </c>
      <c r="J585" s="3">
        <v>140</v>
      </c>
      <c r="K585" s="3">
        <v>80</v>
      </c>
      <c r="L585" s="10">
        <f t="shared" si="128"/>
        <v>2</v>
      </c>
      <c r="M585" s="10">
        <f t="shared" ca="1" si="129"/>
        <v>0</v>
      </c>
      <c r="N585" s="10">
        <f t="shared" si="130"/>
        <v>0</v>
      </c>
      <c r="O585" s="10">
        <f t="shared" si="131"/>
        <v>3</v>
      </c>
      <c r="P585" s="10">
        <f t="shared" si="132"/>
        <v>0</v>
      </c>
      <c r="Q585" s="10">
        <f t="shared" si="133"/>
        <v>2</v>
      </c>
      <c r="R585" s="10">
        <f t="shared" ca="1" si="134"/>
        <v>7</v>
      </c>
      <c r="S585" s="10" t="str">
        <f t="shared" ca="1" si="135"/>
        <v>Có</v>
      </c>
      <c r="T585" s="10" t="str">
        <f t="shared" ca="1" si="136"/>
        <v>Có</v>
      </c>
      <c r="U585" s="10" t="str">
        <f t="shared" si="137"/>
        <v>Có</v>
      </c>
      <c r="V585" s="2" t="s">
        <v>818</v>
      </c>
      <c r="W585" s="4">
        <v>46053</v>
      </c>
      <c r="X585" s="8" t="str">
        <f t="shared" si="138"/>
        <v>Tháng 1</v>
      </c>
      <c r="Y585" s="8" t="str">
        <f t="shared" si="139"/>
        <v>ấp Biển đông A</v>
      </c>
    </row>
    <row r="586" spans="1:25" x14ac:dyDescent="0.25">
      <c r="A586" s="1" t="s">
        <v>819</v>
      </c>
      <c r="B586" s="2" t="s">
        <v>30</v>
      </c>
      <c r="C586" s="2" t="s">
        <v>90</v>
      </c>
      <c r="D586" s="10">
        <f t="shared" ca="1" si="126"/>
        <v>54</v>
      </c>
      <c r="E586" s="2" t="s">
        <v>26</v>
      </c>
      <c r="F586" s="3">
        <v>169</v>
      </c>
      <c r="G586" s="3">
        <v>69</v>
      </c>
      <c r="H586" s="11">
        <f t="shared" si="127"/>
        <v>24.158817968558527</v>
      </c>
      <c r="I586" s="2">
        <v>94</v>
      </c>
      <c r="J586" s="3">
        <v>140</v>
      </c>
      <c r="K586" s="3">
        <v>80</v>
      </c>
      <c r="L586" s="10">
        <f t="shared" si="128"/>
        <v>2</v>
      </c>
      <c r="M586" s="10">
        <f t="shared" ca="1" si="129"/>
        <v>2</v>
      </c>
      <c r="N586" s="10">
        <f t="shared" si="130"/>
        <v>0</v>
      </c>
      <c r="O586" s="10">
        <f t="shared" si="131"/>
        <v>3</v>
      </c>
      <c r="P586" s="10">
        <f t="shared" si="132"/>
        <v>2</v>
      </c>
      <c r="Q586" s="10">
        <f t="shared" si="133"/>
        <v>2</v>
      </c>
      <c r="R586" s="10">
        <f t="shared" ca="1" si="134"/>
        <v>11</v>
      </c>
      <c r="S586" s="10" t="str">
        <f t="shared" ca="1" si="135"/>
        <v>Có</v>
      </c>
      <c r="T586" s="10" t="str">
        <f t="shared" ca="1" si="136"/>
        <v>Có</v>
      </c>
      <c r="U586" s="10" t="str">
        <f t="shared" si="137"/>
        <v>Có</v>
      </c>
      <c r="V586" s="2" t="s">
        <v>308</v>
      </c>
      <c r="W586" s="4">
        <v>46053</v>
      </c>
      <c r="X586" s="8" t="str">
        <f t="shared" si="138"/>
        <v>Tháng 1</v>
      </c>
      <c r="Y586" s="8" t="str">
        <f t="shared" si="139"/>
        <v>ấp Giồng Giữa A</v>
      </c>
    </row>
    <row r="587" spans="1:25" x14ac:dyDescent="0.25">
      <c r="A587" s="1" t="s">
        <v>820</v>
      </c>
      <c r="B587" s="2" t="s">
        <v>23</v>
      </c>
      <c r="C587" s="2" t="s">
        <v>273</v>
      </c>
      <c r="D587" s="10">
        <f t="shared" ca="1" si="126"/>
        <v>47</v>
      </c>
      <c r="E587" s="2" t="s">
        <v>26</v>
      </c>
      <c r="F587" s="3">
        <v>158</v>
      </c>
      <c r="G587" s="3">
        <v>58</v>
      </c>
      <c r="H587" s="11">
        <f t="shared" si="127"/>
        <v>23.233456176894723</v>
      </c>
      <c r="I587" s="2">
        <v>89</v>
      </c>
      <c r="J587" s="3">
        <v>150</v>
      </c>
      <c r="K587" s="3">
        <v>80</v>
      </c>
      <c r="L587" s="10">
        <f t="shared" si="128"/>
        <v>0</v>
      </c>
      <c r="M587" s="10">
        <f t="shared" ca="1" si="129"/>
        <v>1</v>
      </c>
      <c r="N587" s="10">
        <f t="shared" si="130"/>
        <v>0</v>
      </c>
      <c r="O587" s="10">
        <f t="shared" si="131"/>
        <v>3</v>
      </c>
      <c r="P587" s="10">
        <f t="shared" si="132"/>
        <v>2</v>
      </c>
      <c r="Q587" s="10">
        <f t="shared" si="133"/>
        <v>2</v>
      </c>
      <c r="R587" s="10">
        <f t="shared" ca="1" si="134"/>
        <v>8</v>
      </c>
      <c r="S587" s="10" t="str">
        <f t="shared" ca="1" si="135"/>
        <v>Có</v>
      </c>
      <c r="T587" s="10" t="str">
        <f t="shared" ca="1" si="136"/>
        <v>Có</v>
      </c>
      <c r="U587" s="10" t="str">
        <f t="shared" si="137"/>
        <v>Có</v>
      </c>
      <c r="V587" s="2" t="s">
        <v>68</v>
      </c>
      <c r="W587" s="4">
        <v>46112</v>
      </c>
      <c r="X587" s="8" t="str">
        <f t="shared" si="138"/>
        <v>Tháng 3</v>
      </c>
      <c r="Y587" s="8" t="str">
        <f t="shared" si="139"/>
        <v>Ấp Biển Tây B</v>
      </c>
    </row>
    <row r="588" spans="1:25" x14ac:dyDescent="0.25">
      <c r="A588" s="1" t="s">
        <v>821</v>
      </c>
      <c r="B588" s="2" t="s">
        <v>30</v>
      </c>
      <c r="C588" s="2" t="s">
        <v>146</v>
      </c>
      <c r="D588" s="10">
        <f t="shared" ca="1" si="126"/>
        <v>52</v>
      </c>
      <c r="E588" s="2" t="s">
        <v>26</v>
      </c>
      <c r="F588" s="3">
        <v>167</v>
      </c>
      <c r="G588" s="3">
        <v>70</v>
      </c>
      <c r="H588" s="11">
        <f t="shared" si="127"/>
        <v>25.099501595611173</v>
      </c>
      <c r="I588" s="2">
        <v>90</v>
      </c>
      <c r="J588" s="3">
        <v>120</v>
      </c>
      <c r="K588" s="3">
        <v>80</v>
      </c>
      <c r="L588" s="10">
        <f t="shared" si="128"/>
        <v>2</v>
      </c>
      <c r="M588" s="10">
        <f t="shared" ca="1" si="129"/>
        <v>2</v>
      </c>
      <c r="N588" s="10">
        <f t="shared" si="130"/>
        <v>0</v>
      </c>
      <c r="O588" s="10">
        <f t="shared" si="131"/>
        <v>3</v>
      </c>
      <c r="P588" s="10">
        <f t="shared" si="132"/>
        <v>2</v>
      </c>
      <c r="Q588" s="10">
        <f t="shared" si="133"/>
        <v>0</v>
      </c>
      <c r="R588" s="10">
        <f t="shared" ca="1" si="134"/>
        <v>9</v>
      </c>
      <c r="S588" s="10" t="str">
        <f t="shared" ca="1" si="135"/>
        <v>Có</v>
      </c>
      <c r="T588" s="10" t="str">
        <f t="shared" ca="1" si="136"/>
        <v>Có</v>
      </c>
      <c r="U588" s="10" t="str">
        <f t="shared" si="137"/>
        <v>Không</v>
      </c>
      <c r="V588" s="2" t="s">
        <v>88</v>
      </c>
      <c r="W588" s="4">
        <v>46142</v>
      </c>
      <c r="X588" s="8" t="str">
        <f t="shared" si="138"/>
        <v>Tháng 4</v>
      </c>
      <c r="Y588" s="8" t="str">
        <f t="shared" si="139"/>
        <v>Giồng Giữa</v>
      </c>
    </row>
    <row r="589" spans="1:25" x14ac:dyDescent="0.25">
      <c r="A589" s="1" t="s">
        <v>822</v>
      </c>
      <c r="B589" s="2" t="s">
        <v>30</v>
      </c>
      <c r="C589" s="2" t="s">
        <v>273</v>
      </c>
      <c r="D589" s="10">
        <f t="shared" ca="1" si="126"/>
        <v>47</v>
      </c>
      <c r="E589" s="2" t="s">
        <v>26</v>
      </c>
      <c r="F589" s="3">
        <v>169</v>
      </c>
      <c r="G589" s="3">
        <v>68</v>
      </c>
      <c r="H589" s="11">
        <f t="shared" si="127"/>
        <v>23.808690171912751</v>
      </c>
      <c r="I589" s="2">
        <v>76</v>
      </c>
      <c r="J589" s="3">
        <v>140</v>
      </c>
      <c r="K589" s="3">
        <v>80</v>
      </c>
      <c r="L589" s="10">
        <f t="shared" si="128"/>
        <v>2</v>
      </c>
      <c r="M589" s="10">
        <f t="shared" ca="1" si="129"/>
        <v>1</v>
      </c>
      <c r="N589" s="10">
        <f t="shared" si="130"/>
        <v>0</v>
      </c>
      <c r="O589" s="10">
        <f t="shared" si="131"/>
        <v>3</v>
      </c>
      <c r="P589" s="10">
        <f t="shared" si="132"/>
        <v>0</v>
      </c>
      <c r="Q589" s="10">
        <f t="shared" si="133"/>
        <v>2</v>
      </c>
      <c r="R589" s="10">
        <f t="shared" ca="1" si="134"/>
        <v>8</v>
      </c>
      <c r="S589" s="10" t="str">
        <f t="shared" ca="1" si="135"/>
        <v>Có</v>
      </c>
      <c r="T589" s="10" t="str">
        <f t="shared" ca="1" si="136"/>
        <v>Có</v>
      </c>
      <c r="U589" s="10" t="str">
        <f t="shared" si="137"/>
        <v>Có</v>
      </c>
      <c r="V589" s="2" t="s">
        <v>51</v>
      </c>
      <c r="W589" s="4">
        <v>46142</v>
      </c>
      <c r="X589" s="8" t="str">
        <f t="shared" si="138"/>
        <v>Tháng 4</v>
      </c>
      <c r="Y589" s="8" t="str">
        <f t="shared" si="139"/>
        <v>Phường Hiệp Thành</v>
      </c>
    </row>
    <row r="590" spans="1:25" x14ac:dyDescent="0.25">
      <c r="A590" s="1" t="s">
        <v>823</v>
      </c>
      <c r="B590" s="2" t="s">
        <v>30</v>
      </c>
      <c r="C590" s="2" t="s">
        <v>256</v>
      </c>
      <c r="D590" s="10">
        <f t="shared" ca="1" si="126"/>
        <v>41</v>
      </c>
      <c r="E590" s="2" t="s">
        <v>26</v>
      </c>
      <c r="F590" s="3">
        <v>169</v>
      </c>
      <c r="G590" s="3">
        <v>68</v>
      </c>
      <c r="H590" s="11">
        <f t="shared" si="127"/>
        <v>23.808690171912751</v>
      </c>
      <c r="I590" s="2">
        <v>79</v>
      </c>
      <c r="J590" s="3">
        <v>140</v>
      </c>
      <c r="K590" s="3">
        <v>80</v>
      </c>
      <c r="L590" s="10">
        <f t="shared" si="128"/>
        <v>2</v>
      </c>
      <c r="M590" s="10">
        <f t="shared" ca="1" si="129"/>
        <v>0</v>
      </c>
      <c r="N590" s="10">
        <f t="shared" si="130"/>
        <v>0</v>
      </c>
      <c r="O590" s="10">
        <f t="shared" si="131"/>
        <v>3</v>
      </c>
      <c r="P590" s="10">
        <f t="shared" si="132"/>
        <v>0</v>
      </c>
      <c r="Q590" s="10">
        <f t="shared" si="133"/>
        <v>2</v>
      </c>
      <c r="R590" s="10">
        <f t="shared" ca="1" si="134"/>
        <v>7</v>
      </c>
      <c r="S590" s="10" t="str">
        <f t="shared" ca="1" si="135"/>
        <v>Có</v>
      </c>
      <c r="T590" s="10" t="str">
        <f t="shared" ca="1" si="136"/>
        <v>Có</v>
      </c>
      <c r="U590" s="10" t="str">
        <f t="shared" si="137"/>
        <v>Có</v>
      </c>
      <c r="V590" s="2" t="s">
        <v>54</v>
      </c>
      <c r="W590" s="4">
        <v>46142</v>
      </c>
      <c r="X590" s="8" t="str">
        <f t="shared" si="138"/>
        <v>Tháng 4</v>
      </c>
      <c r="Y590" s="8" t="str">
        <f t="shared" si="139"/>
        <v>Khóm 3</v>
      </c>
    </row>
    <row r="591" spans="1:25" x14ac:dyDescent="0.25">
      <c r="A591" s="1" t="s">
        <v>824</v>
      </c>
      <c r="B591" s="2" t="s">
        <v>23</v>
      </c>
      <c r="C591" s="2" t="s">
        <v>318</v>
      </c>
      <c r="D591" s="10">
        <f t="shared" ca="1" si="126"/>
        <v>82</v>
      </c>
      <c r="E591" s="2" t="s">
        <v>26</v>
      </c>
      <c r="F591" s="3">
        <v>158</v>
      </c>
      <c r="G591" s="3">
        <v>58</v>
      </c>
      <c r="H591" s="11">
        <f t="shared" si="127"/>
        <v>23.233456176894723</v>
      </c>
      <c r="I591" s="2">
        <v>77</v>
      </c>
      <c r="J591" s="3">
        <v>140</v>
      </c>
      <c r="K591" s="3">
        <v>80</v>
      </c>
      <c r="L591" s="10">
        <f t="shared" si="128"/>
        <v>0</v>
      </c>
      <c r="M591" s="10">
        <f t="shared" ca="1" si="129"/>
        <v>2</v>
      </c>
      <c r="N591" s="10">
        <f t="shared" si="130"/>
        <v>0</v>
      </c>
      <c r="O591" s="10">
        <f t="shared" si="131"/>
        <v>3</v>
      </c>
      <c r="P591" s="10">
        <f t="shared" si="132"/>
        <v>0</v>
      </c>
      <c r="Q591" s="10">
        <f t="shared" si="133"/>
        <v>2</v>
      </c>
      <c r="R591" s="10">
        <f t="shared" ca="1" si="134"/>
        <v>7</v>
      </c>
      <c r="S591" s="10" t="str">
        <f t="shared" ca="1" si="135"/>
        <v>Có</v>
      </c>
      <c r="T591" s="10" t="str">
        <f t="shared" ca="1" si="136"/>
        <v>Có</v>
      </c>
      <c r="U591" s="10" t="str">
        <f t="shared" si="137"/>
        <v>Có</v>
      </c>
      <c r="V591" s="2" t="s">
        <v>51</v>
      </c>
      <c r="W591" s="4">
        <v>46142</v>
      </c>
      <c r="X591" s="8" t="str">
        <f t="shared" si="138"/>
        <v>Tháng 4</v>
      </c>
      <c r="Y591" s="8" t="str">
        <f t="shared" si="139"/>
        <v>Phường Hiệp Thành</v>
      </c>
    </row>
    <row r="592" spans="1:25" x14ac:dyDescent="0.25">
      <c r="A592" s="1" t="s">
        <v>825</v>
      </c>
      <c r="B592" s="2" t="s">
        <v>30</v>
      </c>
      <c r="C592" s="2" t="s">
        <v>42</v>
      </c>
      <c r="D592" s="10">
        <f t="shared" ca="1" si="126"/>
        <v>59</v>
      </c>
      <c r="E592" s="2" t="s">
        <v>26</v>
      </c>
      <c r="F592" s="3">
        <v>165</v>
      </c>
      <c r="G592" s="3">
        <v>64</v>
      </c>
      <c r="H592" s="11">
        <f t="shared" si="127"/>
        <v>23.507805325987146</v>
      </c>
      <c r="I592" s="2">
        <v>75</v>
      </c>
      <c r="J592" s="3">
        <v>150</v>
      </c>
      <c r="K592" s="3">
        <v>90</v>
      </c>
      <c r="L592" s="10">
        <f t="shared" si="128"/>
        <v>2</v>
      </c>
      <c r="M592" s="10">
        <f t="shared" ca="1" si="129"/>
        <v>2</v>
      </c>
      <c r="N592" s="10">
        <f t="shared" si="130"/>
        <v>0</v>
      </c>
      <c r="O592" s="10">
        <f t="shared" si="131"/>
        <v>3</v>
      </c>
      <c r="P592" s="10">
        <f t="shared" si="132"/>
        <v>0</v>
      </c>
      <c r="Q592" s="10">
        <f t="shared" si="133"/>
        <v>2</v>
      </c>
      <c r="R592" s="10">
        <f t="shared" ca="1" si="134"/>
        <v>9</v>
      </c>
      <c r="S592" s="10" t="str">
        <f t="shared" ca="1" si="135"/>
        <v>Có</v>
      </c>
      <c r="T592" s="10" t="str">
        <f t="shared" ca="1" si="136"/>
        <v>Có</v>
      </c>
      <c r="U592" s="10" t="str">
        <f t="shared" si="137"/>
        <v>Có</v>
      </c>
      <c r="V592" s="2" t="s">
        <v>51</v>
      </c>
      <c r="W592" s="4">
        <v>46142</v>
      </c>
      <c r="X592" s="8" t="str">
        <f t="shared" si="138"/>
        <v>Tháng 4</v>
      </c>
      <c r="Y592" s="8" t="str">
        <f t="shared" si="139"/>
        <v>Phường Hiệp Thành</v>
      </c>
    </row>
    <row r="593" spans="1:25" x14ac:dyDescent="0.25">
      <c r="A593" s="1" t="s">
        <v>826</v>
      </c>
      <c r="B593" s="2" t="s">
        <v>30</v>
      </c>
      <c r="C593" s="2" t="s">
        <v>105</v>
      </c>
      <c r="D593" s="10">
        <f t="shared" ca="1" si="126"/>
        <v>60</v>
      </c>
      <c r="E593" s="2" t="s">
        <v>26</v>
      </c>
      <c r="F593" s="3">
        <v>158</v>
      </c>
      <c r="G593" s="3">
        <v>54</v>
      </c>
      <c r="H593" s="11">
        <f t="shared" si="127"/>
        <v>21.631148854350261</v>
      </c>
      <c r="I593" s="2">
        <v>67</v>
      </c>
      <c r="J593" s="3">
        <v>130</v>
      </c>
      <c r="K593" s="3">
        <v>80</v>
      </c>
      <c r="L593" s="10">
        <f t="shared" si="128"/>
        <v>2</v>
      </c>
      <c r="M593" s="10">
        <f t="shared" ca="1" si="129"/>
        <v>2</v>
      </c>
      <c r="N593" s="10">
        <f t="shared" si="130"/>
        <v>0</v>
      </c>
      <c r="O593" s="10">
        <f t="shared" si="131"/>
        <v>0</v>
      </c>
      <c r="P593" s="10">
        <f t="shared" si="132"/>
        <v>0</v>
      </c>
      <c r="Q593" s="10">
        <f t="shared" si="133"/>
        <v>0</v>
      </c>
      <c r="R593" s="10">
        <f t="shared" ca="1" si="134"/>
        <v>4</v>
      </c>
      <c r="S593" s="10" t="str">
        <f t="shared" ca="1" si="135"/>
        <v>Không cần</v>
      </c>
      <c r="T593" s="10" t="str">
        <f t="shared" ca="1" si="136"/>
        <v>Không</v>
      </c>
      <c r="U593" s="10" t="str">
        <f t="shared" si="137"/>
        <v>Không</v>
      </c>
      <c r="V593" s="2" t="s">
        <v>827</v>
      </c>
      <c r="W593" s="4">
        <v>46142</v>
      </c>
      <c r="X593" s="8" t="str">
        <f t="shared" si="138"/>
        <v>Tháng 4</v>
      </c>
      <c r="Y593" s="8" t="str">
        <f t="shared" si="139"/>
        <v>Giồng Nhãn</v>
      </c>
    </row>
    <row r="594" spans="1:25" x14ac:dyDescent="0.25">
      <c r="A594" s="1" t="s">
        <v>828</v>
      </c>
      <c r="B594" s="2" t="s">
        <v>23</v>
      </c>
      <c r="C594" s="2" t="s">
        <v>82</v>
      </c>
      <c r="D594" s="10">
        <f t="shared" ca="1" si="126"/>
        <v>73</v>
      </c>
      <c r="E594" s="2" t="s">
        <v>26</v>
      </c>
      <c r="F594" s="3">
        <v>158</v>
      </c>
      <c r="G594" s="3">
        <v>58</v>
      </c>
      <c r="H594" s="11">
        <f t="shared" si="127"/>
        <v>23.233456176894723</v>
      </c>
      <c r="I594" s="2">
        <v>91</v>
      </c>
      <c r="J594" s="3">
        <v>120</v>
      </c>
      <c r="K594" s="3">
        <v>80</v>
      </c>
      <c r="L594" s="10">
        <f t="shared" si="128"/>
        <v>0</v>
      </c>
      <c r="M594" s="10">
        <f t="shared" ca="1" si="129"/>
        <v>2</v>
      </c>
      <c r="N594" s="10">
        <f t="shared" si="130"/>
        <v>0</v>
      </c>
      <c r="O594" s="10">
        <f t="shared" si="131"/>
        <v>3</v>
      </c>
      <c r="P594" s="10">
        <f t="shared" si="132"/>
        <v>2</v>
      </c>
      <c r="Q594" s="10">
        <f t="shared" si="133"/>
        <v>0</v>
      </c>
      <c r="R594" s="10">
        <f t="shared" ca="1" si="134"/>
        <v>7</v>
      </c>
      <c r="S594" s="10" t="str">
        <f t="shared" ca="1" si="135"/>
        <v>Có</v>
      </c>
      <c r="T594" s="10" t="str">
        <f t="shared" ca="1" si="136"/>
        <v>Có</v>
      </c>
      <c r="U594" s="10" t="str">
        <f t="shared" si="137"/>
        <v>Không</v>
      </c>
      <c r="V594" s="2" t="s">
        <v>103</v>
      </c>
      <c r="W594" s="4">
        <v>46142</v>
      </c>
      <c r="X594" s="8" t="str">
        <f t="shared" si="138"/>
        <v>Tháng 4</v>
      </c>
      <c r="Y594" s="8" t="str">
        <f t="shared" si="139"/>
        <v>Giồng Giữa B</v>
      </c>
    </row>
    <row r="595" spans="1:25" x14ac:dyDescent="0.25">
      <c r="A595" s="1" t="s">
        <v>829</v>
      </c>
      <c r="B595" s="2" t="s">
        <v>30</v>
      </c>
      <c r="C595" s="2" t="s">
        <v>133</v>
      </c>
      <c r="D595" s="10">
        <f t="shared" ca="1" si="126"/>
        <v>56</v>
      </c>
      <c r="E595" s="2" t="s">
        <v>26</v>
      </c>
      <c r="F595" s="3">
        <v>168</v>
      </c>
      <c r="G595" s="3">
        <v>68</v>
      </c>
      <c r="H595" s="11">
        <f t="shared" si="127"/>
        <v>24.092970521541954</v>
      </c>
      <c r="I595" s="2">
        <v>85</v>
      </c>
      <c r="J595" s="3">
        <v>160</v>
      </c>
      <c r="K595" s="3">
        <v>90</v>
      </c>
      <c r="L595" s="10">
        <f t="shared" si="128"/>
        <v>2</v>
      </c>
      <c r="M595" s="10">
        <f t="shared" ca="1" si="129"/>
        <v>2</v>
      </c>
      <c r="N595" s="10">
        <f t="shared" si="130"/>
        <v>0</v>
      </c>
      <c r="O595" s="10">
        <f t="shared" si="131"/>
        <v>3</v>
      </c>
      <c r="P595" s="10">
        <f t="shared" si="132"/>
        <v>0</v>
      </c>
      <c r="Q595" s="10">
        <f t="shared" si="133"/>
        <v>2</v>
      </c>
      <c r="R595" s="10">
        <f t="shared" ca="1" si="134"/>
        <v>9</v>
      </c>
      <c r="S595" s="10" t="str">
        <f t="shared" ca="1" si="135"/>
        <v>Có</v>
      </c>
      <c r="T595" s="10" t="str">
        <f t="shared" ca="1" si="136"/>
        <v>Có</v>
      </c>
      <c r="U595" s="10" t="str">
        <f t="shared" si="137"/>
        <v>Có</v>
      </c>
      <c r="V595" s="2" t="s">
        <v>51</v>
      </c>
      <c r="W595" s="4">
        <v>46053</v>
      </c>
      <c r="X595" s="8" t="str">
        <f t="shared" si="138"/>
        <v>Tháng 1</v>
      </c>
      <c r="Y595" s="8" t="str">
        <f t="shared" si="139"/>
        <v>Phường Hiệp Thành</v>
      </c>
    </row>
    <row r="596" spans="1:25" x14ac:dyDescent="0.25">
      <c r="A596" s="1" t="s">
        <v>802</v>
      </c>
      <c r="B596" s="2" t="s">
        <v>23</v>
      </c>
      <c r="C596" s="2" t="s">
        <v>53</v>
      </c>
      <c r="D596" s="10">
        <f t="shared" ca="1" si="126"/>
        <v>72</v>
      </c>
      <c r="E596" s="2" t="s">
        <v>26</v>
      </c>
      <c r="F596" s="3">
        <v>158</v>
      </c>
      <c r="G596" s="3">
        <v>58</v>
      </c>
      <c r="H596" s="11">
        <f t="shared" si="127"/>
        <v>23.233456176894723</v>
      </c>
      <c r="I596" s="2">
        <v>73</v>
      </c>
      <c r="J596" s="3">
        <v>140</v>
      </c>
      <c r="K596" s="3">
        <v>80</v>
      </c>
      <c r="L596" s="10">
        <f t="shared" si="128"/>
        <v>0</v>
      </c>
      <c r="M596" s="10">
        <f t="shared" ca="1" si="129"/>
        <v>2</v>
      </c>
      <c r="N596" s="10">
        <f t="shared" si="130"/>
        <v>0</v>
      </c>
      <c r="O596" s="10">
        <f t="shared" si="131"/>
        <v>3</v>
      </c>
      <c r="P596" s="10">
        <f t="shared" si="132"/>
        <v>0</v>
      </c>
      <c r="Q596" s="10">
        <f t="shared" si="133"/>
        <v>2</v>
      </c>
      <c r="R596" s="10">
        <f t="shared" ca="1" si="134"/>
        <v>7</v>
      </c>
      <c r="S596" s="10" t="str">
        <f t="shared" ca="1" si="135"/>
        <v>Có</v>
      </c>
      <c r="T596" s="10" t="str">
        <f t="shared" ca="1" si="136"/>
        <v>Có</v>
      </c>
      <c r="U596" s="10" t="str">
        <f t="shared" si="137"/>
        <v>Có</v>
      </c>
      <c r="V596" s="2" t="s">
        <v>51</v>
      </c>
      <c r="W596" s="4">
        <v>46081</v>
      </c>
      <c r="X596" s="8" t="str">
        <f t="shared" si="138"/>
        <v>Tháng 2</v>
      </c>
      <c r="Y596" s="8" t="str">
        <f t="shared" si="139"/>
        <v>Phường Hiệp Thành</v>
      </c>
    </row>
    <row r="597" spans="1:25" x14ac:dyDescent="0.25">
      <c r="A597" s="1" t="s">
        <v>830</v>
      </c>
      <c r="B597" s="2" t="s">
        <v>23</v>
      </c>
      <c r="C597" s="2" t="s">
        <v>93</v>
      </c>
      <c r="D597" s="10">
        <f t="shared" ca="1" si="126"/>
        <v>66</v>
      </c>
      <c r="E597" s="2" t="s">
        <v>26</v>
      </c>
      <c r="F597" s="3">
        <v>158</v>
      </c>
      <c r="G597" s="3">
        <v>58</v>
      </c>
      <c r="H597" s="11">
        <f t="shared" si="127"/>
        <v>23.233456176894723</v>
      </c>
      <c r="I597" s="2">
        <v>86</v>
      </c>
      <c r="J597" s="3">
        <v>110</v>
      </c>
      <c r="K597" s="3">
        <v>70</v>
      </c>
      <c r="L597" s="10">
        <f t="shared" si="128"/>
        <v>0</v>
      </c>
      <c r="M597" s="10">
        <f t="shared" ca="1" si="129"/>
        <v>2</v>
      </c>
      <c r="N597" s="10">
        <f t="shared" si="130"/>
        <v>0</v>
      </c>
      <c r="O597" s="10">
        <f t="shared" si="131"/>
        <v>3</v>
      </c>
      <c r="P597" s="10">
        <f t="shared" si="132"/>
        <v>2</v>
      </c>
      <c r="Q597" s="10">
        <f t="shared" si="133"/>
        <v>0</v>
      </c>
      <c r="R597" s="10">
        <f t="shared" ca="1" si="134"/>
        <v>7</v>
      </c>
      <c r="S597" s="10" t="str">
        <f t="shared" ca="1" si="135"/>
        <v>Có</v>
      </c>
      <c r="T597" s="10" t="str">
        <f t="shared" ca="1" si="136"/>
        <v>Có</v>
      </c>
      <c r="U597" s="10" t="str">
        <f t="shared" si="137"/>
        <v>Không</v>
      </c>
      <c r="V597" s="2" t="s">
        <v>38</v>
      </c>
      <c r="W597" s="4">
        <v>46112</v>
      </c>
      <c r="X597" s="8" t="str">
        <f t="shared" si="138"/>
        <v>Tháng 3</v>
      </c>
      <c r="Y597" s="8" t="str">
        <f t="shared" si="139"/>
        <v>Ấp Biển Đông B</v>
      </c>
    </row>
    <row r="598" spans="1:25" x14ac:dyDescent="0.25">
      <c r="A598" s="1" t="s">
        <v>831</v>
      </c>
      <c r="B598" s="2" t="s">
        <v>23</v>
      </c>
      <c r="C598" s="2" t="s">
        <v>138</v>
      </c>
      <c r="D598" s="10">
        <f t="shared" ca="1" si="126"/>
        <v>67</v>
      </c>
      <c r="E598" s="2" t="s">
        <v>26</v>
      </c>
      <c r="F598" s="3">
        <v>168</v>
      </c>
      <c r="G598" s="3">
        <v>68</v>
      </c>
      <c r="H598" s="11">
        <f t="shared" si="127"/>
        <v>24.092970521541954</v>
      </c>
      <c r="I598" s="2">
        <v>80</v>
      </c>
      <c r="J598" s="3">
        <v>130</v>
      </c>
      <c r="K598" s="3">
        <v>80</v>
      </c>
      <c r="L598" s="10">
        <f t="shared" si="128"/>
        <v>0</v>
      </c>
      <c r="M598" s="10">
        <f t="shared" ca="1" si="129"/>
        <v>2</v>
      </c>
      <c r="N598" s="10">
        <f t="shared" si="130"/>
        <v>0</v>
      </c>
      <c r="O598" s="10">
        <f t="shared" si="131"/>
        <v>3</v>
      </c>
      <c r="P598" s="10">
        <f t="shared" si="132"/>
        <v>2</v>
      </c>
      <c r="Q598" s="10">
        <f t="shared" si="133"/>
        <v>0</v>
      </c>
      <c r="R598" s="10">
        <f t="shared" ca="1" si="134"/>
        <v>7</v>
      </c>
      <c r="S598" s="10" t="str">
        <f t="shared" ca="1" si="135"/>
        <v>Có</v>
      </c>
      <c r="T598" s="10" t="str">
        <f t="shared" ca="1" si="136"/>
        <v>Có</v>
      </c>
      <c r="U598" s="10" t="str">
        <f t="shared" si="137"/>
        <v>Không</v>
      </c>
      <c r="V598" s="2" t="s">
        <v>38</v>
      </c>
      <c r="W598" s="4">
        <v>46053</v>
      </c>
      <c r="X598" s="8" t="str">
        <f t="shared" si="138"/>
        <v>Tháng 1</v>
      </c>
      <c r="Y598" s="8" t="str">
        <f t="shared" si="139"/>
        <v>Ấp Biển Đông B</v>
      </c>
    </row>
    <row r="599" spans="1:25" x14ac:dyDescent="0.25">
      <c r="A599" s="1" t="s">
        <v>832</v>
      </c>
      <c r="B599" s="2" t="s">
        <v>30</v>
      </c>
      <c r="C599" s="2" t="s">
        <v>40</v>
      </c>
      <c r="D599" s="10">
        <f t="shared" ca="1" si="126"/>
        <v>70</v>
      </c>
      <c r="E599" s="2" t="s">
        <v>26</v>
      </c>
      <c r="F599" s="3">
        <v>169</v>
      </c>
      <c r="G599" s="3">
        <v>58</v>
      </c>
      <c r="H599" s="11">
        <f t="shared" si="127"/>
        <v>20.307412205454995</v>
      </c>
      <c r="I599" s="2">
        <v>96</v>
      </c>
      <c r="J599" s="3">
        <v>140</v>
      </c>
      <c r="K599" s="3">
        <v>80</v>
      </c>
      <c r="L599" s="10">
        <f t="shared" si="128"/>
        <v>2</v>
      </c>
      <c r="M599" s="10">
        <f t="shared" ca="1" si="129"/>
        <v>2</v>
      </c>
      <c r="N599" s="10">
        <f t="shared" si="130"/>
        <v>0</v>
      </c>
      <c r="O599" s="10">
        <f t="shared" si="131"/>
        <v>0</v>
      </c>
      <c r="P599" s="10">
        <f t="shared" si="132"/>
        <v>2</v>
      </c>
      <c r="Q599" s="10">
        <f t="shared" si="133"/>
        <v>2</v>
      </c>
      <c r="R599" s="10">
        <f t="shared" ca="1" si="134"/>
        <v>8</v>
      </c>
      <c r="S599" s="10" t="str">
        <f t="shared" ca="1" si="135"/>
        <v>Có</v>
      </c>
      <c r="T599" s="10" t="str">
        <f t="shared" ca="1" si="136"/>
        <v>Có</v>
      </c>
      <c r="U599" s="10" t="str">
        <f t="shared" si="137"/>
        <v>Có</v>
      </c>
      <c r="V599" s="2" t="s">
        <v>51</v>
      </c>
      <c r="W599" s="4">
        <v>46112</v>
      </c>
      <c r="X599" s="8" t="str">
        <f t="shared" si="138"/>
        <v>Tháng 3</v>
      </c>
      <c r="Y599" s="8" t="str">
        <f t="shared" si="139"/>
        <v>Phường Hiệp Thành</v>
      </c>
    </row>
    <row r="600" spans="1:25" x14ac:dyDescent="0.25">
      <c r="A600" s="1" t="s">
        <v>833</v>
      </c>
      <c r="B600" s="2" t="s">
        <v>23</v>
      </c>
      <c r="C600" s="2" t="s">
        <v>84</v>
      </c>
      <c r="D600" s="10">
        <f t="shared" ca="1" si="126"/>
        <v>69</v>
      </c>
      <c r="E600" s="2" t="s">
        <v>25</v>
      </c>
      <c r="F600" s="3">
        <v>160</v>
      </c>
      <c r="G600" s="3">
        <v>65</v>
      </c>
      <c r="H600" s="11">
        <f t="shared" si="127"/>
        <v>25.390624999999996</v>
      </c>
      <c r="I600" s="2">
        <v>76</v>
      </c>
      <c r="J600" s="3">
        <v>120</v>
      </c>
      <c r="K600" s="3">
        <v>70</v>
      </c>
      <c r="L600" s="10">
        <f t="shared" si="128"/>
        <v>0</v>
      </c>
      <c r="M600" s="10">
        <f t="shared" ca="1" si="129"/>
        <v>2</v>
      </c>
      <c r="N600" s="10">
        <f t="shared" si="130"/>
        <v>4</v>
      </c>
      <c r="O600" s="10">
        <f t="shared" si="131"/>
        <v>3</v>
      </c>
      <c r="P600" s="10">
        <f t="shared" si="132"/>
        <v>0</v>
      </c>
      <c r="Q600" s="10">
        <f t="shared" si="133"/>
        <v>0</v>
      </c>
      <c r="R600" s="10">
        <f t="shared" ca="1" si="134"/>
        <v>9</v>
      </c>
      <c r="S600" s="10" t="str">
        <f t="shared" ca="1" si="135"/>
        <v>Có</v>
      </c>
      <c r="T600" s="10" t="str">
        <f t="shared" ca="1" si="136"/>
        <v>Có</v>
      </c>
      <c r="U600" s="10" t="str">
        <f t="shared" si="137"/>
        <v>Không</v>
      </c>
      <c r="V600" s="2" t="s">
        <v>834</v>
      </c>
      <c r="W600" s="4">
        <v>46053</v>
      </c>
      <c r="X600" s="8" t="str">
        <f t="shared" si="138"/>
        <v>Tháng 1</v>
      </c>
      <c r="Y600" s="8" t="str">
        <f t="shared" si="139"/>
        <v>ấp Giòng Nhãn A</v>
      </c>
    </row>
    <row r="601" spans="1:25" x14ac:dyDescent="0.25">
      <c r="A601" s="1" t="s">
        <v>835</v>
      </c>
      <c r="B601" s="2" t="s">
        <v>30</v>
      </c>
      <c r="C601" s="2" t="s">
        <v>50</v>
      </c>
      <c r="D601" s="10">
        <f t="shared" ca="1" si="126"/>
        <v>58</v>
      </c>
      <c r="E601" s="2" t="s">
        <v>26</v>
      </c>
      <c r="F601" s="3">
        <v>170</v>
      </c>
      <c r="G601" s="3">
        <v>68</v>
      </c>
      <c r="H601" s="11">
        <f t="shared" si="127"/>
        <v>23.529411764705884</v>
      </c>
      <c r="I601" s="2">
        <v>68</v>
      </c>
      <c r="J601" s="3">
        <v>150</v>
      </c>
      <c r="K601" s="3">
        <v>80</v>
      </c>
      <c r="L601" s="10">
        <f t="shared" si="128"/>
        <v>2</v>
      </c>
      <c r="M601" s="10">
        <f t="shared" ca="1" si="129"/>
        <v>2</v>
      </c>
      <c r="N601" s="10">
        <f t="shared" si="130"/>
        <v>0</v>
      </c>
      <c r="O601" s="10">
        <f t="shared" si="131"/>
        <v>3</v>
      </c>
      <c r="P601" s="10">
        <f t="shared" si="132"/>
        <v>0</v>
      </c>
      <c r="Q601" s="10">
        <f t="shared" si="133"/>
        <v>2</v>
      </c>
      <c r="R601" s="10">
        <f t="shared" ca="1" si="134"/>
        <v>9</v>
      </c>
      <c r="S601" s="10" t="str">
        <f t="shared" ca="1" si="135"/>
        <v>Có</v>
      </c>
      <c r="T601" s="10" t="str">
        <f t="shared" ca="1" si="136"/>
        <v>Có</v>
      </c>
      <c r="U601" s="10" t="str">
        <f t="shared" si="137"/>
        <v>Có</v>
      </c>
      <c r="V601" s="2" t="s">
        <v>51</v>
      </c>
      <c r="W601" s="4">
        <v>46053</v>
      </c>
      <c r="X601" s="8" t="str">
        <f t="shared" si="138"/>
        <v>Tháng 1</v>
      </c>
      <c r="Y601" s="8" t="str">
        <f t="shared" si="139"/>
        <v>Phường Hiệp Thành</v>
      </c>
    </row>
    <row r="602" spans="1:25" x14ac:dyDescent="0.25">
      <c r="A602" s="1" t="s">
        <v>836</v>
      </c>
      <c r="B602" s="2" t="s">
        <v>23</v>
      </c>
      <c r="C602" s="2" t="s">
        <v>133</v>
      </c>
      <c r="D602" s="10">
        <f t="shared" ca="1" si="126"/>
        <v>56</v>
      </c>
      <c r="E602" s="2" t="s">
        <v>25</v>
      </c>
      <c r="F602" s="3">
        <v>158</v>
      </c>
      <c r="G602" s="3">
        <v>58</v>
      </c>
      <c r="H602" s="11">
        <f t="shared" si="127"/>
        <v>23.233456176894723</v>
      </c>
      <c r="I602" s="2">
        <v>79</v>
      </c>
      <c r="J602" s="3">
        <v>150</v>
      </c>
      <c r="K602" s="3">
        <v>80</v>
      </c>
      <c r="L602" s="10">
        <f t="shared" si="128"/>
        <v>0</v>
      </c>
      <c r="M602" s="10">
        <f t="shared" ca="1" si="129"/>
        <v>2</v>
      </c>
      <c r="N602" s="10">
        <f t="shared" si="130"/>
        <v>4</v>
      </c>
      <c r="O602" s="10">
        <f t="shared" si="131"/>
        <v>3</v>
      </c>
      <c r="P602" s="10">
        <f t="shared" si="132"/>
        <v>0</v>
      </c>
      <c r="Q602" s="10">
        <f t="shared" si="133"/>
        <v>2</v>
      </c>
      <c r="R602" s="10">
        <f t="shared" ca="1" si="134"/>
        <v>11</v>
      </c>
      <c r="S602" s="10" t="str">
        <f t="shared" ca="1" si="135"/>
        <v>Có</v>
      </c>
      <c r="T602" s="10" t="str">
        <f t="shared" ca="1" si="136"/>
        <v>Có</v>
      </c>
      <c r="U602" s="10" t="str">
        <f t="shared" si="137"/>
        <v>Có</v>
      </c>
      <c r="V602" s="2" t="s">
        <v>243</v>
      </c>
      <c r="W602" s="4">
        <v>46112</v>
      </c>
      <c r="X602" s="8" t="str">
        <f t="shared" si="138"/>
        <v>Tháng 3</v>
      </c>
      <c r="Y602" s="8" t="str">
        <f t="shared" si="139"/>
        <v>ấp Giồng Giữa B</v>
      </c>
    </row>
    <row r="603" spans="1:25" x14ac:dyDescent="0.25">
      <c r="A603" s="1" t="s">
        <v>837</v>
      </c>
      <c r="B603" s="2" t="s">
        <v>23</v>
      </c>
      <c r="C603" s="2" t="s">
        <v>105</v>
      </c>
      <c r="D603" s="10">
        <f t="shared" ca="1" si="126"/>
        <v>60</v>
      </c>
      <c r="E603" s="2" t="s">
        <v>26</v>
      </c>
      <c r="F603" s="3">
        <v>158</v>
      </c>
      <c r="G603" s="3">
        <v>58</v>
      </c>
      <c r="H603" s="11">
        <f t="shared" si="127"/>
        <v>23.233456176894723</v>
      </c>
      <c r="I603" s="2">
        <v>79</v>
      </c>
      <c r="J603" s="3">
        <v>140</v>
      </c>
      <c r="K603" s="3">
        <v>80</v>
      </c>
      <c r="L603" s="10">
        <f t="shared" si="128"/>
        <v>0</v>
      </c>
      <c r="M603" s="10">
        <f t="shared" ca="1" si="129"/>
        <v>2</v>
      </c>
      <c r="N603" s="10">
        <f t="shared" si="130"/>
        <v>0</v>
      </c>
      <c r="O603" s="10">
        <f t="shared" si="131"/>
        <v>3</v>
      </c>
      <c r="P603" s="10">
        <f t="shared" si="132"/>
        <v>0</v>
      </c>
      <c r="Q603" s="10">
        <f t="shared" si="133"/>
        <v>2</v>
      </c>
      <c r="R603" s="10">
        <f t="shared" ca="1" si="134"/>
        <v>7</v>
      </c>
      <c r="S603" s="10" t="str">
        <f t="shared" ca="1" si="135"/>
        <v>Có</v>
      </c>
      <c r="T603" s="10" t="str">
        <f t="shared" ca="1" si="136"/>
        <v>Có</v>
      </c>
      <c r="U603" s="10" t="str">
        <f t="shared" si="137"/>
        <v>Có</v>
      </c>
      <c r="V603" s="2" t="s">
        <v>838</v>
      </c>
      <c r="W603" s="4">
        <v>46053</v>
      </c>
      <c r="X603" s="8" t="str">
        <f t="shared" si="138"/>
        <v>Tháng 1</v>
      </c>
      <c r="Y603" s="8" t="str">
        <f t="shared" si="139"/>
        <v>Phường 7</v>
      </c>
    </row>
    <row r="604" spans="1:25" x14ac:dyDescent="0.25">
      <c r="A604" s="1" t="s">
        <v>839</v>
      </c>
      <c r="B604" s="2" t="s">
        <v>30</v>
      </c>
      <c r="C604" s="2" t="s">
        <v>373</v>
      </c>
      <c r="D604" s="10">
        <f t="shared" ca="1" si="126"/>
        <v>61</v>
      </c>
      <c r="E604" s="2" t="s">
        <v>26</v>
      </c>
      <c r="F604" s="3">
        <v>170</v>
      </c>
      <c r="G604" s="3">
        <v>66</v>
      </c>
      <c r="H604" s="11">
        <f t="shared" si="127"/>
        <v>22.837370242214536</v>
      </c>
      <c r="I604" s="2">
        <v>65</v>
      </c>
      <c r="J604" s="3">
        <v>120</v>
      </c>
      <c r="K604" s="3">
        <v>80</v>
      </c>
      <c r="L604" s="10">
        <f t="shared" si="128"/>
        <v>2</v>
      </c>
      <c r="M604" s="10">
        <f t="shared" ca="1" si="129"/>
        <v>2</v>
      </c>
      <c r="N604" s="10">
        <f t="shared" si="130"/>
        <v>0</v>
      </c>
      <c r="O604" s="10">
        <f t="shared" si="131"/>
        <v>0</v>
      </c>
      <c r="P604" s="10">
        <f t="shared" si="132"/>
        <v>0</v>
      </c>
      <c r="Q604" s="10">
        <f t="shared" si="133"/>
        <v>0</v>
      </c>
      <c r="R604" s="10">
        <f t="shared" ca="1" si="134"/>
        <v>4</v>
      </c>
      <c r="S604" s="10" t="str">
        <f t="shared" ca="1" si="135"/>
        <v>Không cần</v>
      </c>
      <c r="T604" s="10" t="str">
        <f t="shared" ca="1" si="136"/>
        <v>Không</v>
      </c>
      <c r="U604" s="10" t="str">
        <f t="shared" si="137"/>
        <v>Không</v>
      </c>
      <c r="V604" s="2" t="s">
        <v>51</v>
      </c>
      <c r="W604" s="4">
        <v>46112</v>
      </c>
      <c r="X604" s="8" t="str">
        <f t="shared" si="138"/>
        <v>Tháng 3</v>
      </c>
      <c r="Y604" s="8" t="str">
        <f t="shared" si="139"/>
        <v>Phường Hiệp Thành</v>
      </c>
    </row>
    <row r="605" spans="1:25" x14ac:dyDescent="0.25">
      <c r="A605" s="1" t="s">
        <v>840</v>
      </c>
      <c r="B605" s="2" t="s">
        <v>23</v>
      </c>
      <c r="C605" s="2" t="s">
        <v>59</v>
      </c>
      <c r="D605" s="10">
        <f t="shared" ca="1" si="126"/>
        <v>74</v>
      </c>
      <c r="E605" s="2" t="s">
        <v>26</v>
      </c>
      <c r="F605" s="3">
        <v>158</v>
      </c>
      <c r="G605" s="3">
        <v>58</v>
      </c>
      <c r="H605" s="11">
        <f t="shared" si="127"/>
        <v>23.233456176894723</v>
      </c>
      <c r="I605" s="2">
        <v>85</v>
      </c>
      <c r="J605" s="3">
        <v>130</v>
      </c>
      <c r="K605" s="3">
        <v>80</v>
      </c>
      <c r="L605" s="10">
        <f t="shared" si="128"/>
        <v>0</v>
      </c>
      <c r="M605" s="10">
        <f t="shared" ca="1" si="129"/>
        <v>2</v>
      </c>
      <c r="N605" s="10">
        <f t="shared" si="130"/>
        <v>0</v>
      </c>
      <c r="O605" s="10">
        <f t="shared" si="131"/>
        <v>3</v>
      </c>
      <c r="P605" s="10">
        <f t="shared" si="132"/>
        <v>2</v>
      </c>
      <c r="Q605" s="10">
        <f t="shared" si="133"/>
        <v>0</v>
      </c>
      <c r="R605" s="10">
        <f t="shared" ca="1" si="134"/>
        <v>7</v>
      </c>
      <c r="S605" s="10" t="str">
        <f t="shared" ca="1" si="135"/>
        <v>Có</v>
      </c>
      <c r="T605" s="10" t="str">
        <f t="shared" ca="1" si="136"/>
        <v>Có</v>
      </c>
      <c r="U605" s="10" t="str">
        <f t="shared" si="137"/>
        <v>Không</v>
      </c>
      <c r="V605" s="2" t="s">
        <v>28</v>
      </c>
      <c r="W605" s="4">
        <v>46112</v>
      </c>
      <c r="X605" s="8" t="str">
        <f t="shared" si="138"/>
        <v>Tháng 3</v>
      </c>
      <c r="Y605" s="8" t="str">
        <f t="shared" si="139"/>
        <v>Ấp Biển Đông A</v>
      </c>
    </row>
    <row r="606" spans="1:25" x14ac:dyDescent="0.25">
      <c r="A606" s="1" t="s">
        <v>841</v>
      </c>
      <c r="B606" s="2" t="s">
        <v>23</v>
      </c>
      <c r="C606" s="2" t="s">
        <v>67</v>
      </c>
      <c r="D606" s="10">
        <f t="shared" ca="1" si="126"/>
        <v>48</v>
      </c>
      <c r="E606" s="2" t="s">
        <v>26</v>
      </c>
      <c r="F606" s="3">
        <v>157</v>
      </c>
      <c r="G606" s="3">
        <v>55</v>
      </c>
      <c r="H606" s="11">
        <f t="shared" si="127"/>
        <v>22.313278429145196</v>
      </c>
      <c r="I606" s="2">
        <v>71</v>
      </c>
      <c r="J606" s="3">
        <v>120</v>
      </c>
      <c r="K606" s="3">
        <v>80</v>
      </c>
      <c r="L606" s="10">
        <f t="shared" si="128"/>
        <v>0</v>
      </c>
      <c r="M606" s="10">
        <f t="shared" ca="1" si="129"/>
        <v>1</v>
      </c>
      <c r="N606" s="10">
        <f t="shared" si="130"/>
        <v>0</v>
      </c>
      <c r="O606" s="10">
        <f t="shared" si="131"/>
        <v>0</v>
      </c>
      <c r="P606" s="10">
        <f t="shared" si="132"/>
        <v>0</v>
      </c>
      <c r="Q606" s="10">
        <f t="shared" si="133"/>
        <v>0</v>
      </c>
      <c r="R606" s="10">
        <f t="shared" ca="1" si="134"/>
        <v>1</v>
      </c>
      <c r="S606" s="10" t="str">
        <f t="shared" ca="1" si="135"/>
        <v>Không cần</v>
      </c>
      <c r="T606" s="10" t="str">
        <f t="shared" ca="1" si="136"/>
        <v>Không</v>
      </c>
      <c r="U606" s="10" t="str">
        <f t="shared" si="137"/>
        <v>Không</v>
      </c>
      <c r="V606" s="2" t="s">
        <v>166</v>
      </c>
      <c r="W606" s="4">
        <v>46112</v>
      </c>
      <c r="X606" s="8" t="str">
        <f t="shared" si="138"/>
        <v>Tháng 3</v>
      </c>
      <c r="Y606" s="8" t="str">
        <f t="shared" si="139"/>
        <v>khóm Giồng Nhãn</v>
      </c>
    </row>
    <row r="607" spans="1:25" x14ac:dyDescent="0.25">
      <c r="A607" s="1" t="s">
        <v>842</v>
      </c>
      <c r="B607" s="2" t="s">
        <v>23</v>
      </c>
      <c r="C607" s="2" t="s">
        <v>62</v>
      </c>
      <c r="D607" s="10">
        <f t="shared" ca="1" si="126"/>
        <v>64</v>
      </c>
      <c r="E607" s="2" t="s">
        <v>26</v>
      </c>
      <c r="F607" s="3">
        <v>150</v>
      </c>
      <c r="G607" s="3">
        <v>71</v>
      </c>
      <c r="H607" s="11">
        <f t="shared" si="127"/>
        <v>31.555555555555557</v>
      </c>
      <c r="I607" s="2">
        <v>83</v>
      </c>
      <c r="J607" s="3">
        <v>130</v>
      </c>
      <c r="K607" s="3">
        <v>80</v>
      </c>
      <c r="L607" s="10">
        <f t="shared" si="128"/>
        <v>0</v>
      </c>
      <c r="M607" s="10">
        <f t="shared" ca="1" si="129"/>
        <v>2</v>
      </c>
      <c r="N607" s="10">
        <f t="shared" si="130"/>
        <v>0</v>
      </c>
      <c r="O607" s="10">
        <f t="shared" si="131"/>
        <v>5</v>
      </c>
      <c r="P607" s="10">
        <f t="shared" si="132"/>
        <v>2</v>
      </c>
      <c r="Q607" s="10">
        <f t="shared" si="133"/>
        <v>0</v>
      </c>
      <c r="R607" s="10">
        <f t="shared" ca="1" si="134"/>
        <v>9</v>
      </c>
      <c r="S607" s="10" t="str">
        <f t="shared" ca="1" si="135"/>
        <v>Có</v>
      </c>
      <c r="T607" s="10" t="str">
        <f t="shared" ca="1" si="136"/>
        <v>Có</v>
      </c>
      <c r="U607" s="10" t="str">
        <f t="shared" si="137"/>
        <v>Không</v>
      </c>
      <c r="V607" s="2" t="s">
        <v>51</v>
      </c>
      <c r="W607" s="4">
        <v>46112</v>
      </c>
      <c r="X607" s="8" t="str">
        <f t="shared" si="138"/>
        <v>Tháng 3</v>
      </c>
      <c r="Y607" s="8" t="str">
        <f t="shared" si="139"/>
        <v>Phường Hiệp Thành</v>
      </c>
    </row>
    <row r="608" spans="1:25" x14ac:dyDescent="0.25">
      <c r="A608" s="1" t="s">
        <v>843</v>
      </c>
      <c r="B608" s="2" t="s">
        <v>23</v>
      </c>
      <c r="C608" s="2" t="s">
        <v>24</v>
      </c>
      <c r="D608" s="10">
        <f t="shared" ca="1" si="126"/>
        <v>83</v>
      </c>
      <c r="E608" s="2" t="s">
        <v>26</v>
      </c>
      <c r="F608" s="3">
        <v>160</v>
      </c>
      <c r="G608" s="3">
        <v>63</v>
      </c>
      <c r="H608" s="11">
        <f t="shared" si="127"/>
        <v>24.609374999999996</v>
      </c>
      <c r="I608" s="2">
        <v>67</v>
      </c>
      <c r="J608" s="3">
        <v>120</v>
      </c>
      <c r="K608" s="3">
        <v>80</v>
      </c>
      <c r="L608" s="10">
        <f t="shared" si="128"/>
        <v>0</v>
      </c>
      <c r="M608" s="10">
        <f t="shared" ca="1" si="129"/>
        <v>2</v>
      </c>
      <c r="N608" s="10">
        <f t="shared" si="130"/>
        <v>0</v>
      </c>
      <c r="O608" s="10">
        <f t="shared" si="131"/>
        <v>3</v>
      </c>
      <c r="P608" s="10">
        <f t="shared" si="132"/>
        <v>0</v>
      </c>
      <c r="Q608" s="10">
        <f t="shared" si="133"/>
        <v>0</v>
      </c>
      <c r="R608" s="10">
        <f t="shared" ca="1" si="134"/>
        <v>5</v>
      </c>
      <c r="S608" s="10" t="str">
        <f t="shared" ca="1" si="135"/>
        <v>Không cần</v>
      </c>
      <c r="T608" s="10" t="str">
        <f t="shared" ca="1" si="136"/>
        <v>Không</v>
      </c>
      <c r="U608" s="10" t="str">
        <f t="shared" si="137"/>
        <v>Không</v>
      </c>
      <c r="V608" s="2" t="s">
        <v>844</v>
      </c>
      <c r="W608" s="4">
        <v>46142</v>
      </c>
      <c r="X608" s="8" t="str">
        <f t="shared" si="138"/>
        <v>Tháng 4</v>
      </c>
      <c r="Y608" s="8" t="str">
        <f t="shared" si="139"/>
        <v>852/3 Ấp Giồng Giữa</v>
      </c>
    </row>
    <row r="609" spans="1:25" x14ac:dyDescent="0.25">
      <c r="A609" s="1" t="s">
        <v>156</v>
      </c>
      <c r="B609" s="2" t="s">
        <v>23</v>
      </c>
      <c r="C609" s="2" t="s">
        <v>341</v>
      </c>
      <c r="D609" s="10">
        <f t="shared" ca="1" si="126"/>
        <v>51</v>
      </c>
      <c r="E609" s="2" t="s">
        <v>26</v>
      </c>
      <c r="F609" s="3">
        <v>155</v>
      </c>
      <c r="G609" s="3">
        <v>52</v>
      </c>
      <c r="H609" s="11">
        <f t="shared" si="127"/>
        <v>21.644120707596251</v>
      </c>
      <c r="I609" s="2">
        <v>84</v>
      </c>
      <c r="J609" s="3">
        <v>20</v>
      </c>
      <c r="K609" s="3">
        <v>80</v>
      </c>
      <c r="L609" s="10">
        <f t="shared" si="128"/>
        <v>0</v>
      </c>
      <c r="M609" s="10">
        <f t="shared" ca="1" si="129"/>
        <v>2</v>
      </c>
      <c r="N609" s="10">
        <f t="shared" si="130"/>
        <v>0</v>
      </c>
      <c r="O609" s="10">
        <f t="shared" si="131"/>
        <v>0</v>
      </c>
      <c r="P609" s="10">
        <f t="shared" si="132"/>
        <v>2</v>
      </c>
      <c r="Q609" s="10">
        <f t="shared" si="133"/>
        <v>0</v>
      </c>
      <c r="R609" s="10">
        <f t="shared" ca="1" si="134"/>
        <v>4</v>
      </c>
      <c r="S609" s="10" t="str">
        <f t="shared" ca="1" si="135"/>
        <v>Không cần</v>
      </c>
      <c r="T609" s="10" t="str">
        <f t="shared" ca="1" si="136"/>
        <v>Không</v>
      </c>
      <c r="U609" s="10" t="str">
        <f t="shared" si="137"/>
        <v>Không</v>
      </c>
      <c r="V609" s="2" t="s">
        <v>43</v>
      </c>
      <c r="W609" s="4">
        <v>46112</v>
      </c>
      <c r="X609" s="8" t="str">
        <f t="shared" si="138"/>
        <v>Tháng 3</v>
      </c>
      <c r="Y609" s="8" t="str">
        <f t="shared" si="139"/>
        <v>Ấp Giồng Nhãn A</v>
      </c>
    </row>
    <row r="610" spans="1:25" x14ac:dyDescent="0.25">
      <c r="A610" s="1" t="s">
        <v>845</v>
      </c>
      <c r="B610" s="2" t="s">
        <v>30</v>
      </c>
      <c r="C610" s="2" t="s">
        <v>133</v>
      </c>
      <c r="D610" s="10">
        <f t="shared" ca="1" si="126"/>
        <v>56</v>
      </c>
      <c r="E610" s="2" t="s">
        <v>26</v>
      </c>
      <c r="F610" s="3">
        <v>169</v>
      </c>
      <c r="G610" s="3">
        <v>68</v>
      </c>
      <c r="H610" s="11">
        <f t="shared" si="127"/>
        <v>23.808690171912751</v>
      </c>
      <c r="I610" s="2">
        <v>91</v>
      </c>
      <c r="J610" s="3">
        <v>140</v>
      </c>
      <c r="K610" s="3">
        <v>80</v>
      </c>
      <c r="L610" s="10">
        <f t="shared" si="128"/>
        <v>2</v>
      </c>
      <c r="M610" s="10">
        <f t="shared" ca="1" si="129"/>
        <v>2</v>
      </c>
      <c r="N610" s="10">
        <f t="shared" si="130"/>
        <v>0</v>
      </c>
      <c r="O610" s="10">
        <f t="shared" si="131"/>
        <v>3</v>
      </c>
      <c r="P610" s="10">
        <f t="shared" si="132"/>
        <v>2</v>
      </c>
      <c r="Q610" s="10">
        <f t="shared" si="133"/>
        <v>2</v>
      </c>
      <c r="R610" s="10">
        <f t="shared" ca="1" si="134"/>
        <v>11</v>
      </c>
      <c r="S610" s="10" t="str">
        <f t="shared" ca="1" si="135"/>
        <v>Có</v>
      </c>
      <c r="T610" s="10" t="str">
        <f t="shared" ca="1" si="136"/>
        <v>Có</v>
      </c>
      <c r="U610" s="10" t="str">
        <f t="shared" si="137"/>
        <v>Có</v>
      </c>
      <c r="V610" s="2" t="s">
        <v>70</v>
      </c>
      <c r="W610" s="4">
        <v>46112</v>
      </c>
      <c r="X610" s="8" t="str">
        <f t="shared" si="138"/>
        <v>Tháng 3</v>
      </c>
      <c r="Y610" s="8" t="str">
        <f t="shared" si="139"/>
        <v>Ấp Biển Tây A</v>
      </c>
    </row>
    <row r="611" spans="1:25" x14ac:dyDescent="0.25">
      <c r="A611" s="1" t="s">
        <v>846</v>
      </c>
      <c r="B611" s="2" t="s">
        <v>30</v>
      </c>
      <c r="C611" s="2" t="s">
        <v>76</v>
      </c>
      <c r="D611" s="10">
        <f t="shared" ca="1" si="126"/>
        <v>68</v>
      </c>
      <c r="E611" s="2" t="s">
        <v>26</v>
      </c>
      <c r="F611" s="3">
        <v>169</v>
      </c>
      <c r="G611" s="3">
        <v>68</v>
      </c>
      <c r="H611" s="11">
        <f t="shared" si="127"/>
        <v>23.808690171912751</v>
      </c>
      <c r="I611" s="2">
        <v>75</v>
      </c>
      <c r="J611" s="3">
        <v>120</v>
      </c>
      <c r="K611" s="3">
        <v>80</v>
      </c>
      <c r="L611" s="10">
        <f t="shared" si="128"/>
        <v>2</v>
      </c>
      <c r="M611" s="10">
        <f t="shared" ca="1" si="129"/>
        <v>2</v>
      </c>
      <c r="N611" s="10">
        <f t="shared" si="130"/>
        <v>0</v>
      </c>
      <c r="O611" s="10">
        <f t="shared" si="131"/>
        <v>3</v>
      </c>
      <c r="P611" s="10">
        <f t="shared" si="132"/>
        <v>0</v>
      </c>
      <c r="Q611" s="10">
        <f t="shared" si="133"/>
        <v>0</v>
      </c>
      <c r="R611" s="10">
        <f t="shared" ca="1" si="134"/>
        <v>7</v>
      </c>
      <c r="S611" s="10" t="str">
        <f t="shared" ca="1" si="135"/>
        <v>Có</v>
      </c>
      <c r="T611" s="10" t="str">
        <f t="shared" ca="1" si="136"/>
        <v>Có</v>
      </c>
      <c r="U611" s="10" t="str">
        <f t="shared" si="137"/>
        <v>Không</v>
      </c>
      <c r="V611" s="2" t="s">
        <v>68</v>
      </c>
      <c r="W611" s="4">
        <v>46112</v>
      </c>
      <c r="X611" s="8" t="str">
        <f t="shared" si="138"/>
        <v>Tháng 3</v>
      </c>
      <c r="Y611" s="8" t="str">
        <f t="shared" si="139"/>
        <v>Ấp Biển Tây B</v>
      </c>
    </row>
    <row r="612" spans="1:25" x14ac:dyDescent="0.25">
      <c r="A612" s="1" t="s">
        <v>847</v>
      </c>
      <c r="B612" s="2" t="s">
        <v>30</v>
      </c>
      <c r="C612" s="2" t="s">
        <v>130</v>
      </c>
      <c r="D612" s="10">
        <f t="shared" ca="1" si="126"/>
        <v>57</v>
      </c>
      <c r="E612" s="2" t="s">
        <v>26</v>
      </c>
      <c r="F612" s="3">
        <v>169</v>
      </c>
      <c r="G612" s="3">
        <v>68</v>
      </c>
      <c r="H612" s="11">
        <f t="shared" si="127"/>
        <v>23.808690171912751</v>
      </c>
      <c r="I612" s="2">
        <v>97</v>
      </c>
      <c r="J612" s="3">
        <v>160</v>
      </c>
      <c r="K612" s="3">
        <v>80</v>
      </c>
      <c r="L612" s="10">
        <f t="shared" si="128"/>
        <v>2</v>
      </c>
      <c r="M612" s="10">
        <f t="shared" ca="1" si="129"/>
        <v>2</v>
      </c>
      <c r="N612" s="10">
        <f t="shared" si="130"/>
        <v>0</v>
      </c>
      <c r="O612" s="10">
        <f t="shared" si="131"/>
        <v>3</v>
      </c>
      <c r="P612" s="10">
        <f t="shared" si="132"/>
        <v>2</v>
      </c>
      <c r="Q612" s="10">
        <f t="shared" si="133"/>
        <v>2</v>
      </c>
      <c r="R612" s="10">
        <f t="shared" ca="1" si="134"/>
        <v>11</v>
      </c>
      <c r="S612" s="10" t="str">
        <f t="shared" ca="1" si="135"/>
        <v>Có</v>
      </c>
      <c r="T612" s="10" t="str">
        <f t="shared" ca="1" si="136"/>
        <v>Có</v>
      </c>
      <c r="U612" s="10" t="str">
        <f t="shared" si="137"/>
        <v>Có</v>
      </c>
      <c r="V612" s="2" t="s">
        <v>160</v>
      </c>
      <c r="W612" s="4">
        <v>46142</v>
      </c>
      <c r="X612" s="8" t="str">
        <f t="shared" si="138"/>
        <v>Tháng 4</v>
      </c>
      <c r="Y612" s="8" t="str">
        <f t="shared" si="139"/>
        <v>Ấp Giồng Nhãn</v>
      </c>
    </row>
    <row r="613" spans="1:25" x14ac:dyDescent="0.25">
      <c r="A613" s="1" t="s">
        <v>848</v>
      </c>
      <c r="B613" s="2" t="s">
        <v>30</v>
      </c>
      <c r="C613" s="2" t="s">
        <v>62</v>
      </c>
      <c r="D613" s="10">
        <f t="shared" ca="1" si="126"/>
        <v>64</v>
      </c>
      <c r="E613" s="2" t="s">
        <v>26</v>
      </c>
      <c r="F613" s="3">
        <v>169</v>
      </c>
      <c r="G613" s="3">
        <v>68</v>
      </c>
      <c r="H613" s="11">
        <f t="shared" si="127"/>
        <v>23.808690171912751</v>
      </c>
      <c r="I613" s="2">
        <v>66</v>
      </c>
      <c r="J613" s="3">
        <v>120</v>
      </c>
      <c r="K613" s="3">
        <v>80</v>
      </c>
      <c r="L613" s="10">
        <f t="shared" si="128"/>
        <v>2</v>
      </c>
      <c r="M613" s="10">
        <f t="shared" ca="1" si="129"/>
        <v>2</v>
      </c>
      <c r="N613" s="10">
        <f t="shared" si="130"/>
        <v>0</v>
      </c>
      <c r="O613" s="10">
        <f t="shared" si="131"/>
        <v>3</v>
      </c>
      <c r="P613" s="10">
        <f t="shared" si="132"/>
        <v>0</v>
      </c>
      <c r="Q613" s="10">
        <f t="shared" si="133"/>
        <v>0</v>
      </c>
      <c r="R613" s="10">
        <f t="shared" ca="1" si="134"/>
        <v>7</v>
      </c>
      <c r="S613" s="10" t="str">
        <f t="shared" ca="1" si="135"/>
        <v>Có</v>
      </c>
      <c r="T613" s="10" t="str">
        <f t="shared" ca="1" si="136"/>
        <v>Có</v>
      </c>
      <c r="U613" s="10" t="str">
        <f t="shared" si="137"/>
        <v>Không</v>
      </c>
      <c r="V613" s="2" t="s">
        <v>51</v>
      </c>
      <c r="W613" s="4">
        <v>46142</v>
      </c>
      <c r="X613" s="8" t="str">
        <f t="shared" si="138"/>
        <v>Tháng 4</v>
      </c>
      <c r="Y613" s="8" t="str">
        <f t="shared" si="139"/>
        <v>Phường Hiệp Thành</v>
      </c>
    </row>
    <row r="614" spans="1:25" x14ac:dyDescent="0.25">
      <c r="A614" s="1" t="s">
        <v>849</v>
      </c>
      <c r="B614" s="2" t="s">
        <v>23</v>
      </c>
      <c r="C614" s="2" t="s">
        <v>105</v>
      </c>
      <c r="D614" s="10">
        <f t="shared" ca="1" si="126"/>
        <v>60</v>
      </c>
      <c r="E614" s="2" t="s">
        <v>26</v>
      </c>
      <c r="F614" s="3">
        <v>158</v>
      </c>
      <c r="G614" s="3">
        <v>58</v>
      </c>
      <c r="H614" s="11">
        <f t="shared" si="127"/>
        <v>23.233456176894723</v>
      </c>
      <c r="I614" s="2">
        <v>82</v>
      </c>
      <c r="J614" s="3">
        <v>120</v>
      </c>
      <c r="K614" s="3">
        <v>80</v>
      </c>
      <c r="L614" s="10">
        <f t="shared" si="128"/>
        <v>0</v>
      </c>
      <c r="M614" s="10">
        <f t="shared" ca="1" si="129"/>
        <v>2</v>
      </c>
      <c r="N614" s="10">
        <f t="shared" si="130"/>
        <v>0</v>
      </c>
      <c r="O614" s="10">
        <f t="shared" si="131"/>
        <v>3</v>
      </c>
      <c r="P614" s="10">
        <f t="shared" si="132"/>
        <v>2</v>
      </c>
      <c r="Q614" s="10">
        <f t="shared" si="133"/>
        <v>0</v>
      </c>
      <c r="R614" s="10">
        <f t="shared" ca="1" si="134"/>
        <v>7</v>
      </c>
      <c r="S614" s="10" t="str">
        <f t="shared" ca="1" si="135"/>
        <v>Có</v>
      </c>
      <c r="T614" s="10" t="str">
        <f t="shared" ca="1" si="136"/>
        <v>Có</v>
      </c>
      <c r="U614" s="10" t="str">
        <f t="shared" si="137"/>
        <v>Không</v>
      </c>
      <c r="V614" s="2" t="s">
        <v>850</v>
      </c>
      <c r="W614" s="4">
        <v>46142</v>
      </c>
      <c r="X614" s="8" t="str">
        <f t="shared" si="138"/>
        <v>Tháng 4</v>
      </c>
      <c r="Y614" s="8" t="str">
        <f t="shared" si="139"/>
        <v>Hiệp Thành</v>
      </c>
    </row>
    <row r="615" spans="1:25" x14ac:dyDescent="0.25">
      <c r="A615" s="1" t="s">
        <v>851</v>
      </c>
      <c r="B615" s="2" t="s">
        <v>30</v>
      </c>
      <c r="C615" s="2" t="s">
        <v>268</v>
      </c>
      <c r="D615" s="10">
        <f t="shared" ca="1" si="126"/>
        <v>44</v>
      </c>
      <c r="E615" s="2" t="s">
        <v>26</v>
      </c>
      <c r="F615" s="3">
        <v>163</v>
      </c>
      <c r="G615" s="3">
        <v>60</v>
      </c>
      <c r="H615" s="11">
        <f t="shared" si="127"/>
        <v>22.582709172343712</v>
      </c>
      <c r="I615" s="2">
        <v>78</v>
      </c>
      <c r="J615" s="3">
        <v>120</v>
      </c>
      <c r="K615" s="3">
        <v>70</v>
      </c>
      <c r="L615" s="10">
        <f t="shared" si="128"/>
        <v>2</v>
      </c>
      <c r="M615" s="10">
        <f t="shared" ca="1" si="129"/>
        <v>0</v>
      </c>
      <c r="N615" s="10">
        <f t="shared" si="130"/>
        <v>0</v>
      </c>
      <c r="O615" s="10">
        <f t="shared" si="131"/>
        <v>0</v>
      </c>
      <c r="P615" s="10">
        <f t="shared" si="132"/>
        <v>0</v>
      </c>
      <c r="Q615" s="10">
        <f t="shared" si="133"/>
        <v>0</v>
      </c>
      <c r="R615" s="10">
        <f t="shared" ca="1" si="134"/>
        <v>2</v>
      </c>
      <c r="S615" s="10" t="str">
        <f t="shared" ca="1" si="135"/>
        <v>Không cần</v>
      </c>
      <c r="T615" s="10" t="str">
        <f t="shared" ca="1" si="136"/>
        <v>Không</v>
      </c>
      <c r="U615" s="10" t="str">
        <f t="shared" si="137"/>
        <v>Không</v>
      </c>
      <c r="V615" s="2" t="s">
        <v>852</v>
      </c>
      <c r="W615" s="4">
        <v>46142</v>
      </c>
      <c r="X615" s="8" t="str">
        <f t="shared" si="138"/>
        <v>Tháng 4</v>
      </c>
      <c r="Y615" s="8" t="str">
        <f t="shared" si="139"/>
        <v>Khóm 10</v>
      </c>
    </row>
    <row r="616" spans="1:25" x14ac:dyDescent="0.25">
      <c r="A616" s="1" t="s">
        <v>853</v>
      </c>
      <c r="B616" s="2" t="s">
        <v>23</v>
      </c>
      <c r="C616" s="2" t="s">
        <v>59</v>
      </c>
      <c r="D616" s="10">
        <f t="shared" ca="1" si="126"/>
        <v>74</v>
      </c>
      <c r="E616" s="2" t="s">
        <v>25</v>
      </c>
      <c r="F616" s="3">
        <v>158</v>
      </c>
      <c r="G616" s="3">
        <v>58</v>
      </c>
      <c r="H616" s="11">
        <f t="shared" si="127"/>
        <v>23.233456176894723</v>
      </c>
      <c r="I616" s="2">
        <v>73</v>
      </c>
      <c r="J616" s="3">
        <v>140</v>
      </c>
      <c r="K616" s="3">
        <v>80</v>
      </c>
      <c r="L616" s="10">
        <f t="shared" si="128"/>
        <v>0</v>
      </c>
      <c r="M616" s="10">
        <f t="shared" ca="1" si="129"/>
        <v>2</v>
      </c>
      <c r="N616" s="10">
        <f t="shared" si="130"/>
        <v>4</v>
      </c>
      <c r="O616" s="10">
        <f t="shared" si="131"/>
        <v>3</v>
      </c>
      <c r="P616" s="10">
        <f t="shared" si="132"/>
        <v>0</v>
      </c>
      <c r="Q616" s="10">
        <f t="shared" si="133"/>
        <v>2</v>
      </c>
      <c r="R616" s="10">
        <f t="shared" ca="1" si="134"/>
        <v>11</v>
      </c>
      <c r="S616" s="10" t="str">
        <f t="shared" ca="1" si="135"/>
        <v>Có</v>
      </c>
      <c r="T616" s="10" t="str">
        <f t="shared" ca="1" si="136"/>
        <v>Có</v>
      </c>
      <c r="U616" s="10" t="str">
        <f t="shared" si="137"/>
        <v>Có</v>
      </c>
      <c r="V616" s="2" t="s">
        <v>51</v>
      </c>
      <c r="W616" s="4">
        <v>46142</v>
      </c>
      <c r="X616" s="8" t="str">
        <f t="shared" si="138"/>
        <v>Tháng 4</v>
      </c>
      <c r="Y616" s="8" t="str">
        <f t="shared" si="139"/>
        <v>Phường Hiệp Thành</v>
      </c>
    </row>
    <row r="617" spans="1:25" x14ac:dyDescent="0.25">
      <c r="A617" s="1" t="s">
        <v>854</v>
      </c>
      <c r="B617" s="2" t="s">
        <v>30</v>
      </c>
      <c r="C617" s="2" t="s">
        <v>105</v>
      </c>
      <c r="D617" s="10">
        <f t="shared" ca="1" si="126"/>
        <v>60</v>
      </c>
      <c r="E617" s="2" t="s">
        <v>25</v>
      </c>
      <c r="F617" s="3">
        <v>160</v>
      </c>
      <c r="G617" s="3">
        <v>60</v>
      </c>
      <c r="H617" s="11">
        <f t="shared" si="127"/>
        <v>23.437499999999996</v>
      </c>
      <c r="I617" s="2">
        <v>96</v>
      </c>
      <c r="J617" s="3">
        <v>120</v>
      </c>
      <c r="K617" s="3">
        <v>80</v>
      </c>
      <c r="L617" s="10">
        <f t="shared" si="128"/>
        <v>2</v>
      </c>
      <c r="M617" s="10">
        <f t="shared" ca="1" si="129"/>
        <v>2</v>
      </c>
      <c r="N617" s="10">
        <f t="shared" si="130"/>
        <v>4</v>
      </c>
      <c r="O617" s="10">
        <f t="shared" si="131"/>
        <v>3</v>
      </c>
      <c r="P617" s="10">
        <f t="shared" si="132"/>
        <v>2</v>
      </c>
      <c r="Q617" s="10">
        <f t="shared" si="133"/>
        <v>0</v>
      </c>
      <c r="R617" s="10">
        <f t="shared" ca="1" si="134"/>
        <v>13</v>
      </c>
      <c r="S617" s="10" t="str">
        <f t="shared" ca="1" si="135"/>
        <v>Có</v>
      </c>
      <c r="T617" s="10" t="str">
        <f t="shared" ca="1" si="136"/>
        <v>Có</v>
      </c>
      <c r="U617" s="10" t="str">
        <f t="shared" si="137"/>
        <v>Không</v>
      </c>
      <c r="V617" s="2" t="s">
        <v>855</v>
      </c>
      <c r="W617" s="4">
        <v>46142</v>
      </c>
      <c r="X617" s="8" t="str">
        <f t="shared" si="138"/>
        <v>Tháng 4</v>
      </c>
      <c r="Y617" s="8" t="str">
        <f t="shared" si="139"/>
        <v>Đầu Lộ</v>
      </c>
    </row>
    <row r="618" spans="1:25" x14ac:dyDescent="0.25">
      <c r="A618" s="1" t="s">
        <v>856</v>
      </c>
      <c r="B618" s="2" t="s">
        <v>23</v>
      </c>
      <c r="C618" s="2" t="s">
        <v>163</v>
      </c>
      <c r="D618" s="10">
        <f t="shared" ca="1" si="126"/>
        <v>46</v>
      </c>
      <c r="E618" s="2" t="s">
        <v>26</v>
      </c>
      <c r="F618" s="3">
        <v>158</v>
      </c>
      <c r="G618" s="3">
        <v>58</v>
      </c>
      <c r="H618" s="11">
        <f t="shared" si="127"/>
        <v>23.233456176894723</v>
      </c>
      <c r="I618" s="2">
        <v>75</v>
      </c>
      <c r="J618" s="3">
        <v>120</v>
      </c>
      <c r="K618" s="3">
        <v>80</v>
      </c>
      <c r="L618" s="10">
        <f t="shared" si="128"/>
        <v>0</v>
      </c>
      <c r="M618" s="10">
        <f t="shared" ca="1" si="129"/>
        <v>1</v>
      </c>
      <c r="N618" s="10">
        <f t="shared" si="130"/>
        <v>0</v>
      </c>
      <c r="O618" s="10">
        <f t="shared" si="131"/>
        <v>3</v>
      </c>
      <c r="P618" s="10">
        <f t="shared" si="132"/>
        <v>0</v>
      </c>
      <c r="Q618" s="10">
        <f t="shared" si="133"/>
        <v>0</v>
      </c>
      <c r="R618" s="10">
        <f t="shared" ca="1" si="134"/>
        <v>4</v>
      </c>
      <c r="S618" s="10" t="str">
        <f t="shared" ca="1" si="135"/>
        <v>Không cần</v>
      </c>
      <c r="T618" s="10" t="str">
        <f t="shared" ca="1" si="136"/>
        <v>Không</v>
      </c>
      <c r="U618" s="10" t="str">
        <f t="shared" si="137"/>
        <v>Không</v>
      </c>
      <c r="V618" s="2" t="s">
        <v>857</v>
      </c>
      <c r="W618" s="4">
        <v>46112</v>
      </c>
      <c r="X618" s="8" t="str">
        <f t="shared" si="138"/>
        <v>Tháng 3</v>
      </c>
      <c r="Y618" s="8" t="str">
        <f t="shared" si="139"/>
        <v>Xã Vĩnh Hậu</v>
      </c>
    </row>
    <row r="619" spans="1:25" x14ac:dyDescent="0.25">
      <c r="A619" s="1" t="s">
        <v>858</v>
      </c>
      <c r="B619" s="2" t="s">
        <v>30</v>
      </c>
      <c r="C619" s="2" t="s">
        <v>40</v>
      </c>
      <c r="D619" s="10">
        <f t="shared" ca="1" si="126"/>
        <v>70</v>
      </c>
      <c r="E619" s="2" t="s">
        <v>26</v>
      </c>
      <c r="F619" s="3">
        <v>169</v>
      </c>
      <c r="G619" s="3">
        <v>68</v>
      </c>
      <c r="H619" s="11">
        <f t="shared" si="127"/>
        <v>23.808690171912751</v>
      </c>
      <c r="I619" s="2">
        <v>69</v>
      </c>
      <c r="J619" s="3">
        <v>160</v>
      </c>
      <c r="K619" s="3">
        <v>80</v>
      </c>
      <c r="L619" s="10">
        <f t="shared" si="128"/>
        <v>2</v>
      </c>
      <c r="M619" s="10">
        <f t="shared" ca="1" si="129"/>
        <v>2</v>
      </c>
      <c r="N619" s="10">
        <f t="shared" si="130"/>
        <v>0</v>
      </c>
      <c r="O619" s="10">
        <f t="shared" si="131"/>
        <v>3</v>
      </c>
      <c r="P619" s="10">
        <f t="shared" si="132"/>
        <v>0</v>
      </c>
      <c r="Q619" s="10">
        <f t="shared" si="133"/>
        <v>2</v>
      </c>
      <c r="R619" s="10">
        <f t="shared" ca="1" si="134"/>
        <v>9</v>
      </c>
      <c r="S619" s="10" t="str">
        <f t="shared" ca="1" si="135"/>
        <v>Có</v>
      </c>
      <c r="T619" s="10" t="str">
        <f t="shared" ca="1" si="136"/>
        <v>Có</v>
      </c>
      <c r="U619" s="10" t="str">
        <f t="shared" si="137"/>
        <v>Có</v>
      </c>
      <c r="V619" s="2" t="s">
        <v>60</v>
      </c>
      <c r="W619" s="4">
        <v>46112</v>
      </c>
      <c r="X619" s="8" t="str">
        <f t="shared" si="138"/>
        <v>Tháng 3</v>
      </c>
      <c r="Y619" s="8" t="str">
        <f t="shared" si="139"/>
        <v>ấp Biển Đông A</v>
      </c>
    </row>
    <row r="620" spans="1:25" x14ac:dyDescent="0.25">
      <c r="A620" s="1" t="s">
        <v>859</v>
      </c>
      <c r="B620" s="2" t="s">
        <v>23</v>
      </c>
      <c r="C620" s="2" t="s">
        <v>40</v>
      </c>
      <c r="D620" s="10">
        <f t="shared" ca="1" si="126"/>
        <v>70</v>
      </c>
      <c r="E620" s="2" t="s">
        <v>26</v>
      </c>
      <c r="F620" s="3">
        <v>158</v>
      </c>
      <c r="G620" s="3">
        <v>58</v>
      </c>
      <c r="H620" s="11">
        <f t="shared" si="127"/>
        <v>23.233456176894723</v>
      </c>
      <c r="I620" s="2">
        <v>85</v>
      </c>
      <c r="J620" s="3">
        <v>140</v>
      </c>
      <c r="K620" s="3">
        <v>80</v>
      </c>
      <c r="L620" s="10">
        <f t="shared" si="128"/>
        <v>0</v>
      </c>
      <c r="M620" s="10">
        <f t="shared" ca="1" si="129"/>
        <v>2</v>
      </c>
      <c r="N620" s="10">
        <f t="shared" si="130"/>
        <v>0</v>
      </c>
      <c r="O620" s="10">
        <f t="shared" si="131"/>
        <v>3</v>
      </c>
      <c r="P620" s="10">
        <f t="shared" si="132"/>
        <v>2</v>
      </c>
      <c r="Q620" s="10">
        <f t="shared" si="133"/>
        <v>2</v>
      </c>
      <c r="R620" s="10">
        <f t="shared" ca="1" si="134"/>
        <v>9</v>
      </c>
      <c r="S620" s="10" t="str">
        <f t="shared" ca="1" si="135"/>
        <v>Có</v>
      </c>
      <c r="T620" s="10" t="str">
        <f t="shared" ca="1" si="136"/>
        <v>Có</v>
      </c>
      <c r="U620" s="10" t="str">
        <f t="shared" si="137"/>
        <v>Có</v>
      </c>
      <c r="V620" s="2" t="s">
        <v>234</v>
      </c>
      <c r="W620" s="4">
        <v>46142</v>
      </c>
      <c r="X620" s="8" t="str">
        <f t="shared" si="138"/>
        <v>Tháng 4</v>
      </c>
      <c r="Y620" s="8" t="str">
        <f t="shared" si="139"/>
        <v>ấp Biển Đông B</v>
      </c>
    </row>
    <row r="621" spans="1:25" x14ac:dyDescent="0.25">
      <c r="A621" s="1" t="s">
        <v>860</v>
      </c>
      <c r="B621" s="2" t="s">
        <v>23</v>
      </c>
      <c r="C621" s="2" t="s">
        <v>110</v>
      </c>
      <c r="D621" s="10">
        <f t="shared" ca="1" si="126"/>
        <v>62</v>
      </c>
      <c r="E621" s="2" t="s">
        <v>25</v>
      </c>
      <c r="F621" s="3">
        <v>158</v>
      </c>
      <c r="G621" s="3">
        <v>58</v>
      </c>
      <c r="H621" s="11">
        <f t="shared" si="127"/>
        <v>23.233456176894723</v>
      </c>
      <c r="I621" s="2">
        <v>65</v>
      </c>
      <c r="J621" s="3">
        <v>130</v>
      </c>
      <c r="K621" s="3">
        <v>80</v>
      </c>
      <c r="L621" s="10">
        <f t="shared" si="128"/>
        <v>0</v>
      </c>
      <c r="M621" s="10">
        <f t="shared" ca="1" si="129"/>
        <v>2</v>
      </c>
      <c r="N621" s="10">
        <f t="shared" si="130"/>
        <v>4</v>
      </c>
      <c r="O621" s="10">
        <f t="shared" si="131"/>
        <v>3</v>
      </c>
      <c r="P621" s="10">
        <f t="shared" si="132"/>
        <v>0</v>
      </c>
      <c r="Q621" s="10">
        <f t="shared" si="133"/>
        <v>0</v>
      </c>
      <c r="R621" s="10">
        <f t="shared" ca="1" si="134"/>
        <v>9</v>
      </c>
      <c r="S621" s="10" t="str">
        <f t="shared" ca="1" si="135"/>
        <v>Có</v>
      </c>
      <c r="T621" s="10" t="str">
        <f t="shared" ca="1" si="136"/>
        <v>Có</v>
      </c>
      <c r="U621" s="10" t="str">
        <f t="shared" si="137"/>
        <v>Không</v>
      </c>
      <c r="V621" s="2" t="s">
        <v>206</v>
      </c>
      <c r="W621" s="4">
        <v>46112</v>
      </c>
      <c r="X621" s="8" t="str">
        <f t="shared" si="138"/>
        <v>Tháng 3</v>
      </c>
      <c r="Y621" s="8" t="str">
        <f t="shared" si="139"/>
        <v>Prey Chóp B</v>
      </c>
    </row>
    <row r="622" spans="1:25" x14ac:dyDescent="0.25">
      <c r="A622" s="1" t="s">
        <v>861</v>
      </c>
      <c r="B622" s="2" t="s">
        <v>23</v>
      </c>
      <c r="C622" s="2" t="s">
        <v>115</v>
      </c>
      <c r="D622" s="10">
        <f t="shared" ca="1" si="126"/>
        <v>40</v>
      </c>
      <c r="E622" s="2" t="s">
        <v>26</v>
      </c>
      <c r="F622" s="3">
        <v>158</v>
      </c>
      <c r="G622" s="3">
        <v>58</v>
      </c>
      <c r="H622" s="11">
        <f t="shared" si="127"/>
        <v>23.233456176894723</v>
      </c>
      <c r="I622" s="2">
        <v>70</v>
      </c>
      <c r="J622" s="3">
        <v>120</v>
      </c>
      <c r="K622" s="3">
        <v>80</v>
      </c>
      <c r="L622" s="10">
        <f t="shared" si="128"/>
        <v>0</v>
      </c>
      <c r="M622" s="10">
        <f t="shared" ca="1" si="129"/>
        <v>0</v>
      </c>
      <c r="N622" s="10">
        <f t="shared" si="130"/>
        <v>0</v>
      </c>
      <c r="O622" s="10">
        <f t="shared" si="131"/>
        <v>3</v>
      </c>
      <c r="P622" s="10">
        <f t="shared" si="132"/>
        <v>0</v>
      </c>
      <c r="Q622" s="10">
        <f t="shared" si="133"/>
        <v>0</v>
      </c>
      <c r="R622" s="10">
        <f t="shared" ca="1" si="134"/>
        <v>3</v>
      </c>
      <c r="S622" s="10" t="str">
        <f t="shared" ca="1" si="135"/>
        <v>Không cần</v>
      </c>
      <c r="T622" s="10" t="str">
        <f t="shared" ca="1" si="136"/>
        <v>Không</v>
      </c>
      <c r="U622" s="10" t="str">
        <f t="shared" si="137"/>
        <v>Không</v>
      </c>
      <c r="V622" s="2" t="s">
        <v>206</v>
      </c>
      <c r="W622" s="4">
        <v>46112</v>
      </c>
      <c r="X622" s="8" t="str">
        <f t="shared" si="138"/>
        <v>Tháng 3</v>
      </c>
      <c r="Y622" s="8" t="str">
        <f t="shared" si="139"/>
        <v>Prey Chóp B</v>
      </c>
    </row>
    <row r="623" spans="1:25" x14ac:dyDescent="0.25">
      <c r="A623" s="1" t="s">
        <v>862</v>
      </c>
      <c r="B623" s="2" t="s">
        <v>23</v>
      </c>
      <c r="C623" s="2" t="s">
        <v>110</v>
      </c>
      <c r="D623" s="10">
        <f t="shared" ca="1" si="126"/>
        <v>62</v>
      </c>
      <c r="E623" s="2" t="s">
        <v>26</v>
      </c>
      <c r="F623" s="3">
        <v>160</v>
      </c>
      <c r="G623" s="3">
        <v>70</v>
      </c>
      <c r="H623" s="11">
        <f t="shared" si="127"/>
        <v>27.343749999999996</v>
      </c>
      <c r="I623" s="2">
        <v>85</v>
      </c>
      <c r="J623" s="3">
        <v>140</v>
      </c>
      <c r="K623" s="3">
        <v>80</v>
      </c>
      <c r="L623" s="10">
        <f t="shared" si="128"/>
        <v>0</v>
      </c>
      <c r="M623" s="10">
        <f t="shared" ca="1" si="129"/>
        <v>2</v>
      </c>
      <c r="N623" s="10">
        <f t="shared" si="130"/>
        <v>0</v>
      </c>
      <c r="O623" s="10">
        <f t="shared" si="131"/>
        <v>3</v>
      </c>
      <c r="P623" s="10">
        <f t="shared" si="132"/>
        <v>2</v>
      </c>
      <c r="Q623" s="10">
        <f t="shared" si="133"/>
        <v>2</v>
      </c>
      <c r="R623" s="10">
        <f t="shared" ca="1" si="134"/>
        <v>9</v>
      </c>
      <c r="S623" s="10" t="str">
        <f t="shared" ca="1" si="135"/>
        <v>Có</v>
      </c>
      <c r="T623" s="10" t="str">
        <f t="shared" ca="1" si="136"/>
        <v>Có</v>
      </c>
      <c r="U623" s="10" t="str">
        <f t="shared" si="137"/>
        <v>Có</v>
      </c>
      <c r="V623" s="2" t="s">
        <v>91</v>
      </c>
      <c r="W623" s="4">
        <v>46112</v>
      </c>
      <c r="X623" s="8" t="str">
        <f t="shared" si="138"/>
        <v>Tháng 3</v>
      </c>
      <c r="Y623" s="8" t="str">
        <f t="shared" si="139"/>
        <v>Ấp Giồng Giữa</v>
      </c>
    </row>
    <row r="624" spans="1:25" x14ac:dyDescent="0.25">
      <c r="A624" s="1" t="s">
        <v>863</v>
      </c>
      <c r="B624" s="2" t="s">
        <v>30</v>
      </c>
      <c r="C624" s="2" t="s">
        <v>110</v>
      </c>
      <c r="D624" s="10">
        <f t="shared" ca="1" si="126"/>
        <v>62</v>
      </c>
      <c r="E624" s="2" t="s">
        <v>25</v>
      </c>
      <c r="F624" s="3">
        <v>169</v>
      </c>
      <c r="G624" s="3">
        <v>68</v>
      </c>
      <c r="H624" s="11">
        <f t="shared" si="127"/>
        <v>23.808690171912751</v>
      </c>
      <c r="I624" s="2">
        <v>82</v>
      </c>
      <c r="J624" s="3">
        <v>120</v>
      </c>
      <c r="K624" s="3">
        <v>80</v>
      </c>
      <c r="L624" s="10">
        <f t="shared" si="128"/>
        <v>2</v>
      </c>
      <c r="M624" s="10">
        <f t="shared" ca="1" si="129"/>
        <v>2</v>
      </c>
      <c r="N624" s="10">
        <f t="shared" si="130"/>
        <v>4</v>
      </c>
      <c r="O624" s="10">
        <f t="shared" si="131"/>
        <v>3</v>
      </c>
      <c r="P624" s="10">
        <f t="shared" si="132"/>
        <v>0</v>
      </c>
      <c r="Q624" s="10">
        <f t="shared" si="133"/>
        <v>0</v>
      </c>
      <c r="R624" s="10">
        <f t="shared" ca="1" si="134"/>
        <v>11</v>
      </c>
      <c r="S624" s="10" t="str">
        <f t="shared" ca="1" si="135"/>
        <v>Có</v>
      </c>
      <c r="T624" s="10" t="str">
        <f t="shared" ca="1" si="136"/>
        <v>Có</v>
      </c>
      <c r="U624" s="10" t="str">
        <f t="shared" si="137"/>
        <v>Không</v>
      </c>
      <c r="V624" s="2" t="s">
        <v>850</v>
      </c>
      <c r="W624" s="4">
        <v>46112</v>
      </c>
      <c r="X624" s="8" t="str">
        <f t="shared" si="138"/>
        <v>Tháng 3</v>
      </c>
      <c r="Y624" s="8" t="str">
        <f t="shared" si="139"/>
        <v>Hiệp Thành</v>
      </c>
    </row>
    <row r="625" spans="1:25" x14ac:dyDescent="0.25">
      <c r="A625" s="1" t="s">
        <v>416</v>
      </c>
      <c r="B625" s="2" t="s">
        <v>23</v>
      </c>
      <c r="C625" s="2" t="s">
        <v>133</v>
      </c>
      <c r="D625" s="10">
        <f t="shared" ca="1" si="126"/>
        <v>56</v>
      </c>
      <c r="E625" s="2" t="s">
        <v>26</v>
      </c>
      <c r="F625" s="3">
        <v>158</v>
      </c>
      <c r="G625" s="3">
        <v>58</v>
      </c>
      <c r="H625" s="11">
        <f t="shared" si="127"/>
        <v>23.233456176894723</v>
      </c>
      <c r="I625" s="2">
        <v>84</v>
      </c>
      <c r="J625" s="3">
        <v>140</v>
      </c>
      <c r="K625" s="3">
        <v>80</v>
      </c>
      <c r="L625" s="10">
        <f t="shared" si="128"/>
        <v>0</v>
      </c>
      <c r="M625" s="10">
        <f t="shared" ca="1" si="129"/>
        <v>2</v>
      </c>
      <c r="N625" s="10">
        <f t="shared" si="130"/>
        <v>0</v>
      </c>
      <c r="O625" s="10">
        <f t="shared" si="131"/>
        <v>3</v>
      </c>
      <c r="P625" s="10">
        <f t="shared" si="132"/>
        <v>2</v>
      </c>
      <c r="Q625" s="10">
        <f t="shared" si="133"/>
        <v>2</v>
      </c>
      <c r="R625" s="10">
        <f t="shared" ca="1" si="134"/>
        <v>9</v>
      </c>
      <c r="S625" s="10" t="str">
        <f t="shared" ca="1" si="135"/>
        <v>Có</v>
      </c>
      <c r="T625" s="10" t="str">
        <f t="shared" ca="1" si="136"/>
        <v>Có</v>
      </c>
      <c r="U625" s="10" t="str">
        <f t="shared" si="137"/>
        <v>Có</v>
      </c>
      <c r="V625" s="2" t="s">
        <v>68</v>
      </c>
      <c r="W625" s="4">
        <v>46142</v>
      </c>
      <c r="X625" s="8" t="str">
        <f t="shared" si="138"/>
        <v>Tháng 4</v>
      </c>
      <c r="Y625" s="8" t="str">
        <f t="shared" si="139"/>
        <v>Ấp Biển Tây B</v>
      </c>
    </row>
    <row r="626" spans="1:25" x14ac:dyDescent="0.25">
      <c r="A626" s="1" t="s">
        <v>864</v>
      </c>
      <c r="B626" s="2" t="s">
        <v>23</v>
      </c>
      <c r="C626" s="2" t="s">
        <v>110</v>
      </c>
      <c r="D626" s="10">
        <f t="shared" ca="1" si="126"/>
        <v>62</v>
      </c>
      <c r="E626" s="2" t="s">
        <v>25</v>
      </c>
      <c r="F626" s="3">
        <v>158</v>
      </c>
      <c r="G626" s="3">
        <v>58</v>
      </c>
      <c r="H626" s="11">
        <f t="shared" si="127"/>
        <v>23.233456176894723</v>
      </c>
      <c r="I626" s="2">
        <v>81</v>
      </c>
      <c r="J626" s="3">
        <v>120</v>
      </c>
      <c r="K626" s="3">
        <v>80</v>
      </c>
      <c r="L626" s="10">
        <f t="shared" si="128"/>
        <v>0</v>
      </c>
      <c r="M626" s="10">
        <f t="shared" ca="1" si="129"/>
        <v>2</v>
      </c>
      <c r="N626" s="10">
        <f t="shared" si="130"/>
        <v>4</v>
      </c>
      <c r="O626" s="10">
        <f t="shared" si="131"/>
        <v>3</v>
      </c>
      <c r="P626" s="10">
        <f t="shared" si="132"/>
        <v>2</v>
      </c>
      <c r="Q626" s="10">
        <f t="shared" si="133"/>
        <v>0</v>
      </c>
      <c r="R626" s="10">
        <f t="shared" ca="1" si="134"/>
        <v>11</v>
      </c>
      <c r="S626" s="10" t="str">
        <f t="shared" ca="1" si="135"/>
        <v>Có</v>
      </c>
      <c r="T626" s="10" t="str">
        <f t="shared" ca="1" si="136"/>
        <v>Có</v>
      </c>
      <c r="U626" s="10" t="str">
        <f t="shared" si="137"/>
        <v>Không</v>
      </c>
      <c r="V626" s="2" t="s">
        <v>51</v>
      </c>
      <c r="W626" s="4">
        <v>46142</v>
      </c>
      <c r="X626" s="8" t="str">
        <f t="shared" si="138"/>
        <v>Tháng 4</v>
      </c>
      <c r="Y626" s="8" t="str">
        <f t="shared" si="139"/>
        <v>Phường Hiệp Thành</v>
      </c>
    </row>
    <row r="627" spans="1:25" x14ac:dyDescent="0.25">
      <c r="A627" s="1" t="s">
        <v>865</v>
      </c>
      <c r="B627" s="2" t="s">
        <v>30</v>
      </c>
      <c r="C627" s="2" t="s">
        <v>337</v>
      </c>
      <c r="D627" s="10">
        <f t="shared" ca="1" si="126"/>
        <v>86</v>
      </c>
      <c r="E627" s="2" t="s">
        <v>26</v>
      </c>
      <c r="F627" s="3">
        <v>169</v>
      </c>
      <c r="G627" s="3">
        <v>68</v>
      </c>
      <c r="H627" s="11">
        <f t="shared" si="127"/>
        <v>23.808690171912751</v>
      </c>
      <c r="I627" s="2">
        <v>92</v>
      </c>
      <c r="J627" s="3">
        <v>120</v>
      </c>
      <c r="K627" s="3">
        <v>80</v>
      </c>
      <c r="L627" s="10">
        <f t="shared" si="128"/>
        <v>2</v>
      </c>
      <c r="M627" s="10">
        <f t="shared" ca="1" si="129"/>
        <v>2</v>
      </c>
      <c r="N627" s="10">
        <f t="shared" si="130"/>
        <v>0</v>
      </c>
      <c r="O627" s="10">
        <f t="shared" si="131"/>
        <v>3</v>
      </c>
      <c r="P627" s="10">
        <f t="shared" si="132"/>
        <v>2</v>
      </c>
      <c r="Q627" s="10">
        <f t="shared" si="133"/>
        <v>0</v>
      </c>
      <c r="R627" s="10">
        <f t="shared" ca="1" si="134"/>
        <v>9</v>
      </c>
      <c r="S627" s="10" t="str">
        <f t="shared" ca="1" si="135"/>
        <v>Có</v>
      </c>
      <c r="T627" s="10" t="str">
        <f t="shared" ca="1" si="136"/>
        <v>Có</v>
      </c>
      <c r="U627" s="10" t="str">
        <f t="shared" si="137"/>
        <v>Không</v>
      </c>
      <c r="V627" s="2" t="s">
        <v>51</v>
      </c>
      <c r="W627" s="4">
        <v>46142</v>
      </c>
      <c r="X627" s="8" t="str">
        <f t="shared" si="138"/>
        <v>Tháng 4</v>
      </c>
      <c r="Y627" s="8" t="str">
        <f t="shared" si="139"/>
        <v>Phường Hiệp Thành</v>
      </c>
    </row>
    <row r="628" spans="1:25" x14ac:dyDescent="0.25">
      <c r="A628" s="1" t="s">
        <v>866</v>
      </c>
      <c r="B628" s="2" t="s">
        <v>30</v>
      </c>
      <c r="C628" s="2" t="s">
        <v>273</v>
      </c>
      <c r="D628" s="10">
        <f t="shared" ca="1" si="126"/>
        <v>47</v>
      </c>
      <c r="E628" s="2" t="s">
        <v>26</v>
      </c>
      <c r="F628" s="3">
        <v>169</v>
      </c>
      <c r="G628" s="3">
        <v>68</v>
      </c>
      <c r="H628" s="11">
        <f t="shared" si="127"/>
        <v>23.808690171912751</v>
      </c>
      <c r="I628" s="2">
        <v>82</v>
      </c>
      <c r="J628" s="3">
        <v>120</v>
      </c>
      <c r="K628" s="3">
        <v>80</v>
      </c>
      <c r="L628" s="10">
        <f t="shared" si="128"/>
        <v>2</v>
      </c>
      <c r="M628" s="10">
        <f t="shared" ca="1" si="129"/>
        <v>1</v>
      </c>
      <c r="N628" s="10">
        <f t="shared" si="130"/>
        <v>0</v>
      </c>
      <c r="O628" s="10">
        <f t="shared" si="131"/>
        <v>3</v>
      </c>
      <c r="P628" s="10">
        <f t="shared" si="132"/>
        <v>0</v>
      </c>
      <c r="Q628" s="10">
        <f t="shared" si="133"/>
        <v>0</v>
      </c>
      <c r="R628" s="10">
        <f t="shared" ca="1" si="134"/>
        <v>6</v>
      </c>
      <c r="S628" s="10" t="str">
        <f t="shared" ca="1" si="135"/>
        <v>Có</v>
      </c>
      <c r="T628" s="10" t="str">
        <f t="shared" ca="1" si="136"/>
        <v>Có</v>
      </c>
      <c r="U628" s="10" t="str">
        <f t="shared" si="137"/>
        <v>Không</v>
      </c>
      <c r="V628" s="2" t="s">
        <v>60</v>
      </c>
      <c r="W628" s="4">
        <v>46142</v>
      </c>
      <c r="X628" s="8" t="str">
        <f t="shared" si="138"/>
        <v>Tháng 4</v>
      </c>
      <c r="Y628" s="8" t="str">
        <f t="shared" si="139"/>
        <v>ấp Biển Đông A</v>
      </c>
    </row>
    <row r="629" spans="1:25" x14ac:dyDescent="0.25">
      <c r="A629" s="1" t="s">
        <v>867</v>
      </c>
      <c r="B629" s="2" t="s">
        <v>23</v>
      </c>
      <c r="C629" s="2" t="s">
        <v>80</v>
      </c>
      <c r="D629" s="10">
        <f t="shared" ca="1" si="126"/>
        <v>71</v>
      </c>
      <c r="E629" s="2" t="s">
        <v>26</v>
      </c>
      <c r="F629" s="3">
        <v>158</v>
      </c>
      <c r="G629" s="3">
        <v>58</v>
      </c>
      <c r="H629" s="11">
        <f t="shared" si="127"/>
        <v>23.233456176894723</v>
      </c>
      <c r="I629" s="2">
        <v>85</v>
      </c>
      <c r="J629" s="3">
        <v>140</v>
      </c>
      <c r="K629" s="3">
        <v>80</v>
      </c>
      <c r="L629" s="10">
        <f t="shared" si="128"/>
        <v>0</v>
      </c>
      <c r="M629" s="10">
        <f t="shared" ca="1" si="129"/>
        <v>2</v>
      </c>
      <c r="N629" s="10">
        <f t="shared" si="130"/>
        <v>0</v>
      </c>
      <c r="O629" s="10">
        <f t="shared" si="131"/>
        <v>3</v>
      </c>
      <c r="P629" s="10">
        <f t="shared" si="132"/>
        <v>2</v>
      </c>
      <c r="Q629" s="10">
        <f t="shared" si="133"/>
        <v>2</v>
      </c>
      <c r="R629" s="10">
        <f t="shared" ca="1" si="134"/>
        <v>9</v>
      </c>
      <c r="S629" s="10" t="str">
        <f t="shared" ca="1" si="135"/>
        <v>Có</v>
      </c>
      <c r="T629" s="10" t="str">
        <f t="shared" ca="1" si="136"/>
        <v>Có</v>
      </c>
      <c r="U629" s="10" t="str">
        <f t="shared" si="137"/>
        <v>Có</v>
      </c>
      <c r="V629" s="2" t="s">
        <v>51</v>
      </c>
      <c r="W629" s="4">
        <v>46142</v>
      </c>
      <c r="X629" s="8" t="str">
        <f t="shared" si="138"/>
        <v>Tháng 4</v>
      </c>
      <c r="Y629" s="8" t="str">
        <f t="shared" si="139"/>
        <v>Phường Hiệp Thành</v>
      </c>
    </row>
    <row r="630" spans="1:25" x14ac:dyDescent="0.25">
      <c r="A630" s="1" t="s">
        <v>868</v>
      </c>
      <c r="B630" s="2" t="s">
        <v>23</v>
      </c>
      <c r="C630" s="2" t="s">
        <v>133</v>
      </c>
      <c r="D630" s="10">
        <f t="shared" ca="1" si="126"/>
        <v>56</v>
      </c>
      <c r="E630" s="2" t="s">
        <v>26</v>
      </c>
      <c r="F630" s="3">
        <v>154</v>
      </c>
      <c r="G630" s="3">
        <v>54</v>
      </c>
      <c r="H630" s="11">
        <f t="shared" si="127"/>
        <v>22.769438353853939</v>
      </c>
      <c r="I630" s="2">
        <v>76</v>
      </c>
      <c r="J630" s="3">
        <v>120</v>
      </c>
      <c r="K630" s="3">
        <v>80</v>
      </c>
      <c r="L630" s="10">
        <f t="shared" si="128"/>
        <v>0</v>
      </c>
      <c r="M630" s="10">
        <f t="shared" ca="1" si="129"/>
        <v>2</v>
      </c>
      <c r="N630" s="10">
        <f t="shared" si="130"/>
        <v>0</v>
      </c>
      <c r="O630" s="10">
        <f t="shared" si="131"/>
        <v>0</v>
      </c>
      <c r="P630" s="10">
        <f t="shared" si="132"/>
        <v>0</v>
      </c>
      <c r="Q630" s="10">
        <f t="shared" si="133"/>
        <v>0</v>
      </c>
      <c r="R630" s="10">
        <f t="shared" ca="1" si="134"/>
        <v>2</v>
      </c>
      <c r="S630" s="10" t="str">
        <f t="shared" ca="1" si="135"/>
        <v>Không cần</v>
      </c>
      <c r="T630" s="10" t="str">
        <f t="shared" ca="1" si="136"/>
        <v>Không</v>
      </c>
      <c r="U630" s="10" t="str">
        <f t="shared" si="137"/>
        <v>Không</v>
      </c>
      <c r="V630" s="2" t="s">
        <v>869</v>
      </c>
      <c r="W630" s="4">
        <v>46142</v>
      </c>
      <c r="X630" s="8" t="str">
        <f t="shared" si="138"/>
        <v>Tháng 4</v>
      </c>
      <c r="Y630" s="8" t="str">
        <f t="shared" si="139"/>
        <v>Văn Đức A</v>
      </c>
    </row>
    <row r="631" spans="1:25" x14ac:dyDescent="0.25">
      <c r="A631" s="1" t="s">
        <v>870</v>
      </c>
      <c r="B631" s="2" t="s">
        <v>30</v>
      </c>
      <c r="C631" s="2" t="s">
        <v>59</v>
      </c>
      <c r="D631" s="10">
        <f t="shared" ca="1" si="126"/>
        <v>74</v>
      </c>
      <c r="E631" s="2" t="s">
        <v>25</v>
      </c>
      <c r="F631" s="3">
        <v>169</v>
      </c>
      <c r="G631" s="3">
        <v>68</v>
      </c>
      <c r="H631" s="11">
        <f t="shared" si="127"/>
        <v>23.808690171912751</v>
      </c>
      <c r="I631" s="2">
        <v>69</v>
      </c>
      <c r="J631" s="3">
        <v>170</v>
      </c>
      <c r="K631" s="3">
        <v>80</v>
      </c>
      <c r="L631" s="10">
        <f t="shared" si="128"/>
        <v>2</v>
      </c>
      <c r="M631" s="10">
        <f t="shared" ca="1" si="129"/>
        <v>2</v>
      </c>
      <c r="N631" s="10">
        <f t="shared" si="130"/>
        <v>4</v>
      </c>
      <c r="O631" s="10">
        <f t="shared" si="131"/>
        <v>3</v>
      </c>
      <c r="P631" s="10">
        <f t="shared" si="132"/>
        <v>0</v>
      </c>
      <c r="Q631" s="10">
        <f t="shared" si="133"/>
        <v>2</v>
      </c>
      <c r="R631" s="10">
        <f t="shared" ca="1" si="134"/>
        <v>13</v>
      </c>
      <c r="S631" s="10" t="str">
        <f t="shared" ca="1" si="135"/>
        <v>Có</v>
      </c>
      <c r="T631" s="10" t="str">
        <f t="shared" ca="1" si="136"/>
        <v>Có</v>
      </c>
      <c r="U631" s="10" t="str">
        <f t="shared" si="137"/>
        <v>Có</v>
      </c>
      <c r="V631" s="2" t="s">
        <v>28</v>
      </c>
      <c r="W631" s="4">
        <v>46142</v>
      </c>
      <c r="X631" s="8" t="str">
        <f t="shared" si="138"/>
        <v>Tháng 4</v>
      </c>
      <c r="Y631" s="8" t="str">
        <f t="shared" si="139"/>
        <v>Ấp Biển Đông A</v>
      </c>
    </row>
    <row r="632" spans="1:25" x14ac:dyDescent="0.25">
      <c r="A632" s="1" t="s">
        <v>871</v>
      </c>
      <c r="B632" s="2" t="s">
        <v>23</v>
      </c>
      <c r="C632" s="2" t="s">
        <v>64</v>
      </c>
      <c r="D632" s="10">
        <f t="shared" ca="1" si="126"/>
        <v>42</v>
      </c>
      <c r="E632" s="2" t="s">
        <v>26</v>
      </c>
      <c r="F632" s="3">
        <v>173</v>
      </c>
      <c r="G632" s="3">
        <v>71</v>
      </c>
      <c r="H632" s="11">
        <f t="shared" si="127"/>
        <v>23.722810651876106</v>
      </c>
      <c r="I632" s="2">
        <v>87</v>
      </c>
      <c r="J632" s="3">
        <v>120</v>
      </c>
      <c r="K632" s="3">
        <v>80</v>
      </c>
      <c r="L632" s="10">
        <f t="shared" si="128"/>
        <v>0</v>
      </c>
      <c r="M632" s="10">
        <f t="shared" ca="1" si="129"/>
        <v>0</v>
      </c>
      <c r="N632" s="10">
        <f t="shared" si="130"/>
        <v>0</v>
      </c>
      <c r="O632" s="10">
        <f t="shared" si="131"/>
        <v>3</v>
      </c>
      <c r="P632" s="10">
        <f t="shared" si="132"/>
        <v>2</v>
      </c>
      <c r="Q632" s="10">
        <f t="shared" si="133"/>
        <v>0</v>
      </c>
      <c r="R632" s="10">
        <f t="shared" ca="1" si="134"/>
        <v>5</v>
      </c>
      <c r="S632" s="10" t="str">
        <f t="shared" ca="1" si="135"/>
        <v>Không cần</v>
      </c>
      <c r="T632" s="10" t="str">
        <f t="shared" ca="1" si="136"/>
        <v>Không</v>
      </c>
      <c r="U632" s="10" t="str">
        <f t="shared" si="137"/>
        <v>Không</v>
      </c>
      <c r="V632" s="2" t="s">
        <v>872</v>
      </c>
      <c r="W632" s="4">
        <v>46142</v>
      </c>
      <c r="X632" s="8" t="str">
        <f t="shared" si="138"/>
        <v>Tháng 4</v>
      </c>
      <c r="Y632" s="8" t="str">
        <f t="shared" si="139"/>
        <v>KHÓM ĐẦU LỘ</v>
      </c>
    </row>
    <row r="633" spans="1:25" x14ac:dyDescent="0.25">
      <c r="A633" s="1" t="s">
        <v>873</v>
      </c>
      <c r="B633" s="2" t="s">
        <v>30</v>
      </c>
      <c r="C633" s="2" t="s">
        <v>163</v>
      </c>
      <c r="D633" s="10">
        <f t="shared" ca="1" si="126"/>
        <v>46</v>
      </c>
      <c r="E633" s="2" t="s">
        <v>26</v>
      </c>
      <c r="F633" s="3">
        <v>163</v>
      </c>
      <c r="G633" s="3">
        <v>52</v>
      </c>
      <c r="H633" s="11">
        <f t="shared" si="127"/>
        <v>19.571681282697881</v>
      </c>
      <c r="I633" s="2">
        <v>86</v>
      </c>
      <c r="J633" s="3">
        <v>120</v>
      </c>
      <c r="K633" s="3">
        <v>80</v>
      </c>
      <c r="L633" s="10">
        <f t="shared" si="128"/>
        <v>2</v>
      </c>
      <c r="M633" s="10">
        <f t="shared" ca="1" si="129"/>
        <v>1</v>
      </c>
      <c r="N633" s="10">
        <f t="shared" si="130"/>
        <v>0</v>
      </c>
      <c r="O633" s="10">
        <f t="shared" si="131"/>
        <v>0</v>
      </c>
      <c r="P633" s="10">
        <f t="shared" si="132"/>
        <v>0</v>
      </c>
      <c r="Q633" s="10">
        <f t="shared" si="133"/>
        <v>0</v>
      </c>
      <c r="R633" s="10">
        <f t="shared" ca="1" si="134"/>
        <v>3</v>
      </c>
      <c r="S633" s="10" t="str">
        <f t="shared" ca="1" si="135"/>
        <v>Không cần</v>
      </c>
      <c r="T633" s="10" t="str">
        <f t="shared" ca="1" si="136"/>
        <v>Không</v>
      </c>
      <c r="U633" s="10" t="str">
        <f t="shared" si="137"/>
        <v>Không</v>
      </c>
      <c r="V633" s="2" t="s">
        <v>38</v>
      </c>
      <c r="W633" s="4">
        <v>46112</v>
      </c>
      <c r="X633" s="8" t="str">
        <f t="shared" si="138"/>
        <v>Tháng 3</v>
      </c>
      <c r="Y633" s="8" t="str">
        <f t="shared" si="139"/>
        <v>Ấp Biển Đông B</v>
      </c>
    </row>
    <row r="634" spans="1:25" x14ac:dyDescent="0.25">
      <c r="A634" s="1" t="s">
        <v>874</v>
      </c>
      <c r="B634" s="2" t="s">
        <v>30</v>
      </c>
      <c r="C634" s="2" t="s">
        <v>394</v>
      </c>
      <c r="D634" s="10">
        <f t="shared" ca="1" si="126"/>
        <v>45</v>
      </c>
      <c r="E634" s="2" t="s">
        <v>26</v>
      </c>
      <c r="F634" s="3">
        <v>168</v>
      </c>
      <c r="G634" s="3">
        <v>62</v>
      </c>
      <c r="H634" s="11">
        <f t="shared" si="127"/>
        <v>21.9671201814059</v>
      </c>
      <c r="I634" s="2">
        <v>85</v>
      </c>
      <c r="J634" s="3">
        <v>120</v>
      </c>
      <c r="K634" s="3">
        <v>70</v>
      </c>
      <c r="L634" s="10">
        <f t="shared" si="128"/>
        <v>2</v>
      </c>
      <c r="M634" s="10">
        <f t="shared" ca="1" si="129"/>
        <v>1</v>
      </c>
      <c r="N634" s="10">
        <f t="shared" si="130"/>
        <v>0</v>
      </c>
      <c r="O634" s="10">
        <f t="shared" si="131"/>
        <v>0</v>
      </c>
      <c r="P634" s="10">
        <f t="shared" si="132"/>
        <v>0</v>
      </c>
      <c r="Q634" s="10">
        <f t="shared" si="133"/>
        <v>0</v>
      </c>
      <c r="R634" s="10">
        <f t="shared" ca="1" si="134"/>
        <v>3</v>
      </c>
      <c r="S634" s="10" t="str">
        <f t="shared" ca="1" si="135"/>
        <v>Không cần</v>
      </c>
      <c r="T634" s="10" t="str">
        <f t="shared" ca="1" si="136"/>
        <v>Không</v>
      </c>
      <c r="U634" s="10" t="str">
        <f t="shared" si="137"/>
        <v>Không</v>
      </c>
      <c r="V634" s="2" t="s">
        <v>51</v>
      </c>
      <c r="W634" s="4">
        <v>46112</v>
      </c>
      <c r="X634" s="8" t="str">
        <f t="shared" si="138"/>
        <v>Tháng 3</v>
      </c>
      <c r="Y634" s="8" t="str">
        <f t="shared" si="139"/>
        <v>Phường Hiệp Thành</v>
      </c>
    </row>
    <row r="635" spans="1:25" x14ac:dyDescent="0.25">
      <c r="A635" s="1" t="s">
        <v>875</v>
      </c>
      <c r="B635" s="2" t="s">
        <v>23</v>
      </c>
      <c r="C635" s="2" t="s">
        <v>373</v>
      </c>
      <c r="D635" s="10">
        <f t="shared" ca="1" si="126"/>
        <v>61</v>
      </c>
      <c r="E635" s="2" t="s">
        <v>26</v>
      </c>
      <c r="F635" s="3">
        <v>158</v>
      </c>
      <c r="G635" s="3">
        <v>58</v>
      </c>
      <c r="H635" s="11">
        <f t="shared" si="127"/>
        <v>23.233456176894723</v>
      </c>
      <c r="I635" s="2">
        <v>72</v>
      </c>
      <c r="J635" s="3">
        <v>120</v>
      </c>
      <c r="K635" s="3">
        <v>80</v>
      </c>
      <c r="L635" s="10">
        <f t="shared" si="128"/>
        <v>0</v>
      </c>
      <c r="M635" s="10">
        <f t="shared" ca="1" si="129"/>
        <v>2</v>
      </c>
      <c r="N635" s="10">
        <f t="shared" si="130"/>
        <v>0</v>
      </c>
      <c r="O635" s="10">
        <f t="shared" si="131"/>
        <v>3</v>
      </c>
      <c r="P635" s="10">
        <f t="shared" si="132"/>
        <v>0</v>
      </c>
      <c r="Q635" s="10">
        <f t="shared" si="133"/>
        <v>0</v>
      </c>
      <c r="R635" s="10">
        <f t="shared" ca="1" si="134"/>
        <v>5</v>
      </c>
      <c r="S635" s="10" t="str">
        <f t="shared" ca="1" si="135"/>
        <v>Không cần</v>
      </c>
      <c r="T635" s="10" t="str">
        <f t="shared" ca="1" si="136"/>
        <v>Không</v>
      </c>
      <c r="U635" s="10" t="str">
        <f t="shared" si="137"/>
        <v>Không</v>
      </c>
      <c r="V635" s="2" t="s">
        <v>210</v>
      </c>
      <c r="W635" s="4">
        <v>46112</v>
      </c>
      <c r="X635" s="8" t="str">
        <f t="shared" si="138"/>
        <v>Tháng 3</v>
      </c>
      <c r="Y635" s="8" t="str">
        <f t="shared" si="139"/>
        <v>Biển Đông A</v>
      </c>
    </row>
    <row r="636" spans="1:25" x14ac:dyDescent="0.25">
      <c r="A636" s="1" t="s">
        <v>876</v>
      </c>
      <c r="B636" s="2" t="s">
        <v>30</v>
      </c>
      <c r="C636" s="2" t="s">
        <v>64</v>
      </c>
      <c r="D636" s="10">
        <f t="shared" ca="1" si="126"/>
        <v>42</v>
      </c>
      <c r="E636" s="2" t="s">
        <v>26</v>
      </c>
      <c r="F636" s="3">
        <v>169</v>
      </c>
      <c r="G636" s="3">
        <v>68</v>
      </c>
      <c r="H636" s="11">
        <f t="shared" si="127"/>
        <v>23.808690171912751</v>
      </c>
      <c r="I636" s="2">
        <v>90</v>
      </c>
      <c r="J636" s="3">
        <v>120</v>
      </c>
      <c r="K636" s="3">
        <v>80</v>
      </c>
      <c r="L636" s="10">
        <f t="shared" si="128"/>
        <v>2</v>
      </c>
      <c r="M636" s="10">
        <f t="shared" ca="1" si="129"/>
        <v>0</v>
      </c>
      <c r="N636" s="10">
        <f t="shared" si="130"/>
        <v>0</v>
      </c>
      <c r="O636" s="10">
        <f t="shared" si="131"/>
        <v>3</v>
      </c>
      <c r="P636" s="10">
        <f t="shared" si="132"/>
        <v>2</v>
      </c>
      <c r="Q636" s="10">
        <f t="shared" si="133"/>
        <v>0</v>
      </c>
      <c r="R636" s="10">
        <f t="shared" ca="1" si="134"/>
        <v>7</v>
      </c>
      <c r="S636" s="10" t="str">
        <f t="shared" ca="1" si="135"/>
        <v>Có</v>
      </c>
      <c r="T636" s="10" t="str">
        <f t="shared" ca="1" si="136"/>
        <v>Có</v>
      </c>
      <c r="U636" s="10" t="str">
        <f t="shared" si="137"/>
        <v>Không</v>
      </c>
      <c r="V636" s="2" t="s">
        <v>218</v>
      </c>
      <c r="W636" s="4">
        <v>46112</v>
      </c>
      <c r="X636" s="8" t="str">
        <f t="shared" si="138"/>
        <v>Tháng 3</v>
      </c>
      <c r="Y636" s="8" t="str">
        <f t="shared" si="139"/>
        <v>Biển Đông B</v>
      </c>
    </row>
    <row r="637" spans="1:25" x14ac:dyDescent="0.25">
      <c r="A637" s="1" t="s">
        <v>877</v>
      </c>
      <c r="B637" s="2" t="s">
        <v>30</v>
      </c>
      <c r="C637" s="2" t="s">
        <v>155</v>
      </c>
      <c r="D637" s="10">
        <f t="shared" ca="1" si="126"/>
        <v>53</v>
      </c>
      <c r="E637" s="2" t="s">
        <v>26</v>
      </c>
      <c r="F637" s="3">
        <v>169</v>
      </c>
      <c r="G637" s="3">
        <v>68</v>
      </c>
      <c r="H637" s="11">
        <f t="shared" si="127"/>
        <v>23.808690171912751</v>
      </c>
      <c r="I637" s="2">
        <v>68</v>
      </c>
      <c r="J637" s="3">
        <v>150</v>
      </c>
      <c r="K637" s="3">
        <v>80</v>
      </c>
      <c r="L637" s="10">
        <f t="shared" si="128"/>
        <v>2</v>
      </c>
      <c r="M637" s="10">
        <f t="shared" ca="1" si="129"/>
        <v>2</v>
      </c>
      <c r="N637" s="10">
        <f t="shared" si="130"/>
        <v>0</v>
      </c>
      <c r="O637" s="10">
        <f t="shared" si="131"/>
        <v>3</v>
      </c>
      <c r="P637" s="10">
        <f t="shared" si="132"/>
        <v>0</v>
      </c>
      <c r="Q637" s="10">
        <f t="shared" si="133"/>
        <v>2</v>
      </c>
      <c r="R637" s="10">
        <f t="shared" ca="1" si="134"/>
        <v>9</v>
      </c>
      <c r="S637" s="10" t="str">
        <f t="shared" ca="1" si="135"/>
        <v>Có</v>
      </c>
      <c r="T637" s="10" t="str">
        <f t="shared" ca="1" si="136"/>
        <v>Có</v>
      </c>
      <c r="U637" s="10" t="str">
        <f t="shared" si="137"/>
        <v>Có</v>
      </c>
      <c r="V637" s="2" t="s">
        <v>878</v>
      </c>
      <c r="W637" s="4">
        <v>46112</v>
      </c>
      <c r="X637" s="8" t="str">
        <f t="shared" si="138"/>
        <v>Tháng 3</v>
      </c>
      <c r="Y637" s="8" t="str">
        <f t="shared" si="139"/>
        <v>Ấp Biển Đông A</v>
      </c>
    </row>
    <row r="638" spans="1:25" x14ac:dyDescent="0.25">
      <c r="A638" s="1" t="s">
        <v>879</v>
      </c>
      <c r="B638" s="2" t="s">
        <v>30</v>
      </c>
      <c r="C638" s="2" t="s">
        <v>373</v>
      </c>
      <c r="D638" s="10">
        <f t="shared" ca="1" si="126"/>
        <v>61</v>
      </c>
      <c r="E638" s="2" t="s">
        <v>25</v>
      </c>
      <c r="F638" s="3">
        <v>169</v>
      </c>
      <c r="G638" s="3">
        <v>69</v>
      </c>
      <c r="H638" s="11">
        <f t="shared" si="127"/>
        <v>24.158817968558527</v>
      </c>
      <c r="I638" s="2">
        <v>86</v>
      </c>
      <c r="J638" s="3">
        <v>160</v>
      </c>
      <c r="K638" s="3">
        <v>80</v>
      </c>
      <c r="L638" s="10">
        <f t="shared" si="128"/>
        <v>2</v>
      </c>
      <c r="M638" s="10">
        <f t="shared" ca="1" si="129"/>
        <v>2</v>
      </c>
      <c r="N638" s="10">
        <f t="shared" si="130"/>
        <v>4</v>
      </c>
      <c r="O638" s="10">
        <f t="shared" si="131"/>
        <v>3</v>
      </c>
      <c r="P638" s="10">
        <f t="shared" si="132"/>
        <v>0</v>
      </c>
      <c r="Q638" s="10">
        <f t="shared" si="133"/>
        <v>2</v>
      </c>
      <c r="R638" s="10">
        <f t="shared" ca="1" si="134"/>
        <v>13</v>
      </c>
      <c r="S638" s="10" t="str">
        <f t="shared" ca="1" si="135"/>
        <v>Có</v>
      </c>
      <c r="T638" s="10" t="str">
        <f t="shared" ca="1" si="136"/>
        <v>Có</v>
      </c>
      <c r="U638" s="10" t="str">
        <f t="shared" si="137"/>
        <v>Có</v>
      </c>
      <c r="V638" s="2" t="s">
        <v>68</v>
      </c>
      <c r="W638" s="4">
        <v>46112</v>
      </c>
      <c r="X638" s="8" t="str">
        <f t="shared" si="138"/>
        <v>Tháng 3</v>
      </c>
      <c r="Y638" s="8" t="str">
        <f t="shared" si="139"/>
        <v>Ấp Biển Tây B</v>
      </c>
    </row>
    <row r="639" spans="1:25" x14ac:dyDescent="0.25">
      <c r="A639" s="1" t="s">
        <v>880</v>
      </c>
      <c r="B639" s="2" t="s">
        <v>23</v>
      </c>
      <c r="C639" s="2" t="s">
        <v>87</v>
      </c>
      <c r="D639" s="10">
        <f t="shared" ca="1" si="126"/>
        <v>49</v>
      </c>
      <c r="E639" s="2" t="s">
        <v>25</v>
      </c>
      <c r="F639" s="3">
        <v>158</v>
      </c>
      <c r="G639" s="3">
        <v>55</v>
      </c>
      <c r="H639" s="11">
        <f t="shared" si="127"/>
        <v>22.031725684986377</v>
      </c>
      <c r="I639" s="2">
        <v>67</v>
      </c>
      <c r="J639" s="3">
        <v>120</v>
      </c>
      <c r="K639" s="3">
        <v>80</v>
      </c>
      <c r="L639" s="10">
        <f t="shared" si="128"/>
        <v>0</v>
      </c>
      <c r="M639" s="10">
        <f t="shared" ca="1" si="129"/>
        <v>1</v>
      </c>
      <c r="N639" s="10">
        <f t="shared" si="130"/>
        <v>4</v>
      </c>
      <c r="O639" s="10">
        <f t="shared" si="131"/>
        <v>0</v>
      </c>
      <c r="P639" s="10">
        <f t="shared" si="132"/>
        <v>0</v>
      </c>
      <c r="Q639" s="10">
        <f t="shared" si="133"/>
        <v>0</v>
      </c>
      <c r="R639" s="10">
        <f t="shared" ca="1" si="134"/>
        <v>5</v>
      </c>
      <c r="S639" s="10" t="str">
        <f t="shared" ca="1" si="135"/>
        <v>Không cần</v>
      </c>
      <c r="T639" s="10" t="str">
        <f t="shared" ca="1" si="136"/>
        <v>Không</v>
      </c>
      <c r="U639" s="10" t="str">
        <f t="shared" si="137"/>
        <v>Không</v>
      </c>
      <c r="V639" s="2" t="s">
        <v>881</v>
      </c>
      <c r="W639" s="4">
        <v>46112</v>
      </c>
      <c r="X639" s="8" t="str">
        <f t="shared" si="138"/>
        <v>Tháng 3</v>
      </c>
      <c r="Y639" s="8" t="str">
        <f t="shared" si="139"/>
        <v>bưu điện hiệp thành</v>
      </c>
    </row>
    <row r="640" spans="1:25" x14ac:dyDescent="0.25">
      <c r="A640" s="1" t="s">
        <v>882</v>
      </c>
      <c r="B640" s="2" t="s">
        <v>30</v>
      </c>
      <c r="C640" s="2" t="s">
        <v>127</v>
      </c>
      <c r="D640" s="10">
        <f t="shared" ca="1" si="126"/>
        <v>76</v>
      </c>
      <c r="E640" s="2" t="s">
        <v>26</v>
      </c>
      <c r="F640" s="3">
        <v>158</v>
      </c>
      <c r="G640" s="3">
        <v>58</v>
      </c>
      <c r="H640" s="11">
        <f t="shared" si="127"/>
        <v>23.233456176894723</v>
      </c>
      <c r="I640" s="2">
        <v>69</v>
      </c>
      <c r="J640" s="3">
        <v>150</v>
      </c>
      <c r="K640" s="3">
        <v>80</v>
      </c>
      <c r="L640" s="10">
        <f t="shared" si="128"/>
        <v>2</v>
      </c>
      <c r="M640" s="10">
        <f t="shared" ca="1" si="129"/>
        <v>2</v>
      </c>
      <c r="N640" s="10">
        <f t="shared" si="130"/>
        <v>0</v>
      </c>
      <c r="O640" s="10">
        <f t="shared" si="131"/>
        <v>3</v>
      </c>
      <c r="P640" s="10">
        <f t="shared" si="132"/>
        <v>0</v>
      </c>
      <c r="Q640" s="10">
        <f t="shared" si="133"/>
        <v>2</v>
      </c>
      <c r="R640" s="10">
        <f t="shared" ca="1" si="134"/>
        <v>9</v>
      </c>
      <c r="S640" s="10" t="str">
        <f t="shared" ca="1" si="135"/>
        <v>Có</v>
      </c>
      <c r="T640" s="10" t="str">
        <f t="shared" ca="1" si="136"/>
        <v>Có</v>
      </c>
      <c r="U640" s="10" t="str">
        <f t="shared" si="137"/>
        <v>Có</v>
      </c>
      <c r="V640" s="2" t="s">
        <v>883</v>
      </c>
      <c r="W640" s="4">
        <v>46081</v>
      </c>
      <c r="X640" s="8" t="str">
        <f t="shared" si="138"/>
        <v>Tháng 2</v>
      </c>
      <c r="Y640" s="8" t="str">
        <f t="shared" si="139"/>
        <v>Số 9/367</v>
      </c>
    </row>
    <row r="641" spans="1:25" x14ac:dyDescent="0.25">
      <c r="A641" s="1" t="s">
        <v>884</v>
      </c>
      <c r="B641" s="2" t="s">
        <v>23</v>
      </c>
      <c r="C641" s="2" t="s">
        <v>45</v>
      </c>
      <c r="D641" s="10">
        <f t="shared" ca="1" si="126"/>
        <v>50</v>
      </c>
      <c r="E641" s="2" t="s">
        <v>26</v>
      </c>
      <c r="F641" s="3">
        <v>150</v>
      </c>
      <c r="G641" s="3">
        <v>53</v>
      </c>
      <c r="H641" s="11">
        <f t="shared" si="127"/>
        <v>23.555555555555557</v>
      </c>
      <c r="I641" s="2">
        <v>94</v>
      </c>
      <c r="J641" s="3">
        <v>120</v>
      </c>
      <c r="K641" s="3">
        <v>80</v>
      </c>
      <c r="L641" s="10">
        <f t="shared" si="128"/>
        <v>0</v>
      </c>
      <c r="M641" s="10">
        <f t="shared" ca="1" si="129"/>
        <v>2</v>
      </c>
      <c r="N641" s="10">
        <f t="shared" si="130"/>
        <v>0</v>
      </c>
      <c r="O641" s="10">
        <f t="shared" si="131"/>
        <v>3</v>
      </c>
      <c r="P641" s="10">
        <f t="shared" si="132"/>
        <v>2</v>
      </c>
      <c r="Q641" s="10">
        <f t="shared" si="133"/>
        <v>0</v>
      </c>
      <c r="R641" s="10">
        <f t="shared" ca="1" si="134"/>
        <v>7</v>
      </c>
      <c r="S641" s="10" t="str">
        <f t="shared" ca="1" si="135"/>
        <v>Có</v>
      </c>
      <c r="T641" s="10" t="str">
        <f t="shared" ca="1" si="136"/>
        <v>Có</v>
      </c>
      <c r="U641" s="10" t="str">
        <f t="shared" si="137"/>
        <v>Không</v>
      </c>
      <c r="V641" s="2" t="s">
        <v>88</v>
      </c>
      <c r="W641" s="4">
        <v>46053</v>
      </c>
      <c r="X641" s="8" t="str">
        <f t="shared" si="138"/>
        <v>Tháng 1</v>
      </c>
      <c r="Y641" s="8" t="str">
        <f t="shared" si="139"/>
        <v>Giồng Giữa</v>
      </c>
    </row>
    <row r="642" spans="1:25" x14ac:dyDescent="0.25">
      <c r="A642" s="1" t="s">
        <v>885</v>
      </c>
      <c r="B642" s="2" t="s">
        <v>23</v>
      </c>
      <c r="C642" s="2" t="s">
        <v>90</v>
      </c>
      <c r="D642" s="10">
        <f t="shared" ca="1" si="126"/>
        <v>54</v>
      </c>
      <c r="E642" s="2" t="s">
        <v>26</v>
      </c>
      <c r="F642" s="3">
        <v>167</v>
      </c>
      <c r="G642" s="3">
        <v>75</v>
      </c>
      <c r="H642" s="11">
        <f t="shared" si="127"/>
        <v>26.892323138154829</v>
      </c>
      <c r="I642" s="2">
        <v>68</v>
      </c>
      <c r="J642" s="3">
        <v>110</v>
      </c>
      <c r="K642" s="3">
        <v>80</v>
      </c>
      <c r="L642" s="10">
        <f t="shared" si="128"/>
        <v>0</v>
      </c>
      <c r="M642" s="10">
        <f t="shared" ca="1" si="129"/>
        <v>2</v>
      </c>
      <c r="N642" s="10">
        <f t="shared" si="130"/>
        <v>0</v>
      </c>
      <c r="O642" s="10">
        <f t="shared" si="131"/>
        <v>3</v>
      </c>
      <c r="P642" s="10">
        <f t="shared" si="132"/>
        <v>0</v>
      </c>
      <c r="Q642" s="10">
        <f t="shared" si="133"/>
        <v>0</v>
      </c>
      <c r="R642" s="10">
        <f t="shared" ca="1" si="134"/>
        <v>5</v>
      </c>
      <c r="S642" s="10" t="str">
        <f t="shared" ca="1" si="135"/>
        <v>Không cần</v>
      </c>
      <c r="T642" s="10" t="str">
        <f t="shared" ca="1" si="136"/>
        <v>Không</v>
      </c>
      <c r="U642" s="10" t="str">
        <f t="shared" si="137"/>
        <v>Không</v>
      </c>
      <c r="V642" s="2" t="s">
        <v>886</v>
      </c>
      <c r="W642" s="4">
        <v>46142</v>
      </c>
      <c r="X642" s="8" t="str">
        <f t="shared" si="138"/>
        <v>Tháng 4</v>
      </c>
      <c r="Y642" s="8" t="str">
        <f t="shared" si="139"/>
        <v>421/3 Lê Quang Sung</v>
      </c>
    </row>
    <row r="643" spans="1:25" x14ac:dyDescent="0.25">
      <c r="A643" s="1" t="s">
        <v>887</v>
      </c>
      <c r="B643" s="2" t="s">
        <v>23</v>
      </c>
      <c r="C643" s="2" t="s">
        <v>37</v>
      </c>
      <c r="D643" s="10">
        <f t="shared" ref="D643:D694" ca="1" si="140">DATEDIF(C643,TODAY(),"Y")</f>
        <v>75</v>
      </c>
      <c r="E643" s="2" t="s">
        <v>25</v>
      </c>
      <c r="F643" s="3">
        <v>158</v>
      </c>
      <c r="G643" s="3">
        <v>58</v>
      </c>
      <c r="H643" s="11">
        <f t="shared" ref="H643:H694" si="141">G643/((F643/100)*(F643/100))</f>
        <v>23.233456176894723</v>
      </c>
      <c r="I643" s="2">
        <v>75</v>
      </c>
      <c r="J643" s="3">
        <v>140</v>
      </c>
      <c r="K643" s="3">
        <v>80</v>
      </c>
      <c r="L643" s="10">
        <f t="shared" ref="L643:L694" si="142">IF(B643="Nữ",0,2)</f>
        <v>0</v>
      </c>
      <c r="M643" s="10">
        <f t="shared" ref="M643:M694" ca="1" si="143">IF(D643&lt;45,0,IF(D643&lt;=49,1,2))</f>
        <v>2</v>
      </c>
      <c r="N643" s="10">
        <f t="shared" ref="N643:N694" si="144">IF(E643="Có",4,0)</f>
        <v>4</v>
      </c>
      <c r="O643" s="10">
        <f t="shared" ref="O643:O694" si="145">IF(H643&lt;23,0,IF(H643&lt;27.5,3,5))</f>
        <v>3</v>
      </c>
      <c r="P643" s="10">
        <f t="shared" ref="P643:P694" si="146">IF(OR(AND(B643="Nam",I643&gt;=90),AND(B643="Nữ",I643&gt;=80)),2,0)</f>
        <v>0</v>
      </c>
      <c r="Q643" s="10">
        <f t="shared" ref="Q643:Q694" si="147">IF(OR(J643&gt;=140,K643&gt;=90),2,0)</f>
        <v>2</v>
      </c>
      <c r="R643" s="10">
        <f t="shared" ref="R643:R694" ca="1" si="148">SUM(L643:Q643)</f>
        <v>11</v>
      </c>
      <c r="S643" s="10" t="str">
        <f t="shared" ref="S643:S694" ca="1" si="149">IF((R643)&gt;=6,"Có","Không cần")</f>
        <v>Có</v>
      </c>
      <c r="T643" s="10" t="str">
        <f t="shared" ref="T643:T694" ca="1" si="150">IF((R643)&gt;=6,"Có","Không")</f>
        <v>Có</v>
      </c>
      <c r="U643" s="10" t="str">
        <f t="shared" ref="U643:U694" si="151">IF(OR(J643&gt;=140,K643&gt;=90),"Có","Không")</f>
        <v>Có</v>
      </c>
      <c r="V643" s="2" t="s">
        <v>60</v>
      </c>
      <c r="W643" s="4">
        <v>46142</v>
      </c>
      <c r="X643" s="8" t="str">
        <f t="shared" ref="X643:X694" si="152">"Tháng "&amp;MONTH(W643)</f>
        <v>Tháng 4</v>
      </c>
      <c r="Y643" s="8" t="str">
        <f t="shared" ref="Y643:Y694" si="153">LEFT(V643,FIND(",",V643)-1)</f>
        <v>ấp Biển Đông A</v>
      </c>
    </row>
    <row r="644" spans="1:25" x14ac:dyDescent="0.25">
      <c r="A644" s="1" t="s">
        <v>888</v>
      </c>
      <c r="B644" s="2" t="s">
        <v>30</v>
      </c>
      <c r="C644" s="2" t="s">
        <v>37</v>
      </c>
      <c r="D644" s="10">
        <f t="shared" ca="1" si="140"/>
        <v>75</v>
      </c>
      <c r="E644" s="2" t="s">
        <v>26</v>
      </c>
      <c r="F644" s="3">
        <v>169</v>
      </c>
      <c r="G644" s="3">
        <v>68</v>
      </c>
      <c r="H644" s="11">
        <f t="shared" si="141"/>
        <v>23.808690171912751</v>
      </c>
      <c r="I644" s="2">
        <v>82</v>
      </c>
      <c r="J644" s="3">
        <v>140</v>
      </c>
      <c r="K644" s="3">
        <v>80</v>
      </c>
      <c r="L644" s="10">
        <f t="shared" si="142"/>
        <v>2</v>
      </c>
      <c r="M644" s="10">
        <f t="shared" ca="1" si="143"/>
        <v>2</v>
      </c>
      <c r="N644" s="10">
        <f t="shared" si="144"/>
        <v>0</v>
      </c>
      <c r="O644" s="10">
        <f t="shared" si="145"/>
        <v>3</v>
      </c>
      <c r="P644" s="10">
        <f t="shared" si="146"/>
        <v>0</v>
      </c>
      <c r="Q644" s="10">
        <f t="shared" si="147"/>
        <v>2</v>
      </c>
      <c r="R644" s="10">
        <f t="shared" ca="1" si="148"/>
        <v>9</v>
      </c>
      <c r="S644" s="10" t="str">
        <f t="shared" ca="1" si="149"/>
        <v>Có</v>
      </c>
      <c r="T644" s="10" t="str">
        <f t="shared" ca="1" si="150"/>
        <v>Có</v>
      </c>
      <c r="U644" s="10" t="str">
        <f t="shared" si="151"/>
        <v>Có</v>
      </c>
      <c r="V644" s="2" t="s">
        <v>65</v>
      </c>
      <c r="W644" s="4">
        <v>46142</v>
      </c>
      <c r="X644" s="8" t="str">
        <f t="shared" si="152"/>
        <v>Tháng 4</v>
      </c>
      <c r="Y644" s="8" t="str">
        <f t="shared" si="153"/>
        <v>Biển Tây B</v>
      </c>
    </row>
    <row r="645" spans="1:25" x14ac:dyDescent="0.25">
      <c r="A645" s="1" t="s">
        <v>889</v>
      </c>
      <c r="B645" s="2" t="s">
        <v>23</v>
      </c>
      <c r="C645" s="2" t="s">
        <v>93</v>
      </c>
      <c r="D645" s="10">
        <f t="shared" ca="1" si="140"/>
        <v>66</v>
      </c>
      <c r="E645" s="2" t="s">
        <v>26</v>
      </c>
      <c r="F645" s="3">
        <v>158</v>
      </c>
      <c r="G645" s="3">
        <v>58</v>
      </c>
      <c r="H645" s="11">
        <f t="shared" si="141"/>
        <v>23.233456176894723</v>
      </c>
      <c r="I645" s="2">
        <v>93</v>
      </c>
      <c r="J645" s="3">
        <v>150</v>
      </c>
      <c r="K645" s="3">
        <v>80</v>
      </c>
      <c r="L645" s="10">
        <f t="shared" si="142"/>
        <v>0</v>
      </c>
      <c r="M645" s="10">
        <f t="shared" ca="1" si="143"/>
        <v>2</v>
      </c>
      <c r="N645" s="10">
        <f t="shared" si="144"/>
        <v>0</v>
      </c>
      <c r="O645" s="10">
        <f t="shared" si="145"/>
        <v>3</v>
      </c>
      <c r="P645" s="10">
        <f t="shared" si="146"/>
        <v>2</v>
      </c>
      <c r="Q645" s="10">
        <f t="shared" si="147"/>
        <v>2</v>
      </c>
      <c r="R645" s="10">
        <f t="shared" ca="1" si="148"/>
        <v>9</v>
      </c>
      <c r="S645" s="10" t="str">
        <f t="shared" ca="1" si="149"/>
        <v>Có</v>
      </c>
      <c r="T645" s="10" t="str">
        <f t="shared" ca="1" si="150"/>
        <v>Có</v>
      </c>
      <c r="U645" s="10" t="str">
        <f t="shared" si="151"/>
        <v>Có</v>
      </c>
      <c r="V645" s="2" t="s">
        <v>38</v>
      </c>
      <c r="W645" s="4">
        <v>46112</v>
      </c>
      <c r="X645" s="8" t="str">
        <f t="shared" si="152"/>
        <v>Tháng 3</v>
      </c>
      <c r="Y645" s="8" t="str">
        <f t="shared" si="153"/>
        <v>Ấp Biển Đông B</v>
      </c>
    </row>
    <row r="646" spans="1:25" x14ac:dyDescent="0.25">
      <c r="A646" s="1" t="s">
        <v>890</v>
      </c>
      <c r="B646" s="2" t="s">
        <v>23</v>
      </c>
      <c r="C646" s="2" t="s">
        <v>31</v>
      </c>
      <c r="D646" s="10">
        <f t="shared" ca="1" si="140"/>
        <v>79</v>
      </c>
      <c r="E646" s="2" t="s">
        <v>26</v>
      </c>
      <c r="F646" s="3">
        <v>158</v>
      </c>
      <c r="G646" s="3">
        <v>58</v>
      </c>
      <c r="H646" s="11">
        <f t="shared" si="141"/>
        <v>23.233456176894723</v>
      </c>
      <c r="I646" s="2">
        <v>86</v>
      </c>
      <c r="J646" s="3">
        <v>120</v>
      </c>
      <c r="K646" s="3">
        <v>80</v>
      </c>
      <c r="L646" s="10">
        <f t="shared" si="142"/>
        <v>0</v>
      </c>
      <c r="M646" s="10">
        <f t="shared" ca="1" si="143"/>
        <v>2</v>
      </c>
      <c r="N646" s="10">
        <f t="shared" si="144"/>
        <v>0</v>
      </c>
      <c r="O646" s="10">
        <f t="shared" si="145"/>
        <v>3</v>
      </c>
      <c r="P646" s="10">
        <f t="shared" si="146"/>
        <v>2</v>
      </c>
      <c r="Q646" s="10">
        <f t="shared" si="147"/>
        <v>0</v>
      </c>
      <c r="R646" s="10">
        <f t="shared" ca="1" si="148"/>
        <v>7</v>
      </c>
      <c r="S646" s="10" t="str">
        <f t="shared" ca="1" si="149"/>
        <v>Có</v>
      </c>
      <c r="T646" s="10" t="str">
        <f t="shared" ca="1" si="150"/>
        <v>Có</v>
      </c>
      <c r="U646" s="10" t="str">
        <f t="shared" si="151"/>
        <v>Không</v>
      </c>
      <c r="V646" s="2" t="s">
        <v>32</v>
      </c>
      <c r="W646" s="4">
        <v>46142</v>
      </c>
      <c r="X646" s="8" t="str">
        <f t="shared" si="152"/>
        <v>Tháng 4</v>
      </c>
      <c r="Y646" s="8" t="str">
        <f t="shared" si="153"/>
        <v>Ấp Giồng Giữa B</v>
      </c>
    </row>
    <row r="647" spans="1:25" x14ac:dyDescent="0.25">
      <c r="A647" s="1" t="s">
        <v>891</v>
      </c>
      <c r="B647" s="2" t="s">
        <v>23</v>
      </c>
      <c r="C647" s="2" t="s">
        <v>256</v>
      </c>
      <c r="D647" s="10">
        <f t="shared" ca="1" si="140"/>
        <v>41</v>
      </c>
      <c r="E647" s="2" t="s">
        <v>26</v>
      </c>
      <c r="F647" s="3">
        <v>158</v>
      </c>
      <c r="G647" s="3">
        <v>58</v>
      </c>
      <c r="H647" s="11">
        <f t="shared" si="141"/>
        <v>23.233456176894723</v>
      </c>
      <c r="I647" s="2">
        <v>70</v>
      </c>
      <c r="J647" s="3">
        <v>120</v>
      </c>
      <c r="K647" s="3">
        <v>80</v>
      </c>
      <c r="L647" s="10">
        <f t="shared" si="142"/>
        <v>0</v>
      </c>
      <c r="M647" s="10">
        <f t="shared" ca="1" si="143"/>
        <v>0</v>
      </c>
      <c r="N647" s="10">
        <f t="shared" si="144"/>
        <v>0</v>
      </c>
      <c r="O647" s="10">
        <f t="shared" si="145"/>
        <v>3</v>
      </c>
      <c r="P647" s="10">
        <f t="shared" si="146"/>
        <v>0</v>
      </c>
      <c r="Q647" s="10">
        <f t="shared" si="147"/>
        <v>0</v>
      </c>
      <c r="R647" s="10">
        <f t="shared" ca="1" si="148"/>
        <v>3</v>
      </c>
      <c r="S647" s="10" t="str">
        <f t="shared" ca="1" si="149"/>
        <v>Không cần</v>
      </c>
      <c r="T647" s="10" t="str">
        <f t="shared" ca="1" si="150"/>
        <v>Không</v>
      </c>
      <c r="U647" s="10" t="str">
        <f t="shared" si="151"/>
        <v>Không</v>
      </c>
      <c r="V647" s="2" t="s">
        <v>68</v>
      </c>
      <c r="W647" s="4">
        <v>46142</v>
      </c>
      <c r="X647" s="8" t="str">
        <f t="shared" si="152"/>
        <v>Tháng 4</v>
      </c>
      <c r="Y647" s="8" t="str">
        <f t="shared" si="153"/>
        <v>Ấp Biển Tây B</v>
      </c>
    </row>
    <row r="648" spans="1:25" x14ac:dyDescent="0.25">
      <c r="A648" s="1" t="s">
        <v>892</v>
      </c>
      <c r="B648" s="2" t="s">
        <v>30</v>
      </c>
      <c r="C648" s="2" t="s">
        <v>273</v>
      </c>
      <c r="D648" s="10">
        <f t="shared" ca="1" si="140"/>
        <v>47</v>
      </c>
      <c r="E648" s="2" t="s">
        <v>26</v>
      </c>
      <c r="F648" s="3">
        <v>169</v>
      </c>
      <c r="G648" s="3">
        <v>68</v>
      </c>
      <c r="H648" s="11">
        <f t="shared" si="141"/>
        <v>23.808690171912751</v>
      </c>
      <c r="I648" s="2">
        <v>80</v>
      </c>
      <c r="J648" s="3">
        <v>140</v>
      </c>
      <c r="K648" s="3">
        <v>80</v>
      </c>
      <c r="L648" s="10">
        <f t="shared" si="142"/>
        <v>2</v>
      </c>
      <c r="M648" s="10">
        <f t="shared" ca="1" si="143"/>
        <v>1</v>
      </c>
      <c r="N648" s="10">
        <f t="shared" si="144"/>
        <v>0</v>
      </c>
      <c r="O648" s="10">
        <f t="shared" si="145"/>
        <v>3</v>
      </c>
      <c r="P648" s="10">
        <f t="shared" si="146"/>
        <v>0</v>
      </c>
      <c r="Q648" s="10">
        <f t="shared" si="147"/>
        <v>2</v>
      </c>
      <c r="R648" s="10">
        <f t="shared" ca="1" si="148"/>
        <v>8</v>
      </c>
      <c r="S648" s="10" t="str">
        <f t="shared" ca="1" si="149"/>
        <v>Có</v>
      </c>
      <c r="T648" s="10" t="str">
        <f t="shared" ca="1" si="150"/>
        <v>Có</v>
      </c>
      <c r="U648" s="10" t="str">
        <f t="shared" si="151"/>
        <v>Có</v>
      </c>
      <c r="V648" s="2" t="s">
        <v>893</v>
      </c>
      <c r="W648" s="4">
        <v>46081</v>
      </c>
      <c r="X648" s="8" t="str">
        <f t="shared" si="152"/>
        <v>Tháng 2</v>
      </c>
      <c r="Y648" s="8" t="str">
        <f t="shared" si="153"/>
        <v>ấp Biển Tây B</v>
      </c>
    </row>
    <row r="649" spans="1:25" x14ac:dyDescent="0.25">
      <c r="A649" s="1" t="s">
        <v>894</v>
      </c>
      <c r="B649" s="2" t="s">
        <v>23</v>
      </c>
      <c r="C649" s="2" t="s">
        <v>31</v>
      </c>
      <c r="D649" s="10">
        <f t="shared" ca="1" si="140"/>
        <v>79</v>
      </c>
      <c r="E649" s="2" t="s">
        <v>26</v>
      </c>
      <c r="F649" s="3">
        <v>158</v>
      </c>
      <c r="G649" s="3">
        <v>58</v>
      </c>
      <c r="H649" s="11">
        <f t="shared" si="141"/>
        <v>23.233456176894723</v>
      </c>
      <c r="I649" s="2">
        <v>100</v>
      </c>
      <c r="J649" s="3">
        <v>120</v>
      </c>
      <c r="K649" s="3">
        <v>80</v>
      </c>
      <c r="L649" s="10">
        <f t="shared" si="142"/>
        <v>0</v>
      </c>
      <c r="M649" s="10">
        <f t="shared" ca="1" si="143"/>
        <v>2</v>
      </c>
      <c r="N649" s="10">
        <f t="shared" si="144"/>
        <v>0</v>
      </c>
      <c r="O649" s="10">
        <f t="shared" si="145"/>
        <v>3</v>
      </c>
      <c r="P649" s="10">
        <f t="shared" si="146"/>
        <v>2</v>
      </c>
      <c r="Q649" s="10">
        <f t="shared" si="147"/>
        <v>0</v>
      </c>
      <c r="R649" s="10">
        <f t="shared" ca="1" si="148"/>
        <v>7</v>
      </c>
      <c r="S649" s="10" t="str">
        <f t="shared" ca="1" si="149"/>
        <v>Có</v>
      </c>
      <c r="T649" s="10" t="str">
        <f t="shared" ca="1" si="150"/>
        <v>Có</v>
      </c>
      <c r="U649" s="10" t="str">
        <f t="shared" si="151"/>
        <v>Không</v>
      </c>
      <c r="V649" s="2" t="s">
        <v>68</v>
      </c>
      <c r="W649" s="4">
        <v>46142</v>
      </c>
      <c r="X649" s="8" t="str">
        <f t="shared" si="152"/>
        <v>Tháng 4</v>
      </c>
      <c r="Y649" s="8" t="str">
        <f t="shared" si="153"/>
        <v>Ấp Biển Tây B</v>
      </c>
    </row>
    <row r="650" spans="1:25" x14ac:dyDescent="0.25">
      <c r="A650" s="1" t="s">
        <v>895</v>
      </c>
      <c r="B650" s="2" t="s">
        <v>23</v>
      </c>
      <c r="C650" s="2" t="s">
        <v>42</v>
      </c>
      <c r="D650" s="10">
        <f t="shared" ca="1" si="140"/>
        <v>59</v>
      </c>
      <c r="E650" s="2" t="s">
        <v>26</v>
      </c>
      <c r="F650" s="3">
        <v>158</v>
      </c>
      <c r="G650" s="3">
        <v>58</v>
      </c>
      <c r="H650" s="11">
        <f t="shared" si="141"/>
        <v>23.233456176894723</v>
      </c>
      <c r="I650" s="2">
        <v>65</v>
      </c>
      <c r="J650" s="3">
        <v>140</v>
      </c>
      <c r="K650" s="3">
        <v>80</v>
      </c>
      <c r="L650" s="10">
        <f t="shared" si="142"/>
        <v>0</v>
      </c>
      <c r="M650" s="10">
        <f t="shared" ca="1" si="143"/>
        <v>2</v>
      </c>
      <c r="N650" s="10">
        <f t="shared" si="144"/>
        <v>0</v>
      </c>
      <c r="O650" s="10">
        <f t="shared" si="145"/>
        <v>3</v>
      </c>
      <c r="P650" s="10">
        <f t="shared" si="146"/>
        <v>0</v>
      </c>
      <c r="Q650" s="10">
        <f t="shared" si="147"/>
        <v>2</v>
      </c>
      <c r="R650" s="10">
        <f t="shared" ca="1" si="148"/>
        <v>7</v>
      </c>
      <c r="S650" s="10" t="str">
        <f t="shared" ca="1" si="149"/>
        <v>Có</v>
      </c>
      <c r="T650" s="10" t="str">
        <f t="shared" ca="1" si="150"/>
        <v>Có</v>
      </c>
      <c r="U650" s="10" t="str">
        <f t="shared" si="151"/>
        <v>Có</v>
      </c>
      <c r="V650" s="2" t="s">
        <v>319</v>
      </c>
      <c r="W650" s="4">
        <v>46142</v>
      </c>
      <c r="X650" s="8" t="str">
        <f t="shared" si="152"/>
        <v>Tháng 4</v>
      </c>
      <c r="Y650" s="8" t="str">
        <f t="shared" si="153"/>
        <v>Khóm Đầu Lộ A</v>
      </c>
    </row>
    <row r="651" spans="1:25" x14ac:dyDescent="0.25">
      <c r="A651" s="1" t="s">
        <v>896</v>
      </c>
      <c r="B651" s="2" t="s">
        <v>23</v>
      </c>
      <c r="C651" s="2" t="s">
        <v>45</v>
      </c>
      <c r="D651" s="10">
        <f t="shared" ca="1" si="140"/>
        <v>50</v>
      </c>
      <c r="E651" s="2" t="s">
        <v>26</v>
      </c>
      <c r="F651" s="3">
        <v>156</v>
      </c>
      <c r="G651" s="3">
        <v>56</v>
      </c>
      <c r="H651" s="11">
        <f t="shared" si="141"/>
        <v>23.011176857330703</v>
      </c>
      <c r="I651" s="2">
        <v>86</v>
      </c>
      <c r="J651" s="3">
        <v>120</v>
      </c>
      <c r="K651" s="3">
        <v>70</v>
      </c>
      <c r="L651" s="10">
        <f t="shared" si="142"/>
        <v>0</v>
      </c>
      <c r="M651" s="10">
        <f t="shared" ca="1" si="143"/>
        <v>2</v>
      </c>
      <c r="N651" s="10">
        <f t="shared" si="144"/>
        <v>0</v>
      </c>
      <c r="O651" s="10">
        <f t="shared" si="145"/>
        <v>3</v>
      </c>
      <c r="P651" s="10">
        <f t="shared" si="146"/>
        <v>2</v>
      </c>
      <c r="Q651" s="10">
        <f t="shared" si="147"/>
        <v>0</v>
      </c>
      <c r="R651" s="10">
        <f t="shared" ca="1" si="148"/>
        <v>7</v>
      </c>
      <c r="S651" s="10" t="str">
        <f t="shared" ca="1" si="149"/>
        <v>Có</v>
      </c>
      <c r="T651" s="10" t="str">
        <f t="shared" ca="1" si="150"/>
        <v>Có</v>
      </c>
      <c r="U651" s="10" t="str">
        <f t="shared" si="151"/>
        <v>Không</v>
      </c>
      <c r="V651" s="2" t="s">
        <v>897</v>
      </c>
      <c r="W651" s="4">
        <v>46053</v>
      </c>
      <c r="X651" s="8" t="str">
        <f t="shared" si="152"/>
        <v>Tháng 1</v>
      </c>
      <c r="Y651" s="8" t="str">
        <f t="shared" si="153"/>
        <v>Giồng Giữa</v>
      </c>
    </row>
    <row r="652" spans="1:25" x14ac:dyDescent="0.25">
      <c r="A652" s="1" t="s">
        <v>898</v>
      </c>
      <c r="B652" s="2" t="s">
        <v>23</v>
      </c>
      <c r="C652" s="2" t="s">
        <v>64</v>
      </c>
      <c r="D652" s="10">
        <f t="shared" ca="1" si="140"/>
        <v>42</v>
      </c>
      <c r="E652" s="2" t="s">
        <v>25</v>
      </c>
      <c r="F652" s="3">
        <v>150</v>
      </c>
      <c r="G652" s="3">
        <v>54</v>
      </c>
      <c r="H652" s="11">
        <f t="shared" si="141"/>
        <v>24</v>
      </c>
      <c r="I652" s="2">
        <v>73</v>
      </c>
      <c r="J652" s="3">
        <v>120</v>
      </c>
      <c r="K652" s="3">
        <v>80</v>
      </c>
      <c r="L652" s="10">
        <f t="shared" si="142"/>
        <v>0</v>
      </c>
      <c r="M652" s="10">
        <f t="shared" ca="1" si="143"/>
        <v>0</v>
      </c>
      <c r="N652" s="10">
        <f t="shared" si="144"/>
        <v>4</v>
      </c>
      <c r="O652" s="10">
        <f t="shared" si="145"/>
        <v>3</v>
      </c>
      <c r="P652" s="10">
        <f t="shared" si="146"/>
        <v>0</v>
      </c>
      <c r="Q652" s="10">
        <f t="shared" si="147"/>
        <v>0</v>
      </c>
      <c r="R652" s="10">
        <f t="shared" ca="1" si="148"/>
        <v>7</v>
      </c>
      <c r="S652" s="10" t="str">
        <f t="shared" ca="1" si="149"/>
        <v>Có</v>
      </c>
      <c r="T652" s="10" t="str">
        <f t="shared" ca="1" si="150"/>
        <v>Có</v>
      </c>
      <c r="U652" s="10" t="str">
        <f t="shared" si="151"/>
        <v>Không</v>
      </c>
      <c r="V652" s="2" t="s">
        <v>111</v>
      </c>
      <c r="W652" s="4">
        <v>46112</v>
      </c>
      <c r="X652" s="8" t="str">
        <f t="shared" si="152"/>
        <v>Tháng 3</v>
      </c>
      <c r="Y652" s="8" t="str">
        <f t="shared" si="153"/>
        <v>Phường Vĩnh Trạch</v>
      </c>
    </row>
    <row r="653" spans="1:25" x14ac:dyDescent="0.25">
      <c r="A653" s="1" t="s">
        <v>899</v>
      </c>
      <c r="B653" s="2" t="s">
        <v>23</v>
      </c>
      <c r="C653" s="2" t="s">
        <v>133</v>
      </c>
      <c r="D653" s="10">
        <f t="shared" ca="1" si="140"/>
        <v>56</v>
      </c>
      <c r="E653" s="2" t="s">
        <v>26</v>
      </c>
      <c r="F653" s="3">
        <v>158</v>
      </c>
      <c r="G653" s="3">
        <v>58</v>
      </c>
      <c r="H653" s="11">
        <f t="shared" si="141"/>
        <v>23.233456176894723</v>
      </c>
      <c r="I653" s="2">
        <v>84</v>
      </c>
      <c r="J653" s="3">
        <v>120</v>
      </c>
      <c r="K653" s="3">
        <v>80</v>
      </c>
      <c r="L653" s="10">
        <f t="shared" si="142"/>
        <v>0</v>
      </c>
      <c r="M653" s="10">
        <f t="shared" ca="1" si="143"/>
        <v>2</v>
      </c>
      <c r="N653" s="10">
        <f t="shared" si="144"/>
        <v>0</v>
      </c>
      <c r="O653" s="10">
        <f t="shared" si="145"/>
        <v>3</v>
      </c>
      <c r="P653" s="10">
        <f t="shared" si="146"/>
        <v>2</v>
      </c>
      <c r="Q653" s="10">
        <f t="shared" si="147"/>
        <v>0</v>
      </c>
      <c r="R653" s="10">
        <f t="shared" ca="1" si="148"/>
        <v>7</v>
      </c>
      <c r="S653" s="10" t="str">
        <f t="shared" ca="1" si="149"/>
        <v>Có</v>
      </c>
      <c r="T653" s="10" t="str">
        <f t="shared" ca="1" si="150"/>
        <v>Có</v>
      </c>
      <c r="U653" s="10" t="str">
        <f t="shared" si="151"/>
        <v>Không</v>
      </c>
      <c r="V653" s="2" t="s">
        <v>51</v>
      </c>
      <c r="W653" s="4">
        <v>46053</v>
      </c>
      <c r="X653" s="8" t="str">
        <f t="shared" si="152"/>
        <v>Tháng 1</v>
      </c>
      <c r="Y653" s="8" t="str">
        <f t="shared" si="153"/>
        <v>Phường Hiệp Thành</v>
      </c>
    </row>
    <row r="654" spans="1:25" x14ac:dyDescent="0.25">
      <c r="A654" s="1" t="s">
        <v>900</v>
      </c>
      <c r="B654" s="2" t="s">
        <v>23</v>
      </c>
      <c r="C654" s="2" t="s">
        <v>82</v>
      </c>
      <c r="D654" s="10">
        <f t="shared" ca="1" si="140"/>
        <v>73</v>
      </c>
      <c r="E654" s="2" t="s">
        <v>26</v>
      </c>
      <c r="F654" s="3">
        <v>160</v>
      </c>
      <c r="G654" s="3">
        <v>69</v>
      </c>
      <c r="H654" s="11">
        <f t="shared" si="141"/>
        <v>26.953124999999996</v>
      </c>
      <c r="I654" s="2">
        <v>73</v>
      </c>
      <c r="J654" s="3">
        <v>120</v>
      </c>
      <c r="K654" s="3">
        <v>80</v>
      </c>
      <c r="L654" s="10">
        <f t="shared" si="142"/>
        <v>0</v>
      </c>
      <c r="M654" s="10">
        <f t="shared" ca="1" si="143"/>
        <v>2</v>
      </c>
      <c r="N654" s="10">
        <f t="shared" si="144"/>
        <v>0</v>
      </c>
      <c r="O654" s="10">
        <f t="shared" si="145"/>
        <v>3</v>
      </c>
      <c r="P654" s="10">
        <f t="shared" si="146"/>
        <v>0</v>
      </c>
      <c r="Q654" s="10">
        <f t="shared" si="147"/>
        <v>0</v>
      </c>
      <c r="R654" s="10">
        <f t="shared" ca="1" si="148"/>
        <v>5</v>
      </c>
      <c r="S654" s="10" t="str">
        <f t="shared" ca="1" si="149"/>
        <v>Không cần</v>
      </c>
      <c r="T654" s="10" t="str">
        <f t="shared" ca="1" si="150"/>
        <v>Không</v>
      </c>
      <c r="U654" s="10" t="str">
        <f t="shared" si="151"/>
        <v>Không</v>
      </c>
      <c r="V654" s="2" t="s">
        <v>70</v>
      </c>
      <c r="W654" s="4">
        <v>46112</v>
      </c>
      <c r="X654" s="8" t="str">
        <f t="shared" si="152"/>
        <v>Tháng 3</v>
      </c>
      <c r="Y654" s="8" t="str">
        <f t="shared" si="153"/>
        <v>Ấp Biển Tây A</v>
      </c>
    </row>
    <row r="655" spans="1:25" x14ac:dyDescent="0.25">
      <c r="A655" s="1" t="s">
        <v>901</v>
      </c>
      <c r="B655" s="2" t="s">
        <v>23</v>
      </c>
      <c r="C655" s="2" t="s">
        <v>146</v>
      </c>
      <c r="D655" s="10">
        <f t="shared" ca="1" si="140"/>
        <v>52</v>
      </c>
      <c r="E655" s="2" t="s">
        <v>26</v>
      </c>
      <c r="F655" s="3">
        <v>158</v>
      </c>
      <c r="G655" s="3">
        <v>58</v>
      </c>
      <c r="H655" s="11">
        <f t="shared" si="141"/>
        <v>23.233456176894723</v>
      </c>
      <c r="I655" s="2">
        <v>79</v>
      </c>
      <c r="J655" s="3">
        <v>120</v>
      </c>
      <c r="K655" s="3">
        <v>80</v>
      </c>
      <c r="L655" s="10">
        <f t="shared" si="142"/>
        <v>0</v>
      </c>
      <c r="M655" s="10">
        <f t="shared" ca="1" si="143"/>
        <v>2</v>
      </c>
      <c r="N655" s="10">
        <f t="shared" si="144"/>
        <v>0</v>
      </c>
      <c r="O655" s="10">
        <f t="shared" si="145"/>
        <v>3</v>
      </c>
      <c r="P655" s="10">
        <f t="shared" si="146"/>
        <v>0</v>
      </c>
      <c r="Q655" s="10">
        <f t="shared" si="147"/>
        <v>0</v>
      </c>
      <c r="R655" s="10">
        <f t="shared" ca="1" si="148"/>
        <v>5</v>
      </c>
      <c r="S655" s="10" t="str">
        <f t="shared" ca="1" si="149"/>
        <v>Không cần</v>
      </c>
      <c r="T655" s="10" t="str">
        <f t="shared" ca="1" si="150"/>
        <v>Không</v>
      </c>
      <c r="U655" s="10" t="str">
        <f t="shared" si="151"/>
        <v>Không</v>
      </c>
      <c r="V655" s="2" t="s">
        <v>218</v>
      </c>
      <c r="W655" s="4">
        <v>46112</v>
      </c>
      <c r="X655" s="8" t="str">
        <f t="shared" si="152"/>
        <v>Tháng 3</v>
      </c>
      <c r="Y655" s="8" t="str">
        <f t="shared" si="153"/>
        <v>Biển Đông B</v>
      </c>
    </row>
    <row r="656" spans="1:25" x14ac:dyDescent="0.25">
      <c r="A656" s="1" t="s">
        <v>902</v>
      </c>
      <c r="B656" s="2" t="s">
        <v>23</v>
      </c>
      <c r="C656" s="2" t="s">
        <v>273</v>
      </c>
      <c r="D656" s="10">
        <f t="shared" ca="1" si="140"/>
        <v>47</v>
      </c>
      <c r="E656" s="2" t="s">
        <v>26</v>
      </c>
      <c r="F656" s="3">
        <v>158</v>
      </c>
      <c r="G656" s="3">
        <v>58</v>
      </c>
      <c r="H656" s="11">
        <f t="shared" si="141"/>
        <v>23.233456176894723</v>
      </c>
      <c r="I656" s="2">
        <v>81</v>
      </c>
      <c r="J656" s="3">
        <v>180</v>
      </c>
      <c r="K656" s="3">
        <v>80</v>
      </c>
      <c r="L656" s="10">
        <f t="shared" si="142"/>
        <v>0</v>
      </c>
      <c r="M656" s="10">
        <f t="shared" ca="1" si="143"/>
        <v>1</v>
      </c>
      <c r="N656" s="10">
        <f t="shared" si="144"/>
        <v>0</v>
      </c>
      <c r="O656" s="10">
        <f t="shared" si="145"/>
        <v>3</v>
      </c>
      <c r="P656" s="10">
        <f t="shared" si="146"/>
        <v>2</v>
      </c>
      <c r="Q656" s="10">
        <f t="shared" si="147"/>
        <v>2</v>
      </c>
      <c r="R656" s="10">
        <f t="shared" ca="1" si="148"/>
        <v>8</v>
      </c>
      <c r="S656" s="10" t="str">
        <f t="shared" ca="1" si="149"/>
        <v>Có</v>
      </c>
      <c r="T656" s="10" t="str">
        <f t="shared" ca="1" si="150"/>
        <v>Có</v>
      </c>
      <c r="U656" s="10" t="str">
        <f t="shared" si="151"/>
        <v>Có</v>
      </c>
      <c r="V656" s="2" t="s">
        <v>48</v>
      </c>
      <c r="W656" s="4">
        <v>46112</v>
      </c>
      <c r="X656" s="8" t="str">
        <f t="shared" si="152"/>
        <v>Tháng 3</v>
      </c>
      <c r="Y656" s="8" t="str">
        <f t="shared" si="153"/>
        <v>ấp Giồng Giữa A</v>
      </c>
    </row>
    <row r="657" spans="1:25" x14ac:dyDescent="0.25">
      <c r="A657" s="1" t="s">
        <v>903</v>
      </c>
      <c r="B657" s="2" t="s">
        <v>30</v>
      </c>
      <c r="C657" s="2" t="s">
        <v>155</v>
      </c>
      <c r="D657" s="10">
        <f t="shared" ca="1" si="140"/>
        <v>53</v>
      </c>
      <c r="E657" s="2" t="s">
        <v>26</v>
      </c>
      <c r="F657" s="3">
        <v>165</v>
      </c>
      <c r="G657" s="3">
        <v>70</v>
      </c>
      <c r="H657" s="11">
        <f t="shared" si="141"/>
        <v>25.711662075298442</v>
      </c>
      <c r="I657" s="2">
        <v>78</v>
      </c>
      <c r="J657" s="3">
        <v>150</v>
      </c>
      <c r="K657" s="3">
        <v>100</v>
      </c>
      <c r="L657" s="10">
        <f t="shared" si="142"/>
        <v>2</v>
      </c>
      <c r="M657" s="10">
        <f t="shared" ca="1" si="143"/>
        <v>2</v>
      </c>
      <c r="N657" s="10">
        <f t="shared" si="144"/>
        <v>0</v>
      </c>
      <c r="O657" s="10">
        <f t="shared" si="145"/>
        <v>3</v>
      </c>
      <c r="P657" s="10">
        <f t="shared" si="146"/>
        <v>0</v>
      </c>
      <c r="Q657" s="10">
        <f t="shared" si="147"/>
        <v>2</v>
      </c>
      <c r="R657" s="10">
        <f t="shared" ca="1" si="148"/>
        <v>9</v>
      </c>
      <c r="S657" s="10" t="str">
        <f t="shared" ca="1" si="149"/>
        <v>Có</v>
      </c>
      <c r="T657" s="10" t="str">
        <f t="shared" ca="1" si="150"/>
        <v>Có</v>
      </c>
      <c r="U657" s="10" t="str">
        <f t="shared" si="151"/>
        <v>Có</v>
      </c>
      <c r="V657" s="2" t="s">
        <v>215</v>
      </c>
      <c r="W657" s="4">
        <v>46112</v>
      </c>
      <c r="X657" s="8" t="str">
        <f t="shared" si="152"/>
        <v>Tháng 3</v>
      </c>
      <c r="Y657" s="8" t="str">
        <f t="shared" si="153"/>
        <v>Giồng Nhãn A</v>
      </c>
    </row>
    <row r="658" spans="1:25" x14ac:dyDescent="0.25">
      <c r="A658" s="1" t="s">
        <v>904</v>
      </c>
      <c r="B658" s="2" t="s">
        <v>23</v>
      </c>
      <c r="C658" s="2" t="s">
        <v>40</v>
      </c>
      <c r="D658" s="10">
        <f t="shared" ca="1" si="140"/>
        <v>70</v>
      </c>
      <c r="E658" s="2" t="s">
        <v>26</v>
      </c>
      <c r="F658" s="3">
        <v>158</v>
      </c>
      <c r="G658" s="3">
        <v>58</v>
      </c>
      <c r="H658" s="11">
        <f t="shared" si="141"/>
        <v>23.233456176894723</v>
      </c>
      <c r="I658" s="2">
        <v>97</v>
      </c>
      <c r="J658" s="3">
        <v>120</v>
      </c>
      <c r="K658" s="3">
        <v>80</v>
      </c>
      <c r="L658" s="10">
        <f t="shared" si="142"/>
        <v>0</v>
      </c>
      <c r="M658" s="10">
        <f t="shared" ca="1" si="143"/>
        <v>2</v>
      </c>
      <c r="N658" s="10">
        <f t="shared" si="144"/>
        <v>0</v>
      </c>
      <c r="O658" s="10">
        <f t="shared" si="145"/>
        <v>3</v>
      </c>
      <c r="P658" s="10">
        <f t="shared" si="146"/>
        <v>2</v>
      </c>
      <c r="Q658" s="10">
        <f t="shared" si="147"/>
        <v>0</v>
      </c>
      <c r="R658" s="10">
        <f t="shared" ca="1" si="148"/>
        <v>7</v>
      </c>
      <c r="S658" s="10" t="str">
        <f t="shared" ca="1" si="149"/>
        <v>Có</v>
      </c>
      <c r="T658" s="10" t="str">
        <f t="shared" ca="1" si="150"/>
        <v>Có</v>
      </c>
      <c r="U658" s="10" t="str">
        <f t="shared" si="151"/>
        <v>Không</v>
      </c>
      <c r="V658" s="2" t="s">
        <v>383</v>
      </c>
      <c r="W658" s="4">
        <v>46142</v>
      </c>
      <c r="X658" s="8" t="str">
        <f t="shared" si="152"/>
        <v>Tháng 4</v>
      </c>
      <c r="Y658" s="8" t="str">
        <f t="shared" si="153"/>
        <v>ấp Biển Đông A</v>
      </c>
    </row>
    <row r="659" spans="1:25" x14ac:dyDescent="0.25">
      <c r="A659" s="1" t="s">
        <v>905</v>
      </c>
      <c r="B659" s="2" t="s">
        <v>30</v>
      </c>
      <c r="C659" s="2" t="s">
        <v>87</v>
      </c>
      <c r="D659" s="10">
        <f t="shared" ca="1" si="140"/>
        <v>49</v>
      </c>
      <c r="E659" s="2" t="s">
        <v>26</v>
      </c>
      <c r="F659" s="3">
        <v>160</v>
      </c>
      <c r="G659" s="3">
        <v>60</v>
      </c>
      <c r="H659" s="11">
        <f t="shared" si="141"/>
        <v>23.437499999999996</v>
      </c>
      <c r="I659" s="2">
        <v>70</v>
      </c>
      <c r="J659" s="3">
        <v>120</v>
      </c>
      <c r="K659" s="3">
        <v>70</v>
      </c>
      <c r="L659" s="10">
        <f t="shared" si="142"/>
        <v>2</v>
      </c>
      <c r="M659" s="10">
        <f t="shared" ca="1" si="143"/>
        <v>1</v>
      </c>
      <c r="N659" s="10">
        <f t="shared" si="144"/>
        <v>0</v>
      </c>
      <c r="O659" s="10">
        <f t="shared" si="145"/>
        <v>3</v>
      </c>
      <c r="P659" s="10">
        <f t="shared" si="146"/>
        <v>0</v>
      </c>
      <c r="Q659" s="10">
        <f t="shared" si="147"/>
        <v>0</v>
      </c>
      <c r="R659" s="10">
        <f t="shared" ca="1" si="148"/>
        <v>6</v>
      </c>
      <c r="S659" s="10" t="str">
        <f t="shared" ca="1" si="149"/>
        <v>Có</v>
      </c>
      <c r="T659" s="10" t="str">
        <f t="shared" ca="1" si="150"/>
        <v>Có</v>
      </c>
      <c r="U659" s="10" t="str">
        <f t="shared" si="151"/>
        <v>Không</v>
      </c>
      <c r="V659" s="2" t="s">
        <v>88</v>
      </c>
      <c r="W659" s="4">
        <v>46142</v>
      </c>
      <c r="X659" s="8" t="str">
        <f t="shared" si="152"/>
        <v>Tháng 4</v>
      </c>
      <c r="Y659" s="8" t="str">
        <f t="shared" si="153"/>
        <v>Giồng Giữa</v>
      </c>
    </row>
    <row r="660" spans="1:25" x14ac:dyDescent="0.25">
      <c r="A660" s="1" t="s">
        <v>906</v>
      </c>
      <c r="B660" s="2" t="s">
        <v>23</v>
      </c>
      <c r="C660" s="2" t="s">
        <v>273</v>
      </c>
      <c r="D660" s="10">
        <f t="shared" ca="1" si="140"/>
        <v>47</v>
      </c>
      <c r="E660" s="2" t="s">
        <v>25</v>
      </c>
      <c r="F660" s="3">
        <v>158</v>
      </c>
      <c r="G660" s="3">
        <v>58</v>
      </c>
      <c r="H660" s="11">
        <f t="shared" si="141"/>
        <v>23.233456176894723</v>
      </c>
      <c r="I660" s="2">
        <v>85</v>
      </c>
      <c r="J660" s="3">
        <v>120</v>
      </c>
      <c r="K660" s="3">
        <v>80</v>
      </c>
      <c r="L660" s="10">
        <f t="shared" si="142"/>
        <v>0</v>
      </c>
      <c r="M660" s="10">
        <f t="shared" ca="1" si="143"/>
        <v>1</v>
      </c>
      <c r="N660" s="10">
        <f t="shared" si="144"/>
        <v>4</v>
      </c>
      <c r="O660" s="10">
        <f t="shared" si="145"/>
        <v>3</v>
      </c>
      <c r="P660" s="10">
        <f t="shared" si="146"/>
        <v>2</v>
      </c>
      <c r="Q660" s="10">
        <f t="shared" si="147"/>
        <v>0</v>
      </c>
      <c r="R660" s="10">
        <f t="shared" ca="1" si="148"/>
        <v>10</v>
      </c>
      <c r="S660" s="10" t="str">
        <f t="shared" ca="1" si="149"/>
        <v>Có</v>
      </c>
      <c r="T660" s="10" t="str">
        <f t="shared" ca="1" si="150"/>
        <v>Có</v>
      </c>
      <c r="U660" s="10" t="str">
        <f t="shared" si="151"/>
        <v>Không</v>
      </c>
      <c r="V660" s="2" t="s">
        <v>60</v>
      </c>
      <c r="W660" s="4">
        <v>46142</v>
      </c>
      <c r="X660" s="8" t="str">
        <f t="shared" si="152"/>
        <v>Tháng 4</v>
      </c>
      <c r="Y660" s="8" t="str">
        <f t="shared" si="153"/>
        <v>ấp Biển Đông A</v>
      </c>
    </row>
    <row r="661" spans="1:25" x14ac:dyDescent="0.25">
      <c r="A661" s="1" t="s">
        <v>907</v>
      </c>
      <c r="B661" s="2" t="s">
        <v>30</v>
      </c>
      <c r="C661" s="2" t="s">
        <v>133</v>
      </c>
      <c r="D661" s="10">
        <f t="shared" ca="1" si="140"/>
        <v>56</v>
      </c>
      <c r="E661" s="2" t="s">
        <v>26</v>
      </c>
      <c r="F661" s="3">
        <v>169</v>
      </c>
      <c r="G661" s="3">
        <v>68</v>
      </c>
      <c r="H661" s="11">
        <f t="shared" si="141"/>
        <v>23.808690171912751</v>
      </c>
      <c r="I661" s="2">
        <v>77</v>
      </c>
      <c r="J661" s="3">
        <v>120</v>
      </c>
      <c r="K661" s="3">
        <v>80</v>
      </c>
      <c r="L661" s="10">
        <f t="shared" si="142"/>
        <v>2</v>
      </c>
      <c r="M661" s="10">
        <f t="shared" ca="1" si="143"/>
        <v>2</v>
      </c>
      <c r="N661" s="10">
        <f t="shared" si="144"/>
        <v>0</v>
      </c>
      <c r="O661" s="10">
        <f t="shared" si="145"/>
        <v>3</v>
      </c>
      <c r="P661" s="10">
        <f t="shared" si="146"/>
        <v>0</v>
      </c>
      <c r="Q661" s="10">
        <f t="shared" si="147"/>
        <v>0</v>
      </c>
      <c r="R661" s="10">
        <f t="shared" ca="1" si="148"/>
        <v>7</v>
      </c>
      <c r="S661" s="10" t="str">
        <f t="shared" ca="1" si="149"/>
        <v>Có</v>
      </c>
      <c r="T661" s="10" t="str">
        <f t="shared" ca="1" si="150"/>
        <v>Có</v>
      </c>
      <c r="U661" s="10" t="str">
        <f t="shared" si="151"/>
        <v>Không</v>
      </c>
      <c r="V661" s="2" t="s">
        <v>51</v>
      </c>
      <c r="W661" s="4">
        <v>46142</v>
      </c>
      <c r="X661" s="8" t="str">
        <f t="shared" si="152"/>
        <v>Tháng 4</v>
      </c>
      <c r="Y661" s="8" t="str">
        <f t="shared" si="153"/>
        <v>Phường Hiệp Thành</v>
      </c>
    </row>
    <row r="662" spans="1:25" x14ac:dyDescent="0.25">
      <c r="A662" s="1" t="s">
        <v>908</v>
      </c>
      <c r="B662" s="2" t="s">
        <v>23</v>
      </c>
      <c r="C662" s="2" t="s">
        <v>130</v>
      </c>
      <c r="D662" s="10">
        <f t="shared" ca="1" si="140"/>
        <v>57</v>
      </c>
      <c r="E662" s="2" t="s">
        <v>26</v>
      </c>
      <c r="F662" s="3">
        <v>160</v>
      </c>
      <c r="G662" s="3">
        <v>68</v>
      </c>
      <c r="H662" s="11">
        <f t="shared" si="141"/>
        <v>26.562499999999996</v>
      </c>
      <c r="I662" s="2">
        <v>70</v>
      </c>
      <c r="J662" s="3">
        <v>150</v>
      </c>
      <c r="K662" s="3">
        <v>80</v>
      </c>
      <c r="L662" s="10">
        <f t="shared" si="142"/>
        <v>0</v>
      </c>
      <c r="M662" s="10">
        <f t="shared" ca="1" si="143"/>
        <v>2</v>
      </c>
      <c r="N662" s="10">
        <f t="shared" si="144"/>
        <v>0</v>
      </c>
      <c r="O662" s="10">
        <f t="shared" si="145"/>
        <v>3</v>
      </c>
      <c r="P662" s="10">
        <f t="shared" si="146"/>
        <v>0</v>
      </c>
      <c r="Q662" s="10">
        <f t="shared" si="147"/>
        <v>2</v>
      </c>
      <c r="R662" s="10">
        <f t="shared" ca="1" si="148"/>
        <v>7</v>
      </c>
      <c r="S662" s="10" t="str">
        <f t="shared" ca="1" si="149"/>
        <v>Có</v>
      </c>
      <c r="T662" s="10" t="str">
        <f t="shared" ca="1" si="150"/>
        <v>Có</v>
      </c>
      <c r="U662" s="10" t="str">
        <f t="shared" si="151"/>
        <v>Có</v>
      </c>
      <c r="V662" s="2" t="s">
        <v>160</v>
      </c>
      <c r="W662" s="4">
        <v>46142</v>
      </c>
      <c r="X662" s="8" t="str">
        <f t="shared" si="152"/>
        <v>Tháng 4</v>
      </c>
      <c r="Y662" s="8" t="str">
        <f t="shared" si="153"/>
        <v>Ấp Giồng Nhãn</v>
      </c>
    </row>
    <row r="663" spans="1:25" x14ac:dyDescent="0.25">
      <c r="A663" s="1" t="s">
        <v>909</v>
      </c>
      <c r="B663" s="2" t="s">
        <v>23</v>
      </c>
      <c r="C663" s="2" t="s">
        <v>341</v>
      </c>
      <c r="D663" s="10">
        <f t="shared" ca="1" si="140"/>
        <v>51</v>
      </c>
      <c r="E663" s="2" t="s">
        <v>26</v>
      </c>
      <c r="F663" s="3">
        <v>158</v>
      </c>
      <c r="G663" s="3">
        <v>58</v>
      </c>
      <c r="H663" s="11">
        <f t="shared" si="141"/>
        <v>23.233456176894723</v>
      </c>
      <c r="I663" s="2">
        <v>78</v>
      </c>
      <c r="J663" s="3">
        <v>120</v>
      </c>
      <c r="K663" s="3">
        <v>80</v>
      </c>
      <c r="L663" s="10">
        <f t="shared" si="142"/>
        <v>0</v>
      </c>
      <c r="M663" s="10">
        <f t="shared" ca="1" si="143"/>
        <v>2</v>
      </c>
      <c r="N663" s="10">
        <f t="shared" si="144"/>
        <v>0</v>
      </c>
      <c r="O663" s="10">
        <f t="shared" si="145"/>
        <v>3</v>
      </c>
      <c r="P663" s="10">
        <f t="shared" si="146"/>
        <v>0</v>
      </c>
      <c r="Q663" s="10">
        <f t="shared" si="147"/>
        <v>0</v>
      </c>
      <c r="R663" s="10">
        <f t="shared" ca="1" si="148"/>
        <v>5</v>
      </c>
      <c r="S663" s="10" t="str">
        <f t="shared" ca="1" si="149"/>
        <v>Không cần</v>
      </c>
      <c r="T663" s="10" t="str">
        <f t="shared" ca="1" si="150"/>
        <v>Không</v>
      </c>
      <c r="U663" s="10" t="str">
        <f t="shared" si="151"/>
        <v>Không</v>
      </c>
      <c r="V663" s="2" t="s">
        <v>308</v>
      </c>
      <c r="W663" s="4">
        <v>46053</v>
      </c>
      <c r="X663" s="8" t="str">
        <f t="shared" si="152"/>
        <v>Tháng 1</v>
      </c>
      <c r="Y663" s="8" t="str">
        <f t="shared" si="153"/>
        <v>ấp Giồng Giữa A</v>
      </c>
    </row>
    <row r="664" spans="1:25" x14ac:dyDescent="0.25">
      <c r="A664" s="1" t="s">
        <v>910</v>
      </c>
      <c r="B664" s="2" t="s">
        <v>30</v>
      </c>
      <c r="C664" s="2" t="s">
        <v>59</v>
      </c>
      <c r="D664" s="10">
        <f t="shared" ca="1" si="140"/>
        <v>74</v>
      </c>
      <c r="E664" s="2" t="s">
        <v>26</v>
      </c>
      <c r="F664" s="3">
        <v>169</v>
      </c>
      <c r="G664" s="3">
        <v>68</v>
      </c>
      <c r="H664" s="11">
        <f t="shared" si="141"/>
        <v>23.808690171912751</v>
      </c>
      <c r="I664" s="2">
        <v>99</v>
      </c>
      <c r="J664" s="3">
        <v>120</v>
      </c>
      <c r="K664" s="3">
        <v>80</v>
      </c>
      <c r="L664" s="10">
        <f t="shared" si="142"/>
        <v>2</v>
      </c>
      <c r="M664" s="10">
        <f t="shared" ca="1" si="143"/>
        <v>2</v>
      </c>
      <c r="N664" s="10">
        <f t="shared" si="144"/>
        <v>0</v>
      </c>
      <c r="O664" s="10">
        <f t="shared" si="145"/>
        <v>3</v>
      </c>
      <c r="P664" s="10">
        <f t="shared" si="146"/>
        <v>2</v>
      </c>
      <c r="Q664" s="10">
        <f t="shared" si="147"/>
        <v>0</v>
      </c>
      <c r="R664" s="10">
        <f t="shared" ca="1" si="148"/>
        <v>9</v>
      </c>
      <c r="S664" s="10" t="str">
        <f t="shared" ca="1" si="149"/>
        <v>Có</v>
      </c>
      <c r="T664" s="10" t="str">
        <f t="shared" ca="1" si="150"/>
        <v>Có</v>
      </c>
      <c r="U664" s="10" t="str">
        <f t="shared" si="151"/>
        <v>Không</v>
      </c>
      <c r="V664" s="2" t="s">
        <v>48</v>
      </c>
      <c r="W664" s="4">
        <v>46142</v>
      </c>
      <c r="X664" s="8" t="str">
        <f t="shared" si="152"/>
        <v>Tháng 4</v>
      </c>
      <c r="Y664" s="8" t="str">
        <f t="shared" si="153"/>
        <v>ấp Giồng Giữa A</v>
      </c>
    </row>
    <row r="665" spans="1:25" x14ac:dyDescent="0.25">
      <c r="A665" s="1" t="s">
        <v>911</v>
      </c>
      <c r="B665" s="2" t="s">
        <v>23</v>
      </c>
      <c r="C665" s="2" t="s">
        <v>90</v>
      </c>
      <c r="D665" s="10">
        <f t="shared" ca="1" si="140"/>
        <v>54</v>
      </c>
      <c r="E665" s="2" t="s">
        <v>26</v>
      </c>
      <c r="F665" s="3">
        <v>160</v>
      </c>
      <c r="G665" s="3">
        <v>50</v>
      </c>
      <c r="H665" s="11">
        <f t="shared" si="141"/>
        <v>19.531249999999996</v>
      </c>
      <c r="I665" s="2">
        <v>89</v>
      </c>
      <c r="J665" s="3">
        <v>120</v>
      </c>
      <c r="K665" s="3">
        <v>70</v>
      </c>
      <c r="L665" s="10">
        <f t="shared" si="142"/>
        <v>0</v>
      </c>
      <c r="M665" s="10">
        <f t="shared" ca="1" si="143"/>
        <v>2</v>
      </c>
      <c r="N665" s="10">
        <f t="shared" si="144"/>
        <v>0</v>
      </c>
      <c r="O665" s="10">
        <f t="shared" si="145"/>
        <v>0</v>
      </c>
      <c r="P665" s="10">
        <f t="shared" si="146"/>
        <v>2</v>
      </c>
      <c r="Q665" s="10">
        <f t="shared" si="147"/>
        <v>0</v>
      </c>
      <c r="R665" s="10">
        <f t="shared" ca="1" si="148"/>
        <v>4</v>
      </c>
      <c r="S665" s="10" t="str">
        <f t="shared" ca="1" si="149"/>
        <v>Không cần</v>
      </c>
      <c r="T665" s="10" t="str">
        <f t="shared" ca="1" si="150"/>
        <v>Không</v>
      </c>
      <c r="U665" s="10" t="str">
        <f t="shared" si="151"/>
        <v>Không</v>
      </c>
      <c r="V665" s="2" t="s">
        <v>122</v>
      </c>
      <c r="W665" s="4">
        <v>46112</v>
      </c>
      <c r="X665" s="8" t="str">
        <f t="shared" si="152"/>
        <v>Tháng 3</v>
      </c>
      <c r="Y665" s="8" t="str">
        <f t="shared" si="153"/>
        <v>Giồng Nhãn</v>
      </c>
    </row>
    <row r="666" spans="1:25" x14ac:dyDescent="0.25">
      <c r="A666" s="1" t="s">
        <v>912</v>
      </c>
      <c r="B666" s="2" t="s">
        <v>30</v>
      </c>
      <c r="C666" s="2" t="s">
        <v>913</v>
      </c>
      <c r="D666" s="10">
        <f t="shared" ca="1" si="140"/>
        <v>93</v>
      </c>
      <c r="E666" s="2" t="s">
        <v>26</v>
      </c>
      <c r="F666" s="3">
        <v>169</v>
      </c>
      <c r="G666" s="3">
        <v>68</v>
      </c>
      <c r="H666" s="11">
        <f t="shared" si="141"/>
        <v>23.808690171912751</v>
      </c>
      <c r="I666" s="2">
        <v>77</v>
      </c>
      <c r="J666" s="3">
        <v>150</v>
      </c>
      <c r="K666" s="3">
        <v>80</v>
      </c>
      <c r="L666" s="10">
        <f t="shared" si="142"/>
        <v>2</v>
      </c>
      <c r="M666" s="10">
        <f t="shared" ca="1" si="143"/>
        <v>2</v>
      </c>
      <c r="N666" s="10">
        <f t="shared" si="144"/>
        <v>0</v>
      </c>
      <c r="O666" s="10">
        <f t="shared" si="145"/>
        <v>3</v>
      </c>
      <c r="P666" s="10">
        <f t="shared" si="146"/>
        <v>0</v>
      </c>
      <c r="Q666" s="10">
        <f t="shared" si="147"/>
        <v>2</v>
      </c>
      <c r="R666" s="10">
        <f t="shared" ca="1" si="148"/>
        <v>9</v>
      </c>
      <c r="S666" s="10" t="str">
        <f t="shared" ca="1" si="149"/>
        <v>Có</v>
      </c>
      <c r="T666" s="10" t="str">
        <f t="shared" ca="1" si="150"/>
        <v>Có</v>
      </c>
      <c r="U666" s="10" t="str">
        <f t="shared" si="151"/>
        <v>Có</v>
      </c>
      <c r="V666" s="2" t="s">
        <v>51</v>
      </c>
      <c r="W666" s="4">
        <v>46112</v>
      </c>
      <c r="X666" s="8" t="str">
        <f t="shared" si="152"/>
        <v>Tháng 3</v>
      </c>
      <c r="Y666" s="8" t="str">
        <f t="shared" si="153"/>
        <v>Phường Hiệp Thành</v>
      </c>
    </row>
    <row r="667" spans="1:25" x14ac:dyDescent="0.25">
      <c r="A667" s="1" t="s">
        <v>914</v>
      </c>
      <c r="B667" s="2" t="s">
        <v>23</v>
      </c>
      <c r="C667" s="2" t="s">
        <v>797</v>
      </c>
      <c r="D667" s="10">
        <f t="shared" ca="1" si="140"/>
        <v>85</v>
      </c>
      <c r="E667" s="2" t="s">
        <v>26</v>
      </c>
      <c r="F667" s="3">
        <v>160</v>
      </c>
      <c r="G667" s="3">
        <v>65</v>
      </c>
      <c r="H667" s="11">
        <f t="shared" si="141"/>
        <v>25.390624999999996</v>
      </c>
      <c r="I667" s="2">
        <v>90</v>
      </c>
      <c r="J667" s="3">
        <v>150</v>
      </c>
      <c r="K667" s="3">
        <v>90</v>
      </c>
      <c r="L667" s="10">
        <f t="shared" si="142"/>
        <v>0</v>
      </c>
      <c r="M667" s="10">
        <f t="shared" ca="1" si="143"/>
        <v>2</v>
      </c>
      <c r="N667" s="10">
        <f t="shared" si="144"/>
        <v>0</v>
      </c>
      <c r="O667" s="10">
        <f t="shared" si="145"/>
        <v>3</v>
      </c>
      <c r="P667" s="10">
        <f t="shared" si="146"/>
        <v>2</v>
      </c>
      <c r="Q667" s="10">
        <f t="shared" si="147"/>
        <v>2</v>
      </c>
      <c r="R667" s="10">
        <f t="shared" ca="1" si="148"/>
        <v>9</v>
      </c>
      <c r="S667" s="10" t="str">
        <f t="shared" ca="1" si="149"/>
        <v>Có</v>
      </c>
      <c r="T667" s="10" t="str">
        <f t="shared" ca="1" si="150"/>
        <v>Có</v>
      </c>
      <c r="U667" s="10" t="str">
        <f t="shared" si="151"/>
        <v>Có</v>
      </c>
      <c r="V667" s="2" t="s">
        <v>51</v>
      </c>
      <c r="W667" s="4">
        <v>46142</v>
      </c>
      <c r="X667" s="8" t="str">
        <f t="shared" si="152"/>
        <v>Tháng 4</v>
      </c>
      <c r="Y667" s="8" t="str">
        <f t="shared" si="153"/>
        <v>Phường Hiệp Thành</v>
      </c>
    </row>
    <row r="668" spans="1:25" x14ac:dyDescent="0.25">
      <c r="A668" s="1" t="s">
        <v>915</v>
      </c>
      <c r="B668" s="2" t="s">
        <v>30</v>
      </c>
      <c r="C668" s="2" t="s">
        <v>341</v>
      </c>
      <c r="D668" s="10">
        <f t="shared" ca="1" si="140"/>
        <v>51</v>
      </c>
      <c r="E668" s="2" t="s">
        <v>26</v>
      </c>
      <c r="F668" s="3">
        <v>169</v>
      </c>
      <c r="G668" s="3">
        <v>69</v>
      </c>
      <c r="H668" s="11">
        <f t="shared" si="141"/>
        <v>24.158817968558527</v>
      </c>
      <c r="I668" s="2">
        <v>79</v>
      </c>
      <c r="J668" s="3">
        <v>140</v>
      </c>
      <c r="K668" s="3">
        <v>80</v>
      </c>
      <c r="L668" s="10">
        <f t="shared" si="142"/>
        <v>2</v>
      </c>
      <c r="M668" s="10">
        <f t="shared" ca="1" si="143"/>
        <v>2</v>
      </c>
      <c r="N668" s="10">
        <f t="shared" si="144"/>
        <v>0</v>
      </c>
      <c r="O668" s="10">
        <f t="shared" si="145"/>
        <v>3</v>
      </c>
      <c r="P668" s="10">
        <f t="shared" si="146"/>
        <v>0</v>
      </c>
      <c r="Q668" s="10">
        <f t="shared" si="147"/>
        <v>2</v>
      </c>
      <c r="R668" s="10">
        <f t="shared" ca="1" si="148"/>
        <v>9</v>
      </c>
      <c r="S668" s="10" t="str">
        <f t="shared" ca="1" si="149"/>
        <v>Có</v>
      </c>
      <c r="T668" s="10" t="str">
        <f t="shared" ca="1" si="150"/>
        <v>Có</v>
      </c>
      <c r="U668" s="10" t="str">
        <f t="shared" si="151"/>
        <v>Có</v>
      </c>
      <c r="V668" s="2" t="s">
        <v>70</v>
      </c>
      <c r="W668" s="4">
        <v>46053</v>
      </c>
      <c r="X668" s="8" t="str">
        <f t="shared" si="152"/>
        <v>Tháng 1</v>
      </c>
      <c r="Y668" s="8" t="str">
        <f t="shared" si="153"/>
        <v>Ấp Biển Tây A</v>
      </c>
    </row>
    <row r="669" spans="1:25" x14ac:dyDescent="0.25">
      <c r="A669" s="1" t="s">
        <v>916</v>
      </c>
      <c r="B669" s="2" t="s">
        <v>23</v>
      </c>
      <c r="C669" s="2" t="s">
        <v>256</v>
      </c>
      <c r="D669" s="10">
        <f t="shared" ca="1" si="140"/>
        <v>41</v>
      </c>
      <c r="E669" s="2" t="s">
        <v>26</v>
      </c>
      <c r="F669" s="3">
        <v>158</v>
      </c>
      <c r="G669" s="3">
        <v>58</v>
      </c>
      <c r="H669" s="11">
        <f t="shared" si="141"/>
        <v>23.233456176894723</v>
      </c>
      <c r="I669" s="2">
        <v>74</v>
      </c>
      <c r="J669" s="3">
        <v>120</v>
      </c>
      <c r="K669" s="3">
        <v>80</v>
      </c>
      <c r="L669" s="10">
        <f t="shared" si="142"/>
        <v>0</v>
      </c>
      <c r="M669" s="10">
        <f t="shared" ca="1" si="143"/>
        <v>0</v>
      </c>
      <c r="N669" s="10">
        <f t="shared" si="144"/>
        <v>0</v>
      </c>
      <c r="O669" s="10">
        <f t="shared" si="145"/>
        <v>3</v>
      </c>
      <c r="P669" s="10">
        <f t="shared" si="146"/>
        <v>0</v>
      </c>
      <c r="Q669" s="10">
        <f t="shared" si="147"/>
        <v>0</v>
      </c>
      <c r="R669" s="10">
        <f t="shared" ca="1" si="148"/>
        <v>3</v>
      </c>
      <c r="S669" s="10" t="str">
        <f t="shared" ca="1" si="149"/>
        <v>Không cần</v>
      </c>
      <c r="T669" s="10" t="str">
        <f t="shared" ca="1" si="150"/>
        <v>Không</v>
      </c>
      <c r="U669" s="10" t="str">
        <f t="shared" si="151"/>
        <v>Không</v>
      </c>
      <c r="V669" s="2" t="s">
        <v>51</v>
      </c>
      <c r="W669" s="4">
        <v>46142</v>
      </c>
      <c r="X669" s="8" t="str">
        <f t="shared" si="152"/>
        <v>Tháng 4</v>
      </c>
      <c r="Y669" s="8" t="str">
        <f t="shared" si="153"/>
        <v>Phường Hiệp Thành</v>
      </c>
    </row>
    <row r="670" spans="1:25" x14ac:dyDescent="0.25">
      <c r="A670" s="1" t="s">
        <v>917</v>
      </c>
      <c r="B670" s="2" t="s">
        <v>30</v>
      </c>
      <c r="C670" s="2" t="s">
        <v>146</v>
      </c>
      <c r="D670" s="10">
        <f t="shared" ca="1" si="140"/>
        <v>52</v>
      </c>
      <c r="E670" s="2" t="s">
        <v>26</v>
      </c>
      <c r="F670" s="3">
        <v>169</v>
      </c>
      <c r="G670" s="3">
        <v>68</v>
      </c>
      <c r="H670" s="11">
        <f t="shared" si="141"/>
        <v>23.808690171912751</v>
      </c>
      <c r="I670" s="2">
        <v>75</v>
      </c>
      <c r="J670" s="3">
        <v>150</v>
      </c>
      <c r="K670" s="3">
        <v>80</v>
      </c>
      <c r="L670" s="10">
        <f t="shared" si="142"/>
        <v>2</v>
      </c>
      <c r="M670" s="10">
        <f t="shared" ca="1" si="143"/>
        <v>2</v>
      </c>
      <c r="N670" s="10">
        <f t="shared" si="144"/>
        <v>0</v>
      </c>
      <c r="O670" s="10">
        <f t="shared" si="145"/>
        <v>3</v>
      </c>
      <c r="P670" s="10">
        <f t="shared" si="146"/>
        <v>0</v>
      </c>
      <c r="Q670" s="10">
        <f t="shared" si="147"/>
        <v>2</v>
      </c>
      <c r="R670" s="10">
        <f t="shared" ca="1" si="148"/>
        <v>9</v>
      </c>
      <c r="S670" s="10" t="str">
        <f t="shared" ca="1" si="149"/>
        <v>Có</v>
      </c>
      <c r="T670" s="10" t="str">
        <f t="shared" ca="1" si="150"/>
        <v>Có</v>
      </c>
      <c r="U670" s="10" t="str">
        <f t="shared" si="151"/>
        <v>Có</v>
      </c>
      <c r="V670" s="2" t="s">
        <v>246</v>
      </c>
      <c r="W670" s="4">
        <v>46112</v>
      </c>
      <c r="X670" s="8" t="str">
        <f t="shared" si="152"/>
        <v>Tháng 3</v>
      </c>
      <c r="Y670" s="8" t="str">
        <f t="shared" si="153"/>
        <v>ấp Biển Tây B</v>
      </c>
    </row>
    <row r="671" spans="1:25" x14ac:dyDescent="0.25">
      <c r="A671" s="1" t="s">
        <v>918</v>
      </c>
      <c r="B671" s="2" t="s">
        <v>23</v>
      </c>
      <c r="C671" s="2" t="s">
        <v>67</v>
      </c>
      <c r="D671" s="10">
        <f t="shared" ca="1" si="140"/>
        <v>48</v>
      </c>
      <c r="E671" s="2" t="s">
        <v>26</v>
      </c>
      <c r="F671" s="3">
        <v>158</v>
      </c>
      <c r="G671" s="3">
        <v>58</v>
      </c>
      <c r="H671" s="11">
        <f t="shared" si="141"/>
        <v>23.233456176894723</v>
      </c>
      <c r="I671" s="2">
        <v>85</v>
      </c>
      <c r="J671" s="3">
        <v>120</v>
      </c>
      <c r="K671" s="3">
        <v>80</v>
      </c>
      <c r="L671" s="10">
        <f t="shared" si="142"/>
        <v>0</v>
      </c>
      <c r="M671" s="10">
        <f t="shared" ca="1" si="143"/>
        <v>1</v>
      </c>
      <c r="N671" s="10">
        <f t="shared" si="144"/>
        <v>0</v>
      </c>
      <c r="O671" s="10">
        <f t="shared" si="145"/>
        <v>3</v>
      </c>
      <c r="P671" s="10">
        <f t="shared" si="146"/>
        <v>2</v>
      </c>
      <c r="Q671" s="10">
        <f t="shared" si="147"/>
        <v>0</v>
      </c>
      <c r="R671" s="10">
        <f t="shared" ca="1" si="148"/>
        <v>6</v>
      </c>
      <c r="S671" s="10" t="str">
        <f t="shared" ca="1" si="149"/>
        <v>Có</v>
      </c>
      <c r="T671" s="10" t="str">
        <f t="shared" ca="1" si="150"/>
        <v>Có</v>
      </c>
      <c r="U671" s="10" t="str">
        <f t="shared" si="151"/>
        <v>Không</v>
      </c>
      <c r="V671" s="2" t="s">
        <v>919</v>
      </c>
      <c r="W671" s="4">
        <v>46053</v>
      </c>
      <c r="X671" s="8" t="str">
        <f t="shared" si="152"/>
        <v>Tháng 1</v>
      </c>
      <c r="Y671" s="8" t="str">
        <f t="shared" si="153"/>
        <v>Ấp Biển tây B</v>
      </c>
    </row>
    <row r="672" spans="1:25" x14ac:dyDescent="0.25">
      <c r="A672" s="1" t="s">
        <v>920</v>
      </c>
      <c r="B672" s="2" t="s">
        <v>23</v>
      </c>
      <c r="C672" s="2" t="s">
        <v>42</v>
      </c>
      <c r="D672" s="10">
        <f t="shared" ca="1" si="140"/>
        <v>59</v>
      </c>
      <c r="E672" s="2" t="s">
        <v>26</v>
      </c>
      <c r="F672" s="3">
        <v>158</v>
      </c>
      <c r="G672" s="3">
        <v>58</v>
      </c>
      <c r="H672" s="11">
        <f t="shared" si="141"/>
        <v>23.233456176894723</v>
      </c>
      <c r="I672" s="2">
        <v>79</v>
      </c>
      <c r="J672" s="3">
        <v>140</v>
      </c>
      <c r="K672" s="3">
        <v>80</v>
      </c>
      <c r="L672" s="10">
        <f t="shared" si="142"/>
        <v>0</v>
      </c>
      <c r="M672" s="10">
        <f t="shared" ca="1" si="143"/>
        <v>2</v>
      </c>
      <c r="N672" s="10">
        <f t="shared" si="144"/>
        <v>0</v>
      </c>
      <c r="O672" s="10">
        <f t="shared" si="145"/>
        <v>3</v>
      </c>
      <c r="P672" s="10">
        <f t="shared" si="146"/>
        <v>0</v>
      </c>
      <c r="Q672" s="10">
        <f t="shared" si="147"/>
        <v>2</v>
      </c>
      <c r="R672" s="10">
        <f t="shared" ca="1" si="148"/>
        <v>7</v>
      </c>
      <c r="S672" s="10" t="str">
        <f t="shared" ca="1" si="149"/>
        <v>Có</v>
      </c>
      <c r="T672" s="10" t="str">
        <f t="shared" ca="1" si="150"/>
        <v>Có</v>
      </c>
      <c r="U672" s="10" t="str">
        <f t="shared" si="151"/>
        <v>Có</v>
      </c>
      <c r="V672" s="2" t="s">
        <v>68</v>
      </c>
      <c r="W672" s="4">
        <v>46112</v>
      </c>
      <c r="X672" s="8" t="str">
        <f t="shared" si="152"/>
        <v>Tháng 3</v>
      </c>
      <c r="Y672" s="8" t="str">
        <f t="shared" si="153"/>
        <v>Ấp Biển Tây B</v>
      </c>
    </row>
    <row r="673" spans="1:25" x14ac:dyDescent="0.25">
      <c r="A673" s="1" t="s">
        <v>921</v>
      </c>
      <c r="B673" s="2" t="s">
        <v>23</v>
      </c>
      <c r="C673" s="2" t="s">
        <v>45</v>
      </c>
      <c r="D673" s="10">
        <f t="shared" ca="1" si="140"/>
        <v>50</v>
      </c>
      <c r="E673" s="2" t="s">
        <v>25</v>
      </c>
      <c r="F673" s="3">
        <v>158</v>
      </c>
      <c r="G673" s="3">
        <v>58</v>
      </c>
      <c r="H673" s="11">
        <f t="shared" si="141"/>
        <v>23.233456176894723</v>
      </c>
      <c r="I673" s="2">
        <v>90</v>
      </c>
      <c r="J673" s="3">
        <v>130</v>
      </c>
      <c r="K673" s="3">
        <v>80</v>
      </c>
      <c r="L673" s="10">
        <f t="shared" si="142"/>
        <v>0</v>
      </c>
      <c r="M673" s="10">
        <f t="shared" ca="1" si="143"/>
        <v>2</v>
      </c>
      <c r="N673" s="10">
        <f t="shared" si="144"/>
        <v>4</v>
      </c>
      <c r="O673" s="10">
        <f t="shared" si="145"/>
        <v>3</v>
      </c>
      <c r="P673" s="10">
        <f t="shared" si="146"/>
        <v>2</v>
      </c>
      <c r="Q673" s="10">
        <f t="shared" si="147"/>
        <v>0</v>
      </c>
      <c r="R673" s="10">
        <f t="shared" ca="1" si="148"/>
        <v>11</v>
      </c>
      <c r="S673" s="10" t="str">
        <f t="shared" ca="1" si="149"/>
        <v>Có</v>
      </c>
      <c r="T673" s="10" t="str">
        <f t="shared" ca="1" si="150"/>
        <v>Có</v>
      </c>
      <c r="U673" s="10" t="str">
        <f t="shared" si="151"/>
        <v>Không</v>
      </c>
      <c r="V673" s="2" t="s">
        <v>447</v>
      </c>
      <c r="W673" s="4">
        <v>46112</v>
      </c>
      <c r="X673" s="8" t="str">
        <f t="shared" si="152"/>
        <v>Tháng 3</v>
      </c>
      <c r="Y673" s="8" t="str">
        <f t="shared" si="153"/>
        <v>Ấp Giáp Nước</v>
      </c>
    </row>
    <row r="674" spans="1:25" x14ac:dyDescent="0.25">
      <c r="A674" s="1" t="s">
        <v>922</v>
      </c>
      <c r="B674" s="2" t="s">
        <v>23</v>
      </c>
      <c r="C674" s="2" t="s">
        <v>923</v>
      </c>
      <c r="D674" s="10">
        <f t="shared" ca="1" si="140"/>
        <v>89</v>
      </c>
      <c r="E674" s="2" t="s">
        <v>26</v>
      </c>
      <c r="F674" s="3">
        <v>150</v>
      </c>
      <c r="G674" s="3">
        <v>49</v>
      </c>
      <c r="H674" s="11">
        <f t="shared" si="141"/>
        <v>21.777777777777779</v>
      </c>
      <c r="I674" s="2">
        <v>80</v>
      </c>
      <c r="J674" s="3">
        <v>120</v>
      </c>
      <c r="K674" s="3">
        <v>80</v>
      </c>
      <c r="L674" s="10">
        <f t="shared" si="142"/>
        <v>0</v>
      </c>
      <c r="M674" s="10">
        <f t="shared" ca="1" si="143"/>
        <v>2</v>
      </c>
      <c r="N674" s="10">
        <f t="shared" si="144"/>
        <v>0</v>
      </c>
      <c r="O674" s="10">
        <f t="shared" si="145"/>
        <v>0</v>
      </c>
      <c r="P674" s="10">
        <f t="shared" si="146"/>
        <v>2</v>
      </c>
      <c r="Q674" s="10">
        <f t="shared" si="147"/>
        <v>0</v>
      </c>
      <c r="R674" s="10">
        <f t="shared" ca="1" si="148"/>
        <v>4</v>
      </c>
      <c r="S674" s="10" t="str">
        <f t="shared" ca="1" si="149"/>
        <v>Không cần</v>
      </c>
      <c r="T674" s="10" t="str">
        <f t="shared" ca="1" si="150"/>
        <v>Không</v>
      </c>
      <c r="U674" s="10" t="str">
        <f t="shared" si="151"/>
        <v>Không</v>
      </c>
      <c r="V674" s="2" t="s">
        <v>51</v>
      </c>
      <c r="W674" s="4">
        <v>46112</v>
      </c>
      <c r="X674" s="8" t="str">
        <f t="shared" si="152"/>
        <v>Tháng 3</v>
      </c>
      <c r="Y674" s="8" t="str">
        <f t="shared" si="153"/>
        <v>Phường Hiệp Thành</v>
      </c>
    </row>
    <row r="675" spans="1:25" x14ac:dyDescent="0.25">
      <c r="A675" s="1" t="s">
        <v>924</v>
      </c>
      <c r="B675" s="2" t="s">
        <v>30</v>
      </c>
      <c r="C675" s="2" t="s">
        <v>394</v>
      </c>
      <c r="D675" s="10">
        <f t="shared" ca="1" si="140"/>
        <v>45</v>
      </c>
      <c r="E675" s="2" t="s">
        <v>26</v>
      </c>
      <c r="F675" s="3">
        <v>169</v>
      </c>
      <c r="G675" s="3">
        <v>58</v>
      </c>
      <c r="H675" s="11">
        <f t="shared" si="141"/>
        <v>20.307412205454995</v>
      </c>
      <c r="I675" s="2">
        <v>95</v>
      </c>
      <c r="J675" s="3">
        <v>120</v>
      </c>
      <c r="K675" s="3">
        <v>80</v>
      </c>
      <c r="L675" s="10">
        <f t="shared" si="142"/>
        <v>2</v>
      </c>
      <c r="M675" s="10">
        <f t="shared" ca="1" si="143"/>
        <v>1</v>
      </c>
      <c r="N675" s="10">
        <f t="shared" si="144"/>
        <v>0</v>
      </c>
      <c r="O675" s="10">
        <f t="shared" si="145"/>
        <v>0</v>
      </c>
      <c r="P675" s="10">
        <f t="shared" si="146"/>
        <v>2</v>
      </c>
      <c r="Q675" s="10">
        <f t="shared" si="147"/>
        <v>0</v>
      </c>
      <c r="R675" s="10">
        <f t="shared" ca="1" si="148"/>
        <v>5</v>
      </c>
      <c r="S675" s="10" t="str">
        <f t="shared" ca="1" si="149"/>
        <v>Không cần</v>
      </c>
      <c r="T675" s="10" t="str">
        <f t="shared" ca="1" si="150"/>
        <v>Không</v>
      </c>
      <c r="U675" s="10" t="str">
        <f t="shared" si="151"/>
        <v>Không</v>
      </c>
      <c r="V675" s="2" t="s">
        <v>925</v>
      </c>
      <c r="W675" s="4">
        <v>46112</v>
      </c>
      <c r="X675" s="8" t="str">
        <f t="shared" si="152"/>
        <v>Tháng 3</v>
      </c>
      <c r="Y675" s="8" t="str">
        <f t="shared" si="153"/>
        <v>ẤP BIỂN ĐÔNG B</v>
      </c>
    </row>
    <row r="676" spans="1:25" x14ac:dyDescent="0.25">
      <c r="A676" s="1" t="s">
        <v>926</v>
      </c>
      <c r="B676" s="2" t="s">
        <v>23</v>
      </c>
      <c r="C676" s="2" t="s">
        <v>163</v>
      </c>
      <c r="D676" s="10">
        <f t="shared" ca="1" si="140"/>
        <v>46</v>
      </c>
      <c r="E676" s="2" t="s">
        <v>26</v>
      </c>
      <c r="F676" s="3">
        <v>160</v>
      </c>
      <c r="G676" s="3">
        <v>63</v>
      </c>
      <c r="H676" s="11">
        <f t="shared" si="141"/>
        <v>24.609374999999996</v>
      </c>
      <c r="I676" s="2">
        <v>69</v>
      </c>
      <c r="J676" s="3">
        <v>120</v>
      </c>
      <c r="K676" s="3">
        <v>80</v>
      </c>
      <c r="L676" s="10">
        <f t="shared" si="142"/>
        <v>0</v>
      </c>
      <c r="M676" s="10">
        <f t="shared" ca="1" si="143"/>
        <v>1</v>
      </c>
      <c r="N676" s="10">
        <f t="shared" si="144"/>
        <v>0</v>
      </c>
      <c r="O676" s="10">
        <f t="shared" si="145"/>
        <v>3</v>
      </c>
      <c r="P676" s="10">
        <f t="shared" si="146"/>
        <v>0</v>
      </c>
      <c r="Q676" s="10">
        <f t="shared" si="147"/>
        <v>0</v>
      </c>
      <c r="R676" s="10">
        <f t="shared" ca="1" si="148"/>
        <v>4</v>
      </c>
      <c r="S676" s="10" t="str">
        <f t="shared" ca="1" si="149"/>
        <v>Không cần</v>
      </c>
      <c r="T676" s="10" t="str">
        <f t="shared" ca="1" si="150"/>
        <v>Không</v>
      </c>
      <c r="U676" s="10" t="str">
        <f t="shared" si="151"/>
        <v>Không</v>
      </c>
      <c r="V676" s="2" t="s">
        <v>51</v>
      </c>
      <c r="W676" s="4">
        <v>46142</v>
      </c>
      <c r="X676" s="8" t="str">
        <f t="shared" si="152"/>
        <v>Tháng 4</v>
      </c>
      <c r="Y676" s="8" t="str">
        <f t="shared" si="153"/>
        <v>Phường Hiệp Thành</v>
      </c>
    </row>
    <row r="677" spans="1:25" x14ac:dyDescent="0.25">
      <c r="A677" s="1" t="s">
        <v>927</v>
      </c>
      <c r="B677" s="2" t="s">
        <v>23</v>
      </c>
      <c r="C677" s="2" t="s">
        <v>59</v>
      </c>
      <c r="D677" s="10">
        <f t="shared" ca="1" si="140"/>
        <v>74</v>
      </c>
      <c r="E677" s="2" t="s">
        <v>25</v>
      </c>
      <c r="F677" s="3">
        <v>158</v>
      </c>
      <c r="G677" s="3">
        <v>34</v>
      </c>
      <c r="H677" s="11">
        <f t="shared" si="141"/>
        <v>13.619612241627943</v>
      </c>
      <c r="I677" s="2">
        <v>81</v>
      </c>
      <c r="J677" s="3">
        <v>110</v>
      </c>
      <c r="K677" s="3">
        <v>70</v>
      </c>
      <c r="L677" s="10">
        <f t="shared" si="142"/>
        <v>0</v>
      </c>
      <c r="M677" s="10">
        <f t="shared" ca="1" si="143"/>
        <v>2</v>
      </c>
      <c r="N677" s="10">
        <f t="shared" si="144"/>
        <v>4</v>
      </c>
      <c r="O677" s="10">
        <f t="shared" si="145"/>
        <v>0</v>
      </c>
      <c r="P677" s="10">
        <f t="shared" si="146"/>
        <v>2</v>
      </c>
      <c r="Q677" s="10">
        <f t="shared" si="147"/>
        <v>0</v>
      </c>
      <c r="R677" s="10">
        <f t="shared" ca="1" si="148"/>
        <v>8</v>
      </c>
      <c r="S677" s="10" t="str">
        <f t="shared" ca="1" si="149"/>
        <v>Có</v>
      </c>
      <c r="T677" s="10" t="str">
        <f t="shared" ca="1" si="150"/>
        <v>Có</v>
      </c>
      <c r="U677" s="10" t="str">
        <f t="shared" si="151"/>
        <v>Không</v>
      </c>
      <c r="V677" s="2" t="s">
        <v>122</v>
      </c>
      <c r="W677" s="4">
        <v>46142</v>
      </c>
      <c r="X677" s="8" t="str">
        <f t="shared" si="152"/>
        <v>Tháng 4</v>
      </c>
      <c r="Y677" s="8" t="str">
        <f t="shared" si="153"/>
        <v>Giồng Nhãn</v>
      </c>
    </row>
    <row r="678" spans="1:25" x14ac:dyDescent="0.25">
      <c r="A678" s="1" t="s">
        <v>928</v>
      </c>
      <c r="B678" s="2" t="s">
        <v>23</v>
      </c>
      <c r="C678" s="2" t="s">
        <v>133</v>
      </c>
      <c r="D678" s="10">
        <f t="shared" ca="1" si="140"/>
        <v>56</v>
      </c>
      <c r="E678" s="2" t="s">
        <v>26</v>
      </c>
      <c r="F678" s="3">
        <v>160</v>
      </c>
      <c r="G678" s="3">
        <v>55</v>
      </c>
      <c r="H678" s="11">
        <f t="shared" si="141"/>
        <v>21.484374999999996</v>
      </c>
      <c r="I678" s="2">
        <v>84</v>
      </c>
      <c r="J678" s="3">
        <v>150</v>
      </c>
      <c r="K678" s="3">
        <v>90</v>
      </c>
      <c r="L678" s="10">
        <f t="shared" si="142"/>
        <v>0</v>
      </c>
      <c r="M678" s="10">
        <f t="shared" ca="1" si="143"/>
        <v>2</v>
      </c>
      <c r="N678" s="10">
        <f t="shared" si="144"/>
        <v>0</v>
      </c>
      <c r="O678" s="10">
        <f t="shared" si="145"/>
        <v>0</v>
      </c>
      <c r="P678" s="10">
        <f t="shared" si="146"/>
        <v>2</v>
      </c>
      <c r="Q678" s="10">
        <f t="shared" si="147"/>
        <v>2</v>
      </c>
      <c r="R678" s="10">
        <f t="shared" ca="1" si="148"/>
        <v>6</v>
      </c>
      <c r="S678" s="10" t="str">
        <f t="shared" ca="1" si="149"/>
        <v>Có</v>
      </c>
      <c r="T678" s="10" t="str">
        <f t="shared" ca="1" si="150"/>
        <v>Có</v>
      </c>
      <c r="U678" s="10" t="str">
        <f t="shared" si="151"/>
        <v>Có</v>
      </c>
      <c r="V678" s="2" t="s">
        <v>122</v>
      </c>
      <c r="W678" s="4">
        <v>46142</v>
      </c>
      <c r="X678" s="8" t="str">
        <f t="shared" si="152"/>
        <v>Tháng 4</v>
      </c>
      <c r="Y678" s="8" t="str">
        <f t="shared" si="153"/>
        <v>Giồng Nhãn</v>
      </c>
    </row>
    <row r="679" spans="1:25" x14ac:dyDescent="0.25">
      <c r="A679" s="1" t="s">
        <v>929</v>
      </c>
      <c r="B679" s="2" t="s">
        <v>23</v>
      </c>
      <c r="C679" s="2" t="s">
        <v>130</v>
      </c>
      <c r="D679" s="10">
        <f t="shared" ca="1" si="140"/>
        <v>57</v>
      </c>
      <c r="E679" s="2" t="s">
        <v>25</v>
      </c>
      <c r="F679" s="3">
        <v>158</v>
      </c>
      <c r="G679" s="3">
        <v>58</v>
      </c>
      <c r="H679" s="11">
        <f t="shared" si="141"/>
        <v>23.233456176894723</v>
      </c>
      <c r="I679" s="2">
        <v>91</v>
      </c>
      <c r="J679" s="3">
        <v>140</v>
      </c>
      <c r="K679" s="3">
        <v>80</v>
      </c>
      <c r="L679" s="10">
        <f t="shared" si="142"/>
        <v>0</v>
      </c>
      <c r="M679" s="10">
        <f t="shared" ca="1" si="143"/>
        <v>2</v>
      </c>
      <c r="N679" s="10">
        <f t="shared" si="144"/>
        <v>4</v>
      </c>
      <c r="O679" s="10">
        <f t="shared" si="145"/>
        <v>3</v>
      </c>
      <c r="P679" s="10">
        <f t="shared" si="146"/>
        <v>2</v>
      </c>
      <c r="Q679" s="10">
        <f t="shared" si="147"/>
        <v>2</v>
      </c>
      <c r="R679" s="10">
        <f t="shared" ca="1" si="148"/>
        <v>13</v>
      </c>
      <c r="S679" s="10" t="str">
        <f t="shared" ca="1" si="149"/>
        <v>Có</v>
      </c>
      <c r="T679" s="10" t="str">
        <f t="shared" ca="1" si="150"/>
        <v>Có</v>
      </c>
      <c r="U679" s="10" t="str">
        <f t="shared" si="151"/>
        <v>Có</v>
      </c>
      <c r="V679" s="2" t="s">
        <v>603</v>
      </c>
      <c r="W679" s="4">
        <v>46142</v>
      </c>
      <c r="X679" s="8" t="str">
        <f t="shared" si="152"/>
        <v>Tháng 4</v>
      </c>
      <c r="Y679" s="8" t="str">
        <f t="shared" si="153"/>
        <v>ấp Cù Lao</v>
      </c>
    </row>
    <row r="680" spans="1:25" x14ac:dyDescent="0.25">
      <c r="A680" s="1" t="s">
        <v>930</v>
      </c>
      <c r="B680" s="2" t="s">
        <v>30</v>
      </c>
      <c r="C680" s="2" t="s">
        <v>130</v>
      </c>
      <c r="D680" s="10">
        <f t="shared" ca="1" si="140"/>
        <v>57</v>
      </c>
      <c r="E680" s="2" t="s">
        <v>25</v>
      </c>
      <c r="F680" s="3">
        <v>169</v>
      </c>
      <c r="G680" s="3">
        <v>68</v>
      </c>
      <c r="H680" s="11">
        <f t="shared" si="141"/>
        <v>23.808690171912751</v>
      </c>
      <c r="I680" s="2">
        <v>71</v>
      </c>
      <c r="J680" s="3">
        <v>120</v>
      </c>
      <c r="K680" s="3">
        <v>80</v>
      </c>
      <c r="L680" s="10">
        <f t="shared" si="142"/>
        <v>2</v>
      </c>
      <c r="M680" s="10">
        <f t="shared" ca="1" si="143"/>
        <v>2</v>
      </c>
      <c r="N680" s="10">
        <f t="shared" si="144"/>
        <v>4</v>
      </c>
      <c r="O680" s="10">
        <f t="shared" si="145"/>
        <v>3</v>
      </c>
      <c r="P680" s="10">
        <f t="shared" si="146"/>
        <v>0</v>
      </c>
      <c r="Q680" s="10">
        <f t="shared" si="147"/>
        <v>0</v>
      </c>
      <c r="R680" s="10">
        <f t="shared" ca="1" si="148"/>
        <v>11</v>
      </c>
      <c r="S680" s="10" t="str">
        <f t="shared" ca="1" si="149"/>
        <v>Có</v>
      </c>
      <c r="T680" s="10" t="str">
        <f t="shared" ca="1" si="150"/>
        <v>Có</v>
      </c>
      <c r="U680" s="10" t="str">
        <f t="shared" si="151"/>
        <v>Không</v>
      </c>
      <c r="V680" s="2" t="s">
        <v>603</v>
      </c>
      <c r="W680" s="4">
        <v>46142</v>
      </c>
      <c r="X680" s="8" t="str">
        <f t="shared" si="152"/>
        <v>Tháng 4</v>
      </c>
      <c r="Y680" s="8" t="str">
        <f t="shared" si="153"/>
        <v>ấp Cù Lao</v>
      </c>
    </row>
    <row r="681" spans="1:25" x14ac:dyDescent="0.25">
      <c r="A681" s="1" t="s">
        <v>931</v>
      </c>
      <c r="B681" s="2" t="s">
        <v>23</v>
      </c>
      <c r="C681" s="2" t="s">
        <v>56</v>
      </c>
      <c r="D681" s="10">
        <f t="shared" ca="1" si="140"/>
        <v>65</v>
      </c>
      <c r="E681" s="2" t="s">
        <v>26</v>
      </c>
      <c r="F681" s="3">
        <v>158</v>
      </c>
      <c r="G681" s="3">
        <v>58</v>
      </c>
      <c r="H681" s="11">
        <f t="shared" si="141"/>
        <v>23.233456176894723</v>
      </c>
      <c r="I681" s="2">
        <v>96</v>
      </c>
      <c r="J681" s="3">
        <v>150</v>
      </c>
      <c r="K681" s="3">
        <v>80</v>
      </c>
      <c r="L681" s="10">
        <f t="shared" si="142"/>
        <v>0</v>
      </c>
      <c r="M681" s="10">
        <f t="shared" ca="1" si="143"/>
        <v>2</v>
      </c>
      <c r="N681" s="10">
        <f t="shared" si="144"/>
        <v>0</v>
      </c>
      <c r="O681" s="10">
        <f t="shared" si="145"/>
        <v>3</v>
      </c>
      <c r="P681" s="10">
        <f t="shared" si="146"/>
        <v>2</v>
      </c>
      <c r="Q681" s="10">
        <f t="shared" si="147"/>
        <v>2</v>
      </c>
      <c r="R681" s="10">
        <f t="shared" ca="1" si="148"/>
        <v>9</v>
      </c>
      <c r="S681" s="10" t="str">
        <f t="shared" ca="1" si="149"/>
        <v>Có</v>
      </c>
      <c r="T681" s="10" t="str">
        <f t="shared" ca="1" si="150"/>
        <v>Có</v>
      </c>
      <c r="U681" s="10" t="str">
        <f t="shared" si="151"/>
        <v>Có</v>
      </c>
      <c r="V681" s="2" t="s">
        <v>51</v>
      </c>
      <c r="W681" s="4">
        <v>46142</v>
      </c>
      <c r="X681" s="8" t="str">
        <f t="shared" si="152"/>
        <v>Tháng 4</v>
      </c>
      <c r="Y681" s="8" t="str">
        <f t="shared" si="153"/>
        <v>Phường Hiệp Thành</v>
      </c>
    </row>
    <row r="682" spans="1:25" x14ac:dyDescent="0.25">
      <c r="A682" s="1" t="s">
        <v>932</v>
      </c>
      <c r="B682" s="2" t="s">
        <v>30</v>
      </c>
      <c r="C682" s="2" t="s">
        <v>300</v>
      </c>
      <c r="D682" s="10">
        <f t="shared" ca="1" si="140"/>
        <v>80</v>
      </c>
      <c r="E682" s="2" t="s">
        <v>26</v>
      </c>
      <c r="F682" s="3">
        <v>169</v>
      </c>
      <c r="G682" s="3">
        <v>68</v>
      </c>
      <c r="H682" s="11">
        <f t="shared" si="141"/>
        <v>23.808690171912751</v>
      </c>
      <c r="I682" s="2">
        <v>82</v>
      </c>
      <c r="J682" s="3">
        <v>140</v>
      </c>
      <c r="K682" s="3">
        <v>80</v>
      </c>
      <c r="L682" s="10">
        <f t="shared" si="142"/>
        <v>2</v>
      </c>
      <c r="M682" s="10">
        <f t="shared" ca="1" si="143"/>
        <v>2</v>
      </c>
      <c r="N682" s="10">
        <f t="shared" si="144"/>
        <v>0</v>
      </c>
      <c r="O682" s="10">
        <f t="shared" si="145"/>
        <v>3</v>
      </c>
      <c r="P682" s="10">
        <f t="shared" si="146"/>
        <v>0</v>
      </c>
      <c r="Q682" s="10">
        <f t="shared" si="147"/>
        <v>2</v>
      </c>
      <c r="R682" s="10">
        <f t="shared" ca="1" si="148"/>
        <v>9</v>
      </c>
      <c r="S682" s="10" t="str">
        <f t="shared" ca="1" si="149"/>
        <v>Có</v>
      </c>
      <c r="T682" s="10" t="str">
        <f t="shared" ca="1" si="150"/>
        <v>Có</v>
      </c>
      <c r="U682" s="10" t="str">
        <f t="shared" si="151"/>
        <v>Có</v>
      </c>
      <c r="V682" s="2" t="s">
        <v>28</v>
      </c>
      <c r="W682" s="4">
        <v>46142</v>
      </c>
      <c r="X682" s="8" t="str">
        <f t="shared" si="152"/>
        <v>Tháng 4</v>
      </c>
      <c r="Y682" s="8" t="str">
        <f t="shared" si="153"/>
        <v>Ấp Biển Đông A</v>
      </c>
    </row>
    <row r="683" spans="1:25" x14ac:dyDescent="0.25">
      <c r="A683" s="1" t="s">
        <v>933</v>
      </c>
      <c r="B683" s="2" t="s">
        <v>30</v>
      </c>
      <c r="C683" s="2" t="s">
        <v>146</v>
      </c>
      <c r="D683" s="10">
        <f t="shared" ca="1" si="140"/>
        <v>52</v>
      </c>
      <c r="E683" s="2" t="s">
        <v>26</v>
      </c>
      <c r="F683" s="3">
        <v>170</v>
      </c>
      <c r="G683" s="3">
        <v>72</v>
      </c>
      <c r="H683" s="11">
        <f t="shared" si="141"/>
        <v>24.913494809688583</v>
      </c>
      <c r="I683" s="2">
        <v>65</v>
      </c>
      <c r="J683" s="3">
        <v>130</v>
      </c>
      <c r="K683" s="3">
        <v>80</v>
      </c>
      <c r="L683" s="10">
        <f t="shared" si="142"/>
        <v>2</v>
      </c>
      <c r="M683" s="10">
        <f t="shared" ca="1" si="143"/>
        <v>2</v>
      </c>
      <c r="N683" s="10">
        <f t="shared" si="144"/>
        <v>0</v>
      </c>
      <c r="O683" s="10">
        <f t="shared" si="145"/>
        <v>3</v>
      </c>
      <c r="P683" s="10">
        <f t="shared" si="146"/>
        <v>0</v>
      </c>
      <c r="Q683" s="10">
        <f t="shared" si="147"/>
        <v>0</v>
      </c>
      <c r="R683" s="10">
        <f t="shared" ca="1" si="148"/>
        <v>7</v>
      </c>
      <c r="S683" s="10" t="str">
        <f t="shared" ca="1" si="149"/>
        <v>Có</v>
      </c>
      <c r="T683" s="10" t="str">
        <f t="shared" ca="1" si="150"/>
        <v>Có</v>
      </c>
      <c r="U683" s="10" t="str">
        <f t="shared" si="151"/>
        <v>Không</v>
      </c>
      <c r="V683" s="2" t="s">
        <v>934</v>
      </c>
      <c r="W683" s="4">
        <v>46142</v>
      </c>
      <c r="X683" s="8" t="str">
        <f t="shared" si="152"/>
        <v>Tháng 4</v>
      </c>
      <c r="Y683" s="8" t="str">
        <f t="shared" si="153"/>
        <v>Kinh Xáng</v>
      </c>
    </row>
    <row r="684" spans="1:25" x14ac:dyDescent="0.25">
      <c r="A684" s="1" t="s">
        <v>935</v>
      </c>
      <c r="B684" s="2" t="s">
        <v>23</v>
      </c>
      <c r="C684" s="2" t="s">
        <v>40</v>
      </c>
      <c r="D684" s="10">
        <f t="shared" ca="1" si="140"/>
        <v>70</v>
      </c>
      <c r="E684" s="2" t="s">
        <v>26</v>
      </c>
      <c r="F684" s="3">
        <v>158</v>
      </c>
      <c r="G684" s="3">
        <v>58</v>
      </c>
      <c r="H684" s="11">
        <f t="shared" si="141"/>
        <v>23.233456176894723</v>
      </c>
      <c r="I684" s="2">
        <v>89</v>
      </c>
      <c r="J684" s="3">
        <v>140</v>
      </c>
      <c r="K684" s="3">
        <v>80</v>
      </c>
      <c r="L684" s="10">
        <f t="shared" si="142"/>
        <v>0</v>
      </c>
      <c r="M684" s="10">
        <f t="shared" ca="1" si="143"/>
        <v>2</v>
      </c>
      <c r="N684" s="10">
        <f t="shared" si="144"/>
        <v>0</v>
      </c>
      <c r="O684" s="10">
        <f t="shared" si="145"/>
        <v>3</v>
      </c>
      <c r="P684" s="10">
        <f t="shared" si="146"/>
        <v>2</v>
      </c>
      <c r="Q684" s="10">
        <f t="shared" si="147"/>
        <v>2</v>
      </c>
      <c r="R684" s="10">
        <f t="shared" ca="1" si="148"/>
        <v>9</v>
      </c>
      <c r="S684" s="10" t="str">
        <f t="shared" ca="1" si="149"/>
        <v>Có</v>
      </c>
      <c r="T684" s="10" t="str">
        <f t="shared" ca="1" si="150"/>
        <v>Có</v>
      </c>
      <c r="U684" s="10" t="str">
        <f t="shared" si="151"/>
        <v>Có</v>
      </c>
      <c r="V684" s="2" t="s">
        <v>38</v>
      </c>
      <c r="W684" s="4">
        <v>46142</v>
      </c>
      <c r="X684" s="8" t="str">
        <f t="shared" si="152"/>
        <v>Tháng 4</v>
      </c>
      <c r="Y684" s="8" t="str">
        <f t="shared" si="153"/>
        <v>Ấp Biển Đông B</v>
      </c>
    </row>
    <row r="685" spans="1:25" x14ac:dyDescent="0.25">
      <c r="A685" s="1" t="s">
        <v>936</v>
      </c>
      <c r="B685" s="2" t="s">
        <v>30</v>
      </c>
      <c r="C685" s="2" t="s">
        <v>337</v>
      </c>
      <c r="D685" s="10">
        <f t="shared" ca="1" si="140"/>
        <v>86</v>
      </c>
      <c r="E685" s="2" t="s">
        <v>26</v>
      </c>
      <c r="F685" s="3">
        <v>170</v>
      </c>
      <c r="G685" s="3">
        <v>70</v>
      </c>
      <c r="H685" s="11">
        <f t="shared" si="141"/>
        <v>24.221453287197235</v>
      </c>
      <c r="I685" s="2">
        <v>84</v>
      </c>
      <c r="J685" s="3">
        <v>120</v>
      </c>
      <c r="K685" s="3">
        <v>80</v>
      </c>
      <c r="L685" s="10">
        <f t="shared" si="142"/>
        <v>2</v>
      </c>
      <c r="M685" s="10">
        <f t="shared" ca="1" si="143"/>
        <v>2</v>
      </c>
      <c r="N685" s="10">
        <f t="shared" si="144"/>
        <v>0</v>
      </c>
      <c r="O685" s="10">
        <f t="shared" si="145"/>
        <v>3</v>
      </c>
      <c r="P685" s="10">
        <f t="shared" si="146"/>
        <v>0</v>
      </c>
      <c r="Q685" s="10">
        <f t="shared" si="147"/>
        <v>0</v>
      </c>
      <c r="R685" s="10">
        <f t="shared" ca="1" si="148"/>
        <v>7</v>
      </c>
      <c r="S685" s="10" t="str">
        <f t="shared" ca="1" si="149"/>
        <v>Có</v>
      </c>
      <c r="T685" s="10" t="str">
        <f t="shared" ca="1" si="150"/>
        <v>Có</v>
      </c>
      <c r="U685" s="10" t="str">
        <f t="shared" si="151"/>
        <v>Không</v>
      </c>
      <c r="V685" s="2" t="s">
        <v>51</v>
      </c>
      <c r="W685" s="4">
        <v>46142</v>
      </c>
      <c r="X685" s="8" t="str">
        <f t="shared" si="152"/>
        <v>Tháng 4</v>
      </c>
      <c r="Y685" s="8" t="str">
        <f t="shared" si="153"/>
        <v>Phường Hiệp Thành</v>
      </c>
    </row>
    <row r="686" spans="1:25" x14ac:dyDescent="0.25">
      <c r="A686" s="1" t="s">
        <v>937</v>
      </c>
      <c r="B686" s="2" t="s">
        <v>23</v>
      </c>
      <c r="C686" s="2" t="s">
        <v>373</v>
      </c>
      <c r="D686" s="10">
        <f t="shared" ca="1" si="140"/>
        <v>61</v>
      </c>
      <c r="E686" s="2" t="s">
        <v>26</v>
      </c>
      <c r="F686" s="3">
        <v>158</v>
      </c>
      <c r="G686" s="3">
        <v>58</v>
      </c>
      <c r="H686" s="11">
        <f t="shared" si="141"/>
        <v>23.233456176894723</v>
      </c>
      <c r="I686" s="2">
        <v>86</v>
      </c>
      <c r="J686" s="3">
        <v>120</v>
      </c>
      <c r="K686" s="3">
        <v>80</v>
      </c>
      <c r="L686" s="10">
        <f t="shared" si="142"/>
        <v>0</v>
      </c>
      <c r="M686" s="10">
        <f t="shared" ca="1" si="143"/>
        <v>2</v>
      </c>
      <c r="N686" s="10">
        <f t="shared" si="144"/>
        <v>0</v>
      </c>
      <c r="O686" s="10">
        <f t="shared" si="145"/>
        <v>3</v>
      </c>
      <c r="P686" s="10">
        <f t="shared" si="146"/>
        <v>2</v>
      </c>
      <c r="Q686" s="10">
        <f t="shared" si="147"/>
        <v>0</v>
      </c>
      <c r="R686" s="10">
        <f t="shared" ca="1" si="148"/>
        <v>7</v>
      </c>
      <c r="S686" s="10" t="str">
        <f t="shared" ca="1" si="149"/>
        <v>Có</v>
      </c>
      <c r="T686" s="10" t="str">
        <f t="shared" ca="1" si="150"/>
        <v>Có</v>
      </c>
      <c r="U686" s="10" t="str">
        <f t="shared" si="151"/>
        <v>Không</v>
      </c>
      <c r="V686" s="2" t="s">
        <v>308</v>
      </c>
      <c r="W686" s="4">
        <v>46053</v>
      </c>
      <c r="X686" s="8" t="str">
        <f t="shared" si="152"/>
        <v>Tháng 1</v>
      </c>
      <c r="Y686" s="8" t="str">
        <f t="shared" si="153"/>
        <v>ấp Giồng Giữa A</v>
      </c>
    </row>
    <row r="687" spans="1:25" x14ac:dyDescent="0.25">
      <c r="A687" s="1" t="s">
        <v>938</v>
      </c>
      <c r="B687" s="2" t="s">
        <v>23</v>
      </c>
      <c r="C687" s="2" t="s">
        <v>138</v>
      </c>
      <c r="D687" s="10">
        <f t="shared" ca="1" si="140"/>
        <v>67</v>
      </c>
      <c r="E687" s="2" t="s">
        <v>26</v>
      </c>
      <c r="F687" s="3">
        <v>158</v>
      </c>
      <c r="G687" s="3">
        <v>58</v>
      </c>
      <c r="H687" s="11">
        <f t="shared" si="141"/>
        <v>23.233456176894723</v>
      </c>
      <c r="I687" s="2">
        <v>80</v>
      </c>
      <c r="J687" s="3">
        <v>120</v>
      </c>
      <c r="K687" s="3">
        <v>80</v>
      </c>
      <c r="L687" s="10">
        <f t="shared" si="142"/>
        <v>0</v>
      </c>
      <c r="M687" s="10">
        <f t="shared" ca="1" si="143"/>
        <v>2</v>
      </c>
      <c r="N687" s="10">
        <f t="shared" si="144"/>
        <v>0</v>
      </c>
      <c r="O687" s="10">
        <f t="shared" si="145"/>
        <v>3</v>
      </c>
      <c r="P687" s="10">
        <f t="shared" si="146"/>
        <v>2</v>
      </c>
      <c r="Q687" s="10">
        <f t="shared" si="147"/>
        <v>0</v>
      </c>
      <c r="R687" s="10">
        <f t="shared" ca="1" si="148"/>
        <v>7</v>
      </c>
      <c r="S687" s="10" t="str">
        <f t="shared" ca="1" si="149"/>
        <v>Có</v>
      </c>
      <c r="T687" s="10" t="str">
        <f t="shared" ca="1" si="150"/>
        <v>Có</v>
      </c>
      <c r="U687" s="10" t="str">
        <f t="shared" si="151"/>
        <v>Không</v>
      </c>
      <c r="V687" s="2" t="s">
        <v>70</v>
      </c>
      <c r="W687" s="4">
        <v>46142</v>
      </c>
      <c r="X687" s="8" t="str">
        <f t="shared" si="152"/>
        <v>Tháng 4</v>
      </c>
      <c r="Y687" s="8" t="str">
        <f t="shared" si="153"/>
        <v>Ấp Biển Tây A</v>
      </c>
    </row>
    <row r="688" spans="1:25" x14ac:dyDescent="0.25">
      <c r="A688" s="1" t="s">
        <v>939</v>
      </c>
      <c r="B688" s="2" t="s">
        <v>30</v>
      </c>
      <c r="C688" s="2" t="s">
        <v>40</v>
      </c>
      <c r="D688" s="10">
        <f t="shared" ca="1" si="140"/>
        <v>70</v>
      </c>
      <c r="E688" s="2" t="s">
        <v>26</v>
      </c>
      <c r="F688" s="3">
        <v>159</v>
      </c>
      <c r="G688" s="3">
        <v>55</v>
      </c>
      <c r="H688" s="11">
        <f t="shared" si="141"/>
        <v>21.75546853368142</v>
      </c>
      <c r="I688" s="2">
        <v>72</v>
      </c>
      <c r="J688" s="3">
        <v>120</v>
      </c>
      <c r="K688" s="3">
        <v>70</v>
      </c>
      <c r="L688" s="10">
        <f t="shared" si="142"/>
        <v>2</v>
      </c>
      <c r="M688" s="10">
        <f t="shared" ca="1" si="143"/>
        <v>2</v>
      </c>
      <c r="N688" s="10">
        <f t="shared" si="144"/>
        <v>0</v>
      </c>
      <c r="O688" s="10">
        <f t="shared" si="145"/>
        <v>0</v>
      </c>
      <c r="P688" s="10">
        <f t="shared" si="146"/>
        <v>0</v>
      </c>
      <c r="Q688" s="10">
        <f t="shared" si="147"/>
        <v>0</v>
      </c>
      <c r="R688" s="10">
        <f t="shared" ca="1" si="148"/>
        <v>4</v>
      </c>
      <c r="S688" s="10" t="str">
        <f t="shared" ca="1" si="149"/>
        <v>Không cần</v>
      </c>
      <c r="T688" s="10" t="str">
        <f t="shared" ca="1" si="150"/>
        <v>Không</v>
      </c>
      <c r="U688" s="10" t="str">
        <f t="shared" si="151"/>
        <v>Không</v>
      </c>
      <c r="V688" s="2" t="s">
        <v>108</v>
      </c>
      <c r="W688" s="4">
        <v>46053</v>
      </c>
      <c r="X688" s="8" t="str">
        <f t="shared" si="152"/>
        <v>Tháng 1</v>
      </c>
      <c r="Y688" s="8" t="str">
        <f t="shared" si="153"/>
        <v>Phường Hiệp Thành</v>
      </c>
    </row>
    <row r="689" spans="1:25" x14ac:dyDescent="0.25">
      <c r="A689" s="1" t="s">
        <v>940</v>
      </c>
      <c r="B689" s="2" t="s">
        <v>23</v>
      </c>
      <c r="C689" s="2" t="s">
        <v>53</v>
      </c>
      <c r="D689" s="10">
        <f t="shared" ca="1" si="140"/>
        <v>72</v>
      </c>
      <c r="E689" s="2" t="s">
        <v>26</v>
      </c>
      <c r="F689" s="3">
        <v>158</v>
      </c>
      <c r="G689" s="3">
        <v>58</v>
      </c>
      <c r="H689" s="11">
        <f t="shared" si="141"/>
        <v>23.233456176894723</v>
      </c>
      <c r="I689" s="2">
        <v>79</v>
      </c>
      <c r="J689" s="3">
        <v>150</v>
      </c>
      <c r="K689" s="3">
        <v>80</v>
      </c>
      <c r="L689" s="10">
        <f t="shared" si="142"/>
        <v>0</v>
      </c>
      <c r="M689" s="10">
        <f t="shared" ca="1" si="143"/>
        <v>2</v>
      </c>
      <c r="N689" s="10">
        <f t="shared" si="144"/>
        <v>0</v>
      </c>
      <c r="O689" s="10">
        <f t="shared" si="145"/>
        <v>3</v>
      </c>
      <c r="P689" s="10">
        <f t="shared" si="146"/>
        <v>0</v>
      </c>
      <c r="Q689" s="10">
        <f t="shared" si="147"/>
        <v>2</v>
      </c>
      <c r="R689" s="10">
        <f t="shared" ca="1" si="148"/>
        <v>7</v>
      </c>
      <c r="S689" s="10" t="str">
        <f t="shared" ca="1" si="149"/>
        <v>Có</v>
      </c>
      <c r="T689" s="10" t="str">
        <f t="shared" ca="1" si="150"/>
        <v>Có</v>
      </c>
      <c r="U689" s="10" t="str">
        <f t="shared" si="151"/>
        <v>Có</v>
      </c>
      <c r="V689" s="2" t="s">
        <v>941</v>
      </c>
      <c r="W689" s="4">
        <v>46142</v>
      </c>
      <c r="X689" s="8" t="str">
        <f t="shared" si="152"/>
        <v>Tháng 4</v>
      </c>
      <c r="Y689" s="8" t="str">
        <f t="shared" si="153"/>
        <v>Trung Hưng 1A</v>
      </c>
    </row>
    <row r="690" spans="1:25" x14ac:dyDescent="0.25">
      <c r="A690" s="1" t="s">
        <v>942</v>
      </c>
      <c r="B690" s="2" t="s">
        <v>23</v>
      </c>
      <c r="C690" s="2" t="s">
        <v>82</v>
      </c>
      <c r="D690" s="10">
        <f t="shared" ca="1" si="140"/>
        <v>73</v>
      </c>
      <c r="E690" s="2" t="s">
        <v>26</v>
      </c>
      <c r="F690" s="3">
        <v>158</v>
      </c>
      <c r="G690" s="3">
        <v>58</v>
      </c>
      <c r="H690" s="11">
        <f t="shared" si="141"/>
        <v>23.233456176894723</v>
      </c>
      <c r="I690" s="2">
        <v>75</v>
      </c>
      <c r="J690" s="3">
        <v>120</v>
      </c>
      <c r="K690" s="3">
        <v>80</v>
      </c>
      <c r="L690" s="10">
        <f t="shared" si="142"/>
        <v>0</v>
      </c>
      <c r="M690" s="10">
        <f t="shared" ca="1" si="143"/>
        <v>2</v>
      </c>
      <c r="N690" s="10">
        <f t="shared" si="144"/>
        <v>0</v>
      </c>
      <c r="O690" s="10">
        <f t="shared" si="145"/>
        <v>3</v>
      </c>
      <c r="P690" s="10">
        <f t="shared" si="146"/>
        <v>0</v>
      </c>
      <c r="Q690" s="10">
        <f t="shared" si="147"/>
        <v>0</v>
      </c>
      <c r="R690" s="10">
        <f t="shared" ca="1" si="148"/>
        <v>5</v>
      </c>
      <c r="S690" s="10" t="str">
        <f t="shared" ca="1" si="149"/>
        <v>Không cần</v>
      </c>
      <c r="T690" s="10" t="str">
        <f t="shared" ca="1" si="150"/>
        <v>Không</v>
      </c>
      <c r="U690" s="10" t="str">
        <f t="shared" si="151"/>
        <v>Không</v>
      </c>
      <c r="V690" s="2" t="s">
        <v>51</v>
      </c>
      <c r="W690" s="4">
        <v>46142</v>
      </c>
      <c r="X690" s="8" t="str">
        <f t="shared" si="152"/>
        <v>Tháng 4</v>
      </c>
      <c r="Y690" s="8" t="str">
        <f t="shared" si="153"/>
        <v>Phường Hiệp Thành</v>
      </c>
    </row>
    <row r="691" spans="1:25" x14ac:dyDescent="0.25">
      <c r="A691" s="1" t="s">
        <v>944</v>
      </c>
      <c r="B691" s="2" t="s">
        <v>23</v>
      </c>
      <c r="C691" s="2" t="s">
        <v>67</v>
      </c>
      <c r="D691" s="10">
        <f t="shared" ca="1" si="140"/>
        <v>48</v>
      </c>
      <c r="E691" s="2" t="s">
        <v>26</v>
      </c>
      <c r="F691" s="3">
        <v>160</v>
      </c>
      <c r="G691" s="3">
        <v>56</v>
      </c>
      <c r="H691" s="11">
        <f t="shared" si="141"/>
        <v>21.874999999999996</v>
      </c>
      <c r="I691" s="2">
        <v>98</v>
      </c>
      <c r="J691" s="3">
        <v>120</v>
      </c>
      <c r="K691" s="3">
        <v>70</v>
      </c>
      <c r="L691" s="10">
        <f t="shared" si="142"/>
        <v>0</v>
      </c>
      <c r="M691" s="10">
        <f t="shared" ca="1" si="143"/>
        <v>1</v>
      </c>
      <c r="N691" s="10">
        <f t="shared" si="144"/>
        <v>0</v>
      </c>
      <c r="O691" s="10">
        <f t="shared" si="145"/>
        <v>0</v>
      </c>
      <c r="P691" s="10">
        <f t="shared" si="146"/>
        <v>2</v>
      </c>
      <c r="Q691" s="10">
        <f t="shared" si="147"/>
        <v>0</v>
      </c>
      <c r="R691" s="10">
        <f t="shared" ca="1" si="148"/>
        <v>3</v>
      </c>
      <c r="S691" s="10" t="str">
        <f t="shared" ca="1" si="149"/>
        <v>Không cần</v>
      </c>
      <c r="T691" s="10" t="str">
        <f t="shared" ca="1" si="150"/>
        <v>Không</v>
      </c>
      <c r="U691" s="10" t="str">
        <f t="shared" si="151"/>
        <v>Không</v>
      </c>
      <c r="V691" s="2" t="s">
        <v>51</v>
      </c>
      <c r="W691" s="4">
        <v>46081</v>
      </c>
      <c r="X691" s="8" t="str">
        <f t="shared" si="152"/>
        <v>Tháng 2</v>
      </c>
      <c r="Y691" s="8" t="str">
        <f t="shared" si="153"/>
        <v>Phường Hiệp Thành</v>
      </c>
    </row>
    <row r="692" spans="1:25" x14ac:dyDescent="0.25">
      <c r="A692" s="1" t="s">
        <v>945</v>
      </c>
      <c r="B692" s="2" t="s">
        <v>30</v>
      </c>
      <c r="C692" s="2" t="s">
        <v>80</v>
      </c>
      <c r="D692" s="10">
        <f t="shared" ca="1" si="140"/>
        <v>71</v>
      </c>
      <c r="E692" s="2" t="s">
        <v>25</v>
      </c>
      <c r="F692" s="3">
        <v>169</v>
      </c>
      <c r="G692" s="3">
        <v>69</v>
      </c>
      <c r="H692" s="11">
        <f t="shared" si="141"/>
        <v>24.158817968558527</v>
      </c>
      <c r="I692" s="2">
        <v>65</v>
      </c>
      <c r="J692" s="3">
        <v>140</v>
      </c>
      <c r="K692" s="3">
        <v>80</v>
      </c>
      <c r="L692" s="10">
        <f t="shared" si="142"/>
        <v>2</v>
      </c>
      <c r="M692" s="10">
        <f t="shared" ca="1" si="143"/>
        <v>2</v>
      </c>
      <c r="N692" s="10">
        <f t="shared" si="144"/>
        <v>4</v>
      </c>
      <c r="O692" s="10">
        <f t="shared" si="145"/>
        <v>3</v>
      </c>
      <c r="P692" s="10">
        <f t="shared" si="146"/>
        <v>0</v>
      </c>
      <c r="Q692" s="10">
        <f t="shared" si="147"/>
        <v>2</v>
      </c>
      <c r="R692" s="10">
        <f t="shared" ca="1" si="148"/>
        <v>13</v>
      </c>
      <c r="S692" s="10" t="str">
        <f t="shared" ca="1" si="149"/>
        <v>Có</v>
      </c>
      <c r="T692" s="10" t="str">
        <f t="shared" ca="1" si="150"/>
        <v>Có</v>
      </c>
      <c r="U692" s="10" t="str">
        <f t="shared" si="151"/>
        <v>Có</v>
      </c>
      <c r="V692" s="2" t="s">
        <v>308</v>
      </c>
      <c r="W692" s="4">
        <v>46053</v>
      </c>
      <c r="X692" s="8" t="str">
        <f t="shared" si="152"/>
        <v>Tháng 1</v>
      </c>
      <c r="Y692" s="8" t="str">
        <f t="shared" si="153"/>
        <v>ấp Giồng Giữa A</v>
      </c>
    </row>
    <row r="693" spans="1:25" x14ac:dyDescent="0.25">
      <c r="A693" s="1" t="s">
        <v>946</v>
      </c>
      <c r="B693" s="2" t="s">
        <v>30</v>
      </c>
      <c r="C693" s="2" t="s">
        <v>256</v>
      </c>
      <c r="D693" s="10">
        <f t="shared" ca="1" si="140"/>
        <v>41</v>
      </c>
      <c r="E693" s="2" t="s">
        <v>26</v>
      </c>
      <c r="F693" s="3">
        <v>170</v>
      </c>
      <c r="G693" s="3">
        <v>58</v>
      </c>
      <c r="H693" s="11">
        <f t="shared" si="141"/>
        <v>20.069204152249139</v>
      </c>
      <c r="I693" s="2">
        <v>94</v>
      </c>
      <c r="J693" s="3">
        <v>120</v>
      </c>
      <c r="K693" s="3">
        <v>70</v>
      </c>
      <c r="L693" s="10">
        <f t="shared" si="142"/>
        <v>2</v>
      </c>
      <c r="M693" s="10">
        <f t="shared" ca="1" si="143"/>
        <v>0</v>
      </c>
      <c r="N693" s="10">
        <f t="shared" si="144"/>
        <v>0</v>
      </c>
      <c r="O693" s="10">
        <f t="shared" si="145"/>
        <v>0</v>
      </c>
      <c r="P693" s="10">
        <f t="shared" si="146"/>
        <v>2</v>
      </c>
      <c r="Q693" s="10">
        <f t="shared" si="147"/>
        <v>0</v>
      </c>
      <c r="R693" s="10">
        <f t="shared" ca="1" si="148"/>
        <v>4</v>
      </c>
      <c r="S693" s="10" t="str">
        <f t="shared" ca="1" si="149"/>
        <v>Không cần</v>
      </c>
      <c r="T693" s="10" t="str">
        <f t="shared" ca="1" si="150"/>
        <v>Không</v>
      </c>
      <c r="U693" s="10" t="str">
        <f t="shared" si="151"/>
        <v>Không</v>
      </c>
      <c r="V693" s="2" t="s">
        <v>947</v>
      </c>
      <c r="W693" s="4">
        <v>46112</v>
      </c>
      <c r="X693" s="8" t="str">
        <f t="shared" si="152"/>
        <v>Tháng 3</v>
      </c>
      <c r="Y693" s="8" t="str">
        <f t="shared" si="153"/>
        <v>Xã Vĩnh Hậu</v>
      </c>
    </row>
    <row r="694" spans="1:25" x14ac:dyDescent="0.25">
      <c r="A694" s="1" t="s">
        <v>948</v>
      </c>
      <c r="B694" s="2" t="s">
        <v>23</v>
      </c>
      <c r="C694" s="2" t="s">
        <v>45</v>
      </c>
      <c r="D694" s="10">
        <f t="shared" ca="1" si="140"/>
        <v>50</v>
      </c>
      <c r="E694" s="2" t="s">
        <v>26</v>
      </c>
      <c r="F694" s="3">
        <v>160</v>
      </c>
      <c r="G694" s="3">
        <v>64</v>
      </c>
      <c r="H694" s="11">
        <f t="shared" si="141"/>
        <v>24.999999999999996</v>
      </c>
      <c r="I694" s="2">
        <v>84</v>
      </c>
      <c r="J694" s="3">
        <v>120</v>
      </c>
      <c r="K694" s="3">
        <v>70</v>
      </c>
      <c r="L694" s="10">
        <f t="shared" si="142"/>
        <v>0</v>
      </c>
      <c r="M694" s="10">
        <f t="shared" ca="1" si="143"/>
        <v>2</v>
      </c>
      <c r="N694" s="10">
        <f t="shared" si="144"/>
        <v>0</v>
      </c>
      <c r="O694" s="10">
        <f t="shared" si="145"/>
        <v>3</v>
      </c>
      <c r="P694" s="10">
        <f t="shared" si="146"/>
        <v>2</v>
      </c>
      <c r="Q694" s="10">
        <f t="shared" si="147"/>
        <v>0</v>
      </c>
      <c r="R694" s="10">
        <f t="shared" ca="1" si="148"/>
        <v>7</v>
      </c>
      <c r="S694" s="10" t="str">
        <f t="shared" ca="1" si="149"/>
        <v>Có</v>
      </c>
      <c r="T694" s="10" t="str">
        <f t="shared" ca="1" si="150"/>
        <v>Có</v>
      </c>
      <c r="U694" s="10" t="str">
        <f t="shared" si="151"/>
        <v>Không</v>
      </c>
      <c r="V694" s="2" t="s">
        <v>88</v>
      </c>
      <c r="W694" s="4">
        <v>46112</v>
      </c>
      <c r="X694" s="8" t="str">
        <f t="shared" si="152"/>
        <v>Tháng 3</v>
      </c>
      <c r="Y694" s="8" t="str">
        <f t="shared" si="153"/>
        <v>Giồng Giữa</v>
      </c>
    </row>
    <row r="695" spans="1:25" x14ac:dyDescent="0.25">
      <c r="A695" s="1" t="s">
        <v>950</v>
      </c>
      <c r="B695" s="2" t="s">
        <v>30</v>
      </c>
      <c r="C695" s="2" t="s">
        <v>50</v>
      </c>
      <c r="D695" s="10">
        <f t="shared" ref="D695:D739" ca="1" si="154">DATEDIF(C695,TODAY(),"Y")</f>
        <v>58</v>
      </c>
      <c r="E695" s="2" t="s">
        <v>26</v>
      </c>
      <c r="F695" s="3">
        <v>169</v>
      </c>
      <c r="G695" s="3">
        <v>58</v>
      </c>
      <c r="H695" s="11">
        <f t="shared" ref="H695:H739" si="155">G695/((F695/100)*(F695/100))</f>
        <v>20.307412205454995</v>
      </c>
      <c r="I695" s="2">
        <v>90</v>
      </c>
      <c r="J695" s="3">
        <v>120</v>
      </c>
      <c r="K695" s="3">
        <v>80</v>
      </c>
      <c r="L695" s="10">
        <f t="shared" ref="L695:L739" si="156">IF(B695="Nữ",0,2)</f>
        <v>2</v>
      </c>
      <c r="M695" s="10">
        <f t="shared" ref="M695:M739" ca="1" si="157">IF(D695&lt;45,0,IF(D695&lt;=49,1,2))</f>
        <v>2</v>
      </c>
      <c r="N695" s="10">
        <f t="shared" ref="N695:N739" si="158">IF(E695="Có",4,0)</f>
        <v>0</v>
      </c>
      <c r="O695" s="10">
        <f t="shared" ref="O695:O739" si="159">IF(H695&lt;23,0,IF(H695&lt;27.5,3,5))</f>
        <v>0</v>
      </c>
      <c r="P695" s="10">
        <f t="shared" ref="P695:P739" si="160">IF(OR(AND(B695="Nam",I695&gt;=90),AND(B695="Nữ",I695&gt;=80)),2,0)</f>
        <v>2</v>
      </c>
      <c r="Q695" s="10">
        <f t="shared" ref="Q695:Q739" si="161">IF(OR(J695&gt;=140,K695&gt;=90),2,0)</f>
        <v>0</v>
      </c>
      <c r="R695" s="10">
        <f t="shared" ref="R695:R739" ca="1" si="162">SUM(L695:Q695)</f>
        <v>6</v>
      </c>
      <c r="S695" s="10" t="str">
        <f t="shared" ref="S695:S739" ca="1" si="163">IF((R695)&gt;=6,"Có","Không cần")</f>
        <v>Có</v>
      </c>
      <c r="T695" s="10" t="str">
        <f t="shared" ref="T695:T739" ca="1" si="164">IF((R695)&gt;=6,"Có","Không")</f>
        <v>Có</v>
      </c>
      <c r="U695" s="10" t="str">
        <f t="shared" ref="U695:U739" si="165">IF(OR(J695&gt;=140,K695&gt;=90),"Có","Không")</f>
        <v>Không</v>
      </c>
      <c r="V695" s="2" t="s">
        <v>218</v>
      </c>
      <c r="W695" s="4">
        <v>46053</v>
      </c>
      <c r="X695" s="8" t="str">
        <f t="shared" ref="X695:X739" si="166">"Tháng "&amp;MONTH(W695)</f>
        <v>Tháng 1</v>
      </c>
      <c r="Y695" s="8" t="str">
        <f t="shared" ref="Y695:Y739" si="167">LEFT(V695,FIND(",",V695)-1)</f>
        <v>Biển Đông B</v>
      </c>
    </row>
    <row r="696" spans="1:25" x14ac:dyDescent="0.25">
      <c r="A696" s="1" t="s">
        <v>951</v>
      </c>
      <c r="B696" s="2" t="s">
        <v>30</v>
      </c>
      <c r="C696" s="2" t="s">
        <v>90</v>
      </c>
      <c r="D696" s="10">
        <f t="shared" ca="1" si="154"/>
        <v>54</v>
      </c>
      <c r="E696" s="2" t="s">
        <v>26</v>
      </c>
      <c r="F696" s="3">
        <v>169</v>
      </c>
      <c r="G696" s="3">
        <v>69</v>
      </c>
      <c r="H696" s="11">
        <f t="shared" si="155"/>
        <v>24.158817968558527</v>
      </c>
      <c r="I696" s="2">
        <v>96</v>
      </c>
      <c r="J696" s="3">
        <v>140</v>
      </c>
      <c r="K696" s="3">
        <v>80</v>
      </c>
      <c r="L696" s="10">
        <f t="shared" si="156"/>
        <v>2</v>
      </c>
      <c r="M696" s="10">
        <f t="shared" ca="1" si="157"/>
        <v>2</v>
      </c>
      <c r="N696" s="10">
        <f t="shared" si="158"/>
        <v>0</v>
      </c>
      <c r="O696" s="10">
        <f t="shared" si="159"/>
        <v>3</v>
      </c>
      <c r="P696" s="10">
        <f t="shared" si="160"/>
        <v>2</v>
      </c>
      <c r="Q696" s="10">
        <f t="shared" si="161"/>
        <v>2</v>
      </c>
      <c r="R696" s="10">
        <f t="shared" ca="1" si="162"/>
        <v>11</v>
      </c>
      <c r="S696" s="10" t="str">
        <f t="shared" ca="1" si="163"/>
        <v>Có</v>
      </c>
      <c r="T696" s="10" t="str">
        <f t="shared" ca="1" si="164"/>
        <v>Có</v>
      </c>
      <c r="U696" s="10" t="str">
        <f t="shared" si="165"/>
        <v>Có</v>
      </c>
      <c r="V696" s="2" t="s">
        <v>60</v>
      </c>
      <c r="W696" s="4">
        <v>46081</v>
      </c>
      <c r="X696" s="8" t="str">
        <f t="shared" si="166"/>
        <v>Tháng 2</v>
      </c>
      <c r="Y696" s="8" t="str">
        <f t="shared" si="167"/>
        <v>ấp Biển Đông A</v>
      </c>
    </row>
    <row r="697" spans="1:25" x14ac:dyDescent="0.25">
      <c r="A697" s="1" t="s">
        <v>952</v>
      </c>
      <c r="B697" s="2" t="s">
        <v>23</v>
      </c>
      <c r="C697" s="2" t="s">
        <v>155</v>
      </c>
      <c r="D697" s="10">
        <f t="shared" ca="1" si="154"/>
        <v>53</v>
      </c>
      <c r="E697" s="2" t="s">
        <v>26</v>
      </c>
      <c r="F697" s="3">
        <v>158</v>
      </c>
      <c r="G697" s="3">
        <v>58</v>
      </c>
      <c r="H697" s="11">
        <f t="shared" si="155"/>
        <v>23.233456176894723</v>
      </c>
      <c r="I697" s="2">
        <v>75</v>
      </c>
      <c r="J697" s="3">
        <v>150</v>
      </c>
      <c r="K697" s="3">
        <v>80</v>
      </c>
      <c r="L697" s="10">
        <f t="shared" si="156"/>
        <v>0</v>
      </c>
      <c r="M697" s="10">
        <f t="shared" ca="1" si="157"/>
        <v>2</v>
      </c>
      <c r="N697" s="10">
        <f t="shared" si="158"/>
        <v>0</v>
      </c>
      <c r="O697" s="10">
        <f t="shared" si="159"/>
        <v>3</v>
      </c>
      <c r="P697" s="10">
        <f t="shared" si="160"/>
        <v>0</v>
      </c>
      <c r="Q697" s="10">
        <f t="shared" si="161"/>
        <v>2</v>
      </c>
      <c r="R697" s="10">
        <f t="shared" ca="1" si="162"/>
        <v>7</v>
      </c>
      <c r="S697" s="10" t="str">
        <f t="shared" ca="1" si="163"/>
        <v>Có</v>
      </c>
      <c r="T697" s="10" t="str">
        <f t="shared" ca="1" si="164"/>
        <v>Có</v>
      </c>
      <c r="U697" s="10" t="str">
        <f t="shared" si="165"/>
        <v>Có</v>
      </c>
      <c r="V697" s="2" t="s">
        <v>28</v>
      </c>
      <c r="W697" s="4">
        <v>46081</v>
      </c>
      <c r="X697" s="8" t="str">
        <f t="shared" si="166"/>
        <v>Tháng 2</v>
      </c>
      <c r="Y697" s="8" t="str">
        <f t="shared" si="167"/>
        <v>Ấp Biển Đông A</v>
      </c>
    </row>
    <row r="698" spans="1:25" x14ac:dyDescent="0.25">
      <c r="A698" s="1" t="s">
        <v>953</v>
      </c>
      <c r="B698" s="2" t="s">
        <v>23</v>
      </c>
      <c r="C698" s="2" t="s">
        <v>87</v>
      </c>
      <c r="D698" s="10">
        <f t="shared" ca="1" si="154"/>
        <v>49</v>
      </c>
      <c r="E698" s="2" t="s">
        <v>26</v>
      </c>
      <c r="F698" s="3">
        <v>158</v>
      </c>
      <c r="G698" s="3">
        <v>58</v>
      </c>
      <c r="H698" s="11">
        <f t="shared" si="155"/>
        <v>23.233456176894723</v>
      </c>
      <c r="I698" s="2">
        <v>86</v>
      </c>
      <c r="J698" s="3">
        <v>100</v>
      </c>
      <c r="K698" s="3">
        <v>80</v>
      </c>
      <c r="L698" s="10">
        <f t="shared" si="156"/>
        <v>0</v>
      </c>
      <c r="M698" s="10">
        <f t="shared" ca="1" si="157"/>
        <v>1</v>
      </c>
      <c r="N698" s="10">
        <f t="shared" si="158"/>
        <v>0</v>
      </c>
      <c r="O698" s="10">
        <f t="shared" si="159"/>
        <v>3</v>
      </c>
      <c r="P698" s="10">
        <f t="shared" si="160"/>
        <v>2</v>
      </c>
      <c r="Q698" s="10">
        <f t="shared" si="161"/>
        <v>0</v>
      </c>
      <c r="R698" s="10">
        <f t="shared" ca="1" si="162"/>
        <v>6</v>
      </c>
      <c r="S698" s="10" t="str">
        <f t="shared" ca="1" si="163"/>
        <v>Có</v>
      </c>
      <c r="T698" s="10" t="str">
        <f t="shared" ca="1" si="164"/>
        <v>Có</v>
      </c>
      <c r="U698" s="10" t="str">
        <f t="shared" si="165"/>
        <v>Không</v>
      </c>
      <c r="V698" s="2" t="s">
        <v>48</v>
      </c>
      <c r="W698" s="4">
        <v>46112</v>
      </c>
      <c r="X698" s="8" t="str">
        <f t="shared" si="166"/>
        <v>Tháng 3</v>
      </c>
      <c r="Y698" s="8" t="str">
        <f t="shared" si="167"/>
        <v>ấp Giồng Giữa A</v>
      </c>
    </row>
    <row r="699" spans="1:25" x14ac:dyDescent="0.25">
      <c r="A699" s="1" t="s">
        <v>955</v>
      </c>
      <c r="B699" s="2" t="s">
        <v>23</v>
      </c>
      <c r="C699" s="2" t="s">
        <v>37</v>
      </c>
      <c r="D699" s="10">
        <f t="shared" ca="1" si="154"/>
        <v>75</v>
      </c>
      <c r="E699" s="2" t="s">
        <v>26</v>
      </c>
      <c r="F699" s="3">
        <v>158</v>
      </c>
      <c r="G699" s="3">
        <v>58</v>
      </c>
      <c r="H699" s="11">
        <f t="shared" si="155"/>
        <v>23.233456176894723</v>
      </c>
      <c r="I699" s="2">
        <v>82</v>
      </c>
      <c r="J699" s="3">
        <v>130</v>
      </c>
      <c r="K699" s="3">
        <v>80</v>
      </c>
      <c r="L699" s="10">
        <f t="shared" si="156"/>
        <v>0</v>
      </c>
      <c r="M699" s="10">
        <f t="shared" ca="1" si="157"/>
        <v>2</v>
      </c>
      <c r="N699" s="10">
        <f t="shared" si="158"/>
        <v>0</v>
      </c>
      <c r="O699" s="10">
        <f t="shared" si="159"/>
        <v>3</v>
      </c>
      <c r="P699" s="10">
        <f t="shared" si="160"/>
        <v>2</v>
      </c>
      <c r="Q699" s="10">
        <f t="shared" si="161"/>
        <v>0</v>
      </c>
      <c r="R699" s="10">
        <f t="shared" ca="1" si="162"/>
        <v>7</v>
      </c>
      <c r="S699" s="10" t="str">
        <f t="shared" ca="1" si="163"/>
        <v>Có</v>
      </c>
      <c r="T699" s="10" t="str">
        <f t="shared" ca="1" si="164"/>
        <v>Có</v>
      </c>
      <c r="U699" s="10" t="str">
        <f t="shared" si="165"/>
        <v>Không</v>
      </c>
      <c r="V699" s="2" t="s">
        <v>32</v>
      </c>
      <c r="W699" s="4">
        <v>46112</v>
      </c>
      <c r="X699" s="8" t="str">
        <f t="shared" si="166"/>
        <v>Tháng 3</v>
      </c>
      <c r="Y699" s="8" t="str">
        <f t="shared" si="167"/>
        <v>Ấp Giồng Giữa B</v>
      </c>
    </row>
    <row r="700" spans="1:25" x14ac:dyDescent="0.25">
      <c r="A700" s="1" t="s">
        <v>957</v>
      </c>
      <c r="B700" s="2" t="s">
        <v>23</v>
      </c>
      <c r="C700" s="2" t="s">
        <v>82</v>
      </c>
      <c r="D700" s="10">
        <f t="shared" ca="1" si="154"/>
        <v>73</v>
      </c>
      <c r="E700" s="2" t="s">
        <v>26</v>
      </c>
      <c r="F700" s="3">
        <v>154</v>
      </c>
      <c r="G700" s="3">
        <v>37</v>
      </c>
      <c r="H700" s="11">
        <f t="shared" si="155"/>
        <v>15.60128183504807</v>
      </c>
      <c r="I700" s="2">
        <v>73</v>
      </c>
      <c r="J700" s="3">
        <v>100</v>
      </c>
      <c r="K700" s="3">
        <v>60</v>
      </c>
      <c r="L700" s="10">
        <f t="shared" si="156"/>
        <v>0</v>
      </c>
      <c r="M700" s="10">
        <f t="shared" ca="1" si="157"/>
        <v>2</v>
      </c>
      <c r="N700" s="10">
        <f t="shared" si="158"/>
        <v>0</v>
      </c>
      <c r="O700" s="10">
        <f t="shared" si="159"/>
        <v>0</v>
      </c>
      <c r="P700" s="10">
        <f t="shared" si="160"/>
        <v>0</v>
      </c>
      <c r="Q700" s="10">
        <f t="shared" si="161"/>
        <v>0</v>
      </c>
      <c r="R700" s="10">
        <f t="shared" ca="1" si="162"/>
        <v>2</v>
      </c>
      <c r="S700" s="10" t="str">
        <f t="shared" ca="1" si="163"/>
        <v>Không cần</v>
      </c>
      <c r="T700" s="10" t="str">
        <f t="shared" ca="1" si="164"/>
        <v>Không</v>
      </c>
      <c r="U700" s="10" t="str">
        <f t="shared" si="165"/>
        <v>Không</v>
      </c>
      <c r="V700" s="2" t="s">
        <v>958</v>
      </c>
      <c r="W700" s="4">
        <v>46081</v>
      </c>
      <c r="X700" s="8" t="str">
        <f t="shared" si="166"/>
        <v>Tháng 2</v>
      </c>
      <c r="Y700" s="8" t="str">
        <f t="shared" si="167"/>
        <v>9/98 Ấp Biển Đông B</v>
      </c>
    </row>
    <row r="701" spans="1:25" x14ac:dyDescent="0.25">
      <c r="A701" s="1" t="s">
        <v>959</v>
      </c>
      <c r="B701" s="2" t="s">
        <v>30</v>
      </c>
      <c r="C701" s="2" t="s">
        <v>188</v>
      </c>
      <c r="D701" s="10">
        <f t="shared" ca="1" si="154"/>
        <v>63</v>
      </c>
      <c r="E701" s="2" t="s">
        <v>26</v>
      </c>
      <c r="F701" s="3">
        <v>169</v>
      </c>
      <c r="G701" s="3">
        <v>68</v>
      </c>
      <c r="H701" s="11">
        <f t="shared" si="155"/>
        <v>23.808690171912751</v>
      </c>
      <c r="I701" s="2">
        <v>97</v>
      </c>
      <c r="J701" s="3">
        <v>150</v>
      </c>
      <c r="K701" s="3">
        <v>80</v>
      </c>
      <c r="L701" s="10">
        <f t="shared" si="156"/>
        <v>2</v>
      </c>
      <c r="M701" s="10">
        <f t="shared" ca="1" si="157"/>
        <v>2</v>
      </c>
      <c r="N701" s="10">
        <f t="shared" si="158"/>
        <v>0</v>
      </c>
      <c r="O701" s="10">
        <f t="shared" si="159"/>
        <v>3</v>
      </c>
      <c r="P701" s="10">
        <f t="shared" si="160"/>
        <v>2</v>
      </c>
      <c r="Q701" s="10">
        <f t="shared" si="161"/>
        <v>2</v>
      </c>
      <c r="R701" s="10">
        <f t="shared" ca="1" si="162"/>
        <v>11</v>
      </c>
      <c r="S701" s="10" t="str">
        <f t="shared" ca="1" si="163"/>
        <v>Có</v>
      </c>
      <c r="T701" s="10" t="str">
        <f t="shared" ca="1" si="164"/>
        <v>Có</v>
      </c>
      <c r="U701" s="10" t="str">
        <f t="shared" si="165"/>
        <v>Có</v>
      </c>
      <c r="V701" s="2" t="s">
        <v>38</v>
      </c>
      <c r="W701" s="4">
        <v>46081</v>
      </c>
      <c r="X701" s="8" t="str">
        <f t="shared" si="166"/>
        <v>Tháng 2</v>
      </c>
      <c r="Y701" s="8" t="str">
        <f t="shared" si="167"/>
        <v>Ấp Biển Đông B</v>
      </c>
    </row>
    <row r="702" spans="1:25" x14ac:dyDescent="0.25">
      <c r="A702" s="1" t="s">
        <v>960</v>
      </c>
      <c r="B702" s="2" t="s">
        <v>30</v>
      </c>
      <c r="C702" s="2" t="s">
        <v>203</v>
      </c>
      <c r="D702" s="10">
        <f t="shared" ca="1" si="154"/>
        <v>43</v>
      </c>
      <c r="E702" s="2" t="s">
        <v>26</v>
      </c>
      <c r="F702" s="3">
        <v>169</v>
      </c>
      <c r="G702" s="3">
        <v>68</v>
      </c>
      <c r="H702" s="11">
        <f t="shared" si="155"/>
        <v>23.808690171912751</v>
      </c>
      <c r="I702" s="2">
        <v>83</v>
      </c>
      <c r="J702" s="3">
        <v>120</v>
      </c>
      <c r="K702" s="3">
        <v>80</v>
      </c>
      <c r="L702" s="10">
        <f t="shared" si="156"/>
        <v>2</v>
      </c>
      <c r="M702" s="10">
        <f t="shared" ca="1" si="157"/>
        <v>0</v>
      </c>
      <c r="N702" s="10">
        <f t="shared" si="158"/>
        <v>0</v>
      </c>
      <c r="O702" s="10">
        <f t="shared" si="159"/>
        <v>3</v>
      </c>
      <c r="P702" s="10">
        <f t="shared" si="160"/>
        <v>0</v>
      </c>
      <c r="Q702" s="10">
        <f t="shared" si="161"/>
        <v>0</v>
      </c>
      <c r="R702" s="10">
        <f t="shared" ca="1" si="162"/>
        <v>5</v>
      </c>
      <c r="S702" s="10" t="str">
        <f t="shared" ca="1" si="163"/>
        <v>Không cần</v>
      </c>
      <c r="T702" s="10" t="str">
        <f t="shared" ca="1" si="164"/>
        <v>Không</v>
      </c>
      <c r="U702" s="10" t="str">
        <f t="shared" si="165"/>
        <v>Không</v>
      </c>
      <c r="V702" s="2" t="s">
        <v>72</v>
      </c>
      <c r="W702" s="4">
        <v>46112</v>
      </c>
      <c r="X702" s="8" t="str">
        <f t="shared" si="166"/>
        <v>Tháng 3</v>
      </c>
      <c r="Y702" s="8" t="str">
        <f t="shared" si="167"/>
        <v>Ấp Giồng Giữa A</v>
      </c>
    </row>
    <row r="703" spans="1:25" x14ac:dyDescent="0.25">
      <c r="A703" s="1" t="s">
        <v>961</v>
      </c>
      <c r="B703" s="2" t="s">
        <v>23</v>
      </c>
      <c r="C703" s="2" t="s">
        <v>130</v>
      </c>
      <c r="D703" s="10">
        <f t="shared" ca="1" si="154"/>
        <v>57</v>
      </c>
      <c r="E703" s="2" t="s">
        <v>26</v>
      </c>
      <c r="F703" s="3">
        <v>158</v>
      </c>
      <c r="G703" s="3">
        <v>58</v>
      </c>
      <c r="H703" s="11">
        <f t="shared" si="155"/>
        <v>23.233456176894723</v>
      </c>
      <c r="I703" s="2">
        <v>74</v>
      </c>
      <c r="J703" s="3">
        <v>150</v>
      </c>
      <c r="K703" s="3">
        <v>80</v>
      </c>
      <c r="L703" s="10">
        <f t="shared" si="156"/>
        <v>0</v>
      </c>
      <c r="M703" s="10">
        <f t="shared" ca="1" si="157"/>
        <v>2</v>
      </c>
      <c r="N703" s="10">
        <f t="shared" si="158"/>
        <v>0</v>
      </c>
      <c r="O703" s="10">
        <f t="shared" si="159"/>
        <v>3</v>
      </c>
      <c r="P703" s="10">
        <f t="shared" si="160"/>
        <v>0</v>
      </c>
      <c r="Q703" s="10">
        <f t="shared" si="161"/>
        <v>2</v>
      </c>
      <c r="R703" s="10">
        <f t="shared" ca="1" si="162"/>
        <v>7</v>
      </c>
      <c r="S703" s="10" t="str">
        <f t="shared" ca="1" si="163"/>
        <v>Có</v>
      </c>
      <c r="T703" s="10" t="str">
        <f t="shared" ca="1" si="164"/>
        <v>Có</v>
      </c>
      <c r="U703" s="10" t="str">
        <f t="shared" si="165"/>
        <v>Có</v>
      </c>
      <c r="V703" s="2" t="s">
        <v>51</v>
      </c>
      <c r="W703" s="4">
        <v>46112</v>
      </c>
      <c r="X703" s="8" t="str">
        <f t="shared" si="166"/>
        <v>Tháng 3</v>
      </c>
      <c r="Y703" s="8" t="str">
        <f t="shared" si="167"/>
        <v>Phường Hiệp Thành</v>
      </c>
    </row>
    <row r="704" spans="1:25" x14ac:dyDescent="0.25">
      <c r="A704" s="1" t="s">
        <v>962</v>
      </c>
      <c r="B704" s="2" t="s">
        <v>30</v>
      </c>
      <c r="C704" s="2" t="s">
        <v>76</v>
      </c>
      <c r="D704" s="10">
        <f t="shared" ca="1" si="154"/>
        <v>68</v>
      </c>
      <c r="E704" s="2" t="s">
        <v>26</v>
      </c>
      <c r="F704" s="3">
        <v>169</v>
      </c>
      <c r="G704" s="3">
        <v>68</v>
      </c>
      <c r="H704" s="11">
        <f t="shared" si="155"/>
        <v>23.808690171912751</v>
      </c>
      <c r="I704" s="2">
        <v>98</v>
      </c>
      <c r="J704" s="3">
        <v>130</v>
      </c>
      <c r="K704" s="3">
        <v>80</v>
      </c>
      <c r="L704" s="10">
        <f t="shared" si="156"/>
        <v>2</v>
      </c>
      <c r="M704" s="10">
        <f t="shared" ca="1" si="157"/>
        <v>2</v>
      </c>
      <c r="N704" s="10">
        <f t="shared" si="158"/>
        <v>0</v>
      </c>
      <c r="O704" s="10">
        <f t="shared" si="159"/>
        <v>3</v>
      </c>
      <c r="P704" s="10">
        <f t="shared" si="160"/>
        <v>2</v>
      </c>
      <c r="Q704" s="10">
        <f t="shared" si="161"/>
        <v>0</v>
      </c>
      <c r="R704" s="10">
        <f t="shared" ca="1" si="162"/>
        <v>9</v>
      </c>
      <c r="S704" s="10" t="str">
        <f t="shared" ca="1" si="163"/>
        <v>Có</v>
      </c>
      <c r="T704" s="10" t="str">
        <f t="shared" ca="1" si="164"/>
        <v>Có</v>
      </c>
      <c r="U704" s="10" t="str">
        <f t="shared" si="165"/>
        <v>Không</v>
      </c>
      <c r="V704" s="2" t="s">
        <v>68</v>
      </c>
      <c r="W704" s="4">
        <v>46112</v>
      </c>
      <c r="X704" s="8" t="str">
        <f t="shared" si="166"/>
        <v>Tháng 3</v>
      </c>
      <c r="Y704" s="8" t="str">
        <f t="shared" si="167"/>
        <v>Ấp Biển Tây B</v>
      </c>
    </row>
    <row r="705" spans="1:25" x14ac:dyDescent="0.25">
      <c r="A705" s="1" t="s">
        <v>963</v>
      </c>
      <c r="B705" s="2" t="s">
        <v>23</v>
      </c>
      <c r="C705" s="2" t="s">
        <v>47</v>
      </c>
      <c r="D705" s="10">
        <f t="shared" ca="1" si="154"/>
        <v>55</v>
      </c>
      <c r="E705" s="2" t="s">
        <v>25</v>
      </c>
      <c r="F705" s="3">
        <v>160</v>
      </c>
      <c r="G705" s="3">
        <v>55</v>
      </c>
      <c r="H705" s="11">
        <f t="shared" si="155"/>
        <v>21.484374999999996</v>
      </c>
      <c r="I705" s="2">
        <v>69</v>
      </c>
      <c r="J705" s="3">
        <v>120</v>
      </c>
      <c r="K705" s="3">
        <v>70</v>
      </c>
      <c r="L705" s="10">
        <f t="shared" si="156"/>
        <v>0</v>
      </c>
      <c r="M705" s="10">
        <f t="shared" ca="1" si="157"/>
        <v>2</v>
      </c>
      <c r="N705" s="10">
        <f t="shared" si="158"/>
        <v>4</v>
      </c>
      <c r="O705" s="10">
        <f t="shared" si="159"/>
        <v>0</v>
      </c>
      <c r="P705" s="10">
        <f t="shared" si="160"/>
        <v>0</v>
      </c>
      <c r="Q705" s="10">
        <f t="shared" si="161"/>
        <v>0</v>
      </c>
      <c r="R705" s="10">
        <f t="shared" ca="1" si="162"/>
        <v>6</v>
      </c>
      <c r="S705" s="10" t="str">
        <f t="shared" ca="1" si="163"/>
        <v>Có</v>
      </c>
      <c r="T705" s="10" t="str">
        <f t="shared" ca="1" si="164"/>
        <v>Có</v>
      </c>
      <c r="U705" s="10" t="str">
        <f t="shared" si="165"/>
        <v>Không</v>
      </c>
      <c r="V705" s="2" t="s">
        <v>88</v>
      </c>
      <c r="W705" s="4">
        <v>46112</v>
      </c>
      <c r="X705" s="8" t="str">
        <f t="shared" si="166"/>
        <v>Tháng 3</v>
      </c>
      <c r="Y705" s="8" t="str">
        <f t="shared" si="167"/>
        <v>Giồng Giữa</v>
      </c>
    </row>
    <row r="706" spans="1:25" x14ac:dyDescent="0.25">
      <c r="A706" s="1" t="s">
        <v>964</v>
      </c>
      <c r="B706" s="2" t="s">
        <v>23</v>
      </c>
      <c r="C706" s="2" t="s">
        <v>373</v>
      </c>
      <c r="D706" s="10">
        <f t="shared" ca="1" si="154"/>
        <v>61</v>
      </c>
      <c r="E706" s="2" t="s">
        <v>26</v>
      </c>
      <c r="F706" s="3">
        <v>158</v>
      </c>
      <c r="G706" s="3">
        <v>58</v>
      </c>
      <c r="H706" s="11">
        <f t="shared" si="155"/>
        <v>23.233456176894723</v>
      </c>
      <c r="I706" s="2">
        <v>77</v>
      </c>
      <c r="J706" s="3">
        <v>140</v>
      </c>
      <c r="K706" s="3">
        <v>80</v>
      </c>
      <c r="L706" s="10">
        <f t="shared" si="156"/>
        <v>0</v>
      </c>
      <c r="M706" s="10">
        <f t="shared" ca="1" si="157"/>
        <v>2</v>
      </c>
      <c r="N706" s="10">
        <f t="shared" si="158"/>
        <v>0</v>
      </c>
      <c r="O706" s="10">
        <f t="shared" si="159"/>
        <v>3</v>
      </c>
      <c r="P706" s="10">
        <f t="shared" si="160"/>
        <v>0</v>
      </c>
      <c r="Q706" s="10">
        <f t="shared" si="161"/>
        <v>2</v>
      </c>
      <c r="R706" s="10">
        <f t="shared" ca="1" si="162"/>
        <v>7</v>
      </c>
      <c r="S706" s="10" t="str">
        <f t="shared" ca="1" si="163"/>
        <v>Có</v>
      </c>
      <c r="T706" s="10" t="str">
        <f t="shared" ca="1" si="164"/>
        <v>Có</v>
      </c>
      <c r="U706" s="10" t="str">
        <f t="shared" si="165"/>
        <v>Có</v>
      </c>
      <c r="V706" s="2" t="s">
        <v>965</v>
      </c>
      <c r="W706" s="4">
        <v>46112</v>
      </c>
      <c r="X706" s="8" t="str">
        <f t="shared" si="166"/>
        <v>Tháng 3</v>
      </c>
      <c r="Y706" s="8" t="str">
        <f t="shared" si="167"/>
        <v>xã Vĩnh Trạch Đông</v>
      </c>
    </row>
    <row r="707" spans="1:25" x14ac:dyDescent="0.25">
      <c r="A707" s="1" t="s">
        <v>966</v>
      </c>
      <c r="B707" s="2" t="s">
        <v>30</v>
      </c>
      <c r="C707" s="2" t="s">
        <v>93</v>
      </c>
      <c r="D707" s="10">
        <f t="shared" ca="1" si="154"/>
        <v>66</v>
      </c>
      <c r="E707" s="2" t="s">
        <v>26</v>
      </c>
      <c r="F707" s="3">
        <v>158</v>
      </c>
      <c r="G707" s="3">
        <v>56</v>
      </c>
      <c r="H707" s="11">
        <f t="shared" si="155"/>
        <v>22.432302515622492</v>
      </c>
      <c r="I707" s="2">
        <v>92</v>
      </c>
      <c r="J707" s="3">
        <v>120</v>
      </c>
      <c r="K707" s="3">
        <v>70</v>
      </c>
      <c r="L707" s="10">
        <f t="shared" si="156"/>
        <v>2</v>
      </c>
      <c r="M707" s="10">
        <f t="shared" ca="1" si="157"/>
        <v>2</v>
      </c>
      <c r="N707" s="10">
        <f t="shared" si="158"/>
        <v>0</v>
      </c>
      <c r="O707" s="10">
        <f t="shared" si="159"/>
        <v>0</v>
      </c>
      <c r="P707" s="10">
        <f t="shared" si="160"/>
        <v>2</v>
      </c>
      <c r="Q707" s="10">
        <f t="shared" si="161"/>
        <v>0</v>
      </c>
      <c r="R707" s="10">
        <f t="shared" ca="1" si="162"/>
        <v>6</v>
      </c>
      <c r="S707" s="10" t="str">
        <f t="shared" ca="1" si="163"/>
        <v>Có</v>
      </c>
      <c r="T707" s="10" t="str">
        <f t="shared" ca="1" si="164"/>
        <v>Có</v>
      </c>
      <c r="U707" s="10" t="str">
        <f t="shared" si="165"/>
        <v>Không</v>
      </c>
      <c r="V707" s="2" t="s">
        <v>251</v>
      </c>
      <c r="W707" s="4">
        <v>46112</v>
      </c>
      <c r="X707" s="8" t="str">
        <f t="shared" si="166"/>
        <v>Tháng 3</v>
      </c>
      <c r="Y707" s="8" t="str">
        <f t="shared" si="167"/>
        <v>giồng giữa</v>
      </c>
    </row>
    <row r="708" spans="1:25" x14ac:dyDescent="0.25">
      <c r="A708" s="1" t="s">
        <v>968</v>
      </c>
      <c r="B708" s="2" t="s">
        <v>30</v>
      </c>
      <c r="C708" s="2" t="s">
        <v>59</v>
      </c>
      <c r="D708" s="10">
        <f t="shared" ca="1" si="154"/>
        <v>74</v>
      </c>
      <c r="E708" s="2" t="s">
        <v>26</v>
      </c>
      <c r="F708" s="3">
        <v>169</v>
      </c>
      <c r="G708" s="3">
        <v>69</v>
      </c>
      <c r="H708" s="11">
        <f t="shared" si="155"/>
        <v>24.158817968558527</v>
      </c>
      <c r="I708" s="2">
        <v>100</v>
      </c>
      <c r="J708" s="3">
        <v>140</v>
      </c>
      <c r="K708" s="3">
        <v>80</v>
      </c>
      <c r="L708" s="10">
        <f t="shared" si="156"/>
        <v>2</v>
      </c>
      <c r="M708" s="10">
        <f t="shared" ca="1" si="157"/>
        <v>2</v>
      </c>
      <c r="N708" s="10">
        <f t="shared" si="158"/>
        <v>0</v>
      </c>
      <c r="O708" s="10">
        <f t="shared" si="159"/>
        <v>3</v>
      </c>
      <c r="P708" s="10">
        <f t="shared" si="160"/>
        <v>2</v>
      </c>
      <c r="Q708" s="10">
        <f t="shared" si="161"/>
        <v>2</v>
      </c>
      <c r="R708" s="10">
        <f t="shared" ca="1" si="162"/>
        <v>11</v>
      </c>
      <c r="S708" s="10" t="str">
        <f t="shared" ca="1" si="163"/>
        <v>Có</v>
      </c>
      <c r="T708" s="10" t="str">
        <f t="shared" ca="1" si="164"/>
        <v>Có</v>
      </c>
      <c r="U708" s="10" t="str">
        <f t="shared" si="165"/>
        <v>Có</v>
      </c>
      <c r="V708" s="2" t="s">
        <v>51</v>
      </c>
      <c r="W708" s="4">
        <v>46081</v>
      </c>
      <c r="X708" s="8" t="str">
        <f t="shared" si="166"/>
        <v>Tháng 2</v>
      </c>
      <c r="Y708" s="8" t="str">
        <f t="shared" si="167"/>
        <v>Phường Hiệp Thành</v>
      </c>
    </row>
    <row r="709" spans="1:25" x14ac:dyDescent="0.25">
      <c r="A709" s="1" t="s">
        <v>841</v>
      </c>
      <c r="B709" s="2" t="s">
        <v>23</v>
      </c>
      <c r="C709" s="2" t="s">
        <v>42</v>
      </c>
      <c r="D709" s="10">
        <f t="shared" ca="1" si="154"/>
        <v>59</v>
      </c>
      <c r="E709" s="2" t="s">
        <v>26</v>
      </c>
      <c r="F709" s="3">
        <v>158</v>
      </c>
      <c r="G709" s="3">
        <v>58</v>
      </c>
      <c r="H709" s="11">
        <f t="shared" si="155"/>
        <v>23.233456176894723</v>
      </c>
      <c r="I709" s="2">
        <v>74</v>
      </c>
      <c r="J709" s="3">
        <v>130</v>
      </c>
      <c r="K709" s="3">
        <v>80</v>
      </c>
      <c r="L709" s="10">
        <f t="shared" si="156"/>
        <v>0</v>
      </c>
      <c r="M709" s="10">
        <f t="shared" ca="1" si="157"/>
        <v>2</v>
      </c>
      <c r="N709" s="10">
        <f t="shared" si="158"/>
        <v>0</v>
      </c>
      <c r="O709" s="10">
        <f t="shared" si="159"/>
        <v>3</v>
      </c>
      <c r="P709" s="10">
        <f t="shared" si="160"/>
        <v>0</v>
      </c>
      <c r="Q709" s="10">
        <f t="shared" si="161"/>
        <v>0</v>
      </c>
      <c r="R709" s="10">
        <f t="shared" ca="1" si="162"/>
        <v>5</v>
      </c>
      <c r="S709" s="10" t="str">
        <f t="shared" ca="1" si="163"/>
        <v>Không cần</v>
      </c>
      <c r="T709" s="10" t="str">
        <f t="shared" ca="1" si="164"/>
        <v>Không</v>
      </c>
      <c r="U709" s="10" t="str">
        <f t="shared" si="165"/>
        <v>Không</v>
      </c>
      <c r="V709" s="2" t="s">
        <v>969</v>
      </c>
      <c r="W709" s="4">
        <v>46081</v>
      </c>
      <c r="X709" s="8" t="str">
        <f t="shared" si="166"/>
        <v>Tháng 2</v>
      </c>
      <c r="Y709" s="8" t="str">
        <f t="shared" si="167"/>
        <v>Ấp Biển Đông B</v>
      </c>
    </row>
    <row r="710" spans="1:25" x14ac:dyDescent="0.25">
      <c r="A710" s="1" t="s">
        <v>970</v>
      </c>
      <c r="B710" s="2" t="s">
        <v>23</v>
      </c>
      <c r="C710" s="2" t="s">
        <v>341</v>
      </c>
      <c r="D710" s="10">
        <f t="shared" ca="1" si="154"/>
        <v>51</v>
      </c>
      <c r="E710" s="2" t="s">
        <v>26</v>
      </c>
      <c r="F710" s="3">
        <v>158</v>
      </c>
      <c r="G710" s="3">
        <v>58</v>
      </c>
      <c r="H710" s="11">
        <f t="shared" si="155"/>
        <v>23.233456176894723</v>
      </c>
      <c r="I710" s="2">
        <v>83</v>
      </c>
      <c r="J710" s="3">
        <v>120</v>
      </c>
      <c r="K710" s="3">
        <v>80</v>
      </c>
      <c r="L710" s="10">
        <f t="shared" si="156"/>
        <v>0</v>
      </c>
      <c r="M710" s="10">
        <f t="shared" ca="1" si="157"/>
        <v>2</v>
      </c>
      <c r="N710" s="10">
        <f t="shared" si="158"/>
        <v>0</v>
      </c>
      <c r="O710" s="10">
        <f t="shared" si="159"/>
        <v>3</v>
      </c>
      <c r="P710" s="10">
        <f t="shared" si="160"/>
        <v>2</v>
      </c>
      <c r="Q710" s="10">
        <f t="shared" si="161"/>
        <v>0</v>
      </c>
      <c r="R710" s="10">
        <f t="shared" ca="1" si="162"/>
        <v>7</v>
      </c>
      <c r="S710" s="10" t="str">
        <f t="shared" ca="1" si="163"/>
        <v>Có</v>
      </c>
      <c r="T710" s="10" t="str">
        <f t="shared" ca="1" si="164"/>
        <v>Có</v>
      </c>
      <c r="U710" s="10" t="str">
        <f t="shared" si="165"/>
        <v>Không</v>
      </c>
      <c r="V710" s="2" t="s">
        <v>68</v>
      </c>
      <c r="W710" s="4">
        <v>46081</v>
      </c>
      <c r="X710" s="8" t="str">
        <f t="shared" si="166"/>
        <v>Tháng 2</v>
      </c>
      <c r="Y710" s="8" t="str">
        <f t="shared" si="167"/>
        <v>Ấp Biển Tây B</v>
      </c>
    </row>
    <row r="711" spans="1:25" x14ac:dyDescent="0.25">
      <c r="A711" s="1" t="s">
        <v>971</v>
      </c>
      <c r="B711" s="2" t="s">
        <v>23</v>
      </c>
      <c r="C711" s="2" t="s">
        <v>47</v>
      </c>
      <c r="D711" s="10">
        <f t="shared" ca="1" si="154"/>
        <v>55</v>
      </c>
      <c r="E711" s="2" t="s">
        <v>26</v>
      </c>
      <c r="F711" s="3">
        <v>158</v>
      </c>
      <c r="G711" s="3">
        <v>58</v>
      </c>
      <c r="H711" s="11">
        <f t="shared" si="155"/>
        <v>23.233456176894723</v>
      </c>
      <c r="I711" s="2">
        <v>70</v>
      </c>
      <c r="J711" s="3">
        <v>130</v>
      </c>
      <c r="K711" s="3">
        <v>80</v>
      </c>
      <c r="L711" s="10">
        <f t="shared" si="156"/>
        <v>0</v>
      </c>
      <c r="M711" s="10">
        <f t="shared" ca="1" si="157"/>
        <v>2</v>
      </c>
      <c r="N711" s="10">
        <f t="shared" si="158"/>
        <v>0</v>
      </c>
      <c r="O711" s="10">
        <f t="shared" si="159"/>
        <v>3</v>
      </c>
      <c r="P711" s="10">
        <f t="shared" si="160"/>
        <v>0</v>
      </c>
      <c r="Q711" s="10">
        <f t="shared" si="161"/>
        <v>0</v>
      </c>
      <c r="R711" s="10">
        <f t="shared" ca="1" si="162"/>
        <v>5</v>
      </c>
      <c r="S711" s="10" t="str">
        <f t="shared" ca="1" si="163"/>
        <v>Không cần</v>
      </c>
      <c r="T711" s="10" t="str">
        <f t="shared" ca="1" si="164"/>
        <v>Không</v>
      </c>
      <c r="U711" s="10" t="str">
        <f t="shared" si="165"/>
        <v>Không</v>
      </c>
      <c r="V711" s="2" t="s">
        <v>298</v>
      </c>
      <c r="W711" s="4">
        <v>46081</v>
      </c>
      <c r="X711" s="8" t="str">
        <f t="shared" si="166"/>
        <v>Tháng 2</v>
      </c>
      <c r="Y711" s="8" t="str">
        <f t="shared" si="167"/>
        <v>ấp Biển Tây A</v>
      </c>
    </row>
    <row r="712" spans="1:25" x14ac:dyDescent="0.25">
      <c r="A712" s="1" t="s">
        <v>972</v>
      </c>
      <c r="B712" s="2" t="s">
        <v>30</v>
      </c>
      <c r="C712" s="2" t="s">
        <v>40</v>
      </c>
      <c r="D712" s="10">
        <f t="shared" ca="1" si="154"/>
        <v>70</v>
      </c>
      <c r="E712" s="2" t="s">
        <v>26</v>
      </c>
      <c r="F712" s="3">
        <v>170</v>
      </c>
      <c r="G712" s="3">
        <v>75</v>
      </c>
      <c r="H712" s="11">
        <f t="shared" si="155"/>
        <v>25.95155709342561</v>
      </c>
      <c r="I712" s="2">
        <v>100</v>
      </c>
      <c r="J712" s="3">
        <v>120</v>
      </c>
      <c r="K712" s="3">
        <v>80</v>
      </c>
      <c r="L712" s="10">
        <f t="shared" si="156"/>
        <v>2</v>
      </c>
      <c r="M712" s="10">
        <f t="shared" ca="1" si="157"/>
        <v>2</v>
      </c>
      <c r="N712" s="10">
        <f t="shared" si="158"/>
        <v>0</v>
      </c>
      <c r="O712" s="10">
        <f t="shared" si="159"/>
        <v>3</v>
      </c>
      <c r="P712" s="10">
        <f t="shared" si="160"/>
        <v>2</v>
      </c>
      <c r="Q712" s="10">
        <f t="shared" si="161"/>
        <v>0</v>
      </c>
      <c r="R712" s="10">
        <f t="shared" ca="1" si="162"/>
        <v>9</v>
      </c>
      <c r="S712" s="10" t="str">
        <f t="shared" ca="1" si="163"/>
        <v>Có</v>
      </c>
      <c r="T712" s="10" t="str">
        <f t="shared" ca="1" si="164"/>
        <v>Có</v>
      </c>
      <c r="U712" s="10" t="str">
        <f t="shared" si="165"/>
        <v>Không</v>
      </c>
      <c r="V712" s="2" t="s">
        <v>68</v>
      </c>
      <c r="W712" s="4">
        <v>46112</v>
      </c>
      <c r="X712" s="8" t="str">
        <f t="shared" si="166"/>
        <v>Tháng 3</v>
      </c>
      <c r="Y712" s="8" t="str">
        <f t="shared" si="167"/>
        <v>Ấp Biển Tây B</v>
      </c>
    </row>
    <row r="713" spans="1:25" x14ac:dyDescent="0.25">
      <c r="A713" s="1" t="s">
        <v>973</v>
      </c>
      <c r="B713" s="2" t="s">
        <v>30</v>
      </c>
      <c r="C713" s="2" t="s">
        <v>90</v>
      </c>
      <c r="D713" s="10">
        <f t="shared" ca="1" si="154"/>
        <v>54</v>
      </c>
      <c r="E713" s="2" t="s">
        <v>26</v>
      </c>
      <c r="F713" s="3">
        <v>166</v>
      </c>
      <c r="G713" s="3">
        <v>50</v>
      </c>
      <c r="H713" s="11">
        <f t="shared" si="155"/>
        <v>18.144868631151112</v>
      </c>
      <c r="I713" s="2">
        <v>82</v>
      </c>
      <c r="J713" s="3">
        <v>120</v>
      </c>
      <c r="K713" s="3">
        <v>80</v>
      </c>
      <c r="L713" s="10">
        <f t="shared" si="156"/>
        <v>2</v>
      </c>
      <c r="M713" s="10">
        <f t="shared" ca="1" si="157"/>
        <v>2</v>
      </c>
      <c r="N713" s="10">
        <f t="shared" si="158"/>
        <v>0</v>
      </c>
      <c r="O713" s="10">
        <f t="shared" si="159"/>
        <v>0</v>
      </c>
      <c r="P713" s="10">
        <f t="shared" si="160"/>
        <v>0</v>
      </c>
      <c r="Q713" s="10">
        <f t="shared" si="161"/>
        <v>0</v>
      </c>
      <c r="R713" s="10">
        <f t="shared" ca="1" si="162"/>
        <v>4</v>
      </c>
      <c r="S713" s="10" t="str">
        <f t="shared" ca="1" si="163"/>
        <v>Không cần</v>
      </c>
      <c r="T713" s="10" t="str">
        <f t="shared" ca="1" si="164"/>
        <v>Không</v>
      </c>
      <c r="U713" s="10" t="str">
        <f t="shared" si="165"/>
        <v>Không</v>
      </c>
      <c r="V713" s="2" t="s">
        <v>91</v>
      </c>
      <c r="W713" s="4">
        <v>46112</v>
      </c>
      <c r="X713" s="8" t="str">
        <f t="shared" si="166"/>
        <v>Tháng 3</v>
      </c>
      <c r="Y713" s="8" t="str">
        <f t="shared" si="167"/>
        <v>Ấp Giồng Giữa</v>
      </c>
    </row>
    <row r="714" spans="1:25" x14ac:dyDescent="0.25">
      <c r="A714" s="1" t="s">
        <v>974</v>
      </c>
      <c r="B714" s="2" t="s">
        <v>23</v>
      </c>
      <c r="C714" s="2" t="s">
        <v>87</v>
      </c>
      <c r="D714" s="10">
        <f t="shared" ca="1" si="154"/>
        <v>49</v>
      </c>
      <c r="E714" s="2" t="s">
        <v>26</v>
      </c>
      <c r="F714" s="3">
        <v>150</v>
      </c>
      <c r="G714" s="3">
        <v>50</v>
      </c>
      <c r="H714" s="11">
        <f t="shared" si="155"/>
        <v>22.222222222222221</v>
      </c>
      <c r="I714" s="2">
        <v>89</v>
      </c>
      <c r="J714" s="3">
        <v>120</v>
      </c>
      <c r="K714" s="3">
        <v>80</v>
      </c>
      <c r="L714" s="10">
        <f t="shared" si="156"/>
        <v>0</v>
      </c>
      <c r="M714" s="10">
        <f t="shared" ca="1" si="157"/>
        <v>1</v>
      </c>
      <c r="N714" s="10">
        <f t="shared" si="158"/>
        <v>0</v>
      </c>
      <c r="O714" s="10">
        <f t="shared" si="159"/>
        <v>0</v>
      </c>
      <c r="P714" s="10">
        <f t="shared" si="160"/>
        <v>2</v>
      </c>
      <c r="Q714" s="10">
        <f t="shared" si="161"/>
        <v>0</v>
      </c>
      <c r="R714" s="10">
        <f t="shared" ca="1" si="162"/>
        <v>3</v>
      </c>
      <c r="S714" s="10" t="str">
        <f t="shared" ca="1" si="163"/>
        <v>Không cần</v>
      </c>
      <c r="T714" s="10" t="str">
        <f t="shared" ca="1" si="164"/>
        <v>Không</v>
      </c>
      <c r="U714" s="10" t="str">
        <f t="shared" si="165"/>
        <v>Không</v>
      </c>
      <c r="V714" s="2" t="s">
        <v>975</v>
      </c>
      <c r="W714" s="4">
        <v>46112</v>
      </c>
      <c r="X714" s="8" t="str">
        <f t="shared" si="166"/>
        <v>Tháng 3</v>
      </c>
      <c r="Y714" s="8" t="str">
        <f t="shared" si="167"/>
        <v>Ấp Bình Tiền 2</v>
      </c>
    </row>
    <row r="715" spans="1:25" x14ac:dyDescent="0.25">
      <c r="A715" s="1" t="s">
        <v>976</v>
      </c>
      <c r="B715" s="2" t="s">
        <v>23</v>
      </c>
      <c r="C715" s="2" t="s">
        <v>93</v>
      </c>
      <c r="D715" s="10">
        <f t="shared" ca="1" si="154"/>
        <v>66</v>
      </c>
      <c r="E715" s="2" t="s">
        <v>26</v>
      </c>
      <c r="F715" s="3">
        <v>158</v>
      </c>
      <c r="G715" s="3">
        <v>58</v>
      </c>
      <c r="H715" s="11">
        <f t="shared" si="155"/>
        <v>23.233456176894723</v>
      </c>
      <c r="I715" s="2">
        <v>66</v>
      </c>
      <c r="J715" s="3">
        <v>150</v>
      </c>
      <c r="K715" s="3">
        <v>80</v>
      </c>
      <c r="L715" s="10">
        <f t="shared" si="156"/>
        <v>0</v>
      </c>
      <c r="M715" s="10">
        <f t="shared" ca="1" si="157"/>
        <v>2</v>
      </c>
      <c r="N715" s="10">
        <f t="shared" si="158"/>
        <v>0</v>
      </c>
      <c r="O715" s="10">
        <f t="shared" si="159"/>
        <v>3</v>
      </c>
      <c r="P715" s="10">
        <f t="shared" si="160"/>
        <v>0</v>
      </c>
      <c r="Q715" s="10">
        <f t="shared" si="161"/>
        <v>2</v>
      </c>
      <c r="R715" s="10">
        <f t="shared" ca="1" si="162"/>
        <v>7</v>
      </c>
      <c r="S715" s="10" t="str">
        <f t="shared" ca="1" si="163"/>
        <v>Có</v>
      </c>
      <c r="T715" s="10" t="str">
        <f t="shared" ca="1" si="164"/>
        <v>Có</v>
      </c>
      <c r="U715" s="10" t="str">
        <f t="shared" si="165"/>
        <v>Có</v>
      </c>
      <c r="V715" s="2" t="s">
        <v>32</v>
      </c>
      <c r="W715" s="4">
        <v>46112</v>
      </c>
      <c r="X715" s="8" t="str">
        <f t="shared" si="166"/>
        <v>Tháng 3</v>
      </c>
      <c r="Y715" s="8" t="str">
        <f t="shared" si="167"/>
        <v>Ấp Giồng Giữa B</v>
      </c>
    </row>
    <row r="716" spans="1:25" x14ac:dyDescent="0.25">
      <c r="A716" s="1" t="s">
        <v>977</v>
      </c>
      <c r="B716" s="2" t="s">
        <v>30</v>
      </c>
      <c r="C716" s="2" t="s">
        <v>84</v>
      </c>
      <c r="D716" s="10">
        <f t="shared" ca="1" si="154"/>
        <v>69</v>
      </c>
      <c r="E716" s="2" t="s">
        <v>25</v>
      </c>
      <c r="F716" s="3">
        <v>169</v>
      </c>
      <c r="G716" s="3">
        <v>68</v>
      </c>
      <c r="H716" s="11">
        <f t="shared" si="155"/>
        <v>23.808690171912751</v>
      </c>
      <c r="I716" s="2">
        <v>100</v>
      </c>
      <c r="J716" s="3">
        <v>140</v>
      </c>
      <c r="K716" s="3">
        <v>80</v>
      </c>
      <c r="L716" s="10">
        <f t="shared" si="156"/>
        <v>2</v>
      </c>
      <c r="M716" s="10">
        <f t="shared" ca="1" si="157"/>
        <v>2</v>
      </c>
      <c r="N716" s="10">
        <f t="shared" si="158"/>
        <v>4</v>
      </c>
      <c r="O716" s="10">
        <f t="shared" si="159"/>
        <v>3</v>
      </c>
      <c r="P716" s="10">
        <f t="shared" si="160"/>
        <v>2</v>
      </c>
      <c r="Q716" s="10">
        <f t="shared" si="161"/>
        <v>2</v>
      </c>
      <c r="R716" s="10">
        <f t="shared" ca="1" si="162"/>
        <v>15</v>
      </c>
      <c r="S716" s="10" t="str">
        <f t="shared" ca="1" si="163"/>
        <v>Có</v>
      </c>
      <c r="T716" s="10" t="str">
        <f t="shared" ca="1" si="164"/>
        <v>Có</v>
      </c>
      <c r="U716" s="10" t="str">
        <f t="shared" si="165"/>
        <v>Có</v>
      </c>
      <c r="V716" s="2" t="s">
        <v>32</v>
      </c>
      <c r="W716" s="4">
        <v>46112</v>
      </c>
      <c r="X716" s="8" t="str">
        <f t="shared" si="166"/>
        <v>Tháng 3</v>
      </c>
      <c r="Y716" s="8" t="str">
        <f t="shared" si="167"/>
        <v>Ấp Giồng Giữa B</v>
      </c>
    </row>
    <row r="717" spans="1:25" x14ac:dyDescent="0.25">
      <c r="A717" s="1" t="s">
        <v>978</v>
      </c>
      <c r="B717" s="2" t="s">
        <v>23</v>
      </c>
      <c r="C717" s="2" t="s">
        <v>130</v>
      </c>
      <c r="D717" s="10">
        <f t="shared" ca="1" si="154"/>
        <v>57</v>
      </c>
      <c r="E717" s="2" t="s">
        <v>26</v>
      </c>
      <c r="F717" s="3">
        <v>158</v>
      </c>
      <c r="G717" s="3">
        <v>54</v>
      </c>
      <c r="H717" s="11">
        <f t="shared" si="155"/>
        <v>21.631148854350261</v>
      </c>
      <c r="I717" s="2">
        <v>69</v>
      </c>
      <c r="J717" s="3">
        <v>120</v>
      </c>
      <c r="K717" s="3">
        <v>80</v>
      </c>
      <c r="L717" s="10">
        <f t="shared" si="156"/>
        <v>0</v>
      </c>
      <c r="M717" s="10">
        <f t="shared" ca="1" si="157"/>
        <v>2</v>
      </c>
      <c r="N717" s="10">
        <f t="shared" si="158"/>
        <v>0</v>
      </c>
      <c r="O717" s="10">
        <f t="shared" si="159"/>
        <v>0</v>
      </c>
      <c r="P717" s="10">
        <f t="shared" si="160"/>
        <v>0</v>
      </c>
      <c r="Q717" s="10">
        <f t="shared" si="161"/>
        <v>0</v>
      </c>
      <c r="R717" s="10">
        <f t="shared" ca="1" si="162"/>
        <v>2</v>
      </c>
      <c r="S717" s="10" t="str">
        <f t="shared" ca="1" si="163"/>
        <v>Không cần</v>
      </c>
      <c r="T717" s="10" t="str">
        <f t="shared" ca="1" si="164"/>
        <v>Không</v>
      </c>
      <c r="U717" s="10" t="str">
        <f t="shared" si="165"/>
        <v>Không</v>
      </c>
      <c r="V717" s="2" t="s">
        <v>51</v>
      </c>
      <c r="W717" s="4">
        <v>46112</v>
      </c>
      <c r="X717" s="8" t="str">
        <f t="shared" si="166"/>
        <v>Tháng 3</v>
      </c>
      <c r="Y717" s="8" t="str">
        <f t="shared" si="167"/>
        <v>Phường Hiệp Thành</v>
      </c>
    </row>
    <row r="718" spans="1:25" x14ac:dyDescent="0.25">
      <c r="A718" s="1" t="s">
        <v>979</v>
      </c>
      <c r="B718" s="2" t="s">
        <v>23</v>
      </c>
      <c r="C718" s="2" t="s">
        <v>373</v>
      </c>
      <c r="D718" s="10">
        <f t="shared" ca="1" si="154"/>
        <v>61</v>
      </c>
      <c r="E718" s="2" t="s">
        <v>26</v>
      </c>
      <c r="F718" s="3">
        <v>150</v>
      </c>
      <c r="G718" s="3">
        <v>55</v>
      </c>
      <c r="H718" s="11">
        <f t="shared" si="155"/>
        <v>24.444444444444443</v>
      </c>
      <c r="I718" s="2">
        <v>84</v>
      </c>
      <c r="J718" s="3">
        <v>120</v>
      </c>
      <c r="K718" s="3">
        <v>80</v>
      </c>
      <c r="L718" s="10">
        <f t="shared" si="156"/>
        <v>0</v>
      </c>
      <c r="M718" s="10">
        <f t="shared" ca="1" si="157"/>
        <v>2</v>
      </c>
      <c r="N718" s="10">
        <f t="shared" si="158"/>
        <v>0</v>
      </c>
      <c r="O718" s="10">
        <f t="shared" si="159"/>
        <v>3</v>
      </c>
      <c r="P718" s="10">
        <f t="shared" si="160"/>
        <v>2</v>
      </c>
      <c r="Q718" s="10">
        <f t="shared" si="161"/>
        <v>0</v>
      </c>
      <c r="R718" s="10">
        <f t="shared" ca="1" si="162"/>
        <v>7</v>
      </c>
      <c r="S718" s="10" t="str">
        <f t="shared" ca="1" si="163"/>
        <v>Có</v>
      </c>
      <c r="T718" s="10" t="str">
        <f t="shared" ca="1" si="164"/>
        <v>Có</v>
      </c>
      <c r="U718" s="10" t="str">
        <f t="shared" si="165"/>
        <v>Không</v>
      </c>
      <c r="V718" s="2" t="s">
        <v>215</v>
      </c>
      <c r="W718" s="4">
        <v>46112</v>
      </c>
      <c r="X718" s="8" t="str">
        <f t="shared" si="166"/>
        <v>Tháng 3</v>
      </c>
      <c r="Y718" s="8" t="str">
        <f t="shared" si="167"/>
        <v>Giồng Nhãn A</v>
      </c>
    </row>
    <row r="719" spans="1:25" x14ac:dyDescent="0.25">
      <c r="A719" s="1" t="s">
        <v>980</v>
      </c>
      <c r="B719" s="2" t="s">
        <v>23</v>
      </c>
      <c r="C719" s="2" t="s">
        <v>90</v>
      </c>
      <c r="D719" s="10">
        <f t="shared" ca="1" si="154"/>
        <v>54</v>
      </c>
      <c r="E719" s="2" t="s">
        <v>26</v>
      </c>
      <c r="F719" s="3">
        <v>158</v>
      </c>
      <c r="G719" s="3">
        <v>58</v>
      </c>
      <c r="H719" s="11">
        <f t="shared" si="155"/>
        <v>23.233456176894723</v>
      </c>
      <c r="I719" s="2">
        <v>77</v>
      </c>
      <c r="J719" s="3">
        <v>140</v>
      </c>
      <c r="K719" s="3">
        <v>80</v>
      </c>
      <c r="L719" s="10">
        <f t="shared" si="156"/>
        <v>0</v>
      </c>
      <c r="M719" s="10">
        <f t="shared" ca="1" si="157"/>
        <v>2</v>
      </c>
      <c r="N719" s="10">
        <f t="shared" si="158"/>
        <v>0</v>
      </c>
      <c r="O719" s="10">
        <f t="shared" si="159"/>
        <v>3</v>
      </c>
      <c r="P719" s="10">
        <f t="shared" si="160"/>
        <v>0</v>
      </c>
      <c r="Q719" s="10">
        <f t="shared" si="161"/>
        <v>2</v>
      </c>
      <c r="R719" s="10">
        <f t="shared" ca="1" si="162"/>
        <v>7</v>
      </c>
      <c r="S719" s="10" t="str">
        <f t="shared" ca="1" si="163"/>
        <v>Có</v>
      </c>
      <c r="T719" s="10" t="str">
        <f t="shared" ca="1" si="164"/>
        <v>Có</v>
      </c>
      <c r="U719" s="10" t="str">
        <f t="shared" si="165"/>
        <v>Có</v>
      </c>
      <c r="V719" s="2" t="s">
        <v>234</v>
      </c>
      <c r="W719" s="4">
        <v>46112</v>
      </c>
      <c r="X719" s="8" t="str">
        <f t="shared" si="166"/>
        <v>Tháng 3</v>
      </c>
      <c r="Y719" s="8" t="str">
        <f t="shared" si="167"/>
        <v>ấp Biển Đông B</v>
      </c>
    </row>
    <row r="720" spans="1:25" x14ac:dyDescent="0.25">
      <c r="A720" s="1" t="s">
        <v>981</v>
      </c>
      <c r="B720" s="2" t="s">
        <v>23</v>
      </c>
      <c r="C720" s="2" t="s">
        <v>138</v>
      </c>
      <c r="D720" s="10">
        <f t="shared" ca="1" si="154"/>
        <v>67</v>
      </c>
      <c r="E720" s="2" t="s">
        <v>26</v>
      </c>
      <c r="F720" s="3">
        <v>160</v>
      </c>
      <c r="G720" s="3">
        <v>67</v>
      </c>
      <c r="H720" s="11">
        <f t="shared" si="155"/>
        <v>26.171874999999996</v>
      </c>
      <c r="I720" s="2">
        <v>70</v>
      </c>
      <c r="J720" s="3">
        <v>130</v>
      </c>
      <c r="K720" s="3">
        <v>80</v>
      </c>
      <c r="L720" s="10">
        <f t="shared" si="156"/>
        <v>0</v>
      </c>
      <c r="M720" s="10">
        <f t="shared" ca="1" si="157"/>
        <v>2</v>
      </c>
      <c r="N720" s="10">
        <f t="shared" si="158"/>
        <v>0</v>
      </c>
      <c r="O720" s="10">
        <f t="shared" si="159"/>
        <v>3</v>
      </c>
      <c r="P720" s="10">
        <f t="shared" si="160"/>
        <v>0</v>
      </c>
      <c r="Q720" s="10">
        <f t="shared" si="161"/>
        <v>0</v>
      </c>
      <c r="R720" s="10">
        <f t="shared" ca="1" si="162"/>
        <v>5</v>
      </c>
      <c r="S720" s="10" t="str">
        <f t="shared" ca="1" si="163"/>
        <v>Không cần</v>
      </c>
      <c r="T720" s="10" t="str">
        <f t="shared" ca="1" si="164"/>
        <v>Không</v>
      </c>
      <c r="U720" s="10" t="str">
        <f t="shared" si="165"/>
        <v>Không</v>
      </c>
      <c r="V720" s="2" t="s">
        <v>436</v>
      </c>
      <c r="W720" s="4">
        <v>46112</v>
      </c>
      <c r="X720" s="8" t="str">
        <f t="shared" si="166"/>
        <v>Tháng 3</v>
      </c>
      <c r="Y720" s="8" t="str">
        <f t="shared" si="167"/>
        <v>ấp giồng nhãn a</v>
      </c>
    </row>
    <row r="721" spans="1:25" x14ac:dyDescent="0.25">
      <c r="A721" s="1" t="s">
        <v>982</v>
      </c>
      <c r="B721" s="2" t="s">
        <v>30</v>
      </c>
      <c r="C721" s="2" t="s">
        <v>127</v>
      </c>
      <c r="D721" s="10">
        <f t="shared" ca="1" si="154"/>
        <v>76</v>
      </c>
      <c r="E721" s="2" t="s">
        <v>26</v>
      </c>
      <c r="F721" s="3">
        <v>169</v>
      </c>
      <c r="G721" s="3">
        <v>68</v>
      </c>
      <c r="H721" s="11">
        <f t="shared" si="155"/>
        <v>23.808690171912751</v>
      </c>
      <c r="I721" s="2">
        <v>81</v>
      </c>
      <c r="J721" s="3">
        <v>120</v>
      </c>
      <c r="K721" s="3">
        <v>80</v>
      </c>
      <c r="L721" s="10">
        <f t="shared" si="156"/>
        <v>2</v>
      </c>
      <c r="M721" s="10">
        <f t="shared" ca="1" si="157"/>
        <v>2</v>
      </c>
      <c r="N721" s="10">
        <f t="shared" si="158"/>
        <v>0</v>
      </c>
      <c r="O721" s="10">
        <f t="shared" si="159"/>
        <v>3</v>
      </c>
      <c r="P721" s="10">
        <f t="shared" si="160"/>
        <v>0</v>
      </c>
      <c r="Q721" s="10">
        <f t="shared" si="161"/>
        <v>0</v>
      </c>
      <c r="R721" s="10">
        <f t="shared" ca="1" si="162"/>
        <v>7</v>
      </c>
      <c r="S721" s="10" t="str">
        <f t="shared" ca="1" si="163"/>
        <v>Có</v>
      </c>
      <c r="T721" s="10" t="str">
        <f t="shared" ca="1" si="164"/>
        <v>Có</v>
      </c>
      <c r="U721" s="10" t="str">
        <f t="shared" si="165"/>
        <v>Không</v>
      </c>
      <c r="V721" s="2" t="s">
        <v>51</v>
      </c>
      <c r="W721" s="4">
        <v>46081</v>
      </c>
      <c r="X721" s="8" t="str">
        <f t="shared" si="166"/>
        <v>Tháng 2</v>
      </c>
      <c r="Y721" s="8" t="str">
        <f t="shared" si="167"/>
        <v>Phường Hiệp Thành</v>
      </c>
    </row>
    <row r="722" spans="1:25" x14ac:dyDescent="0.25">
      <c r="A722" s="1" t="s">
        <v>983</v>
      </c>
      <c r="B722" s="2" t="s">
        <v>30</v>
      </c>
      <c r="C722" s="2" t="s">
        <v>42</v>
      </c>
      <c r="D722" s="10">
        <f t="shared" ca="1" si="154"/>
        <v>59</v>
      </c>
      <c r="E722" s="2" t="s">
        <v>26</v>
      </c>
      <c r="F722" s="3">
        <v>170</v>
      </c>
      <c r="G722" s="3">
        <v>92</v>
      </c>
      <c r="H722" s="11">
        <f t="shared" si="155"/>
        <v>31.833910034602081</v>
      </c>
      <c r="I722" s="2">
        <v>95</v>
      </c>
      <c r="J722" s="3">
        <v>120</v>
      </c>
      <c r="K722" s="3">
        <v>80</v>
      </c>
      <c r="L722" s="10">
        <f t="shared" si="156"/>
        <v>2</v>
      </c>
      <c r="M722" s="10">
        <f t="shared" ca="1" si="157"/>
        <v>2</v>
      </c>
      <c r="N722" s="10">
        <f t="shared" si="158"/>
        <v>0</v>
      </c>
      <c r="O722" s="10">
        <f t="shared" si="159"/>
        <v>5</v>
      </c>
      <c r="P722" s="10">
        <f t="shared" si="160"/>
        <v>2</v>
      </c>
      <c r="Q722" s="10">
        <f t="shared" si="161"/>
        <v>0</v>
      </c>
      <c r="R722" s="10">
        <f t="shared" ca="1" si="162"/>
        <v>11</v>
      </c>
      <c r="S722" s="10" t="str">
        <f t="shared" ca="1" si="163"/>
        <v>Có</v>
      </c>
      <c r="T722" s="10" t="str">
        <f t="shared" ca="1" si="164"/>
        <v>Có</v>
      </c>
      <c r="U722" s="10" t="str">
        <f t="shared" si="165"/>
        <v>Không</v>
      </c>
      <c r="V722" s="2" t="s">
        <v>575</v>
      </c>
      <c r="W722" s="4">
        <v>46081</v>
      </c>
      <c r="X722" s="8" t="str">
        <f t="shared" si="166"/>
        <v>Tháng 2</v>
      </c>
      <c r="Y722" s="8" t="str">
        <f t="shared" si="167"/>
        <v>Giồng giữa</v>
      </c>
    </row>
    <row r="723" spans="1:25" x14ac:dyDescent="0.25">
      <c r="A723" s="1" t="s">
        <v>514</v>
      </c>
      <c r="B723" s="2" t="s">
        <v>23</v>
      </c>
      <c r="C723" s="2" t="s">
        <v>82</v>
      </c>
      <c r="D723" s="10">
        <f t="shared" ca="1" si="154"/>
        <v>73</v>
      </c>
      <c r="E723" s="2" t="s">
        <v>26</v>
      </c>
      <c r="F723" s="3">
        <v>158</v>
      </c>
      <c r="G723" s="3">
        <v>58</v>
      </c>
      <c r="H723" s="11">
        <f t="shared" si="155"/>
        <v>23.233456176894723</v>
      </c>
      <c r="I723" s="2">
        <v>79</v>
      </c>
      <c r="J723" s="3">
        <v>120</v>
      </c>
      <c r="K723" s="3">
        <v>80</v>
      </c>
      <c r="L723" s="10">
        <f t="shared" si="156"/>
        <v>0</v>
      </c>
      <c r="M723" s="10">
        <f t="shared" ca="1" si="157"/>
        <v>2</v>
      </c>
      <c r="N723" s="10">
        <f t="shared" si="158"/>
        <v>0</v>
      </c>
      <c r="O723" s="10">
        <f t="shared" si="159"/>
        <v>3</v>
      </c>
      <c r="P723" s="10">
        <f t="shared" si="160"/>
        <v>0</v>
      </c>
      <c r="Q723" s="10">
        <f t="shared" si="161"/>
        <v>0</v>
      </c>
      <c r="R723" s="10">
        <f t="shared" ca="1" si="162"/>
        <v>5</v>
      </c>
      <c r="S723" s="10" t="str">
        <f t="shared" ca="1" si="163"/>
        <v>Không cần</v>
      </c>
      <c r="T723" s="10" t="str">
        <f t="shared" ca="1" si="164"/>
        <v>Không</v>
      </c>
      <c r="U723" s="10" t="str">
        <f t="shared" si="165"/>
        <v>Không</v>
      </c>
      <c r="V723" s="2" t="s">
        <v>38</v>
      </c>
      <c r="W723" s="4">
        <v>46112</v>
      </c>
      <c r="X723" s="8" t="str">
        <f t="shared" si="166"/>
        <v>Tháng 3</v>
      </c>
      <c r="Y723" s="8" t="str">
        <f t="shared" si="167"/>
        <v>Ấp Biển Đông B</v>
      </c>
    </row>
    <row r="724" spans="1:25" x14ac:dyDescent="0.25">
      <c r="A724" s="1" t="s">
        <v>985</v>
      </c>
      <c r="B724" s="2" t="s">
        <v>30</v>
      </c>
      <c r="C724" s="2" t="s">
        <v>59</v>
      </c>
      <c r="D724" s="10">
        <f t="shared" ca="1" si="154"/>
        <v>74</v>
      </c>
      <c r="E724" s="2" t="s">
        <v>26</v>
      </c>
      <c r="F724" s="3">
        <v>169</v>
      </c>
      <c r="G724" s="3">
        <v>68</v>
      </c>
      <c r="H724" s="11">
        <f t="shared" si="155"/>
        <v>23.808690171912751</v>
      </c>
      <c r="I724" s="2">
        <v>82</v>
      </c>
      <c r="J724" s="3">
        <v>150</v>
      </c>
      <c r="K724" s="3">
        <v>80</v>
      </c>
      <c r="L724" s="10">
        <f t="shared" si="156"/>
        <v>2</v>
      </c>
      <c r="M724" s="10">
        <f t="shared" ca="1" si="157"/>
        <v>2</v>
      </c>
      <c r="N724" s="10">
        <f t="shared" si="158"/>
        <v>0</v>
      </c>
      <c r="O724" s="10">
        <f t="shared" si="159"/>
        <v>3</v>
      </c>
      <c r="P724" s="10">
        <f t="shared" si="160"/>
        <v>0</v>
      </c>
      <c r="Q724" s="10">
        <f t="shared" si="161"/>
        <v>2</v>
      </c>
      <c r="R724" s="10">
        <f t="shared" ca="1" si="162"/>
        <v>9</v>
      </c>
      <c r="S724" s="10" t="str">
        <f t="shared" ca="1" si="163"/>
        <v>Có</v>
      </c>
      <c r="T724" s="10" t="str">
        <f t="shared" ca="1" si="164"/>
        <v>Có</v>
      </c>
      <c r="U724" s="10" t="str">
        <f t="shared" si="165"/>
        <v>Có</v>
      </c>
      <c r="V724" s="2" t="s">
        <v>51</v>
      </c>
      <c r="W724" s="4">
        <v>46081</v>
      </c>
      <c r="X724" s="8" t="str">
        <f t="shared" si="166"/>
        <v>Tháng 2</v>
      </c>
      <c r="Y724" s="8" t="str">
        <f t="shared" si="167"/>
        <v>Phường Hiệp Thành</v>
      </c>
    </row>
    <row r="725" spans="1:25" x14ac:dyDescent="0.25">
      <c r="A725" s="1" t="s">
        <v>986</v>
      </c>
      <c r="B725" s="2" t="s">
        <v>30</v>
      </c>
      <c r="C725" s="2" t="s">
        <v>133</v>
      </c>
      <c r="D725" s="10">
        <f t="shared" ca="1" si="154"/>
        <v>56</v>
      </c>
      <c r="E725" s="2" t="s">
        <v>26</v>
      </c>
      <c r="F725" s="3">
        <v>169</v>
      </c>
      <c r="G725" s="3">
        <v>68</v>
      </c>
      <c r="H725" s="11">
        <f t="shared" si="155"/>
        <v>23.808690171912751</v>
      </c>
      <c r="I725" s="2">
        <v>90</v>
      </c>
      <c r="J725" s="3">
        <v>120</v>
      </c>
      <c r="K725" s="3">
        <v>80</v>
      </c>
      <c r="L725" s="10">
        <f t="shared" si="156"/>
        <v>2</v>
      </c>
      <c r="M725" s="10">
        <f t="shared" ca="1" si="157"/>
        <v>2</v>
      </c>
      <c r="N725" s="10">
        <f t="shared" si="158"/>
        <v>0</v>
      </c>
      <c r="O725" s="10">
        <f t="shared" si="159"/>
        <v>3</v>
      </c>
      <c r="P725" s="10">
        <f t="shared" si="160"/>
        <v>2</v>
      </c>
      <c r="Q725" s="10">
        <f t="shared" si="161"/>
        <v>0</v>
      </c>
      <c r="R725" s="10">
        <f t="shared" ca="1" si="162"/>
        <v>9</v>
      </c>
      <c r="S725" s="10" t="str">
        <f t="shared" ca="1" si="163"/>
        <v>Có</v>
      </c>
      <c r="T725" s="10" t="str">
        <f t="shared" ca="1" si="164"/>
        <v>Có</v>
      </c>
      <c r="U725" s="10" t="str">
        <f t="shared" si="165"/>
        <v>Không</v>
      </c>
      <c r="V725" s="2" t="s">
        <v>32</v>
      </c>
      <c r="W725" s="4">
        <v>46081</v>
      </c>
      <c r="X725" s="8" t="str">
        <f t="shared" si="166"/>
        <v>Tháng 2</v>
      </c>
      <c r="Y725" s="8" t="str">
        <f t="shared" si="167"/>
        <v>Ấp Giồng Giữa B</v>
      </c>
    </row>
    <row r="726" spans="1:25" x14ac:dyDescent="0.25">
      <c r="A726" s="1" t="s">
        <v>987</v>
      </c>
      <c r="B726" s="2" t="s">
        <v>23</v>
      </c>
      <c r="C726" s="2" t="s">
        <v>105</v>
      </c>
      <c r="D726" s="10">
        <f t="shared" ca="1" si="154"/>
        <v>60</v>
      </c>
      <c r="E726" s="2" t="s">
        <v>26</v>
      </c>
      <c r="F726" s="3">
        <v>152</v>
      </c>
      <c r="G726" s="3">
        <v>52</v>
      </c>
      <c r="H726" s="11">
        <f t="shared" si="155"/>
        <v>22.506925207756233</v>
      </c>
      <c r="I726" s="2">
        <v>80</v>
      </c>
      <c r="J726" s="3">
        <v>110</v>
      </c>
      <c r="K726" s="3">
        <v>70</v>
      </c>
      <c r="L726" s="10">
        <f t="shared" si="156"/>
        <v>0</v>
      </c>
      <c r="M726" s="10">
        <f t="shared" ca="1" si="157"/>
        <v>2</v>
      </c>
      <c r="N726" s="10">
        <f t="shared" si="158"/>
        <v>0</v>
      </c>
      <c r="O726" s="10">
        <f t="shared" si="159"/>
        <v>0</v>
      </c>
      <c r="P726" s="10">
        <f t="shared" si="160"/>
        <v>2</v>
      </c>
      <c r="Q726" s="10">
        <f t="shared" si="161"/>
        <v>0</v>
      </c>
      <c r="R726" s="10">
        <f t="shared" ca="1" si="162"/>
        <v>4</v>
      </c>
      <c r="S726" s="10" t="str">
        <f t="shared" ca="1" si="163"/>
        <v>Không cần</v>
      </c>
      <c r="T726" s="10" t="str">
        <f t="shared" ca="1" si="164"/>
        <v>Không</v>
      </c>
      <c r="U726" s="10" t="str">
        <f t="shared" si="165"/>
        <v>Không</v>
      </c>
      <c r="V726" s="2" t="s">
        <v>988</v>
      </c>
      <c r="W726" s="4">
        <v>46112</v>
      </c>
      <c r="X726" s="8" t="str">
        <f t="shared" si="166"/>
        <v>Tháng 3</v>
      </c>
      <c r="Y726" s="8" t="str">
        <f t="shared" si="167"/>
        <v>Khóm Bờ Tây</v>
      </c>
    </row>
    <row r="727" spans="1:25" x14ac:dyDescent="0.25">
      <c r="A727" s="1" t="s">
        <v>989</v>
      </c>
      <c r="B727" s="2" t="s">
        <v>30</v>
      </c>
      <c r="C727" s="2" t="s">
        <v>146</v>
      </c>
      <c r="D727" s="10">
        <f t="shared" ca="1" si="154"/>
        <v>52</v>
      </c>
      <c r="E727" s="2" t="s">
        <v>25</v>
      </c>
      <c r="F727" s="3">
        <v>158</v>
      </c>
      <c r="G727" s="3">
        <v>53</v>
      </c>
      <c r="H727" s="11">
        <f t="shared" si="155"/>
        <v>21.230572023714146</v>
      </c>
      <c r="I727" s="2">
        <v>89</v>
      </c>
      <c r="J727" s="3">
        <v>120</v>
      </c>
      <c r="K727" s="3">
        <v>70</v>
      </c>
      <c r="L727" s="10">
        <f t="shared" si="156"/>
        <v>2</v>
      </c>
      <c r="M727" s="10">
        <f t="shared" ca="1" si="157"/>
        <v>2</v>
      </c>
      <c r="N727" s="10">
        <f t="shared" si="158"/>
        <v>4</v>
      </c>
      <c r="O727" s="10">
        <f t="shared" si="159"/>
        <v>0</v>
      </c>
      <c r="P727" s="10">
        <f t="shared" si="160"/>
        <v>0</v>
      </c>
      <c r="Q727" s="10">
        <f t="shared" si="161"/>
        <v>0</v>
      </c>
      <c r="R727" s="10">
        <f t="shared" ca="1" si="162"/>
        <v>8</v>
      </c>
      <c r="S727" s="10" t="str">
        <f t="shared" ca="1" si="163"/>
        <v>Có</v>
      </c>
      <c r="T727" s="10" t="str">
        <f t="shared" ca="1" si="164"/>
        <v>Có</v>
      </c>
      <c r="U727" s="10" t="str">
        <f t="shared" si="165"/>
        <v>Không</v>
      </c>
      <c r="V727" s="2" t="s">
        <v>990</v>
      </c>
      <c r="W727" s="4">
        <v>46112</v>
      </c>
      <c r="X727" s="8" t="str">
        <f t="shared" si="166"/>
        <v>Tháng 3</v>
      </c>
      <c r="Y727" s="8" t="str">
        <f t="shared" si="167"/>
        <v>buu dien</v>
      </c>
    </row>
    <row r="728" spans="1:25" x14ac:dyDescent="0.25">
      <c r="A728" s="1" t="s">
        <v>991</v>
      </c>
      <c r="B728" s="2" t="s">
        <v>30</v>
      </c>
      <c r="C728" s="2" t="s">
        <v>314</v>
      </c>
      <c r="D728" s="10">
        <f t="shared" ca="1" si="154"/>
        <v>77</v>
      </c>
      <c r="E728" s="2" t="s">
        <v>26</v>
      </c>
      <c r="F728" s="3">
        <v>169</v>
      </c>
      <c r="G728" s="3">
        <v>68</v>
      </c>
      <c r="H728" s="11">
        <f t="shared" si="155"/>
        <v>23.808690171912751</v>
      </c>
      <c r="I728" s="2">
        <v>97</v>
      </c>
      <c r="J728" s="3">
        <v>140</v>
      </c>
      <c r="K728" s="3">
        <v>80</v>
      </c>
      <c r="L728" s="10">
        <f t="shared" si="156"/>
        <v>2</v>
      </c>
      <c r="M728" s="10">
        <f t="shared" ca="1" si="157"/>
        <v>2</v>
      </c>
      <c r="N728" s="10">
        <f t="shared" si="158"/>
        <v>0</v>
      </c>
      <c r="O728" s="10">
        <f t="shared" si="159"/>
        <v>3</v>
      </c>
      <c r="P728" s="10">
        <f t="shared" si="160"/>
        <v>2</v>
      </c>
      <c r="Q728" s="10">
        <f t="shared" si="161"/>
        <v>2</v>
      </c>
      <c r="R728" s="10">
        <f t="shared" ca="1" si="162"/>
        <v>11</v>
      </c>
      <c r="S728" s="10" t="str">
        <f t="shared" ca="1" si="163"/>
        <v>Có</v>
      </c>
      <c r="T728" s="10" t="str">
        <f t="shared" ca="1" si="164"/>
        <v>Có</v>
      </c>
      <c r="U728" s="10" t="str">
        <f t="shared" si="165"/>
        <v>Có</v>
      </c>
      <c r="V728" s="2" t="s">
        <v>210</v>
      </c>
      <c r="W728" s="4">
        <v>46112</v>
      </c>
      <c r="X728" s="8" t="str">
        <f t="shared" si="166"/>
        <v>Tháng 3</v>
      </c>
      <c r="Y728" s="8" t="str">
        <f t="shared" si="167"/>
        <v>Biển Đông A</v>
      </c>
    </row>
    <row r="729" spans="1:25" x14ac:dyDescent="0.25">
      <c r="A729" s="1" t="s">
        <v>804</v>
      </c>
      <c r="B729" s="2" t="s">
        <v>23</v>
      </c>
      <c r="C729" s="2" t="s">
        <v>341</v>
      </c>
      <c r="D729" s="10">
        <f t="shared" ca="1" si="154"/>
        <v>51</v>
      </c>
      <c r="E729" s="2" t="s">
        <v>26</v>
      </c>
      <c r="F729" s="3">
        <v>158</v>
      </c>
      <c r="G729" s="3">
        <v>58</v>
      </c>
      <c r="H729" s="11">
        <f t="shared" si="155"/>
        <v>23.233456176894723</v>
      </c>
      <c r="I729" s="2">
        <v>83</v>
      </c>
      <c r="J729" s="3">
        <v>120</v>
      </c>
      <c r="K729" s="3">
        <v>80</v>
      </c>
      <c r="L729" s="10">
        <f t="shared" si="156"/>
        <v>0</v>
      </c>
      <c r="M729" s="10">
        <f t="shared" ca="1" si="157"/>
        <v>2</v>
      </c>
      <c r="N729" s="10">
        <f t="shared" si="158"/>
        <v>0</v>
      </c>
      <c r="O729" s="10">
        <f t="shared" si="159"/>
        <v>3</v>
      </c>
      <c r="P729" s="10">
        <f t="shared" si="160"/>
        <v>2</v>
      </c>
      <c r="Q729" s="10">
        <f t="shared" si="161"/>
        <v>0</v>
      </c>
      <c r="R729" s="10">
        <f t="shared" ca="1" si="162"/>
        <v>7</v>
      </c>
      <c r="S729" s="10" t="str">
        <f t="shared" ca="1" si="163"/>
        <v>Có</v>
      </c>
      <c r="T729" s="10" t="str">
        <f t="shared" ca="1" si="164"/>
        <v>Có</v>
      </c>
      <c r="U729" s="10" t="str">
        <f t="shared" si="165"/>
        <v>Không</v>
      </c>
      <c r="V729" s="2" t="s">
        <v>103</v>
      </c>
      <c r="W729" s="4">
        <v>46112</v>
      </c>
      <c r="X729" s="8" t="str">
        <f t="shared" si="166"/>
        <v>Tháng 3</v>
      </c>
      <c r="Y729" s="8" t="str">
        <f t="shared" si="167"/>
        <v>Giồng Giữa B</v>
      </c>
    </row>
    <row r="730" spans="1:25" x14ac:dyDescent="0.25">
      <c r="A730" s="1" t="s">
        <v>992</v>
      </c>
      <c r="B730" s="2" t="s">
        <v>30</v>
      </c>
      <c r="C730" s="2" t="s">
        <v>268</v>
      </c>
      <c r="D730" s="10">
        <f t="shared" ca="1" si="154"/>
        <v>44</v>
      </c>
      <c r="E730" s="2" t="s">
        <v>25</v>
      </c>
      <c r="F730" s="3">
        <v>169</v>
      </c>
      <c r="G730" s="3">
        <v>68</v>
      </c>
      <c r="H730" s="11">
        <f t="shared" si="155"/>
        <v>23.808690171912751</v>
      </c>
      <c r="I730" s="2">
        <v>77</v>
      </c>
      <c r="J730" s="3">
        <v>120</v>
      </c>
      <c r="K730" s="3">
        <v>80</v>
      </c>
      <c r="L730" s="10">
        <f t="shared" si="156"/>
        <v>2</v>
      </c>
      <c r="M730" s="10">
        <f t="shared" ca="1" si="157"/>
        <v>0</v>
      </c>
      <c r="N730" s="10">
        <f t="shared" si="158"/>
        <v>4</v>
      </c>
      <c r="O730" s="10">
        <f t="shared" si="159"/>
        <v>3</v>
      </c>
      <c r="P730" s="10">
        <f t="shared" si="160"/>
        <v>0</v>
      </c>
      <c r="Q730" s="10">
        <f t="shared" si="161"/>
        <v>0</v>
      </c>
      <c r="R730" s="10">
        <f t="shared" ca="1" si="162"/>
        <v>9</v>
      </c>
      <c r="S730" s="10" t="str">
        <f t="shared" ca="1" si="163"/>
        <v>Có</v>
      </c>
      <c r="T730" s="10" t="str">
        <f t="shared" ca="1" si="164"/>
        <v>Có</v>
      </c>
      <c r="U730" s="10" t="str">
        <f t="shared" si="165"/>
        <v>Không</v>
      </c>
      <c r="V730" s="2" t="s">
        <v>210</v>
      </c>
      <c r="W730" s="4">
        <v>46112</v>
      </c>
      <c r="X730" s="8" t="str">
        <f t="shared" si="166"/>
        <v>Tháng 3</v>
      </c>
      <c r="Y730" s="8" t="str">
        <f t="shared" si="167"/>
        <v>Biển Đông A</v>
      </c>
    </row>
    <row r="731" spans="1:25" x14ac:dyDescent="0.25">
      <c r="A731" s="1" t="s">
        <v>994</v>
      </c>
      <c r="B731" s="2" t="s">
        <v>23</v>
      </c>
      <c r="C731" s="2" t="s">
        <v>62</v>
      </c>
      <c r="D731" s="10">
        <f t="shared" ca="1" si="154"/>
        <v>64</v>
      </c>
      <c r="E731" s="2" t="s">
        <v>26</v>
      </c>
      <c r="F731" s="3">
        <v>150</v>
      </c>
      <c r="G731" s="3">
        <v>47</v>
      </c>
      <c r="H731" s="11">
        <f t="shared" si="155"/>
        <v>20.888888888888889</v>
      </c>
      <c r="I731" s="2">
        <v>68</v>
      </c>
      <c r="J731" s="3">
        <v>120</v>
      </c>
      <c r="K731" s="3">
        <v>80</v>
      </c>
      <c r="L731" s="10">
        <f t="shared" si="156"/>
        <v>0</v>
      </c>
      <c r="M731" s="10">
        <f t="shared" ca="1" si="157"/>
        <v>2</v>
      </c>
      <c r="N731" s="10">
        <f t="shared" si="158"/>
        <v>0</v>
      </c>
      <c r="O731" s="10">
        <f t="shared" si="159"/>
        <v>0</v>
      </c>
      <c r="P731" s="10">
        <f t="shared" si="160"/>
        <v>0</v>
      </c>
      <c r="Q731" s="10">
        <f t="shared" si="161"/>
        <v>0</v>
      </c>
      <c r="R731" s="10">
        <f t="shared" ca="1" si="162"/>
        <v>2</v>
      </c>
      <c r="S731" s="10" t="str">
        <f t="shared" ca="1" si="163"/>
        <v>Không cần</v>
      </c>
      <c r="T731" s="10" t="str">
        <f t="shared" ca="1" si="164"/>
        <v>Không</v>
      </c>
      <c r="U731" s="10" t="str">
        <f t="shared" si="165"/>
        <v>Không</v>
      </c>
      <c r="V731" s="2" t="s">
        <v>995</v>
      </c>
      <c r="W731" s="4">
        <v>46053</v>
      </c>
      <c r="X731" s="8" t="str">
        <f t="shared" si="166"/>
        <v>Tháng 1</v>
      </c>
      <c r="Y731" s="8" t="str">
        <f t="shared" si="167"/>
        <v>ấp giồng nhãn a</v>
      </c>
    </row>
    <row r="732" spans="1:25" x14ac:dyDescent="0.25">
      <c r="A732" s="1" t="s">
        <v>996</v>
      </c>
      <c r="B732" s="2" t="s">
        <v>23</v>
      </c>
      <c r="C732" s="2" t="s">
        <v>80</v>
      </c>
      <c r="D732" s="10">
        <f t="shared" ca="1" si="154"/>
        <v>71</v>
      </c>
      <c r="E732" s="2" t="s">
        <v>26</v>
      </c>
      <c r="F732" s="3">
        <v>157</v>
      </c>
      <c r="G732" s="3">
        <v>56</v>
      </c>
      <c r="H732" s="11">
        <f t="shared" si="155"/>
        <v>22.718974400584202</v>
      </c>
      <c r="I732" s="2">
        <v>66</v>
      </c>
      <c r="J732" s="3">
        <v>120</v>
      </c>
      <c r="K732" s="3">
        <v>70</v>
      </c>
      <c r="L732" s="10">
        <f t="shared" si="156"/>
        <v>0</v>
      </c>
      <c r="M732" s="10">
        <f t="shared" ca="1" si="157"/>
        <v>2</v>
      </c>
      <c r="N732" s="10">
        <f t="shared" si="158"/>
        <v>0</v>
      </c>
      <c r="O732" s="10">
        <f t="shared" si="159"/>
        <v>0</v>
      </c>
      <c r="P732" s="10">
        <f t="shared" si="160"/>
        <v>0</v>
      </c>
      <c r="Q732" s="10">
        <f t="shared" si="161"/>
        <v>0</v>
      </c>
      <c r="R732" s="10">
        <f t="shared" ca="1" si="162"/>
        <v>2</v>
      </c>
      <c r="S732" s="10" t="str">
        <f t="shared" ca="1" si="163"/>
        <v>Không cần</v>
      </c>
      <c r="T732" s="10" t="str">
        <f t="shared" ca="1" si="164"/>
        <v>Không</v>
      </c>
      <c r="U732" s="10" t="str">
        <f t="shared" si="165"/>
        <v>Không</v>
      </c>
      <c r="V732" s="2" t="s">
        <v>91</v>
      </c>
      <c r="W732" s="4">
        <v>46053</v>
      </c>
      <c r="X732" s="8" t="str">
        <f t="shared" si="166"/>
        <v>Tháng 1</v>
      </c>
      <c r="Y732" s="8" t="str">
        <f t="shared" si="167"/>
        <v>Ấp Giồng Giữa</v>
      </c>
    </row>
    <row r="733" spans="1:25" x14ac:dyDescent="0.25">
      <c r="A733" s="1" t="s">
        <v>997</v>
      </c>
      <c r="B733" s="2" t="s">
        <v>23</v>
      </c>
      <c r="C733" s="2" t="s">
        <v>138</v>
      </c>
      <c r="D733" s="10">
        <f t="shared" ca="1" si="154"/>
        <v>67</v>
      </c>
      <c r="E733" s="2" t="s">
        <v>25</v>
      </c>
      <c r="F733" s="3">
        <v>155</v>
      </c>
      <c r="G733" s="3">
        <v>55</v>
      </c>
      <c r="H733" s="11">
        <f t="shared" si="155"/>
        <v>22.892819979188342</v>
      </c>
      <c r="I733" s="2">
        <v>70</v>
      </c>
      <c r="J733" s="3">
        <v>120</v>
      </c>
      <c r="K733" s="3">
        <v>80</v>
      </c>
      <c r="L733" s="10">
        <f t="shared" si="156"/>
        <v>0</v>
      </c>
      <c r="M733" s="10">
        <f t="shared" ca="1" si="157"/>
        <v>2</v>
      </c>
      <c r="N733" s="10">
        <f t="shared" si="158"/>
        <v>4</v>
      </c>
      <c r="O733" s="10">
        <f t="shared" si="159"/>
        <v>0</v>
      </c>
      <c r="P733" s="10">
        <f t="shared" si="160"/>
        <v>0</v>
      </c>
      <c r="Q733" s="10">
        <f t="shared" si="161"/>
        <v>0</v>
      </c>
      <c r="R733" s="10">
        <f t="shared" ca="1" si="162"/>
        <v>6</v>
      </c>
      <c r="S733" s="10" t="str">
        <f t="shared" ca="1" si="163"/>
        <v>Có</v>
      </c>
      <c r="T733" s="10" t="str">
        <f t="shared" ca="1" si="164"/>
        <v>Có</v>
      </c>
      <c r="U733" s="10" t="str">
        <f t="shared" si="165"/>
        <v>Không</v>
      </c>
      <c r="V733" s="2" t="s">
        <v>897</v>
      </c>
      <c r="W733" s="4">
        <v>46053</v>
      </c>
      <c r="X733" s="8" t="str">
        <f t="shared" si="166"/>
        <v>Tháng 1</v>
      </c>
      <c r="Y733" s="8" t="str">
        <f t="shared" si="167"/>
        <v>Giồng Giữa</v>
      </c>
    </row>
    <row r="734" spans="1:25" x14ac:dyDescent="0.25">
      <c r="A734" s="1" t="s">
        <v>998</v>
      </c>
      <c r="B734" s="2" t="s">
        <v>23</v>
      </c>
      <c r="C734" s="2" t="s">
        <v>40</v>
      </c>
      <c r="D734" s="10">
        <f t="shared" ca="1" si="154"/>
        <v>70</v>
      </c>
      <c r="E734" s="2" t="s">
        <v>26</v>
      </c>
      <c r="F734" s="3">
        <v>155</v>
      </c>
      <c r="G734" s="3">
        <v>62</v>
      </c>
      <c r="H734" s="11">
        <f t="shared" si="155"/>
        <v>25.806451612903224</v>
      </c>
      <c r="I734" s="2">
        <v>88</v>
      </c>
      <c r="J734" s="3">
        <v>120</v>
      </c>
      <c r="K734" s="3">
        <v>80</v>
      </c>
      <c r="L734" s="10">
        <f t="shared" si="156"/>
        <v>0</v>
      </c>
      <c r="M734" s="10">
        <f t="shared" ca="1" si="157"/>
        <v>2</v>
      </c>
      <c r="N734" s="10">
        <f t="shared" si="158"/>
        <v>0</v>
      </c>
      <c r="O734" s="10">
        <f t="shared" si="159"/>
        <v>3</v>
      </c>
      <c r="P734" s="10">
        <f t="shared" si="160"/>
        <v>2</v>
      </c>
      <c r="Q734" s="10">
        <f t="shared" si="161"/>
        <v>0</v>
      </c>
      <c r="R734" s="10">
        <f t="shared" ca="1" si="162"/>
        <v>7</v>
      </c>
      <c r="S734" s="10" t="str">
        <f t="shared" ca="1" si="163"/>
        <v>Có</v>
      </c>
      <c r="T734" s="10" t="str">
        <f t="shared" ca="1" si="164"/>
        <v>Có</v>
      </c>
      <c r="U734" s="10" t="str">
        <f t="shared" si="165"/>
        <v>Không</v>
      </c>
      <c r="V734" s="2" t="s">
        <v>999</v>
      </c>
      <c r="W734" s="4">
        <v>46053</v>
      </c>
      <c r="X734" s="8" t="str">
        <f t="shared" si="166"/>
        <v>Tháng 1</v>
      </c>
      <c r="Y734" s="8" t="str">
        <f t="shared" si="167"/>
        <v>Khóm Giồng Nhãn A</v>
      </c>
    </row>
    <row r="735" spans="1:25" x14ac:dyDescent="0.25">
      <c r="A735" s="1" t="s">
        <v>1000</v>
      </c>
      <c r="B735" s="2" t="s">
        <v>23</v>
      </c>
      <c r="C735" s="2" t="s">
        <v>67</v>
      </c>
      <c r="D735" s="10">
        <f t="shared" ca="1" si="154"/>
        <v>48</v>
      </c>
      <c r="E735" s="2" t="s">
        <v>25</v>
      </c>
      <c r="F735" s="3">
        <v>170</v>
      </c>
      <c r="G735" s="3">
        <v>65</v>
      </c>
      <c r="H735" s="11">
        <f t="shared" si="155"/>
        <v>22.491349480968861</v>
      </c>
      <c r="I735" s="2">
        <v>75</v>
      </c>
      <c r="J735" s="3">
        <v>120</v>
      </c>
      <c r="K735" s="3">
        <v>80</v>
      </c>
      <c r="L735" s="10">
        <f t="shared" si="156"/>
        <v>0</v>
      </c>
      <c r="M735" s="10">
        <f t="shared" ca="1" si="157"/>
        <v>1</v>
      </c>
      <c r="N735" s="10">
        <f t="shared" si="158"/>
        <v>4</v>
      </c>
      <c r="O735" s="10">
        <f t="shared" si="159"/>
        <v>0</v>
      </c>
      <c r="P735" s="10">
        <f t="shared" si="160"/>
        <v>0</v>
      </c>
      <c r="Q735" s="10">
        <f t="shared" si="161"/>
        <v>0</v>
      </c>
      <c r="R735" s="10">
        <f t="shared" ca="1" si="162"/>
        <v>5</v>
      </c>
      <c r="S735" s="10" t="str">
        <f t="shared" ca="1" si="163"/>
        <v>Không cần</v>
      </c>
      <c r="T735" s="10" t="str">
        <f t="shared" ca="1" si="164"/>
        <v>Không</v>
      </c>
      <c r="U735" s="10" t="str">
        <f t="shared" si="165"/>
        <v>Không</v>
      </c>
      <c r="V735" s="2" t="s">
        <v>1001</v>
      </c>
      <c r="W735" s="4">
        <v>46053</v>
      </c>
      <c r="X735" s="8" t="str">
        <f t="shared" si="166"/>
        <v>Tháng 1</v>
      </c>
      <c r="Y735" s="8" t="str">
        <f t="shared" si="167"/>
        <v>Giồng nhãn A</v>
      </c>
    </row>
    <row r="736" spans="1:25" x14ac:dyDescent="0.25">
      <c r="A736" s="1" t="s">
        <v>1002</v>
      </c>
      <c r="B736" s="2" t="s">
        <v>30</v>
      </c>
      <c r="C736" s="2" t="s">
        <v>67</v>
      </c>
      <c r="D736" s="10">
        <f t="shared" ca="1" si="154"/>
        <v>48</v>
      </c>
      <c r="E736" s="2" t="s">
        <v>25</v>
      </c>
      <c r="F736" s="3">
        <v>169</v>
      </c>
      <c r="G736" s="3">
        <v>69</v>
      </c>
      <c r="H736" s="11">
        <f t="shared" si="155"/>
        <v>24.158817968558527</v>
      </c>
      <c r="I736" s="2">
        <v>77</v>
      </c>
      <c r="J736" s="3">
        <v>120</v>
      </c>
      <c r="K736" s="3">
        <v>80</v>
      </c>
      <c r="L736" s="10">
        <f t="shared" si="156"/>
        <v>2</v>
      </c>
      <c r="M736" s="10">
        <f t="shared" ca="1" si="157"/>
        <v>1</v>
      </c>
      <c r="N736" s="10">
        <f t="shared" si="158"/>
        <v>4</v>
      </c>
      <c r="O736" s="10">
        <f t="shared" si="159"/>
        <v>3</v>
      </c>
      <c r="P736" s="10">
        <f t="shared" si="160"/>
        <v>0</v>
      </c>
      <c r="Q736" s="10">
        <f t="shared" si="161"/>
        <v>0</v>
      </c>
      <c r="R736" s="10">
        <f t="shared" ca="1" si="162"/>
        <v>10</v>
      </c>
      <c r="S736" s="10" t="str">
        <f t="shared" ca="1" si="163"/>
        <v>Có</v>
      </c>
      <c r="T736" s="10" t="str">
        <f t="shared" ca="1" si="164"/>
        <v>Có</v>
      </c>
      <c r="U736" s="10" t="str">
        <f t="shared" si="165"/>
        <v>Không</v>
      </c>
      <c r="V736" s="2" t="s">
        <v>1003</v>
      </c>
      <c r="W736" s="4">
        <v>46053</v>
      </c>
      <c r="X736" s="8" t="str">
        <f t="shared" si="166"/>
        <v>Tháng 1</v>
      </c>
      <c r="Y736" s="8" t="str">
        <f t="shared" si="167"/>
        <v>Biển Tây A</v>
      </c>
    </row>
    <row r="737" spans="1:25" x14ac:dyDescent="0.25">
      <c r="A737" s="1" t="s">
        <v>1004</v>
      </c>
      <c r="B737" s="2" t="s">
        <v>23</v>
      </c>
      <c r="C737" s="2" t="s">
        <v>67</v>
      </c>
      <c r="D737" s="10">
        <f t="shared" ca="1" si="154"/>
        <v>48</v>
      </c>
      <c r="E737" s="2" t="s">
        <v>26</v>
      </c>
      <c r="F737" s="3">
        <v>158</v>
      </c>
      <c r="G737" s="3">
        <v>58</v>
      </c>
      <c r="H737" s="11">
        <f t="shared" si="155"/>
        <v>23.233456176894723</v>
      </c>
      <c r="I737" s="2">
        <v>77</v>
      </c>
      <c r="J737" s="3">
        <v>110</v>
      </c>
      <c r="K737" s="3">
        <v>80</v>
      </c>
      <c r="L737" s="10">
        <f t="shared" si="156"/>
        <v>0</v>
      </c>
      <c r="M737" s="10">
        <f t="shared" ca="1" si="157"/>
        <v>1</v>
      </c>
      <c r="N737" s="10">
        <f t="shared" si="158"/>
        <v>0</v>
      </c>
      <c r="O737" s="10">
        <f t="shared" si="159"/>
        <v>3</v>
      </c>
      <c r="P737" s="10">
        <f t="shared" si="160"/>
        <v>0</v>
      </c>
      <c r="Q737" s="10">
        <f t="shared" si="161"/>
        <v>0</v>
      </c>
      <c r="R737" s="10">
        <f t="shared" ca="1" si="162"/>
        <v>4</v>
      </c>
      <c r="S737" s="10" t="str">
        <f t="shared" ca="1" si="163"/>
        <v>Không cần</v>
      </c>
      <c r="T737" s="10" t="str">
        <f t="shared" ca="1" si="164"/>
        <v>Không</v>
      </c>
      <c r="U737" s="10" t="str">
        <f t="shared" si="165"/>
        <v>Không</v>
      </c>
      <c r="V737" s="2" t="s">
        <v>1003</v>
      </c>
      <c r="W737" s="4">
        <v>46053</v>
      </c>
      <c r="X737" s="8" t="str">
        <f t="shared" si="166"/>
        <v>Tháng 1</v>
      </c>
      <c r="Y737" s="8" t="str">
        <f t="shared" si="167"/>
        <v>Biển Tây A</v>
      </c>
    </row>
    <row r="738" spans="1:25" x14ac:dyDescent="0.25">
      <c r="A738" s="1" t="s">
        <v>1005</v>
      </c>
      <c r="B738" s="2" t="s">
        <v>23</v>
      </c>
      <c r="C738" s="2" t="s">
        <v>34</v>
      </c>
      <c r="D738" s="10">
        <f t="shared" ca="1" si="154"/>
        <v>78</v>
      </c>
      <c r="E738" s="2" t="s">
        <v>26</v>
      </c>
      <c r="F738" s="3">
        <v>158</v>
      </c>
      <c r="G738" s="3">
        <v>58</v>
      </c>
      <c r="H738" s="11">
        <f t="shared" si="155"/>
        <v>23.233456176894723</v>
      </c>
      <c r="I738" s="2">
        <v>89</v>
      </c>
      <c r="J738" s="3">
        <v>140</v>
      </c>
      <c r="K738" s="3">
        <v>80</v>
      </c>
      <c r="L738" s="10">
        <f t="shared" si="156"/>
        <v>0</v>
      </c>
      <c r="M738" s="10">
        <f t="shared" ca="1" si="157"/>
        <v>2</v>
      </c>
      <c r="N738" s="10">
        <f t="shared" si="158"/>
        <v>0</v>
      </c>
      <c r="O738" s="10">
        <f t="shared" si="159"/>
        <v>3</v>
      </c>
      <c r="P738" s="10">
        <f t="shared" si="160"/>
        <v>2</v>
      </c>
      <c r="Q738" s="10">
        <f t="shared" si="161"/>
        <v>2</v>
      </c>
      <c r="R738" s="10">
        <f t="shared" ca="1" si="162"/>
        <v>9</v>
      </c>
      <c r="S738" s="10" t="str">
        <f t="shared" ca="1" si="163"/>
        <v>Có</v>
      </c>
      <c r="T738" s="10" t="str">
        <f t="shared" ca="1" si="164"/>
        <v>Có</v>
      </c>
      <c r="U738" s="10" t="str">
        <f t="shared" si="165"/>
        <v>Có</v>
      </c>
      <c r="V738" s="2" t="s">
        <v>68</v>
      </c>
      <c r="W738" s="4">
        <v>46053</v>
      </c>
      <c r="X738" s="8" t="str">
        <f t="shared" si="166"/>
        <v>Tháng 1</v>
      </c>
      <c r="Y738" s="8" t="str">
        <f t="shared" si="167"/>
        <v>Ấp Biển Tây B</v>
      </c>
    </row>
    <row r="739" spans="1:25" x14ac:dyDescent="0.25">
      <c r="A739" s="1" t="s">
        <v>1007</v>
      </c>
      <c r="B739" s="2" t="s">
        <v>23</v>
      </c>
      <c r="C739" s="2" t="s">
        <v>90</v>
      </c>
      <c r="D739" s="10">
        <f t="shared" ca="1" si="154"/>
        <v>54</v>
      </c>
      <c r="E739" s="2" t="s">
        <v>25</v>
      </c>
      <c r="F739" s="3">
        <v>160</v>
      </c>
      <c r="G739" s="3">
        <v>75</v>
      </c>
      <c r="H739" s="11">
        <f t="shared" si="155"/>
        <v>29.296874999999993</v>
      </c>
      <c r="I739" s="2">
        <v>79</v>
      </c>
      <c r="J739" s="3">
        <v>120</v>
      </c>
      <c r="K739" s="3">
        <v>80</v>
      </c>
      <c r="L739" s="10">
        <f t="shared" si="156"/>
        <v>0</v>
      </c>
      <c r="M739" s="10">
        <f t="shared" ca="1" si="157"/>
        <v>2</v>
      </c>
      <c r="N739" s="10">
        <f t="shared" si="158"/>
        <v>4</v>
      </c>
      <c r="O739" s="10">
        <f t="shared" si="159"/>
        <v>5</v>
      </c>
      <c r="P739" s="10">
        <f t="shared" si="160"/>
        <v>0</v>
      </c>
      <c r="Q739" s="10">
        <f t="shared" si="161"/>
        <v>0</v>
      </c>
      <c r="R739" s="10">
        <f t="shared" ca="1" si="162"/>
        <v>11</v>
      </c>
      <c r="S739" s="10" t="str">
        <f t="shared" ca="1" si="163"/>
        <v>Có</v>
      </c>
      <c r="T739" s="10" t="str">
        <f t="shared" ca="1" si="164"/>
        <v>Có</v>
      </c>
      <c r="U739" s="10" t="str">
        <f t="shared" si="165"/>
        <v>Không</v>
      </c>
      <c r="V739" s="2" t="s">
        <v>51</v>
      </c>
      <c r="W739" s="4">
        <v>46053</v>
      </c>
      <c r="X739" s="8" t="str">
        <f t="shared" si="166"/>
        <v>Tháng 1</v>
      </c>
      <c r="Y739" s="8" t="str">
        <f t="shared" si="167"/>
        <v>Phường Hiệp Thành</v>
      </c>
    </row>
    <row r="740" spans="1:25" x14ac:dyDescent="0.25">
      <c r="A740" s="1" t="s">
        <v>1008</v>
      </c>
      <c r="B740" s="2" t="s">
        <v>23</v>
      </c>
      <c r="C740" s="2" t="s">
        <v>105</v>
      </c>
      <c r="D740" s="10">
        <f t="shared" ref="D740:D771" ca="1" si="168">DATEDIF(C740,TODAY(),"Y")</f>
        <v>60</v>
      </c>
      <c r="E740" s="2" t="s">
        <v>26</v>
      </c>
      <c r="F740" s="3">
        <v>158</v>
      </c>
      <c r="G740" s="3">
        <v>58</v>
      </c>
      <c r="H740" s="11">
        <f t="shared" ref="H740:H771" si="169">G740/((F740/100)*(F740/100))</f>
        <v>23.233456176894723</v>
      </c>
      <c r="I740" s="2">
        <v>80</v>
      </c>
      <c r="J740" s="3">
        <v>120</v>
      </c>
      <c r="K740" s="3">
        <v>80</v>
      </c>
      <c r="L740" s="10">
        <f t="shared" ref="L740:L771" si="170">IF(B740="Nữ",0,2)</f>
        <v>0</v>
      </c>
      <c r="M740" s="10">
        <f t="shared" ref="M740:M771" ca="1" si="171">IF(D740&lt;45,0,IF(D740&lt;=49,1,2))</f>
        <v>2</v>
      </c>
      <c r="N740" s="10">
        <f t="shared" ref="N740:N771" si="172">IF(E740="Có",4,0)</f>
        <v>0</v>
      </c>
      <c r="O740" s="10">
        <f t="shared" ref="O740:O771" si="173">IF(H740&lt;23,0,IF(H740&lt;27.5,3,5))</f>
        <v>3</v>
      </c>
      <c r="P740" s="10">
        <f t="shared" ref="P740:P771" si="174">IF(OR(AND(B740="Nam",I740&gt;=90),AND(B740="Nữ",I740&gt;=80)),2,0)</f>
        <v>2</v>
      </c>
      <c r="Q740" s="10">
        <f t="shared" ref="Q740:Q771" si="175">IF(OR(J740&gt;=140,K740&gt;=90),2,0)</f>
        <v>0</v>
      </c>
      <c r="R740" s="10">
        <f t="shared" ref="R740:R771" ca="1" si="176">SUM(L740:Q740)</f>
        <v>7</v>
      </c>
      <c r="S740" s="10" t="str">
        <f t="shared" ref="S740:S771" ca="1" si="177">IF((R740)&gt;=6,"Có","Không cần")</f>
        <v>Có</v>
      </c>
      <c r="T740" s="10" t="str">
        <f t="shared" ref="T740:T771" ca="1" si="178">IF((R740)&gt;=6,"Có","Không")</f>
        <v>Có</v>
      </c>
      <c r="U740" s="10" t="str">
        <f t="shared" ref="U740:U771" si="179">IF(OR(J740&gt;=140,K740&gt;=90),"Có","Không")</f>
        <v>Không</v>
      </c>
      <c r="V740" s="2" t="s">
        <v>1009</v>
      </c>
      <c r="W740" s="4">
        <v>46112</v>
      </c>
      <c r="X740" s="8" t="str">
        <f t="shared" ref="X740:X771" si="180">"Tháng "&amp;MONTH(W740)</f>
        <v>Tháng 3</v>
      </c>
      <c r="Y740" s="8" t="str">
        <f t="shared" ref="Y740:Y766" si="181">LEFT(V740,FIND(",",V740)-1)</f>
        <v>WÁTH PÍCH</v>
      </c>
    </row>
    <row r="741" spans="1:25" x14ac:dyDescent="0.25">
      <c r="A741" s="1" t="s">
        <v>1010</v>
      </c>
      <c r="B741" s="2" t="s">
        <v>30</v>
      </c>
      <c r="C741" s="2" t="s">
        <v>341</v>
      </c>
      <c r="D741" s="10">
        <f t="shared" ca="1" si="168"/>
        <v>51</v>
      </c>
      <c r="E741" s="2" t="s">
        <v>26</v>
      </c>
      <c r="F741" s="3">
        <v>169</v>
      </c>
      <c r="G741" s="3">
        <v>68</v>
      </c>
      <c r="H741" s="11">
        <f t="shared" si="169"/>
        <v>23.808690171912751</v>
      </c>
      <c r="I741" s="2">
        <v>75</v>
      </c>
      <c r="J741" s="3">
        <v>120</v>
      </c>
      <c r="K741" s="3">
        <v>80</v>
      </c>
      <c r="L741" s="10">
        <f t="shared" si="170"/>
        <v>2</v>
      </c>
      <c r="M741" s="10">
        <f t="shared" ca="1" si="171"/>
        <v>2</v>
      </c>
      <c r="N741" s="10">
        <f t="shared" si="172"/>
        <v>0</v>
      </c>
      <c r="O741" s="10">
        <f t="shared" si="173"/>
        <v>3</v>
      </c>
      <c r="P741" s="10">
        <f t="shared" si="174"/>
        <v>0</v>
      </c>
      <c r="Q741" s="10">
        <f t="shared" si="175"/>
        <v>0</v>
      </c>
      <c r="R741" s="10">
        <f t="shared" ca="1" si="176"/>
        <v>7</v>
      </c>
      <c r="S741" s="10" t="str">
        <f t="shared" ca="1" si="177"/>
        <v>Có</v>
      </c>
      <c r="T741" s="10" t="str">
        <f t="shared" ca="1" si="178"/>
        <v>Có</v>
      </c>
      <c r="U741" s="10" t="str">
        <f t="shared" si="179"/>
        <v>Không</v>
      </c>
      <c r="V741" s="2" t="s">
        <v>51</v>
      </c>
      <c r="W741" s="4">
        <v>46081</v>
      </c>
      <c r="X741" s="8" t="str">
        <f t="shared" si="180"/>
        <v>Tháng 2</v>
      </c>
      <c r="Y741" s="8" t="str">
        <f t="shared" si="181"/>
        <v>Phường Hiệp Thành</v>
      </c>
    </row>
    <row r="742" spans="1:25" x14ac:dyDescent="0.25">
      <c r="A742" s="1" t="s">
        <v>1011</v>
      </c>
      <c r="B742" s="2" t="s">
        <v>30</v>
      </c>
      <c r="C742" s="2" t="s">
        <v>67</v>
      </c>
      <c r="D742" s="10">
        <f t="shared" ca="1" si="168"/>
        <v>48</v>
      </c>
      <c r="E742" s="2" t="s">
        <v>26</v>
      </c>
      <c r="F742" s="3">
        <v>167</v>
      </c>
      <c r="G742" s="3">
        <v>60</v>
      </c>
      <c r="H742" s="11">
        <f t="shared" si="169"/>
        <v>21.513858510523864</v>
      </c>
      <c r="I742" s="2">
        <v>94</v>
      </c>
      <c r="J742" s="3">
        <v>110</v>
      </c>
      <c r="K742" s="3">
        <v>70</v>
      </c>
      <c r="L742" s="10">
        <f t="shared" si="170"/>
        <v>2</v>
      </c>
      <c r="M742" s="10">
        <f t="shared" ca="1" si="171"/>
        <v>1</v>
      </c>
      <c r="N742" s="10">
        <f t="shared" si="172"/>
        <v>0</v>
      </c>
      <c r="O742" s="10">
        <f t="shared" si="173"/>
        <v>0</v>
      </c>
      <c r="P742" s="10">
        <f t="shared" si="174"/>
        <v>2</v>
      </c>
      <c r="Q742" s="10">
        <f t="shared" si="175"/>
        <v>0</v>
      </c>
      <c r="R742" s="10">
        <f t="shared" ca="1" si="176"/>
        <v>5</v>
      </c>
      <c r="S742" s="10" t="str">
        <f t="shared" ca="1" si="177"/>
        <v>Không cần</v>
      </c>
      <c r="T742" s="10" t="str">
        <f t="shared" ca="1" si="178"/>
        <v>Không</v>
      </c>
      <c r="U742" s="10" t="str">
        <f t="shared" si="179"/>
        <v>Không</v>
      </c>
      <c r="V742" s="2" t="s">
        <v>1012</v>
      </c>
      <c r="W742" s="4">
        <v>46081</v>
      </c>
      <c r="X742" s="8" t="str">
        <f t="shared" si="180"/>
        <v>Tháng 2</v>
      </c>
      <c r="Y742" s="8" t="str">
        <f t="shared" si="181"/>
        <v>Ấp Tân Long</v>
      </c>
    </row>
    <row r="743" spans="1:25" x14ac:dyDescent="0.25">
      <c r="A743" s="1" t="s">
        <v>1013</v>
      </c>
      <c r="B743" s="2" t="s">
        <v>23</v>
      </c>
      <c r="C743" s="2" t="s">
        <v>155</v>
      </c>
      <c r="D743" s="10">
        <f t="shared" ca="1" si="168"/>
        <v>53</v>
      </c>
      <c r="E743" s="2" t="s">
        <v>26</v>
      </c>
      <c r="F743" s="3">
        <v>158</v>
      </c>
      <c r="G743" s="3">
        <v>58</v>
      </c>
      <c r="H743" s="11">
        <f t="shared" si="169"/>
        <v>23.233456176894723</v>
      </c>
      <c r="I743" s="2">
        <v>83</v>
      </c>
      <c r="J743" s="3">
        <v>140</v>
      </c>
      <c r="K743" s="3">
        <v>80</v>
      </c>
      <c r="L743" s="10">
        <f t="shared" si="170"/>
        <v>0</v>
      </c>
      <c r="M743" s="10">
        <f t="shared" ca="1" si="171"/>
        <v>2</v>
      </c>
      <c r="N743" s="10">
        <f t="shared" si="172"/>
        <v>0</v>
      </c>
      <c r="O743" s="10">
        <f t="shared" si="173"/>
        <v>3</v>
      </c>
      <c r="P743" s="10">
        <f t="shared" si="174"/>
        <v>2</v>
      </c>
      <c r="Q743" s="10">
        <f t="shared" si="175"/>
        <v>2</v>
      </c>
      <c r="R743" s="10">
        <f t="shared" ca="1" si="176"/>
        <v>9</v>
      </c>
      <c r="S743" s="10" t="str">
        <f t="shared" ca="1" si="177"/>
        <v>Có</v>
      </c>
      <c r="T743" s="10" t="str">
        <f t="shared" ca="1" si="178"/>
        <v>Có</v>
      </c>
      <c r="U743" s="10" t="str">
        <f t="shared" si="179"/>
        <v>Có</v>
      </c>
      <c r="V743" s="2" t="s">
        <v>32</v>
      </c>
      <c r="W743" s="4">
        <v>46081</v>
      </c>
      <c r="X743" s="8" t="str">
        <f t="shared" si="180"/>
        <v>Tháng 2</v>
      </c>
      <c r="Y743" s="8" t="str">
        <f t="shared" si="181"/>
        <v>Ấp Giồng Giữa B</v>
      </c>
    </row>
    <row r="744" spans="1:25" x14ac:dyDescent="0.25">
      <c r="A744" s="1" t="s">
        <v>1014</v>
      </c>
      <c r="B744" s="2" t="s">
        <v>30</v>
      </c>
      <c r="C744" s="2" t="s">
        <v>62</v>
      </c>
      <c r="D744" s="10">
        <f t="shared" ca="1" si="168"/>
        <v>64</v>
      </c>
      <c r="E744" s="2" t="s">
        <v>26</v>
      </c>
      <c r="F744" s="3">
        <v>169</v>
      </c>
      <c r="G744" s="3">
        <v>69</v>
      </c>
      <c r="H744" s="11">
        <f t="shared" si="169"/>
        <v>24.158817968558527</v>
      </c>
      <c r="I744" s="2">
        <v>83</v>
      </c>
      <c r="J744" s="3">
        <v>140</v>
      </c>
      <c r="K744" s="3">
        <v>80</v>
      </c>
      <c r="L744" s="10">
        <f t="shared" si="170"/>
        <v>2</v>
      </c>
      <c r="M744" s="10">
        <f t="shared" ca="1" si="171"/>
        <v>2</v>
      </c>
      <c r="N744" s="10">
        <f t="shared" si="172"/>
        <v>0</v>
      </c>
      <c r="O744" s="10">
        <f t="shared" si="173"/>
        <v>3</v>
      </c>
      <c r="P744" s="10">
        <f t="shared" si="174"/>
        <v>0</v>
      </c>
      <c r="Q744" s="10">
        <f t="shared" si="175"/>
        <v>2</v>
      </c>
      <c r="R744" s="10">
        <f t="shared" ca="1" si="176"/>
        <v>9</v>
      </c>
      <c r="S744" s="10" t="str">
        <f t="shared" ca="1" si="177"/>
        <v>Có</v>
      </c>
      <c r="T744" s="10" t="str">
        <f t="shared" ca="1" si="178"/>
        <v>Có</v>
      </c>
      <c r="U744" s="10" t="str">
        <f t="shared" si="179"/>
        <v>Có</v>
      </c>
      <c r="V744" s="2" t="s">
        <v>65</v>
      </c>
      <c r="W744" s="4">
        <v>46081</v>
      </c>
      <c r="X744" s="8" t="str">
        <f t="shared" si="180"/>
        <v>Tháng 2</v>
      </c>
      <c r="Y744" s="8" t="str">
        <f t="shared" si="181"/>
        <v>Biển Tây B</v>
      </c>
    </row>
    <row r="745" spans="1:25" x14ac:dyDescent="0.25">
      <c r="A745" s="1" t="s">
        <v>1015</v>
      </c>
      <c r="B745" s="2" t="s">
        <v>23</v>
      </c>
      <c r="C745" s="2" t="s">
        <v>130</v>
      </c>
      <c r="D745" s="10">
        <f t="shared" ca="1" si="168"/>
        <v>57</v>
      </c>
      <c r="E745" s="2" t="s">
        <v>26</v>
      </c>
      <c r="F745" s="3">
        <v>160</v>
      </c>
      <c r="G745" s="3">
        <v>62</v>
      </c>
      <c r="H745" s="11">
        <f t="shared" si="169"/>
        <v>24.218749999999996</v>
      </c>
      <c r="I745" s="2">
        <v>73</v>
      </c>
      <c r="J745" s="3">
        <v>120</v>
      </c>
      <c r="K745" s="3">
        <v>80</v>
      </c>
      <c r="L745" s="10">
        <f t="shared" si="170"/>
        <v>0</v>
      </c>
      <c r="M745" s="10">
        <f t="shared" ca="1" si="171"/>
        <v>2</v>
      </c>
      <c r="N745" s="10">
        <f t="shared" si="172"/>
        <v>0</v>
      </c>
      <c r="O745" s="10">
        <f t="shared" si="173"/>
        <v>3</v>
      </c>
      <c r="P745" s="10">
        <f t="shared" si="174"/>
        <v>0</v>
      </c>
      <c r="Q745" s="10">
        <f t="shared" si="175"/>
        <v>0</v>
      </c>
      <c r="R745" s="10">
        <f t="shared" ca="1" si="176"/>
        <v>5</v>
      </c>
      <c r="S745" s="10" t="str">
        <f t="shared" ca="1" si="177"/>
        <v>Không cần</v>
      </c>
      <c r="T745" s="10" t="str">
        <f t="shared" ca="1" si="178"/>
        <v>Không</v>
      </c>
      <c r="U745" s="10" t="str">
        <f t="shared" si="179"/>
        <v>Không</v>
      </c>
      <c r="V745" s="2" t="s">
        <v>239</v>
      </c>
      <c r="W745" s="4">
        <v>46112</v>
      </c>
      <c r="X745" s="8" t="str">
        <f t="shared" si="180"/>
        <v>Tháng 3</v>
      </c>
      <c r="Y745" s="8" t="str">
        <f t="shared" si="181"/>
        <v>Xóm Lẫm</v>
      </c>
    </row>
    <row r="746" spans="1:25" x14ac:dyDescent="0.25">
      <c r="A746" s="1" t="s">
        <v>574</v>
      </c>
      <c r="B746" s="2" t="s">
        <v>23</v>
      </c>
      <c r="C746" s="2" t="s">
        <v>50</v>
      </c>
      <c r="D746" s="10">
        <f t="shared" ca="1" si="168"/>
        <v>58</v>
      </c>
      <c r="E746" s="2" t="s">
        <v>26</v>
      </c>
      <c r="F746" s="3">
        <v>160</v>
      </c>
      <c r="G746" s="3">
        <v>70</v>
      </c>
      <c r="H746" s="11">
        <f t="shared" si="169"/>
        <v>27.343749999999996</v>
      </c>
      <c r="I746" s="2">
        <v>70</v>
      </c>
      <c r="J746" s="3">
        <v>120</v>
      </c>
      <c r="K746" s="3">
        <v>80</v>
      </c>
      <c r="L746" s="10">
        <f t="shared" si="170"/>
        <v>0</v>
      </c>
      <c r="M746" s="10">
        <f t="shared" ca="1" si="171"/>
        <v>2</v>
      </c>
      <c r="N746" s="10">
        <f t="shared" si="172"/>
        <v>0</v>
      </c>
      <c r="O746" s="10">
        <f t="shared" si="173"/>
        <v>3</v>
      </c>
      <c r="P746" s="10">
        <f t="shared" si="174"/>
        <v>0</v>
      </c>
      <c r="Q746" s="10">
        <f t="shared" si="175"/>
        <v>0</v>
      </c>
      <c r="R746" s="10">
        <f t="shared" ca="1" si="176"/>
        <v>5</v>
      </c>
      <c r="S746" s="10" t="str">
        <f t="shared" ca="1" si="177"/>
        <v>Không cần</v>
      </c>
      <c r="T746" s="10" t="str">
        <f t="shared" ca="1" si="178"/>
        <v>Không</v>
      </c>
      <c r="U746" s="10" t="str">
        <f t="shared" si="179"/>
        <v>Không</v>
      </c>
      <c r="V746" s="2" t="s">
        <v>397</v>
      </c>
      <c r="W746" s="4">
        <v>46112</v>
      </c>
      <c r="X746" s="8" t="str">
        <f t="shared" si="180"/>
        <v>Tháng 3</v>
      </c>
      <c r="Y746" s="8" t="str">
        <f t="shared" si="181"/>
        <v>Nhà Mát</v>
      </c>
    </row>
    <row r="747" spans="1:25" x14ac:dyDescent="0.25">
      <c r="A747" s="1" t="s">
        <v>1016</v>
      </c>
      <c r="B747" s="2" t="s">
        <v>23</v>
      </c>
      <c r="C747" s="2" t="s">
        <v>53</v>
      </c>
      <c r="D747" s="10">
        <f t="shared" ca="1" si="168"/>
        <v>72</v>
      </c>
      <c r="E747" s="2" t="s">
        <v>26</v>
      </c>
      <c r="F747" s="3">
        <v>158</v>
      </c>
      <c r="G747" s="3">
        <v>58</v>
      </c>
      <c r="H747" s="11">
        <f t="shared" si="169"/>
        <v>23.233456176894723</v>
      </c>
      <c r="I747" s="2">
        <v>72</v>
      </c>
      <c r="J747" s="3">
        <v>120</v>
      </c>
      <c r="K747" s="3">
        <v>80</v>
      </c>
      <c r="L747" s="10">
        <f t="shared" si="170"/>
        <v>0</v>
      </c>
      <c r="M747" s="10">
        <f t="shared" ca="1" si="171"/>
        <v>2</v>
      </c>
      <c r="N747" s="10">
        <f t="shared" si="172"/>
        <v>0</v>
      </c>
      <c r="O747" s="10">
        <f t="shared" si="173"/>
        <v>3</v>
      </c>
      <c r="P747" s="10">
        <f t="shared" si="174"/>
        <v>0</v>
      </c>
      <c r="Q747" s="10">
        <f t="shared" si="175"/>
        <v>0</v>
      </c>
      <c r="R747" s="10">
        <f t="shared" ca="1" si="176"/>
        <v>5</v>
      </c>
      <c r="S747" s="10" t="str">
        <f t="shared" ca="1" si="177"/>
        <v>Không cần</v>
      </c>
      <c r="T747" s="10" t="str">
        <f t="shared" ca="1" si="178"/>
        <v>Không</v>
      </c>
      <c r="U747" s="10" t="str">
        <f t="shared" si="179"/>
        <v>Không</v>
      </c>
      <c r="V747" s="2" t="s">
        <v>164</v>
      </c>
      <c r="W747" s="4">
        <v>46112</v>
      </c>
      <c r="X747" s="8" t="str">
        <f t="shared" si="180"/>
        <v>Tháng 3</v>
      </c>
      <c r="Y747" s="8" t="str">
        <f t="shared" si="181"/>
        <v>ấp Biển Đông B</v>
      </c>
    </row>
    <row r="748" spans="1:25" x14ac:dyDescent="0.25">
      <c r="A748" s="1" t="s">
        <v>44</v>
      </c>
      <c r="B748" s="2" t="s">
        <v>23</v>
      </c>
      <c r="C748" s="2" t="s">
        <v>34</v>
      </c>
      <c r="D748" s="10">
        <f t="shared" ca="1" si="168"/>
        <v>78</v>
      </c>
      <c r="E748" s="2" t="s">
        <v>26</v>
      </c>
      <c r="F748" s="3">
        <v>158</v>
      </c>
      <c r="G748" s="3">
        <v>58</v>
      </c>
      <c r="H748" s="11">
        <f t="shared" si="169"/>
        <v>23.233456176894723</v>
      </c>
      <c r="I748" s="2">
        <v>89</v>
      </c>
      <c r="J748" s="3">
        <v>140</v>
      </c>
      <c r="K748" s="3">
        <v>80</v>
      </c>
      <c r="L748" s="10">
        <f t="shared" si="170"/>
        <v>0</v>
      </c>
      <c r="M748" s="10">
        <f t="shared" ca="1" si="171"/>
        <v>2</v>
      </c>
      <c r="N748" s="10">
        <f t="shared" si="172"/>
        <v>0</v>
      </c>
      <c r="O748" s="10">
        <f t="shared" si="173"/>
        <v>3</v>
      </c>
      <c r="P748" s="10">
        <f t="shared" si="174"/>
        <v>2</v>
      </c>
      <c r="Q748" s="10">
        <f t="shared" si="175"/>
        <v>2</v>
      </c>
      <c r="R748" s="10">
        <f t="shared" ca="1" si="176"/>
        <v>9</v>
      </c>
      <c r="S748" s="10" t="str">
        <f t="shared" ca="1" si="177"/>
        <v>Có</v>
      </c>
      <c r="T748" s="10" t="str">
        <f t="shared" ca="1" si="178"/>
        <v>Có</v>
      </c>
      <c r="U748" s="10" t="str">
        <f t="shared" si="179"/>
        <v>Có</v>
      </c>
      <c r="V748" s="2" t="s">
        <v>38</v>
      </c>
      <c r="W748" s="4">
        <v>46112</v>
      </c>
      <c r="X748" s="8" t="str">
        <f t="shared" si="180"/>
        <v>Tháng 3</v>
      </c>
      <c r="Y748" s="8" t="str">
        <f t="shared" si="181"/>
        <v>Ấp Biển Đông B</v>
      </c>
    </row>
    <row r="749" spans="1:25" x14ac:dyDescent="0.25">
      <c r="A749" s="1" t="s">
        <v>1017</v>
      </c>
      <c r="B749" s="2" t="s">
        <v>23</v>
      </c>
      <c r="C749" s="2" t="s">
        <v>53</v>
      </c>
      <c r="D749" s="10">
        <f t="shared" ca="1" si="168"/>
        <v>72</v>
      </c>
      <c r="E749" s="2" t="s">
        <v>25</v>
      </c>
      <c r="F749" s="3">
        <v>158</v>
      </c>
      <c r="G749" s="3">
        <v>58</v>
      </c>
      <c r="H749" s="11">
        <f t="shared" si="169"/>
        <v>23.233456176894723</v>
      </c>
      <c r="I749" s="2">
        <v>81</v>
      </c>
      <c r="J749" s="3">
        <v>130</v>
      </c>
      <c r="K749" s="3">
        <v>80</v>
      </c>
      <c r="L749" s="10">
        <f t="shared" si="170"/>
        <v>0</v>
      </c>
      <c r="M749" s="10">
        <f t="shared" ca="1" si="171"/>
        <v>2</v>
      </c>
      <c r="N749" s="10">
        <f t="shared" si="172"/>
        <v>4</v>
      </c>
      <c r="O749" s="10">
        <f t="shared" si="173"/>
        <v>3</v>
      </c>
      <c r="P749" s="10">
        <f t="shared" si="174"/>
        <v>2</v>
      </c>
      <c r="Q749" s="10">
        <f t="shared" si="175"/>
        <v>0</v>
      </c>
      <c r="R749" s="10">
        <f t="shared" ca="1" si="176"/>
        <v>11</v>
      </c>
      <c r="S749" s="10" t="str">
        <f t="shared" ca="1" si="177"/>
        <v>Có</v>
      </c>
      <c r="T749" s="10" t="str">
        <f t="shared" ca="1" si="178"/>
        <v>Có</v>
      </c>
      <c r="U749" s="10" t="str">
        <f t="shared" si="179"/>
        <v>Không</v>
      </c>
      <c r="V749" s="2" t="s">
        <v>51</v>
      </c>
      <c r="W749" s="4">
        <v>46112</v>
      </c>
      <c r="X749" s="8" t="str">
        <f t="shared" si="180"/>
        <v>Tháng 3</v>
      </c>
      <c r="Y749" s="8" t="str">
        <f t="shared" si="181"/>
        <v>Phường Hiệp Thành</v>
      </c>
    </row>
    <row r="750" spans="1:25" x14ac:dyDescent="0.25">
      <c r="A750" s="1" t="s">
        <v>1018</v>
      </c>
      <c r="B750" s="2" t="s">
        <v>23</v>
      </c>
      <c r="C750" s="2" t="s">
        <v>110</v>
      </c>
      <c r="D750" s="10">
        <f t="shared" ca="1" si="168"/>
        <v>62</v>
      </c>
      <c r="E750" s="2" t="s">
        <v>26</v>
      </c>
      <c r="F750" s="3">
        <v>158</v>
      </c>
      <c r="G750" s="3">
        <v>58</v>
      </c>
      <c r="H750" s="11">
        <f t="shared" si="169"/>
        <v>23.233456176894723</v>
      </c>
      <c r="I750" s="2">
        <v>83</v>
      </c>
      <c r="J750" s="3">
        <v>160</v>
      </c>
      <c r="K750" s="3">
        <v>80</v>
      </c>
      <c r="L750" s="10">
        <f t="shared" si="170"/>
        <v>0</v>
      </c>
      <c r="M750" s="10">
        <f t="shared" ca="1" si="171"/>
        <v>2</v>
      </c>
      <c r="N750" s="10">
        <f t="shared" si="172"/>
        <v>0</v>
      </c>
      <c r="O750" s="10">
        <f t="shared" si="173"/>
        <v>3</v>
      </c>
      <c r="P750" s="10">
        <f t="shared" si="174"/>
        <v>2</v>
      </c>
      <c r="Q750" s="10">
        <f t="shared" si="175"/>
        <v>2</v>
      </c>
      <c r="R750" s="10">
        <f t="shared" ca="1" si="176"/>
        <v>9</v>
      </c>
      <c r="S750" s="10" t="str">
        <f t="shared" ca="1" si="177"/>
        <v>Có</v>
      </c>
      <c r="T750" s="10" t="str">
        <f t="shared" ca="1" si="178"/>
        <v>Có</v>
      </c>
      <c r="U750" s="10" t="str">
        <f t="shared" si="179"/>
        <v>Có</v>
      </c>
      <c r="V750" s="2" t="s">
        <v>38</v>
      </c>
      <c r="W750" s="4">
        <v>46112</v>
      </c>
      <c r="X750" s="8" t="str">
        <f t="shared" si="180"/>
        <v>Tháng 3</v>
      </c>
      <c r="Y750" s="8" t="str">
        <f t="shared" si="181"/>
        <v>Ấp Biển Đông B</v>
      </c>
    </row>
    <row r="751" spans="1:25" x14ac:dyDescent="0.25">
      <c r="A751" s="1" t="s">
        <v>1019</v>
      </c>
      <c r="B751" s="2" t="s">
        <v>30</v>
      </c>
      <c r="C751" s="2" t="s">
        <v>105</v>
      </c>
      <c r="D751" s="10">
        <f t="shared" ca="1" si="168"/>
        <v>60</v>
      </c>
      <c r="E751" s="2" t="s">
        <v>26</v>
      </c>
      <c r="F751" s="3">
        <v>158</v>
      </c>
      <c r="G751" s="3">
        <v>58</v>
      </c>
      <c r="H751" s="11">
        <f t="shared" si="169"/>
        <v>23.233456176894723</v>
      </c>
      <c r="I751" s="2">
        <v>80</v>
      </c>
      <c r="J751" s="3">
        <v>120</v>
      </c>
      <c r="K751" s="3">
        <v>80</v>
      </c>
      <c r="L751" s="10">
        <f t="shared" si="170"/>
        <v>2</v>
      </c>
      <c r="M751" s="10">
        <f t="shared" ca="1" si="171"/>
        <v>2</v>
      </c>
      <c r="N751" s="10">
        <f t="shared" si="172"/>
        <v>0</v>
      </c>
      <c r="O751" s="10">
        <f t="shared" si="173"/>
        <v>3</v>
      </c>
      <c r="P751" s="10">
        <f t="shared" si="174"/>
        <v>0</v>
      </c>
      <c r="Q751" s="10">
        <f t="shared" si="175"/>
        <v>0</v>
      </c>
      <c r="R751" s="10">
        <f t="shared" ca="1" si="176"/>
        <v>7</v>
      </c>
      <c r="S751" s="10" t="str">
        <f t="shared" ca="1" si="177"/>
        <v>Có</v>
      </c>
      <c r="T751" s="10" t="str">
        <f t="shared" ca="1" si="178"/>
        <v>Có</v>
      </c>
      <c r="U751" s="10" t="str">
        <f t="shared" si="179"/>
        <v>Không</v>
      </c>
      <c r="V751" s="2" t="s">
        <v>51</v>
      </c>
      <c r="W751" s="4">
        <v>46053</v>
      </c>
      <c r="X751" s="8" t="str">
        <f t="shared" si="180"/>
        <v>Tháng 1</v>
      </c>
      <c r="Y751" s="8" t="str">
        <f t="shared" si="181"/>
        <v>Phường Hiệp Thành</v>
      </c>
    </row>
    <row r="752" spans="1:25" x14ac:dyDescent="0.25">
      <c r="A752" s="1" t="s">
        <v>1020</v>
      </c>
      <c r="B752" s="2" t="s">
        <v>30</v>
      </c>
      <c r="C752" s="2" t="s">
        <v>130</v>
      </c>
      <c r="D752" s="10">
        <f t="shared" ca="1" si="168"/>
        <v>57</v>
      </c>
      <c r="E752" s="2" t="s">
        <v>26</v>
      </c>
      <c r="F752" s="3">
        <v>169</v>
      </c>
      <c r="G752" s="3">
        <v>69</v>
      </c>
      <c r="H752" s="11">
        <f t="shared" si="169"/>
        <v>24.158817968558527</v>
      </c>
      <c r="I752" s="2">
        <v>76</v>
      </c>
      <c r="J752" s="3">
        <v>120</v>
      </c>
      <c r="K752" s="3">
        <v>80</v>
      </c>
      <c r="L752" s="10">
        <f t="shared" si="170"/>
        <v>2</v>
      </c>
      <c r="M752" s="10">
        <f t="shared" ca="1" si="171"/>
        <v>2</v>
      </c>
      <c r="N752" s="10">
        <f t="shared" si="172"/>
        <v>0</v>
      </c>
      <c r="O752" s="10">
        <f t="shared" si="173"/>
        <v>3</v>
      </c>
      <c r="P752" s="10">
        <f t="shared" si="174"/>
        <v>0</v>
      </c>
      <c r="Q752" s="10">
        <f t="shared" si="175"/>
        <v>0</v>
      </c>
      <c r="R752" s="10">
        <f t="shared" ca="1" si="176"/>
        <v>7</v>
      </c>
      <c r="S752" s="10" t="str">
        <f t="shared" ca="1" si="177"/>
        <v>Có</v>
      </c>
      <c r="T752" s="10" t="str">
        <f t="shared" ca="1" si="178"/>
        <v>Có</v>
      </c>
      <c r="U752" s="10" t="str">
        <f t="shared" si="179"/>
        <v>Không</v>
      </c>
      <c r="V752" s="2" t="s">
        <v>298</v>
      </c>
      <c r="W752" s="4">
        <v>46053</v>
      </c>
      <c r="X752" s="8" t="str">
        <f t="shared" si="180"/>
        <v>Tháng 1</v>
      </c>
      <c r="Y752" s="8" t="str">
        <f t="shared" si="181"/>
        <v>ấp Biển Tây A</v>
      </c>
    </row>
    <row r="753" spans="1:25" x14ac:dyDescent="0.25">
      <c r="A753" s="1" t="s">
        <v>1022</v>
      </c>
      <c r="B753" s="2" t="s">
        <v>30</v>
      </c>
      <c r="C753" s="2" t="s">
        <v>93</v>
      </c>
      <c r="D753" s="10">
        <f t="shared" ca="1" si="168"/>
        <v>66</v>
      </c>
      <c r="E753" s="2" t="s">
        <v>25</v>
      </c>
      <c r="F753" s="3">
        <v>169</v>
      </c>
      <c r="G753" s="3">
        <v>68</v>
      </c>
      <c r="H753" s="11">
        <f t="shared" si="169"/>
        <v>23.808690171912751</v>
      </c>
      <c r="I753" s="2">
        <v>75</v>
      </c>
      <c r="J753" s="3">
        <v>150</v>
      </c>
      <c r="K753" s="3">
        <v>80</v>
      </c>
      <c r="L753" s="10">
        <f t="shared" si="170"/>
        <v>2</v>
      </c>
      <c r="M753" s="10">
        <f t="shared" ca="1" si="171"/>
        <v>2</v>
      </c>
      <c r="N753" s="10">
        <f t="shared" si="172"/>
        <v>4</v>
      </c>
      <c r="O753" s="10">
        <f t="shared" si="173"/>
        <v>3</v>
      </c>
      <c r="P753" s="10">
        <f t="shared" si="174"/>
        <v>0</v>
      </c>
      <c r="Q753" s="10">
        <f t="shared" si="175"/>
        <v>2</v>
      </c>
      <c r="R753" s="10">
        <f t="shared" ca="1" si="176"/>
        <v>13</v>
      </c>
      <c r="S753" s="10" t="str">
        <f t="shared" ca="1" si="177"/>
        <v>Có</v>
      </c>
      <c r="T753" s="10" t="str">
        <f t="shared" ca="1" si="178"/>
        <v>Có</v>
      </c>
      <c r="U753" s="10" t="str">
        <f t="shared" si="179"/>
        <v>Có</v>
      </c>
      <c r="V753" s="2" t="s">
        <v>1023</v>
      </c>
      <c r="W753" s="4">
        <v>46081</v>
      </c>
      <c r="X753" s="8" t="str">
        <f t="shared" si="180"/>
        <v>Tháng 2</v>
      </c>
      <c r="Y753" s="8" t="str">
        <f t="shared" si="181"/>
        <v>Ấp Công Điền</v>
      </c>
    </row>
    <row r="754" spans="1:25" x14ac:dyDescent="0.25">
      <c r="A754" s="1" t="s">
        <v>1024</v>
      </c>
      <c r="B754" s="2" t="s">
        <v>23</v>
      </c>
      <c r="C754" s="2" t="s">
        <v>110</v>
      </c>
      <c r="D754" s="10">
        <f t="shared" ca="1" si="168"/>
        <v>62</v>
      </c>
      <c r="E754" s="2" t="s">
        <v>26</v>
      </c>
      <c r="F754" s="3">
        <v>158</v>
      </c>
      <c r="G754" s="3">
        <v>60</v>
      </c>
      <c r="H754" s="11">
        <f t="shared" si="169"/>
        <v>24.034609838166958</v>
      </c>
      <c r="I754" s="2">
        <v>72</v>
      </c>
      <c r="J754" s="3">
        <v>120</v>
      </c>
      <c r="K754" s="3">
        <v>70</v>
      </c>
      <c r="L754" s="10">
        <f t="shared" si="170"/>
        <v>0</v>
      </c>
      <c r="M754" s="10">
        <f t="shared" ca="1" si="171"/>
        <v>2</v>
      </c>
      <c r="N754" s="10">
        <f t="shared" si="172"/>
        <v>0</v>
      </c>
      <c r="O754" s="10">
        <f t="shared" si="173"/>
        <v>3</v>
      </c>
      <c r="P754" s="10">
        <f t="shared" si="174"/>
        <v>0</v>
      </c>
      <c r="Q754" s="10">
        <f t="shared" si="175"/>
        <v>0</v>
      </c>
      <c r="R754" s="10">
        <f t="shared" ca="1" si="176"/>
        <v>5</v>
      </c>
      <c r="S754" s="10" t="str">
        <f t="shared" ca="1" si="177"/>
        <v>Không cần</v>
      </c>
      <c r="T754" s="10" t="str">
        <f t="shared" ca="1" si="178"/>
        <v>Không</v>
      </c>
      <c r="U754" s="10" t="str">
        <f t="shared" si="179"/>
        <v>Không</v>
      </c>
      <c r="V754" s="2" t="s">
        <v>122</v>
      </c>
      <c r="W754" s="4">
        <v>46081</v>
      </c>
      <c r="X754" s="8" t="str">
        <f t="shared" si="180"/>
        <v>Tháng 2</v>
      </c>
      <c r="Y754" s="8" t="str">
        <f t="shared" si="181"/>
        <v>Giồng Nhãn</v>
      </c>
    </row>
    <row r="755" spans="1:25" x14ac:dyDescent="0.25">
      <c r="A755" s="1" t="s">
        <v>1025</v>
      </c>
      <c r="B755" s="2" t="s">
        <v>30</v>
      </c>
      <c r="C755" s="2" t="s">
        <v>797</v>
      </c>
      <c r="D755" s="10">
        <f t="shared" ca="1" si="168"/>
        <v>85</v>
      </c>
      <c r="E755" s="2" t="s">
        <v>26</v>
      </c>
      <c r="F755" s="3">
        <v>169</v>
      </c>
      <c r="G755" s="3">
        <v>68</v>
      </c>
      <c r="H755" s="11">
        <f t="shared" si="169"/>
        <v>23.808690171912751</v>
      </c>
      <c r="I755" s="2">
        <v>95</v>
      </c>
      <c r="J755" s="3">
        <v>140</v>
      </c>
      <c r="K755" s="3">
        <v>80</v>
      </c>
      <c r="L755" s="10">
        <f t="shared" si="170"/>
        <v>2</v>
      </c>
      <c r="M755" s="10">
        <f t="shared" ca="1" si="171"/>
        <v>2</v>
      </c>
      <c r="N755" s="10">
        <f t="shared" si="172"/>
        <v>0</v>
      </c>
      <c r="O755" s="10">
        <f t="shared" si="173"/>
        <v>3</v>
      </c>
      <c r="P755" s="10">
        <f t="shared" si="174"/>
        <v>2</v>
      </c>
      <c r="Q755" s="10">
        <f t="shared" si="175"/>
        <v>2</v>
      </c>
      <c r="R755" s="10">
        <f t="shared" ca="1" si="176"/>
        <v>11</v>
      </c>
      <c r="S755" s="10" t="str">
        <f t="shared" ca="1" si="177"/>
        <v>Có</v>
      </c>
      <c r="T755" s="10" t="str">
        <f t="shared" ca="1" si="178"/>
        <v>Có</v>
      </c>
      <c r="U755" s="10" t="str">
        <f t="shared" si="179"/>
        <v>Có</v>
      </c>
      <c r="V755" s="2" t="s">
        <v>51</v>
      </c>
      <c r="W755" s="4">
        <v>46081</v>
      </c>
      <c r="X755" s="8" t="str">
        <f t="shared" si="180"/>
        <v>Tháng 2</v>
      </c>
      <c r="Y755" s="8" t="str">
        <f t="shared" si="181"/>
        <v>Phường Hiệp Thành</v>
      </c>
    </row>
    <row r="756" spans="1:25" x14ac:dyDescent="0.25">
      <c r="A756" s="1" t="s">
        <v>1026</v>
      </c>
      <c r="B756" s="2" t="s">
        <v>23</v>
      </c>
      <c r="C756" s="2" t="s">
        <v>394</v>
      </c>
      <c r="D756" s="10">
        <f t="shared" ca="1" si="168"/>
        <v>45</v>
      </c>
      <c r="E756" s="2" t="s">
        <v>26</v>
      </c>
      <c r="F756" s="3">
        <v>158</v>
      </c>
      <c r="G756" s="3">
        <v>60</v>
      </c>
      <c r="H756" s="11">
        <f t="shared" si="169"/>
        <v>24.034609838166958</v>
      </c>
      <c r="I756" s="2">
        <v>87</v>
      </c>
      <c r="J756" s="3">
        <v>120</v>
      </c>
      <c r="K756" s="3">
        <v>70</v>
      </c>
      <c r="L756" s="10">
        <f t="shared" si="170"/>
        <v>0</v>
      </c>
      <c r="M756" s="10">
        <f t="shared" ca="1" si="171"/>
        <v>1</v>
      </c>
      <c r="N756" s="10">
        <f t="shared" si="172"/>
        <v>0</v>
      </c>
      <c r="O756" s="10">
        <f t="shared" si="173"/>
        <v>3</v>
      </c>
      <c r="P756" s="10">
        <f t="shared" si="174"/>
        <v>2</v>
      </c>
      <c r="Q756" s="10">
        <f t="shared" si="175"/>
        <v>0</v>
      </c>
      <c r="R756" s="10">
        <f t="shared" ca="1" si="176"/>
        <v>6</v>
      </c>
      <c r="S756" s="10" t="str">
        <f t="shared" ca="1" si="177"/>
        <v>Có</v>
      </c>
      <c r="T756" s="10" t="str">
        <f t="shared" ca="1" si="178"/>
        <v>Có</v>
      </c>
      <c r="U756" s="10" t="str">
        <f t="shared" si="179"/>
        <v>Không</v>
      </c>
      <c r="V756" s="2" t="s">
        <v>51</v>
      </c>
      <c r="W756" s="4">
        <v>46081</v>
      </c>
      <c r="X756" s="8" t="str">
        <f t="shared" si="180"/>
        <v>Tháng 2</v>
      </c>
      <c r="Y756" s="8" t="str">
        <f t="shared" si="181"/>
        <v>Phường Hiệp Thành</v>
      </c>
    </row>
    <row r="757" spans="1:25" x14ac:dyDescent="0.25">
      <c r="A757" s="1" t="s">
        <v>1027</v>
      </c>
      <c r="B757" s="2" t="s">
        <v>23</v>
      </c>
      <c r="C757" s="2" t="s">
        <v>110</v>
      </c>
      <c r="D757" s="10">
        <f t="shared" ca="1" si="168"/>
        <v>62</v>
      </c>
      <c r="E757" s="2" t="s">
        <v>26</v>
      </c>
      <c r="F757" s="3">
        <v>155</v>
      </c>
      <c r="G757" s="3">
        <v>62</v>
      </c>
      <c r="H757" s="11">
        <f t="shared" si="169"/>
        <v>25.806451612903224</v>
      </c>
      <c r="I757" s="2">
        <v>73</v>
      </c>
      <c r="J757" s="3">
        <v>120</v>
      </c>
      <c r="K757" s="3">
        <v>80</v>
      </c>
      <c r="L757" s="10">
        <f t="shared" si="170"/>
        <v>0</v>
      </c>
      <c r="M757" s="10">
        <f t="shared" ca="1" si="171"/>
        <v>2</v>
      </c>
      <c r="N757" s="10">
        <f t="shared" si="172"/>
        <v>0</v>
      </c>
      <c r="O757" s="10">
        <f t="shared" si="173"/>
        <v>3</v>
      </c>
      <c r="P757" s="10">
        <f t="shared" si="174"/>
        <v>0</v>
      </c>
      <c r="Q757" s="10">
        <f t="shared" si="175"/>
        <v>0</v>
      </c>
      <c r="R757" s="10">
        <f t="shared" ca="1" si="176"/>
        <v>5</v>
      </c>
      <c r="S757" s="10" t="str">
        <f t="shared" ca="1" si="177"/>
        <v>Không cần</v>
      </c>
      <c r="T757" s="10" t="str">
        <f t="shared" ca="1" si="178"/>
        <v>Không</v>
      </c>
      <c r="U757" s="10" t="str">
        <f t="shared" si="179"/>
        <v>Không</v>
      </c>
      <c r="V757" s="2" t="s">
        <v>1028</v>
      </c>
      <c r="W757" s="4">
        <v>46053</v>
      </c>
      <c r="X757" s="8" t="str">
        <f t="shared" si="180"/>
        <v>Tháng 1</v>
      </c>
      <c r="Y757" s="8" t="str">
        <f t="shared" si="181"/>
        <v>Khóm Nhà Mát</v>
      </c>
    </row>
    <row r="758" spans="1:25" x14ac:dyDescent="0.25">
      <c r="A758" s="1" t="s">
        <v>1029</v>
      </c>
      <c r="B758" s="2" t="s">
        <v>30</v>
      </c>
      <c r="C758" s="2" t="s">
        <v>62</v>
      </c>
      <c r="D758" s="10">
        <f t="shared" ca="1" si="168"/>
        <v>64</v>
      </c>
      <c r="E758" s="2" t="s">
        <v>26</v>
      </c>
      <c r="F758" s="3">
        <v>169</v>
      </c>
      <c r="G758" s="3">
        <v>69</v>
      </c>
      <c r="H758" s="11">
        <f t="shared" si="169"/>
        <v>24.158817968558527</v>
      </c>
      <c r="I758" s="2">
        <v>91</v>
      </c>
      <c r="J758" s="3">
        <v>160</v>
      </c>
      <c r="K758" s="3">
        <v>80</v>
      </c>
      <c r="L758" s="10">
        <f t="shared" si="170"/>
        <v>2</v>
      </c>
      <c r="M758" s="10">
        <f t="shared" ca="1" si="171"/>
        <v>2</v>
      </c>
      <c r="N758" s="10">
        <f t="shared" si="172"/>
        <v>0</v>
      </c>
      <c r="O758" s="10">
        <f t="shared" si="173"/>
        <v>3</v>
      </c>
      <c r="P758" s="10">
        <f t="shared" si="174"/>
        <v>2</v>
      </c>
      <c r="Q758" s="10">
        <f t="shared" si="175"/>
        <v>2</v>
      </c>
      <c r="R758" s="10">
        <f t="shared" ca="1" si="176"/>
        <v>11</v>
      </c>
      <c r="S758" s="10" t="str">
        <f t="shared" ca="1" si="177"/>
        <v>Có</v>
      </c>
      <c r="T758" s="10" t="str">
        <f t="shared" ca="1" si="178"/>
        <v>Có</v>
      </c>
      <c r="U758" s="10" t="str">
        <f t="shared" si="179"/>
        <v>Có</v>
      </c>
      <c r="V758" s="2" t="s">
        <v>70</v>
      </c>
      <c r="W758" s="4">
        <v>46053</v>
      </c>
      <c r="X758" s="8" t="str">
        <f t="shared" si="180"/>
        <v>Tháng 1</v>
      </c>
      <c r="Y758" s="8" t="str">
        <f t="shared" si="181"/>
        <v>Ấp Biển Tây A</v>
      </c>
    </row>
    <row r="759" spans="1:25" x14ac:dyDescent="0.25">
      <c r="A759" s="1" t="s">
        <v>1032</v>
      </c>
      <c r="B759" s="2" t="s">
        <v>23</v>
      </c>
      <c r="C759" s="2" t="s">
        <v>133</v>
      </c>
      <c r="D759" s="10">
        <f t="shared" ca="1" si="168"/>
        <v>56</v>
      </c>
      <c r="E759" s="2" t="s">
        <v>26</v>
      </c>
      <c r="F759" s="3">
        <v>168</v>
      </c>
      <c r="G759" s="3">
        <v>68</v>
      </c>
      <c r="H759" s="11">
        <f t="shared" si="169"/>
        <v>24.092970521541954</v>
      </c>
      <c r="I759" s="2">
        <v>83</v>
      </c>
      <c r="J759" s="3">
        <v>120</v>
      </c>
      <c r="K759" s="3">
        <v>80</v>
      </c>
      <c r="L759" s="10">
        <f t="shared" si="170"/>
        <v>0</v>
      </c>
      <c r="M759" s="10">
        <f t="shared" ca="1" si="171"/>
        <v>2</v>
      </c>
      <c r="N759" s="10">
        <f t="shared" si="172"/>
        <v>0</v>
      </c>
      <c r="O759" s="10">
        <f t="shared" si="173"/>
        <v>3</v>
      </c>
      <c r="P759" s="10">
        <f t="shared" si="174"/>
        <v>2</v>
      </c>
      <c r="Q759" s="10">
        <f t="shared" si="175"/>
        <v>0</v>
      </c>
      <c r="R759" s="10">
        <f t="shared" ca="1" si="176"/>
        <v>7</v>
      </c>
      <c r="S759" s="10" t="str">
        <f t="shared" ca="1" si="177"/>
        <v>Có</v>
      </c>
      <c r="T759" s="10" t="str">
        <f t="shared" ca="1" si="178"/>
        <v>Có</v>
      </c>
      <c r="U759" s="10" t="str">
        <f t="shared" si="179"/>
        <v>Không</v>
      </c>
      <c r="V759" s="2" t="s">
        <v>32</v>
      </c>
      <c r="W759" s="4">
        <v>46053</v>
      </c>
      <c r="X759" s="8" t="str">
        <f t="shared" si="180"/>
        <v>Tháng 1</v>
      </c>
      <c r="Y759" s="8" t="str">
        <f t="shared" si="181"/>
        <v>Ấp Giồng Giữa B</v>
      </c>
    </row>
    <row r="760" spans="1:25" x14ac:dyDescent="0.25">
      <c r="A760" s="1" t="s">
        <v>1033</v>
      </c>
      <c r="B760" s="2" t="s">
        <v>30</v>
      </c>
      <c r="C760" s="2" t="s">
        <v>90</v>
      </c>
      <c r="D760" s="10">
        <f t="shared" ca="1" si="168"/>
        <v>54</v>
      </c>
      <c r="E760" s="2" t="s">
        <v>25</v>
      </c>
      <c r="F760" s="3">
        <v>168</v>
      </c>
      <c r="G760" s="3">
        <v>68</v>
      </c>
      <c r="H760" s="11">
        <f t="shared" si="169"/>
        <v>24.092970521541954</v>
      </c>
      <c r="I760" s="2">
        <v>73</v>
      </c>
      <c r="J760" s="3">
        <v>130</v>
      </c>
      <c r="K760" s="3">
        <v>80</v>
      </c>
      <c r="L760" s="10">
        <f t="shared" si="170"/>
        <v>2</v>
      </c>
      <c r="M760" s="10">
        <f t="shared" ca="1" si="171"/>
        <v>2</v>
      </c>
      <c r="N760" s="10">
        <f t="shared" si="172"/>
        <v>4</v>
      </c>
      <c r="O760" s="10">
        <f t="shared" si="173"/>
        <v>3</v>
      </c>
      <c r="P760" s="10">
        <f t="shared" si="174"/>
        <v>0</v>
      </c>
      <c r="Q760" s="10">
        <f t="shared" si="175"/>
        <v>0</v>
      </c>
      <c r="R760" s="10">
        <f t="shared" ca="1" si="176"/>
        <v>11</v>
      </c>
      <c r="S760" s="10" t="str">
        <f t="shared" ca="1" si="177"/>
        <v>Có</v>
      </c>
      <c r="T760" s="10" t="str">
        <f t="shared" ca="1" si="178"/>
        <v>Có</v>
      </c>
      <c r="U760" s="10" t="str">
        <f t="shared" si="179"/>
        <v>Không</v>
      </c>
      <c r="V760" s="2" t="s">
        <v>32</v>
      </c>
      <c r="W760" s="4">
        <v>46053</v>
      </c>
      <c r="X760" s="8" t="str">
        <f t="shared" si="180"/>
        <v>Tháng 1</v>
      </c>
      <c r="Y760" s="8" t="str">
        <f t="shared" si="181"/>
        <v>Ấp Giồng Giữa B</v>
      </c>
    </row>
    <row r="761" spans="1:25" x14ac:dyDescent="0.25">
      <c r="A761" s="1" t="s">
        <v>1034</v>
      </c>
      <c r="B761" s="2" t="s">
        <v>23</v>
      </c>
      <c r="C761" s="2" t="s">
        <v>84</v>
      </c>
      <c r="D761" s="10">
        <f t="shared" ca="1" si="168"/>
        <v>69</v>
      </c>
      <c r="E761" s="2" t="s">
        <v>26</v>
      </c>
      <c r="F761" s="3">
        <v>168</v>
      </c>
      <c r="G761" s="3">
        <v>68</v>
      </c>
      <c r="H761" s="11">
        <f t="shared" si="169"/>
        <v>24.092970521541954</v>
      </c>
      <c r="I761" s="2">
        <v>68</v>
      </c>
      <c r="J761" s="3">
        <v>140</v>
      </c>
      <c r="K761" s="3">
        <v>80</v>
      </c>
      <c r="L761" s="10">
        <f t="shared" si="170"/>
        <v>0</v>
      </c>
      <c r="M761" s="10">
        <f t="shared" ca="1" si="171"/>
        <v>2</v>
      </c>
      <c r="N761" s="10">
        <f t="shared" si="172"/>
        <v>0</v>
      </c>
      <c r="O761" s="10">
        <f t="shared" si="173"/>
        <v>3</v>
      </c>
      <c r="P761" s="10">
        <f t="shared" si="174"/>
        <v>0</v>
      </c>
      <c r="Q761" s="10">
        <f t="shared" si="175"/>
        <v>2</v>
      </c>
      <c r="R761" s="10">
        <f t="shared" ca="1" si="176"/>
        <v>7</v>
      </c>
      <c r="S761" s="10" t="str">
        <f t="shared" ca="1" si="177"/>
        <v>Có</v>
      </c>
      <c r="T761" s="10" t="str">
        <f t="shared" ca="1" si="178"/>
        <v>Có</v>
      </c>
      <c r="U761" s="10" t="str">
        <f t="shared" si="179"/>
        <v>Có</v>
      </c>
      <c r="V761" s="2" t="s">
        <v>38</v>
      </c>
      <c r="W761" s="4">
        <v>46053</v>
      </c>
      <c r="X761" s="8" t="str">
        <f t="shared" si="180"/>
        <v>Tháng 1</v>
      </c>
      <c r="Y761" s="8" t="str">
        <f t="shared" si="181"/>
        <v>Ấp Biển Đông B</v>
      </c>
    </row>
    <row r="762" spans="1:25" x14ac:dyDescent="0.25">
      <c r="A762" s="1" t="s">
        <v>1035</v>
      </c>
      <c r="B762" s="2" t="s">
        <v>23</v>
      </c>
      <c r="C762" s="2" t="s">
        <v>76</v>
      </c>
      <c r="D762" s="10">
        <f t="shared" ca="1" si="168"/>
        <v>68</v>
      </c>
      <c r="E762" s="2" t="s">
        <v>26</v>
      </c>
      <c r="F762" s="3">
        <v>168</v>
      </c>
      <c r="G762" s="3">
        <v>68</v>
      </c>
      <c r="H762" s="11">
        <f t="shared" si="169"/>
        <v>24.092970521541954</v>
      </c>
      <c r="I762" s="2">
        <v>83</v>
      </c>
      <c r="J762" s="3">
        <v>140</v>
      </c>
      <c r="K762" s="3">
        <v>80</v>
      </c>
      <c r="L762" s="10">
        <f t="shared" si="170"/>
        <v>0</v>
      </c>
      <c r="M762" s="10">
        <f t="shared" ca="1" si="171"/>
        <v>2</v>
      </c>
      <c r="N762" s="10">
        <f t="shared" si="172"/>
        <v>0</v>
      </c>
      <c r="O762" s="10">
        <f t="shared" si="173"/>
        <v>3</v>
      </c>
      <c r="P762" s="10">
        <f t="shared" si="174"/>
        <v>2</v>
      </c>
      <c r="Q762" s="10">
        <f t="shared" si="175"/>
        <v>2</v>
      </c>
      <c r="R762" s="10">
        <f t="shared" ca="1" si="176"/>
        <v>9</v>
      </c>
      <c r="S762" s="10" t="str">
        <f t="shared" ca="1" si="177"/>
        <v>Có</v>
      </c>
      <c r="T762" s="10" t="str">
        <f t="shared" ca="1" si="178"/>
        <v>Có</v>
      </c>
      <c r="U762" s="10" t="str">
        <f t="shared" si="179"/>
        <v>Có</v>
      </c>
      <c r="V762" s="2" t="s">
        <v>32</v>
      </c>
      <c r="W762" s="4">
        <v>46053</v>
      </c>
      <c r="X762" s="8" t="str">
        <f t="shared" si="180"/>
        <v>Tháng 1</v>
      </c>
      <c r="Y762" s="8" t="str">
        <f t="shared" si="181"/>
        <v>Ấp Giồng Giữa B</v>
      </c>
    </row>
    <row r="763" spans="1:25" x14ac:dyDescent="0.25">
      <c r="A763" s="1" t="s">
        <v>1036</v>
      </c>
      <c r="B763" s="2" t="s">
        <v>30</v>
      </c>
      <c r="C763" s="2" t="s">
        <v>67</v>
      </c>
      <c r="D763" s="10">
        <f t="shared" ca="1" si="168"/>
        <v>48</v>
      </c>
      <c r="E763" s="2" t="s">
        <v>26</v>
      </c>
      <c r="F763" s="3">
        <v>180</v>
      </c>
      <c r="G763" s="3">
        <v>90</v>
      </c>
      <c r="H763" s="11">
        <f t="shared" si="169"/>
        <v>27.777777777777775</v>
      </c>
      <c r="I763" s="2">
        <v>99</v>
      </c>
      <c r="J763" s="3">
        <v>120</v>
      </c>
      <c r="K763" s="3">
        <v>70</v>
      </c>
      <c r="L763" s="10">
        <f t="shared" si="170"/>
        <v>2</v>
      </c>
      <c r="M763" s="10">
        <f t="shared" ca="1" si="171"/>
        <v>1</v>
      </c>
      <c r="N763" s="10">
        <f t="shared" si="172"/>
        <v>0</v>
      </c>
      <c r="O763" s="10">
        <f t="shared" si="173"/>
        <v>5</v>
      </c>
      <c r="P763" s="10">
        <f t="shared" si="174"/>
        <v>2</v>
      </c>
      <c r="Q763" s="10">
        <f t="shared" si="175"/>
        <v>0</v>
      </c>
      <c r="R763" s="10">
        <f t="shared" ca="1" si="176"/>
        <v>10</v>
      </c>
      <c r="S763" s="10" t="str">
        <f t="shared" ca="1" si="177"/>
        <v>Có</v>
      </c>
      <c r="T763" s="10" t="str">
        <f t="shared" ca="1" si="178"/>
        <v>Có</v>
      </c>
      <c r="U763" s="10" t="str">
        <f t="shared" si="179"/>
        <v>Không</v>
      </c>
      <c r="V763" s="2" t="s">
        <v>1037</v>
      </c>
      <c r="W763" s="4">
        <v>46053</v>
      </c>
      <c r="X763" s="8" t="str">
        <f t="shared" si="180"/>
        <v>Tháng 1</v>
      </c>
      <c r="Y763" s="8" t="str">
        <f t="shared" si="181"/>
        <v>Khóm giồng nhãn A</v>
      </c>
    </row>
    <row r="764" spans="1:25" x14ac:dyDescent="0.25">
      <c r="A764" s="1" t="s">
        <v>1038</v>
      </c>
      <c r="B764" s="2" t="s">
        <v>23</v>
      </c>
      <c r="C764" s="2" t="s">
        <v>59</v>
      </c>
      <c r="D764" s="10">
        <f t="shared" ca="1" si="168"/>
        <v>74</v>
      </c>
      <c r="E764" s="2" t="s">
        <v>26</v>
      </c>
      <c r="F764" s="3">
        <v>158</v>
      </c>
      <c r="G764" s="3">
        <v>58</v>
      </c>
      <c r="H764" s="11">
        <f t="shared" si="169"/>
        <v>23.233456176894723</v>
      </c>
      <c r="I764" s="2">
        <v>81</v>
      </c>
      <c r="J764" s="3">
        <v>150</v>
      </c>
      <c r="K764" s="3">
        <v>80</v>
      </c>
      <c r="L764" s="10">
        <f t="shared" si="170"/>
        <v>0</v>
      </c>
      <c r="M764" s="10">
        <f t="shared" ca="1" si="171"/>
        <v>2</v>
      </c>
      <c r="N764" s="10">
        <f t="shared" si="172"/>
        <v>0</v>
      </c>
      <c r="O764" s="10">
        <f t="shared" si="173"/>
        <v>3</v>
      </c>
      <c r="P764" s="10">
        <f t="shared" si="174"/>
        <v>2</v>
      </c>
      <c r="Q764" s="10">
        <f t="shared" si="175"/>
        <v>2</v>
      </c>
      <c r="R764" s="10">
        <f t="shared" ca="1" si="176"/>
        <v>9</v>
      </c>
      <c r="S764" s="10" t="str">
        <f t="shared" ca="1" si="177"/>
        <v>Có</v>
      </c>
      <c r="T764" s="10" t="str">
        <f t="shared" ca="1" si="178"/>
        <v>Có</v>
      </c>
      <c r="U764" s="10" t="str">
        <f t="shared" si="179"/>
        <v>Có</v>
      </c>
      <c r="V764" s="2" t="s">
        <v>38</v>
      </c>
      <c r="W764" s="4">
        <v>46053</v>
      </c>
      <c r="X764" s="8" t="str">
        <f t="shared" si="180"/>
        <v>Tháng 1</v>
      </c>
      <c r="Y764" s="8" t="str">
        <f t="shared" si="181"/>
        <v>Ấp Biển Đông B</v>
      </c>
    </row>
    <row r="765" spans="1:25" x14ac:dyDescent="0.25">
      <c r="A765" s="1" t="s">
        <v>1039</v>
      </c>
      <c r="B765" s="2" t="s">
        <v>23</v>
      </c>
      <c r="C765" s="2" t="s">
        <v>34</v>
      </c>
      <c r="D765" s="10">
        <f t="shared" ca="1" si="168"/>
        <v>78</v>
      </c>
      <c r="E765" s="2" t="s">
        <v>26</v>
      </c>
      <c r="F765" s="3">
        <v>158</v>
      </c>
      <c r="G765" s="3">
        <v>58</v>
      </c>
      <c r="H765" s="11">
        <f t="shared" si="169"/>
        <v>23.233456176894723</v>
      </c>
      <c r="I765" s="2">
        <v>66</v>
      </c>
      <c r="J765" s="3">
        <v>130</v>
      </c>
      <c r="K765" s="3">
        <v>80</v>
      </c>
      <c r="L765" s="10">
        <f t="shared" si="170"/>
        <v>0</v>
      </c>
      <c r="M765" s="10">
        <f t="shared" ca="1" si="171"/>
        <v>2</v>
      </c>
      <c r="N765" s="10">
        <f t="shared" si="172"/>
        <v>0</v>
      </c>
      <c r="O765" s="10">
        <f t="shared" si="173"/>
        <v>3</v>
      </c>
      <c r="P765" s="10">
        <f t="shared" si="174"/>
        <v>0</v>
      </c>
      <c r="Q765" s="10">
        <f t="shared" si="175"/>
        <v>0</v>
      </c>
      <c r="R765" s="10">
        <f t="shared" ca="1" si="176"/>
        <v>5</v>
      </c>
      <c r="S765" s="10" t="str">
        <f t="shared" ca="1" si="177"/>
        <v>Không cần</v>
      </c>
      <c r="T765" s="10" t="str">
        <f t="shared" ca="1" si="178"/>
        <v>Không</v>
      </c>
      <c r="U765" s="10" t="str">
        <f t="shared" si="179"/>
        <v>Không</v>
      </c>
      <c r="V765" s="2" t="s">
        <v>70</v>
      </c>
      <c r="W765" s="4">
        <v>46053</v>
      </c>
      <c r="X765" s="8" t="str">
        <f t="shared" si="180"/>
        <v>Tháng 1</v>
      </c>
      <c r="Y765" s="8" t="str">
        <f t="shared" si="181"/>
        <v>Ấp Biển Tây A</v>
      </c>
    </row>
    <row r="766" spans="1:25" x14ac:dyDescent="0.25">
      <c r="A766" s="1" t="s">
        <v>1040</v>
      </c>
      <c r="B766" s="2" t="s">
        <v>30</v>
      </c>
      <c r="C766" s="2" t="s">
        <v>188</v>
      </c>
      <c r="D766" s="10">
        <f t="shared" ca="1" si="168"/>
        <v>63</v>
      </c>
      <c r="E766" s="2" t="s">
        <v>26</v>
      </c>
      <c r="F766" s="3">
        <v>169</v>
      </c>
      <c r="G766" s="3">
        <v>69</v>
      </c>
      <c r="H766" s="11">
        <f t="shared" si="169"/>
        <v>24.158817968558527</v>
      </c>
      <c r="I766" s="2">
        <v>89</v>
      </c>
      <c r="J766" s="3">
        <v>140</v>
      </c>
      <c r="K766" s="3">
        <v>80</v>
      </c>
      <c r="L766" s="10">
        <f t="shared" si="170"/>
        <v>2</v>
      </c>
      <c r="M766" s="10">
        <f t="shared" ca="1" si="171"/>
        <v>2</v>
      </c>
      <c r="N766" s="10">
        <f t="shared" si="172"/>
        <v>0</v>
      </c>
      <c r="O766" s="10">
        <f t="shared" si="173"/>
        <v>3</v>
      </c>
      <c r="P766" s="10">
        <f t="shared" si="174"/>
        <v>0</v>
      </c>
      <c r="Q766" s="10">
        <f t="shared" si="175"/>
        <v>2</v>
      </c>
      <c r="R766" s="10">
        <f t="shared" ca="1" si="176"/>
        <v>9</v>
      </c>
      <c r="S766" s="10" t="str">
        <f t="shared" ca="1" si="177"/>
        <v>Có</v>
      </c>
      <c r="T766" s="10" t="str">
        <f t="shared" ca="1" si="178"/>
        <v>Có</v>
      </c>
      <c r="U766" s="10" t="str">
        <f t="shared" si="179"/>
        <v>Có</v>
      </c>
      <c r="V766" s="2" t="s">
        <v>70</v>
      </c>
      <c r="W766" s="4">
        <v>46053</v>
      </c>
      <c r="X766" s="8" t="str">
        <f t="shared" si="180"/>
        <v>Tháng 1</v>
      </c>
      <c r="Y766" s="8" t="str">
        <f t="shared" si="181"/>
        <v>Ấp Biển Tây A</v>
      </c>
    </row>
    <row r="767" spans="1:25" x14ac:dyDescent="0.25">
      <c r="A767" s="23" t="s">
        <v>1060</v>
      </c>
      <c r="B767" s="20" t="s">
        <v>23</v>
      </c>
      <c r="C767" s="16">
        <v>23012</v>
      </c>
      <c r="D767" s="10">
        <f t="shared" ca="1" si="168"/>
        <v>63</v>
      </c>
      <c r="E767" s="2" t="s">
        <v>25</v>
      </c>
      <c r="F767" s="3">
        <v>160</v>
      </c>
      <c r="G767" s="3">
        <v>49</v>
      </c>
      <c r="H767" s="11">
        <f t="shared" si="169"/>
        <v>19.140624999999996</v>
      </c>
      <c r="I767" s="2">
        <v>86</v>
      </c>
      <c r="J767" s="3">
        <v>120</v>
      </c>
      <c r="K767" s="3">
        <v>80</v>
      </c>
      <c r="L767" s="10">
        <f t="shared" si="170"/>
        <v>0</v>
      </c>
      <c r="M767" s="10">
        <f t="shared" ca="1" si="171"/>
        <v>2</v>
      </c>
      <c r="N767" s="10">
        <f t="shared" si="172"/>
        <v>4</v>
      </c>
      <c r="O767" s="10">
        <f t="shared" si="173"/>
        <v>0</v>
      </c>
      <c r="P767" s="10">
        <f t="shared" si="174"/>
        <v>2</v>
      </c>
      <c r="Q767" s="10">
        <f t="shared" si="175"/>
        <v>0</v>
      </c>
      <c r="R767" s="10">
        <f t="shared" ca="1" si="176"/>
        <v>8</v>
      </c>
      <c r="S767" s="10" t="str">
        <f t="shared" ca="1" si="177"/>
        <v>Có</v>
      </c>
      <c r="T767" s="10" t="str">
        <f t="shared" ca="1" si="178"/>
        <v>Có</v>
      </c>
      <c r="U767" s="10" t="str">
        <f t="shared" si="179"/>
        <v>Không</v>
      </c>
      <c r="V767" s="2" t="s">
        <v>51</v>
      </c>
      <c r="W767" s="4">
        <v>46081</v>
      </c>
      <c r="X767" s="8" t="str">
        <f t="shared" si="180"/>
        <v>Tháng 2</v>
      </c>
      <c r="Y767" s="17" t="s">
        <v>1376</v>
      </c>
    </row>
    <row r="768" spans="1:25" x14ac:dyDescent="0.25">
      <c r="A768" s="23" t="s">
        <v>1061</v>
      </c>
      <c r="B768" s="20" t="s">
        <v>23</v>
      </c>
      <c r="C768" s="16">
        <v>23377</v>
      </c>
      <c r="D768" s="10">
        <f t="shared" ca="1" si="168"/>
        <v>62</v>
      </c>
      <c r="E768" s="2" t="s">
        <v>25</v>
      </c>
      <c r="F768" s="3">
        <v>158</v>
      </c>
      <c r="G768" s="3">
        <v>58</v>
      </c>
      <c r="H768" s="11">
        <f t="shared" si="169"/>
        <v>23.233456176894723</v>
      </c>
      <c r="I768" s="2">
        <v>65</v>
      </c>
      <c r="J768" s="3">
        <v>130</v>
      </c>
      <c r="K768" s="3">
        <v>80</v>
      </c>
      <c r="L768" s="10">
        <f t="shared" si="170"/>
        <v>0</v>
      </c>
      <c r="M768" s="10">
        <f t="shared" ca="1" si="171"/>
        <v>2</v>
      </c>
      <c r="N768" s="10">
        <f t="shared" si="172"/>
        <v>4</v>
      </c>
      <c r="O768" s="10">
        <f t="shared" si="173"/>
        <v>3</v>
      </c>
      <c r="P768" s="10">
        <f t="shared" si="174"/>
        <v>0</v>
      </c>
      <c r="Q768" s="10">
        <f t="shared" si="175"/>
        <v>0</v>
      </c>
      <c r="R768" s="10">
        <f t="shared" ca="1" si="176"/>
        <v>9</v>
      </c>
      <c r="S768" s="10" t="str">
        <f t="shared" ca="1" si="177"/>
        <v>Có</v>
      </c>
      <c r="T768" s="10" t="str">
        <f t="shared" ca="1" si="178"/>
        <v>Có</v>
      </c>
      <c r="U768" s="10" t="str">
        <f t="shared" si="179"/>
        <v>Không</v>
      </c>
      <c r="V768" s="2" t="s">
        <v>51</v>
      </c>
      <c r="W768" s="4">
        <v>46081</v>
      </c>
      <c r="X768" s="8" t="str">
        <f t="shared" si="180"/>
        <v>Tháng 2</v>
      </c>
      <c r="Y768" s="17" t="s">
        <v>1376</v>
      </c>
    </row>
    <row r="769" spans="1:25" x14ac:dyDescent="0.25">
      <c r="A769" s="23" t="s">
        <v>1063</v>
      </c>
      <c r="B769" s="20" t="s">
        <v>30</v>
      </c>
      <c r="C769" s="16">
        <v>24838</v>
      </c>
      <c r="D769" s="10">
        <f t="shared" ca="1" si="168"/>
        <v>58</v>
      </c>
      <c r="E769" s="2" t="s">
        <v>25</v>
      </c>
      <c r="F769" s="3">
        <v>163</v>
      </c>
      <c r="G769" s="3">
        <v>54</v>
      </c>
      <c r="H769" s="11">
        <f t="shared" si="169"/>
        <v>20.324438255109339</v>
      </c>
      <c r="I769" s="2">
        <v>100</v>
      </c>
      <c r="J769" s="3">
        <v>150</v>
      </c>
      <c r="K769" s="3">
        <v>80</v>
      </c>
      <c r="L769" s="10">
        <f t="shared" si="170"/>
        <v>2</v>
      </c>
      <c r="M769" s="10">
        <f t="shared" ca="1" si="171"/>
        <v>2</v>
      </c>
      <c r="N769" s="10">
        <f t="shared" si="172"/>
        <v>4</v>
      </c>
      <c r="O769" s="10">
        <f t="shared" si="173"/>
        <v>0</v>
      </c>
      <c r="P769" s="10">
        <f t="shared" si="174"/>
        <v>2</v>
      </c>
      <c r="Q769" s="10">
        <f t="shared" si="175"/>
        <v>2</v>
      </c>
      <c r="R769" s="10">
        <f t="shared" ca="1" si="176"/>
        <v>12</v>
      </c>
      <c r="S769" s="10" t="str">
        <f t="shared" ca="1" si="177"/>
        <v>Có</v>
      </c>
      <c r="T769" s="10" t="str">
        <f t="shared" ca="1" si="178"/>
        <v>Có</v>
      </c>
      <c r="U769" s="10" t="str">
        <f t="shared" si="179"/>
        <v>Có</v>
      </c>
      <c r="V769" s="2" t="s">
        <v>51</v>
      </c>
      <c r="W769" s="4">
        <v>46053</v>
      </c>
      <c r="X769" s="8" t="str">
        <f t="shared" si="180"/>
        <v>Tháng 1</v>
      </c>
      <c r="Y769" s="17" t="s">
        <v>1376</v>
      </c>
    </row>
    <row r="770" spans="1:25" x14ac:dyDescent="0.25">
      <c r="A770" s="23" t="s">
        <v>1066</v>
      </c>
      <c r="B770" s="20" t="s">
        <v>30</v>
      </c>
      <c r="C770" s="16">
        <v>19725</v>
      </c>
      <c r="D770" s="10">
        <f t="shared" ca="1" si="168"/>
        <v>72</v>
      </c>
      <c r="E770" s="2" t="s">
        <v>25</v>
      </c>
      <c r="F770" s="3">
        <v>158</v>
      </c>
      <c r="G770" s="3">
        <v>58</v>
      </c>
      <c r="H770" s="11">
        <f t="shared" si="169"/>
        <v>23.233456176894723</v>
      </c>
      <c r="I770" s="2">
        <v>85</v>
      </c>
      <c r="J770" s="3">
        <v>120</v>
      </c>
      <c r="K770" s="3">
        <v>80</v>
      </c>
      <c r="L770" s="10">
        <f t="shared" si="170"/>
        <v>2</v>
      </c>
      <c r="M770" s="10">
        <f t="shared" ca="1" si="171"/>
        <v>2</v>
      </c>
      <c r="N770" s="10">
        <f t="shared" si="172"/>
        <v>4</v>
      </c>
      <c r="O770" s="10">
        <f t="shared" si="173"/>
        <v>3</v>
      </c>
      <c r="P770" s="10">
        <f t="shared" si="174"/>
        <v>0</v>
      </c>
      <c r="Q770" s="10">
        <f t="shared" si="175"/>
        <v>0</v>
      </c>
      <c r="R770" s="10">
        <f t="shared" ca="1" si="176"/>
        <v>11</v>
      </c>
      <c r="S770" s="10" t="str">
        <f t="shared" ca="1" si="177"/>
        <v>Có</v>
      </c>
      <c r="T770" s="10" t="str">
        <f t="shared" ca="1" si="178"/>
        <v>Có</v>
      </c>
      <c r="U770" s="10" t="str">
        <f t="shared" si="179"/>
        <v>Không</v>
      </c>
      <c r="V770" s="2" t="s">
        <v>51</v>
      </c>
      <c r="W770" s="4">
        <v>46081</v>
      </c>
      <c r="X770" s="8" t="str">
        <f t="shared" si="180"/>
        <v>Tháng 2</v>
      </c>
      <c r="Y770" s="17" t="s">
        <v>1376</v>
      </c>
    </row>
    <row r="771" spans="1:25" x14ac:dyDescent="0.25">
      <c r="A771" s="23" t="s">
        <v>1068</v>
      </c>
      <c r="B771" s="20" t="s">
        <v>23</v>
      </c>
      <c r="C771" s="16">
        <v>17899</v>
      </c>
      <c r="D771" s="10">
        <f t="shared" ca="1" si="168"/>
        <v>77</v>
      </c>
      <c r="E771" s="2" t="s">
        <v>26</v>
      </c>
      <c r="F771" s="3">
        <v>162</v>
      </c>
      <c r="G771" s="3">
        <v>64</v>
      </c>
      <c r="H771" s="11">
        <f t="shared" si="169"/>
        <v>24.386526444139609</v>
      </c>
      <c r="I771" s="2">
        <v>67</v>
      </c>
      <c r="J771" s="3">
        <v>140</v>
      </c>
      <c r="K771" s="3">
        <v>80</v>
      </c>
      <c r="L771" s="10">
        <f t="shared" si="170"/>
        <v>0</v>
      </c>
      <c r="M771" s="10">
        <f t="shared" ca="1" si="171"/>
        <v>2</v>
      </c>
      <c r="N771" s="10">
        <f t="shared" si="172"/>
        <v>0</v>
      </c>
      <c r="O771" s="10">
        <f t="shared" si="173"/>
        <v>3</v>
      </c>
      <c r="P771" s="10">
        <f t="shared" si="174"/>
        <v>0</v>
      </c>
      <c r="Q771" s="10">
        <f t="shared" si="175"/>
        <v>2</v>
      </c>
      <c r="R771" s="10">
        <f t="shared" ca="1" si="176"/>
        <v>7</v>
      </c>
      <c r="S771" s="10" t="str">
        <f t="shared" ca="1" si="177"/>
        <v>Có</v>
      </c>
      <c r="T771" s="10" t="str">
        <f t="shared" ca="1" si="178"/>
        <v>Có</v>
      </c>
      <c r="U771" s="10" t="str">
        <f t="shared" si="179"/>
        <v>Có</v>
      </c>
      <c r="V771" s="2" t="s">
        <v>51</v>
      </c>
      <c r="W771" s="4">
        <v>46081</v>
      </c>
      <c r="X771" s="8" t="str">
        <f t="shared" si="180"/>
        <v>Tháng 2</v>
      </c>
      <c r="Y771" s="17" t="s">
        <v>1376</v>
      </c>
    </row>
    <row r="772" spans="1:25" x14ac:dyDescent="0.25">
      <c r="A772" s="23" t="s">
        <v>1069</v>
      </c>
      <c r="B772" s="20" t="s">
        <v>23</v>
      </c>
      <c r="C772" s="16">
        <v>20821</v>
      </c>
      <c r="D772" s="10">
        <f t="shared" ref="D772:D796" ca="1" si="182">DATEDIF(C772,TODAY(),"Y")</f>
        <v>69</v>
      </c>
      <c r="E772" s="2" t="s">
        <v>26</v>
      </c>
      <c r="F772" s="3">
        <v>158</v>
      </c>
      <c r="G772" s="3">
        <v>58</v>
      </c>
      <c r="H772" s="11">
        <f t="shared" ref="H772:H796" si="183">G772/((F772/100)*(F772/100))</f>
        <v>23.233456176894723</v>
      </c>
      <c r="I772" s="2">
        <v>72</v>
      </c>
      <c r="J772" s="3">
        <v>120</v>
      </c>
      <c r="K772" s="3">
        <v>80</v>
      </c>
      <c r="L772" s="10">
        <f t="shared" ref="L772:L796" si="184">IF(B772="Nữ",0,2)</f>
        <v>0</v>
      </c>
      <c r="M772" s="10">
        <f t="shared" ref="M772:M796" ca="1" si="185">IF(D772&lt;45,0,IF(D772&lt;=49,1,2))</f>
        <v>2</v>
      </c>
      <c r="N772" s="10">
        <f t="shared" ref="N772:N796" si="186">IF(E772="Có",4,0)</f>
        <v>0</v>
      </c>
      <c r="O772" s="10">
        <f t="shared" ref="O772:O796" si="187">IF(H772&lt;23,0,IF(H772&lt;27.5,3,5))</f>
        <v>3</v>
      </c>
      <c r="P772" s="10">
        <f t="shared" ref="P772:P796" si="188">IF(OR(AND(B772="Nam",I772&gt;=90),AND(B772="Nữ",I772&gt;=80)),2,0)</f>
        <v>0</v>
      </c>
      <c r="Q772" s="10">
        <f t="shared" ref="Q772:Q796" si="189">IF(OR(J772&gt;=140,K772&gt;=90),2,0)</f>
        <v>0</v>
      </c>
      <c r="R772" s="10">
        <f t="shared" ref="R772:R796" ca="1" si="190">SUM(L772:Q772)</f>
        <v>5</v>
      </c>
      <c r="S772" s="10" t="str">
        <f t="shared" ref="S772:S796" ca="1" si="191">IF((R772)&gt;=6,"Có","Không cần")</f>
        <v>Không cần</v>
      </c>
      <c r="T772" s="10" t="str">
        <f t="shared" ref="T772:T796" ca="1" si="192">IF((R772)&gt;=6,"Có","Không")</f>
        <v>Không</v>
      </c>
      <c r="U772" s="10" t="str">
        <f t="shared" ref="U772:U796" si="193">IF(OR(J772&gt;=140,K772&gt;=90),"Có","Không")</f>
        <v>Không</v>
      </c>
      <c r="V772" s="2" t="s">
        <v>51</v>
      </c>
      <c r="W772" s="4">
        <v>46081</v>
      </c>
      <c r="X772" s="8" t="str">
        <f t="shared" ref="X772:X796" si="194">"Tháng "&amp;MONTH(W772)</f>
        <v>Tháng 2</v>
      </c>
      <c r="Y772" s="17" t="s">
        <v>1376</v>
      </c>
    </row>
    <row r="773" spans="1:25" x14ac:dyDescent="0.25">
      <c r="A773" s="23" t="s">
        <v>1071</v>
      </c>
      <c r="B773" s="20" t="s">
        <v>23</v>
      </c>
      <c r="C773" s="16">
        <v>22647</v>
      </c>
      <c r="D773" s="10">
        <f t="shared" ca="1" si="182"/>
        <v>64</v>
      </c>
      <c r="E773" s="2" t="s">
        <v>26</v>
      </c>
      <c r="F773" s="3">
        <v>160</v>
      </c>
      <c r="G773" s="3">
        <v>49</v>
      </c>
      <c r="H773" s="11">
        <f t="shared" si="183"/>
        <v>19.140624999999996</v>
      </c>
      <c r="I773" s="2">
        <v>96</v>
      </c>
      <c r="J773" s="3">
        <v>130</v>
      </c>
      <c r="K773" s="3">
        <v>80</v>
      </c>
      <c r="L773" s="10">
        <f t="shared" si="184"/>
        <v>0</v>
      </c>
      <c r="M773" s="10">
        <f t="shared" ca="1" si="185"/>
        <v>2</v>
      </c>
      <c r="N773" s="10">
        <f t="shared" si="186"/>
        <v>0</v>
      </c>
      <c r="O773" s="10">
        <f t="shared" si="187"/>
        <v>0</v>
      </c>
      <c r="P773" s="10">
        <f t="shared" si="188"/>
        <v>2</v>
      </c>
      <c r="Q773" s="10">
        <f t="shared" si="189"/>
        <v>0</v>
      </c>
      <c r="R773" s="10">
        <f t="shared" ca="1" si="190"/>
        <v>4</v>
      </c>
      <c r="S773" s="10" t="str">
        <f t="shared" ca="1" si="191"/>
        <v>Không cần</v>
      </c>
      <c r="T773" s="10" t="str">
        <f t="shared" ca="1" si="192"/>
        <v>Không</v>
      </c>
      <c r="U773" s="10" t="str">
        <f t="shared" si="193"/>
        <v>Không</v>
      </c>
      <c r="V773" s="2" t="s">
        <v>51</v>
      </c>
      <c r="W773" s="4">
        <v>46081</v>
      </c>
      <c r="X773" s="8" t="str">
        <f t="shared" si="194"/>
        <v>Tháng 2</v>
      </c>
      <c r="Y773" s="17" t="s">
        <v>1376</v>
      </c>
    </row>
    <row r="774" spans="1:25" x14ac:dyDescent="0.25">
      <c r="A774" s="23" t="s">
        <v>1072</v>
      </c>
      <c r="B774" s="20" t="s">
        <v>23</v>
      </c>
      <c r="C774" s="16">
        <v>21551</v>
      </c>
      <c r="D774" s="10">
        <f t="shared" ca="1" si="182"/>
        <v>67</v>
      </c>
      <c r="E774" s="2" t="s">
        <v>26</v>
      </c>
      <c r="F774" s="3">
        <v>150</v>
      </c>
      <c r="G774" s="3">
        <v>60</v>
      </c>
      <c r="H774" s="11">
        <f t="shared" si="183"/>
        <v>26.666666666666668</v>
      </c>
      <c r="I774" s="2">
        <v>97</v>
      </c>
      <c r="J774" s="3">
        <v>120</v>
      </c>
      <c r="K774" s="3">
        <v>80</v>
      </c>
      <c r="L774" s="10">
        <f t="shared" si="184"/>
        <v>0</v>
      </c>
      <c r="M774" s="10">
        <f t="shared" ca="1" si="185"/>
        <v>2</v>
      </c>
      <c r="N774" s="10">
        <f t="shared" si="186"/>
        <v>0</v>
      </c>
      <c r="O774" s="10">
        <f t="shared" si="187"/>
        <v>3</v>
      </c>
      <c r="P774" s="10">
        <f t="shared" si="188"/>
        <v>2</v>
      </c>
      <c r="Q774" s="10">
        <f t="shared" si="189"/>
        <v>0</v>
      </c>
      <c r="R774" s="10">
        <f t="shared" ca="1" si="190"/>
        <v>7</v>
      </c>
      <c r="S774" s="10" t="str">
        <f t="shared" ca="1" si="191"/>
        <v>Có</v>
      </c>
      <c r="T774" s="10" t="str">
        <f t="shared" ca="1" si="192"/>
        <v>Có</v>
      </c>
      <c r="U774" s="10" t="str">
        <f t="shared" si="193"/>
        <v>Không</v>
      </c>
      <c r="V774" s="2" t="s">
        <v>51</v>
      </c>
      <c r="W774" s="4">
        <v>46053</v>
      </c>
      <c r="X774" s="8" t="str">
        <f t="shared" si="194"/>
        <v>Tháng 1</v>
      </c>
      <c r="Y774" s="17" t="s">
        <v>1376</v>
      </c>
    </row>
    <row r="775" spans="1:25" x14ac:dyDescent="0.25">
      <c r="A775" s="23" t="s">
        <v>1073</v>
      </c>
      <c r="B775" s="20" t="s">
        <v>30</v>
      </c>
      <c r="C775" s="16">
        <v>23377</v>
      </c>
      <c r="D775" s="10">
        <f t="shared" ca="1" si="182"/>
        <v>62</v>
      </c>
      <c r="E775" s="2" t="s">
        <v>25</v>
      </c>
      <c r="F775" s="3">
        <v>158</v>
      </c>
      <c r="G775" s="3">
        <v>58</v>
      </c>
      <c r="H775" s="11">
        <f t="shared" si="183"/>
        <v>23.233456176894723</v>
      </c>
      <c r="I775" s="2">
        <v>86</v>
      </c>
      <c r="J775" s="3">
        <v>130</v>
      </c>
      <c r="K775" s="3">
        <v>80</v>
      </c>
      <c r="L775" s="10">
        <f t="shared" si="184"/>
        <v>2</v>
      </c>
      <c r="M775" s="10">
        <f t="shared" ca="1" si="185"/>
        <v>2</v>
      </c>
      <c r="N775" s="10">
        <f t="shared" si="186"/>
        <v>4</v>
      </c>
      <c r="O775" s="10">
        <f t="shared" si="187"/>
        <v>3</v>
      </c>
      <c r="P775" s="10">
        <f t="shared" si="188"/>
        <v>0</v>
      </c>
      <c r="Q775" s="10">
        <f t="shared" si="189"/>
        <v>0</v>
      </c>
      <c r="R775" s="10">
        <f t="shared" ca="1" si="190"/>
        <v>11</v>
      </c>
      <c r="S775" s="10" t="str">
        <f t="shared" ca="1" si="191"/>
        <v>Có</v>
      </c>
      <c r="T775" s="10" t="str">
        <f t="shared" ca="1" si="192"/>
        <v>Có</v>
      </c>
      <c r="U775" s="10" t="str">
        <f t="shared" si="193"/>
        <v>Không</v>
      </c>
      <c r="V775" s="2" t="s">
        <v>51</v>
      </c>
      <c r="W775" s="4">
        <v>46081</v>
      </c>
      <c r="X775" s="8" t="str">
        <f t="shared" si="194"/>
        <v>Tháng 2</v>
      </c>
      <c r="Y775" s="17" t="s">
        <v>1376</v>
      </c>
    </row>
    <row r="776" spans="1:25" x14ac:dyDescent="0.25">
      <c r="A776" s="23" t="s">
        <v>1075</v>
      </c>
      <c r="B776" s="20" t="s">
        <v>30</v>
      </c>
      <c r="C776" s="16">
        <v>24473</v>
      </c>
      <c r="D776" s="10">
        <f t="shared" ca="1" si="182"/>
        <v>59</v>
      </c>
      <c r="E776" s="2" t="s">
        <v>26</v>
      </c>
      <c r="F776" s="3">
        <v>163</v>
      </c>
      <c r="G776" s="3">
        <v>54</v>
      </c>
      <c r="H776" s="11">
        <f t="shared" si="183"/>
        <v>20.324438255109339</v>
      </c>
      <c r="I776" s="2">
        <v>82</v>
      </c>
      <c r="J776" s="3">
        <v>130</v>
      </c>
      <c r="K776" s="3">
        <v>80</v>
      </c>
      <c r="L776" s="10">
        <f t="shared" si="184"/>
        <v>2</v>
      </c>
      <c r="M776" s="10">
        <f t="shared" ca="1" si="185"/>
        <v>2</v>
      </c>
      <c r="N776" s="10">
        <f t="shared" si="186"/>
        <v>0</v>
      </c>
      <c r="O776" s="10">
        <f t="shared" si="187"/>
        <v>0</v>
      </c>
      <c r="P776" s="10">
        <f t="shared" si="188"/>
        <v>0</v>
      </c>
      <c r="Q776" s="10">
        <f t="shared" si="189"/>
        <v>0</v>
      </c>
      <c r="R776" s="10">
        <f t="shared" ca="1" si="190"/>
        <v>4</v>
      </c>
      <c r="S776" s="10" t="str">
        <f t="shared" ca="1" si="191"/>
        <v>Không cần</v>
      </c>
      <c r="T776" s="10" t="str">
        <f t="shared" ca="1" si="192"/>
        <v>Không</v>
      </c>
      <c r="U776" s="10" t="str">
        <f t="shared" si="193"/>
        <v>Không</v>
      </c>
      <c r="V776" s="2" t="s">
        <v>51</v>
      </c>
      <c r="W776" s="4">
        <v>46053</v>
      </c>
      <c r="X776" s="8" t="str">
        <f t="shared" si="194"/>
        <v>Tháng 1</v>
      </c>
      <c r="Y776" s="17" t="s">
        <v>1376</v>
      </c>
    </row>
    <row r="777" spans="1:25" x14ac:dyDescent="0.25">
      <c r="A777" s="23" t="s">
        <v>1031</v>
      </c>
      <c r="B777" s="20" t="s">
        <v>23</v>
      </c>
      <c r="C777" s="16">
        <v>26299</v>
      </c>
      <c r="D777" s="10">
        <f t="shared" ca="1" si="182"/>
        <v>54</v>
      </c>
      <c r="E777" s="2" t="s">
        <v>25</v>
      </c>
      <c r="F777" s="3">
        <v>158</v>
      </c>
      <c r="G777" s="3">
        <v>58</v>
      </c>
      <c r="H777" s="11">
        <f t="shared" si="183"/>
        <v>23.233456176894723</v>
      </c>
      <c r="I777" s="2">
        <v>88</v>
      </c>
      <c r="J777" s="3">
        <v>140</v>
      </c>
      <c r="K777" s="3">
        <v>80</v>
      </c>
      <c r="L777" s="10">
        <f t="shared" si="184"/>
        <v>0</v>
      </c>
      <c r="M777" s="10">
        <f t="shared" ca="1" si="185"/>
        <v>2</v>
      </c>
      <c r="N777" s="10">
        <f t="shared" si="186"/>
        <v>4</v>
      </c>
      <c r="O777" s="10">
        <f t="shared" si="187"/>
        <v>3</v>
      </c>
      <c r="P777" s="10">
        <f t="shared" si="188"/>
        <v>2</v>
      </c>
      <c r="Q777" s="10">
        <f t="shared" si="189"/>
        <v>2</v>
      </c>
      <c r="R777" s="10">
        <f t="shared" ca="1" si="190"/>
        <v>13</v>
      </c>
      <c r="S777" s="10" t="str">
        <f t="shared" ca="1" si="191"/>
        <v>Có</v>
      </c>
      <c r="T777" s="10" t="str">
        <f t="shared" ca="1" si="192"/>
        <v>Có</v>
      </c>
      <c r="U777" s="10" t="str">
        <f t="shared" si="193"/>
        <v>Có</v>
      </c>
      <c r="V777" s="2" t="s">
        <v>51</v>
      </c>
      <c r="W777" s="4">
        <v>46081</v>
      </c>
      <c r="X777" s="8" t="str">
        <f t="shared" si="194"/>
        <v>Tháng 2</v>
      </c>
      <c r="Y777" s="17" t="s">
        <v>1376</v>
      </c>
    </row>
    <row r="778" spans="1:25" x14ac:dyDescent="0.25">
      <c r="A778" s="23" t="s">
        <v>1076</v>
      </c>
      <c r="B778" s="20" t="s">
        <v>23</v>
      </c>
      <c r="C778" s="16">
        <v>24473</v>
      </c>
      <c r="D778" s="10">
        <f t="shared" ca="1" si="182"/>
        <v>59</v>
      </c>
      <c r="E778" s="2" t="s">
        <v>26</v>
      </c>
      <c r="F778" s="3">
        <v>169</v>
      </c>
      <c r="G778" s="3">
        <v>68</v>
      </c>
      <c r="H778" s="11">
        <f t="shared" si="183"/>
        <v>23.808690171912751</v>
      </c>
      <c r="I778" s="2">
        <v>76</v>
      </c>
      <c r="J778" s="3">
        <v>120</v>
      </c>
      <c r="K778" s="3">
        <v>80</v>
      </c>
      <c r="L778" s="10">
        <f t="shared" si="184"/>
        <v>0</v>
      </c>
      <c r="M778" s="10">
        <f t="shared" ca="1" si="185"/>
        <v>2</v>
      </c>
      <c r="N778" s="10">
        <f t="shared" si="186"/>
        <v>0</v>
      </c>
      <c r="O778" s="10">
        <f t="shared" si="187"/>
        <v>3</v>
      </c>
      <c r="P778" s="10">
        <f t="shared" si="188"/>
        <v>0</v>
      </c>
      <c r="Q778" s="10">
        <f t="shared" si="189"/>
        <v>0</v>
      </c>
      <c r="R778" s="10">
        <f t="shared" ca="1" si="190"/>
        <v>5</v>
      </c>
      <c r="S778" s="10" t="str">
        <f t="shared" ca="1" si="191"/>
        <v>Không cần</v>
      </c>
      <c r="T778" s="10" t="str">
        <f t="shared" ca="1" si="192"/>
        <v>Không</v>
      </c>
      <c r="U778" s="10" t="str">
        <f t="shared" si="193"/>
        <v>Không</v>
      </c>
      <c r="V778" s="2" t="s">
        <v>51</v>
      </c>
      <c r="W778" s="4">
        <v>46053</v>
      </c>
      <c r="X778" s="8" t="str">
        <f t="shared" si="194"/>
        <v>Tháng 1</v>
      </c>
      <c r="Y778" s="17" t="s">
        <v>1376</v>
      </c>
    </row>
    <row r="779" spans="1:25" x14ac:dyDescent="0.25">
      <c r="A779" s="23" t="s">
        <v>1078</v>
      </c>
      <c r="B779" s="20" t="s">
        <v>23</v>
      </c>
      <c r="C779" s="16">
        <v>27760</v>
      </c>
      <c r="D779" s="10">
        <f t="shared" ca="1" si="182"/>
        <v>50</v>
      </c>
      <c r="E779" s="2" t="s">
        <v>26</v>
      </c>
      <c r="F779" s="3">
        <v>158</v>
      </c>
      <c r="G779" s="3">
        <v>58</v>
      </c>
      <c r="H779" s="11">
        <f t="shared" si="183"/>
        <v>23.233456176894723</v>
      </c>
      <c r="I779" s="2">
        <v>89</v>
      </c>
      <c r="J779" s="3">
        <v>130</v>
      </c>
      <c r="K779" s="3">
        <v>80</v>
      </c>
      <c r="L779" s="10">
        <f t="shared" si="184"/>
        <v>0</v>
      </c>
      <c r="M779" s="10">
        <f t="shared" ca="1" si="185"/>
        <v>2</v>
      </c>
      <c r="N779" s="10">
        <f t="shared" si="186"/>
        <v>0</v>
      </c>
      <c r="O779" s="10">
        <f t="shared" si="187"/>
        <v>3</v>
      </c>
      <c r="P779" s="10">
        <f t="shared" si="188"/>
        <v>2</v>
      </c>
      <c r="Q779" s="10">
        <f t="shared" si="189"/>
        <v>0</v>
      </c>
      <c r="R779" s="10">
        <f t="shared" ca="1" si="190"/>
        <v>7</v>
      </c>
      <c r="S779" s="10" t="str">
        <f t="shared" ca="1" si="191"/>
        <v>Có</v>
      </c>
      <c r="T779" s="10" t="str">
        <f t="shared" ca="1" si="192"/>
        <v>Có</v>
      </c>
      <c r="U779" s="10" t="str">
        <f t="shared" si="193"/>
        <v>Không</v>
      </c>
      <c r="V779" s="2" t="s">
        <v>51</v>
      </c>
      <c r="W779" s="4">
        <v>46053</v>
      </c>
      <c r="X779" s="8" t="str">
        <f t="shared" si="194"/>
        <v>Tháng 1</v>
      </c>
      <c r="Y779" s="17" t="s">
        <v>1376</v>
      </c>
    </row>
    <row r="780" spans="1:25" x14ac:dyDescent="0.25">
      <c r="A780" s="23" t="s">
        <v>1079</v>
      </c>
      <c r="B780" s="20" t="s">
        <v>30</v>
      </c>
      <c r="C780" s="16">
        <v>23743</v>
      </c>
      <c r="D780" s="10">
        <f t="shared" ca="1" si="182"/>
        <v>61</v>
      </c>
      <c r="E780" s="2" t="s">
        <v>26</v>
      </c>
      <c r="F780" s="3">
        <v>160</v>
      </c>
      <c r="G780" s="3">
        <v>70</v>
      </c>
      <c r="H780" s="11">
        <f t="shared" si="183"/>
        <v>27.343749999999996</v>
      </c>
      <c r="I780" s="2">
        <v>81</v>
      </c>
      <c r="J780" s="3">
        <v>140</v>
      </c>
      <c r="K780" s="3">
        <v>80</v>
      </c>
      <c r="L780" s="10">
        <f t="shared" si="184"/>
        <v>2</v>
      </c>
      <c r="M780" s="10">
        <f t="shared" ca="1" si="185"/>
        <v>2</v>
      </c>
      <c r="N780" s="10">
        <f t="shared" si="186"/>
        <v>0</v>
      </c>
      <c r="O780" s="10">
        <f t="shared" si="187"/>
        <v>3</v>
      </c>
      <c r="P780" s="10">
        <f t="shared" si="188"/>
        <v>0</v>
      </c>
      <c r="Q780" s="10">
        <f t="shared" si="189"/>
        <v>2</v>
      </c>
      <c r="R780" s="10">
        <f t="shared" ca="1" si="190"/>
        <v>9</v>
      </c>
      <c r="S780" s="10" t="str">
        <f t="shared" ca="1" si="191"/>
        <v>Có</v>
      </c>
      <c r="T780" s="10" t="str">
        <f t="shared" ca="1" si="192"/>
        <v>Có</v>
      </c>
      <c r="U780" s="10" t="str">
        <f t="shared" si="193"/>
        <v>Có</v>
      </c>
      <c r="V780" s="2" t="s">
        <v>51</v>
      </c>
      <c r="W780" s="4">
        <v>46053</v>
      </c>
      <c r="X780" s="8" t="str">
        <f t="shared" si="194"/>
        <v>Tháng 1</v>
      </c>
      <c r="Y780" s="17" t="s">
        <v>1376</v>
      </c>
    </row>
    <row r="781" spans="1:25" x14ac:dyDescent="0.25">
      <c r="A781" s="23" t="s">
        <v>1080</v>
      </c>
      <c r="B781" s="20" t="s">
        <v>30</v>
      </c>
      <c r="C781" s="16">
        <v>22282</v>
      </c>
      <c r="D781" s="10">
        <f t="shared" ca="1" si="182"/>
        <v>65</v>
      </c>
      <c r="E781" s="2" t="s">
        <v>26</v>
      </c>
      <c r="F781" s="3">
        <v>156</v>
      </c>
      <c r="G781" s="3">
        <v>53</v>
      </c>
      <c r="H781" s="11">
        <f t="shared" si="183"/>
        <v>21.7784352399737</v>
      </c>
      <c r="I781" s="2">
        <v>80</v>
      </c>
      <c r="J781" s="3">
        <v>120</v>
      </c>
      <c r="K781" s="3">
        <v>80</v>
      </c>
      <c r="L781" s="10">
        <f t="shared" si="184"/>
        <v>2</v>
      </c>
      <c r="M781" s="10">
        <f t="shared" ca="1" si="185"/>
        <v>2</v>
      </c>
      <c r="N781" s="10">
        <f t="shared" si="186"/>
        <v>0</v>
      </c>
      <c r="O781" s="10">
        <f t="shared" si="187"/>
        <v>0</v>
      </c>
      <c r="P781" s="10">
        <f t="shared" si="188"/>
        <v>0</v>
      </c>
      <c r="Q781" s="10">
        <f t="shared" si="189"/>
        <v>0</v>
      </c>
      <c r="R781" s="10">
        <f t="shared" ca="1" si="190"/>
        <v>4</v>
      </c>
      <c r="S781" s="10" t="str">
        <f t="shared" ca="1" si="191"/>
        <v>Không cần</v>
      </c>
      <c r="T781" s="10" t="str">
        <f t="shared" ca="1" si="192"/>
        <v>Không</v>
      </c>
      <c r="U781" s="10" t="str">
        <f t="shared" si="193"/>
        <v>Không</v>
      </c>
      <c r="V781" s="2" t="s">
        <v>51</v>
      </c>
      <c r="W781" s="4">
        <v>46081</v>
      </c>
      <c r="X781" s="8" t="str">
        <f t="shared" si="194"/>
        <v>Tháng 2</v>
      </c>
      <c r="Y781" s="17" t="s">
        <v>1376</v>
      </c>
    </row>
    <row r="782" spans="1:25" x14ac:dyDescent="0.25">
      <c r="A782" s="23" t="s">
        <v>1082</v>
      </c>
      <c r="B782" s="20" t="s">
        <v>30</v>
      </c>
      <c r="C782" s="16">
        <v>20090</v>
      </c>
      <c r="D782" s="10">
        <f t="shared" ca="1" si="182"/>
        <v>71</v>
      </c>
      <c r="E782" s="2" t="s">
        <v>26</v>
      </c>
      <c r="F782" s="3">
        <v>158</v>
      </c>
      <c r="G782" s="3">
        <v>58</v>
      </c>
      <c r="H782" s="11">
        <f t="shared" si="183"/>
        <v>23.233456176894723</v>
      </c>
      <c r="I782" s="2">
        <v>71</v>
      </c>
      <c r="J782" s="3">
        <v>120</v>
      </c>
      <c r="K782" s="3">
        <v>80</v>
      </c>
      <c r="L782" s="10">
        <f t="shared" si="184"/>
        <v>2</v>
      </c>
      <c r="M782" s="10">
        <f t="shared" ca="1" si="185"/>
        <v>2</v>
      </c>
      <c r="N782" s="10">
        <f t="shared" si="186"/>
        <v>0</v>
      </c>
      <c r="O782" s="10">
        <f t="shared" si="187"/>
        <v>3</v>
      </c>
      <c r="P782" s="10">
        <f t="shared" si="188"/>
        <v>0</v>
      </c>
      <c r="Q782" s="10">
        <f t="shared" si="189"/>
        <v>0</v>
      </c>
      <c r="R782" s="10">
        <f t="shared" ca="1" si="190"/>
        <v>7</v>
      </c>
      <c r="S782" s="10" t="str">
        <f t="shared" ca="1" si="191"/>
        <v>Có</v>
      </c>
      <c r="T782" s="10" t="str">
        <f t="shared" ca="1" si="192"/>
        <v>Có</v>
      </c>
      <c r="U782" s="10" t="str">
        <f t="shared" si="193"/>
        <v>Không</v>
      </c>
      <c r="V782" s="2" t="s">
        <v>51</v>
      </c>
      <c r="W782" s="4">
        <v>46053</v>
      </c>
      <c r="X782" s="8" t="str">
        <f t="shared" si="194"/>
        <v>Tháng 1</v>
      </c>
      <c r="Y782" s="17" t="s">
        <v>1376</v>
      </c>
    </row>
    <row r="783" spans="1:25" x14ac:dyDescent="0.25">
      <c r="A783" s="23" t="s">
        <v>1083</v>
      </c>
      <c r="B783" s="20" t="s">
        <v>23</v>
      </c>
      <c r="C783" s="16">
        <v>26299</v>
      </c>
      <c r="D783" s="10">
        <f t="shared" ca="1" si="182"/>
        <v>54</v>
      </c>
      <c r="E783" s="2" t="s">
        <v>26</v>
      </c>
      <c r="F783" s="3">
        <v>169</v>
      </c>
      <c r="G783" s="3">
        <v>68</v>
      </c>
      <c r="H783" s="11">
        <f t="shared" si="183"/>
        <v>23.808690171912751</v>
      </c>
      <c r="I783" s="2">
        <v>76</v>
      </c>
      <c r="J783" s="3">
        <v>140</v>
      </c>
      <c r="K783" s="3">
        <v>80</v>
      </c>
      <c r="L783" s="10">
        <f t="shared" si="184"/>
        <v>0</v>
      </c>
      <c r="M783" s="10">
        <f t="shared" ca="1" si="185"/>
        <v>2</v>
      </c>
      <c r="N783" s="10">
        <f t="shared" si="186"/>
        <v>0</v>
      </c>
      <c r="O783" s="10">
        <f t="shared" si="187"/>
        <v>3</v>
      </c>
      <c r="P783" s="10">
        <f t="shared" si="188"/>
        <v>0</v>
      </c>
      <c r="Q783" s="10">
        <f t="shared" si="189"/>
        <v>2</v>
      </c>
      <c r="R783" s="10">
        <f t="shared" ca="1" si="190"/>
        <v>7</v>
      </c>
      <c r="S783" s="10" t="str">
        <f t="shared" ca="1" si="191"/>
        <v>Có</v>
      </c>
      <c r="T783" s="10" t="str">
        <f t="shared" ca="1" si="192"/>
        <v>Có</v>
      </c>
      <c r="U783" s="10" t="str">
        <f t="shared" si="193"/>
        <v>Có</v>
      </c>
      <c r="V783" s="2" t="s">
        <v>51</v>
      </c>
      <c r="W783" s="4">
        <v>46053</v>
      </c>
      <c r="X783" s="8" t="str">
        <f t="shared" si="194"/>
        <v>Tháng 1</v>
      </c>
      <c r="Y783" s="17" t="s">
        <v>1376</v>
      </c>
    </row>
    <row r="784" spans="1:25" x14ac:dyDescent="0.25">
      <c r="A784" s="23" t="s">
        <v>143</v>
      </c>
      <c r="B784" s="20" t="s">
        <v>23</v>
      </c>
      <c r="C784" s="16">
        <v>22647</v>
      </c>
      <c r="D784" s="10">
        <f t="shared" ca="1" si="182"/>
        <v>64</v>
      </c>
      <c r="E784" s="2" t="s">
        <v>26</v>
      </c>
      <c r="F784" s="3">
        <v>156</v>
      </c>
      <c r="G784" s="3">
        <v>53</v>
      </c>
      <c r="H784" s="11">
        <f t="shared" si="183"/>
        <v>21.7784352399737</v>
      </c>
      <c r="I784" s="2">
        <v>96</v>
      </c>
      <c r="J784" s="3">
        <v>130</v>
      </c>
      <c r="K784" s="3">
        <v>80</v>
      </c>
      <c r="L784" s="10">
        <f t="shared" si="184"/>
        <v>0</v>
      </c>
      <c r="M784" s="10">
        <f t="shared" ca="1" si="185"/>
        <v>2</v>
      </c>
      <c r="N784" s="10">
        <f t="shared" si="186"/>
        <v>0</v>
      </c>
      <c r="O784" s="10">
        <f t="shared" si="187"/>
        <v>0</v>
      </c>
      <c r="P784" s="10">
        <f t="shared" si="188"/>
        <v>2</v>
      </c>
      <c r="Q784" s="10">
        <f t="shared" si="189"/>
        <v>0</v>
      </c>
      <c r="R784" s="10">
        <f t="shared" ca="1" si="190"/>
        <v>4</v>
      </c>
      <c r="S784" s="10" t="str">
        <f t="shared" ca="1" si="191"/>
        <v>Không cần</v>
      </c>
      <c r="T784" s="10" t="str">
        <f t="shared" ca="1" si="192"/>
        <v>Không</v>
      </c>
      <c r="U784" s="10" t="str">
        <f t="shared" si="193"/>
        <v>Không</v>
      </c>
      <c r="V784" s="2" t="s">
        <v>51</v>
      </c>
      <c r="W784" s="4">
        <v>46081</v>
      </c>
      <c r="X784" s="8" t="str">
        <f t="shared" si="194"/>
        <v>Tháng 2</v>
      </c>
      <c r="Y784" s="17" t="s">
        <v>1376</v>
      </c>
    </row>
    <row r="785" spans="1:25" x14ac:dyDescent="0.25">
      <c r="A785" s="23" t="s">
        <v>804</v>
      </c>
      <c r="B785" s="20" t="s">
        <v>23</v>
      </c>
      <c r="C785" s="16">
        <v>21186</v>
      </c>
      <c r="D785" s="10">
        <f t="shared" ca="1" si="182"/>
        <v>68</v>
      </c>
      <c r="E785" s="2" t="s">
        <v>25</v>
      </c>
      <c r="F785" s="3">
        <v>169</v>
      </c>
      <c r="G785" s="3">
        <v>68</v>
      </c>
      <c r="H785" s="11">
        <f t="shared" si="183"/>
        <v>23.808690171912751</v>
      </c>
      <c r="I785" s="2">
        <v>73</v>
      </c>
      <c r="J785" s="3">
        <v>160</v>
      </c>
      <c r="K785" s="3">
        <v>80</v>
      </c>
      <c r="L785" s="10">
        <f t="shared" si="184"/>
        <v>0</v>
      </c>
      <c r="M785" s="10">
        <f t="shared" ca="1" si="185"/>
        <v>2</v>
      </c>
      <c r="N785" s="10">
        <f t="shared" si="186"/>
        <v>4</v>
      </c>
      <c r="O785" s="10">
        <f t="shared" si="187"/>
        <v>3</v>
      </c>
      <c r="P785" s="10">
        <f t="shared" si="188"/>
        <v>0</v>
      </c>
      <c r="Q785" s="10">
        <f t="shared" si="189"/>
        <v>2</v>
      </c>
      <c r="R785" s="10">
        <f t="shared" ca="1" si="190"/>
        <v>11</v>
      </c>
      <c r="S785" s="10" t="str">
        <f t="shared" ca="1" si="191"/>
        <v>Có</v>
      </c>
      <c r="T785" s="10" t="str">
        <f t="shared" ca="1" si="192"/>
        <v>Có</v>
      </c>
      <c r="U785" s="10" t="str">
        <f t="shared" si="193"/>
        <v>Có</v>
      </c>
      <c r="V785" s="2" t="s">
        <v>51</v>
      </c>
      <c r="W785" s="4">
        <v>46053</v>
      </c>
      <c r="X785" s="8" t="str">
        <f t="shared" si="194"/>
        <v>Tháng 1</v>
      </c>
      <c r="Y785" s="17" t="s">
        <v>1376</v>
      </c>
    </row>
    <row r="786" spans="1:25" x14ac:dyDescent="0.25">
      <c r="A786" s="23" t="s">
        <v>1085</v>
      </c>
      <c r="B786" s="20" t="s">
        <v>23</v>
      </c>
      <c r="C786" s="16">
        <v>24473</v>
      </c>
      <c r="D786" s="10">
        <f t="shared" ca="1" si="182"/>
        <v>59</v>
      </c>
      <c r="E786" s="2" t="s">
        <v>26</v>
      </c>
      <c r="F786" s="3">
        <v>158</v>
      </c>
      <c r="G786" s="3">
        <v>58</v>
      </c>
      <c r="H786" s="11">
        <f t="shared" si="183"/>
        <v>23.233456176894723</v>
      </c>
      <c r="I786" s="2">
        <v>99</v>
      </c>
      <c r="J786" s="3">
        <v>130</v>
      </c>
      <c r="K786" s="3">
        <v>80</v>
      </c>
      <c r="L786" s="10">
        <f t="shared" si="184"/>
        <v>0</v>
      </c>
      <c r="M786" s="10">
        <f t="shared" ca="1" si="185"/>
        <v>2</v>
      </c>
      <c r="N786" s="10">
        <f t="shared" si="186"/>
        <v>0</v>
      </c>
      <c r="O786" s="10">
        <f t="shared" si="187"/>
        <v>3</v>
      </c>
      <c r="P786" s="10">
        <f t="shared" si="188"/>
        <v>2</v>
      </c>
      <c r="Q786" s="10">
        <f t="shared" si="189"/>
        <v>0</v>
      </c>
      <c r="R786" s="10">
        <f t="shared" ca="1" si="190"/>
        <v>7</v>
      </c>
      <c r="S786" s="10" t="str">
        <f t="shared" ca="1" si="191"/>
        <v>Có</v>
      </c>
      <c r="T786" s="10" t="str">
        <f t="shared" ca="1" si="192"/>
        <v>Có</v>
      </c>
      <c r="U786" s="10" t="str">
        <f t="shared" si="193"/>
        <v>Không</v>
      </c>
      <c r="V786" s="2" t="s">
        <v>51</v>
      </c>
      <c r="W786" s="4">
        <v>46081</v>
      </c>
      <c r="X786" s="8" t="str">
        <f t="shared" si="194"/>
        <v>Tháng 2</v>
      </c>
      <c r="Y786" s="17" t="s">
        <v>1376</v>
      </c>
    </row>
    <row r="787" spans="1:25" x14ac:dyDescent="0.25">
      <c r="A787" s="23" t="s">
        <v>1086</v>
      </c>
      <c r="B787" s="20" t="s">
        <v>30</v>
      </c>
      <c r="C787" s="16">
        <v>25934</v>
      </c>
      <c r="D787" s="10">
        <f t="shared" ca="1" si="182"/>
        <v>55</v>
      </c>
      <c r="E787" s="2" t="s">
        <v>26</v>
      </c>
      <c r="F787" s="3">
        <v>158</v>
      </c>
      <c r="G787" s="3">
        <v>58</v>
      </c>
      <c r="H787" s="11">
        <f t="shared" si="183"/>
        <v>23.233456176894723</v>
      </c>
      <c r="I787" s="2">
        <v>66</v>
      </c>
      <c r="J787" s="3">
        <v>120</v>
      </c>
      <c r="K787" s="3">
        <v>80</v>
      </c>
      <c r="L787" s="10">
        <f t="shared" si="184"/>
        <v>2</v>
      </c>
      <c r="M787" s="10">
        <f t="shared" ca="1" si="185"/>
        <v>2</v>
      </c>
      <c r="N787" s="10">
        <f t="shared" si="186"/>
        <v>0</v>
      </c>
      <c r="O787" s="10">
        <f t="shared" si="187"/>
        <v>3</v>
      </c>
      <c r="P787" s="10">
        <f t="shared" si="188"/>
        <v>0</v>
      </c>
      <c r="Q787" s="10">
        <f t="shared" si="189"/>
        <v>0</v>
      </c>
      <c r="R787" s="10">
        <f t="shared" ca="1" si="190"/>
        <v>7</v>
      </c>
      <c r="S787" s="10" t="str">
        <f t="shared" ca="1" si="191"/>
        <v>Có</v>
      </c>
      <c r="T787" s="10" t="str">
        <f t="shared" ca="1" si="192"/>
        <v>Có</v>
      </c>
      <c r="U787" s="10" t="str">
        <f t="shared" si="193"/>
        <v>Không</v>
      </c>
      <c r="V787" s="2" t="s">
        <v>51</v>
      </c>
      <c r="W787" s="4">
        <v>46081</v>
      </c>
      <c r="X787" s="8" t="str">
        <f t="shared" si="194"/>
        <v>Tháng 2</v>
      </c>
      <c r="Y787" s="17" t="s">
        <v>1376</v>
      </c>
    </row>
    <row r="788" spans="1:25" x14ac:dyDescent="0.25">
      <c r="A788" s="23" t="s">
        <v>1030</v>
      </c>
      <c r="B788" s="20" t="s">
        <v>30</v>
      </c>
      <c r="C788" s="16">
        <v>24108</v>
      </c>
      <c r="D788" s="10">
        <f t="shared" ca="1" si="182"/>
        <v>60</v>
      </c>
      <c r="E788" s="2" t="s">
        <v>25</v>
      </c>
      <c r="F788" s="3">
        <v>162</v>
      </c>
      <c r="G788" s="3">
        <v>76</v>
      </c>
      <c r="H788" s="11">
        <f t="shared" si="183"/>
        <v>28.959000152415786</v>
      </c>
      <c r="I788" s="2">
        <v>93</v>
      </c>
      <c r="J788" s="3">
        <v>120</v>
      </c>
      <c r="K788" s="3">
        <v>70</v>
      </c>
      <c r="L788" s="10">
        <f t="shared" si="184"/>
        <v>2</v>
      </c>
      <c r="M788" s="10">
        <f t="shared" ca="1" si="185"/>
        <v>2</v>
      </c>
      <c r="N788" s="10">
        <f t="shared" si="186"/>
        <v>4</v>
      </c>
      <c r="O788" s="10">
        <f t="shared" si="187"/>
        <v>5</v>
      </c>
      <c r="P788" s="10">
        <f t="shared" si="188"/>
        <v>2</v>
      </c>
      <c r="Q788" s="10">
        <f t="shared" si="189"/>
        <v>0</v>
      </c>
      <c r="R788" s="10">
        <f t="shared" ca="1" si="190"/>
        <v>15</v>
      </c>
      <c r="S788" s="10" t="str">
        <f t="shared" ca="1" si="191"/>
        <v>Có</v>
      </c>
      <c r="T788" s="10" t="str">
        <f t="shared" ca="1" si="192"/>
        <v>Có</v>
      </c>
      <c r="U788" s="10" t="str">
        <f t="shared" si="193"/>
        <v>Không</v>
      </c>
      <c r="V788" s="2" t="s">
        <v>51</v>
      </c>
      <c r="W788" s="4">
        <v>46053</v>
      </c>
      <c r="X788" s="8" t="str">
        <f t="shared" si="194"/>
        <v>Tháng 1</v>
      </c>
      <c r="Y788" s="17" t="s">
        <v>1376</v>
      </c>
    </row>
    <row r="789" spans="1:25" x14ac:dyDescent="0.25">
      <c r="A789" s="23" t="s">
        <v>1087</v>
      </c>
      <c r="B789" s="20" t="s">
        <v>23</v>
      </c>
      <c r="C789" s="16">
        <v>22282</v>
      </c>
      <c r="D789" s="10">
        <f t="shared" ca="1" si="182"/>
        <v>65</v>
      </c>
      <c r="E789" s="2" t="s">
        <v>26</v>
      </c>
      <c r="F789" s="3">
        <v>158</v>
      </c>
      <c r="G789" s="3">
        <v>58</v>
      </c>
      <c r="H789" s="11">
        <f t="shared" si="183"/>
        <v>23.233456176894723</v>
      </c>
      <c r="I789" s="2">
        <v>87</v>
      </c>
      <c r="J789" s="3">
        <v>120</v>
      </c>
      <c r="K789" s="3">
        <v>80</v>
      </c>
      <c r="L789" s="10">
        <f t="shared" si="184"/>
        <v>0</v>
      </c>
      <c r="M789" s="10">
        <f t="shared" ca="1" si="185"/>
        <v>2</v>
      </c>
      <c r="N789" s="10">
        <f t="shared" si="186"/>
        <v>0</v>
      </c>
      <c r="O789" s="10">
        <f t="shared" si="187"/>
        <v>3</v>
      </c>
      <c r="P789" s="10">
        <f t="shared" si="188"/>
        <v>2</v>
      </c>
      <c r="Q789" s="10">
        <f t="shared" si="189"/>
        <v>0</v>
      </c>
      <c r="R789" s="10">
        <f t="shared" ca="1" si="190"/>
        <v>7</v>
      </c>
      <c r="S789" s="10" t="str">
        <f t="shared" ca="1" si="191"/>
        <v>Có</v>
      </c>
      <c r="T789" s="10" t="str">
        <f t="shared" ca="1" si="192"/>
        <v>Có</v>
      </c>
      <c r="U789" s="10" t="str">
        <f t="shared" si="193"/>
        <v>Không</v>
      </c>
      <c r="V789" s="2" t="s">
        <v>51</v>
      </c>
      <c r="W789" s="4">
        <v>46081</v>
      </c>
      <c r="X789" s="8" t="str">
        <f t="shared" si="194"/>
        <v>Tháng 2</v>
      </c>
      <c r="Y789" s="17" t="s">
        <v>1376</v>
      </c>
    </row>
    <row r="790" spans="1:25" x14ac:dyDescent="0.25">
      <c r="A790" s="23" t="s">
        <v>1088</v>
      </c>
      <c r="B790" s="20" t="s">
        <v>23</v>
      </c>
      <c r="C790" s="16">
        <v>25569</v>
      </c>
      <c r="D790" s="10">
        <f t="shared" ca="1" si="182"/>
        <v>56</v>
      </c>
      <c r="E790" s="2" t="s">
        <v>26</v>
      </c>
      <c r="F790" s="3">
        <v>158</v>
      </c>
      <c r="G790" s="3">
        <v>68</v>
      </c>
      <c r="H790" s="11">
        <f t="shared" si="183"/>
        <v>27.239224483255885</v>
      </c>
      <c r="I790" s="2">
        <v>92</v>
      </c>
      <c r="J790" s="3">
        <v>160</v>
      </c>
      <c r="K790" s="3">
        <v>80</v>
      </c>
      <c r="L790" s="10">
        <f t="shared" si="184"/>
        <v>0</v>
      </c>
      <c r="M790" s="10">
        <f t="shared" ca="1" si="185"/>
        <v>2</v>
      </c>
      <c r="N790" s="10">
        <f t="shared" si="186"/>
        <v>0</v>
      </c>
      <c r="O790" s="10">
        <f t="shared" si="187"/>
        <v>3</v>
      </c>
      <c r="P790" s="10">
        <f t="shared" si="188"/>
        <v>2</v>
      </c>
      <c r="Q790" s="10">
        <f t="shared" si="189"/>
        <v>2</v>
      </c>
      <c r="R790" s="10">
        <f t="shared" ca="1" si="190"/>
        <v>9</v>
      </c>
      <c r="S790" s="10" t="str">
        <f t="shared" ca="1" si="191"/>
        <v>Có</v>
      </c>
      <c r="T790" s="10" t="str">
        <f t="shared" ca="1" si="192"/>
        <v>Có</v>
      </c>
      <c r="U790" s="10" t="str">
        <f t="shared" si="193"/>
        <v>Có</v>
      </c>
      <c r="V790" s="2" t="s">
        <v>51</v>
      </c>
      <c r="W790" s="4">
        <v>46081</v>
      </c>
      <c r="X790" s="8" t="str">
        <f t="shared" si="194"/>
        <v>Tháng 2</v>
      </c>
      <c r="Y790" s="17" t="s">
        <v>1376</v>
      </c>
    </row>
    <row r="791" spans="1:25" x14ac:dyDescent="0.25">
      <c r="A791" s="23" t="s">
        <v>845</v>
      </c>
      <c r="B791" s="20" t="s">
        <v>30</v>
      </c>
      <c r="C791" s="16">
        <v>26299</v>
      </c>
      <c r="D791" s="10">
        <f t="shared" ca="1" si="182"/>
        <v>54</v>
      </c>
      <c r="E791" s="2" t="s">
        <v>26</v>
      </c>
      <c r="F791" s="3">
        <v>169</v>
      </c>
      <c r="G791" s="3">
        <v>68</v>
      </c>
      <c r="H791" s="11">
        <f t="shared" si="183"/>
        <v>23.808690171912751</v>
      </c>
      <c r="I791" s="2">
        <v>95</v>
      </c>
      <c r="J791" s="3">
        <v>120</v>
      </c>
      <c r="K791" s="3">
        <v>80</v>
      </c>
      <c r="L791" s="10">
        <f t="shared" si="184"/>
        <v>2</v>
      </c>
      <c r="M791" s="10">
        <f t="shared" ca="1" si="185"/>
        <v>2</v>
      </c>
      <c r="N791" s="10">
        <f t="shared" si="186"/>
        <v>0</v>
      </c>
      <c r="O791" s="10">
        <f t="shared" si="187"/>
        <v>3</v>
      </c>
      <c r="P791" s="10">
        <f t="shared" si="188"/>
        <v>2</v>
      </c>
      <c r="Q791" s="10">
        <f t="shared" si="189"/>
        <v>0</v>
      </c>
      <c r="R791" s="10">
        <f t="shared" ca="1" si="190"/>
        <v>9</v>
      </c>
      <c r="S791" s="10" t="str">
        <f t="shared" ca="1" si="191"/>
        <v>Có</v>
      </c>
      <c r="T791" s="10" t="str">
        <f t="shared" ca="1" si="192"/>
        <v>Có</v>
      </c>
      <c r="U791" s="10" t="str">
        <f t="shared" si="193"/>
        <v>Không</v>
      </c>
      <c r="V791" s="2" t="s">
        <v>51</v>
      </c>
      <c r="W791" s="4">
        <v>46081</v>
      </c>
      <c r="X791" s="8" t="str">
        <f t="shared" si="194"/>
        <v>Tháng 2</v>
      </c>
      <c r="Y791" s="17" t="s">
        <v>1376</v>
      </c>
    </row>
    <row r="792" spans="1:25" x14ac:dyDescent="0.25">
      <c r="A792" s="23" t="s">
        <v>61</v>
      </c>
      <c r="B792" s="20" t="s">
        <v>30</v>
      </c>
      <c r="C792" s="16">
        <v>23743</v>
      </c>
      <c r="D792" s="10">
        <f t="shared" ca="1" si="182"/>
        <v>61</v>
      </c>
      <c r="E792" s="2" t="s">
        <v>26</v>
      </c>
      <c r="F792" s="3">
        <v>165</v>
      </c>
      <c r="G792" s="3">
        <v>100</v>
      </c>
      <c r="H792" s="11">
        <f t="shared" si="183"/>
        <v>36.730945821854917</v>
      </c>
      <c r="I792" s="2">
        <v>75</v>
      </c>
      <c r="J792" s="3">
        <v>120</v>
      </c>
      <c r="K792" s="3">
        <v>80</v>
      </c>
      <c r="L792" s="10">
        <f t="shared" si="184"/>
        <v>2</v>
      </c>
      <c r="M792" s="10">
        <f t="shared" ca="1" si="185"/>
        <v>2</v>
      </c>
      <c r="N792" s="10">
        <f t="shared" si="186"/>
        <v>0</v>
      </c>
      <c r="O792" s="10">
        <f t="shared" si="187"/>
        <v>5</v>
      </c>
      <c r="P792" s="10">
        <f t="shared" si="188"/>
        <v>0</v>
      </c>
      <c r="Q792" s="10">
        <f t="shared" si="189"/>
        <v>0</v>
      </c>
      <c r="R792" s="10">
        <f t="shared" ca="1" si="190"/>
        <v>9</v>
      </c>
      <c r="S792" s="10" t="str">
        <f t="shared" ca="1" si="191"/>
        <v>Có</v>
      </c>
      <c r="T792" s="10" t="str">
        <f t="shared" ca="1" si="192"/>
        <v>Có</v>
      </c>
      <c r="U792" s="10" t="str">
        <f t="shared" si="193"/>
        <v>Không</v>
      </c>
      <c r="V792" s="2" t="s">
        <v>51</v>
      </c>
      <c r="W792" s="4">
        <v>46081</v>
      </c>
      <c r="X792" s="8" t="str">
        <f t="shared" si="194"/>
        <v>Tháng 2</v>
      </c>
      <c r="Y792" s="17" t="s">
        <v>1376</v>
      </c>
    </row>
    <row r="793" spans="1:25" x14ac:dyDescent="0.25">
      <c r="A793" s="23" t="s">
        <v>1090</v>
      </c>
      <c r="B793" s="20" t="s">
        <v>23</v>
      </c>
      <c r="C793" s="16">
        <v>24108</v>
      </c>
      <c r="D793" s="10">
        <f t="shared" ca="1" si="182"/>
        <v>60</v>
      </c>
      <c r="E793" s="2" t="s">
        <v>26</v>
      </c>
      <c r="F793" s="3">
        <v>169</v>
      </c>
      <c r="G793" s="3">
        <v>68</v>
      </c>
      <c r="H793" s="11">
        <f t="shared" si="183"/>
        <v>23.808690171912751</v>
      </c>
      <c r="I793" s="2">
        <v>88</v>
      </c>
      <c r="J793" s="3">
        <v>120</v>
      </c>
      <c r="K793" s="3">
        <v>80</v>
      </c>
      <c r="L793" s="10">
        <f t="shared" si="184"/>
        <v>0</v>
      </c>
      <c r="M793" s="10">
        <f t="shared" ca="1" si="185"/>
        <v>2</v>
      </c>
      <c r="N793" s="10">
        <f t="shared" si="186"/>
        <v>0</v>
      </c>
      <c r="O793" s="10">
        <f t="shared" si="187"/>
        <v>3</v>
      </c>
      <c r="P793" s="10">
        <f t="shared" si="188"/>
        <v>2</v>
      </c>
      <c r="Q793" s="10">
        <f t="shared" si="189"/>
        <v>0</v>
      </c>
      <c r="R793" s="10">
        <f t="shared" ca="1" si="190"/>
        <v>7</v>
      </c>
      <c r="S793" s="10" t="str">
        <f t="shared" ca="1" si="191"/>
        <v>Có</v>
      </c>
      <c r="T793" s="10" t="str">
        <f t="shared" ca="1" si="192"/>
        <v>Có</v>
      </c>
      <c r="U793" s="10" t="str">
        <f t="shared" si="193"/>
        <v>Không</v>
      </c>
      <c r="V793" s="2" t="s">
        <v>51</v>
      </c>
      <c r="W793" s="4">
        <v>46081</v>
      </c>
      <c r="X793" s="8" t="str">
        <f t="shared" si="194"/>
        <v>Tháng 2</v>
      </c>
      <c r="Y793" s="17" t="s">
        <v>1376</v>
      </c>
    </row>
    <row r="794" spans="1:25" x14ac:dyDescent="0.25">
      <c r="A794" s="23" t="s">
        <v>1091</v>
      </c>
      <c r="B794" s="20" t="s">
        <v>30</v>
      </c>
      <c r="C794" s="16">
        <v>21916</v>
      </c>
      <c r="D794" s="10">
        <f t="shared" ca="1" si="182"/>
        <v>66</v>
      </c>
      <c r="E794" s="2" t="s">
        <v>26</v>
      </c>
      <c r="F794" s="3">
        <v>160</v>
      </c>
      <c r="G794" s="3">
        <v>55</v>
      </c>
      <c r="H794" s="11">
        <f t="shared" si="183"/>
        <v>21.484374999999996</v>
      </c>
      <c r="I794" s="2">
        <v>83</v>
      </c>
      <c r="J794" s="3">
        <v>120</v>
      </c>
      <c r="K794" s="3">
        <v>80</v>
      </c>
      <c r="L794" s="10">
        <f t="shared" si="184"/>
        <v>2</v>
      </c>
      <c r="M794" s="10">
        <f t="shared" ca="1" si="185"/>
        <v>2</v>
      </c>
      <c r="N794" s="10">
        <f t="shared" si="186"/>
        <v>0</v>
      </c>
      <c r="O794" s="10">
        <f t="shared" si="187"/>
        <v>0</v>
      </c>
      <c r="P794" s="10">
        <f t="shared" si="188"/>
        <v>0</v>
      </c>
      <c r="Q794" s="10">
        <f t="shared" si="189"/>
        <v>0</v>
      </c>
      <c r="R794" s="10">
        <f t="shared" ca="1" si="190"/>
        <v>4</v>
      </c>
      <c r="S794" s="10" t="str">
        <f t="shared" ca="1" si="191"/>
        <v>Không cần</v>
      </c>
      <c r="T794" s="10" t="str">
        <f t="shared" ca="1" si="192"/>
        <v>Không</v>
      </c>
      <c r="U794" s="10" t="str">
        <f t="shared" si="193"/>
        <v>Không</v>
      </c>
      <c r="V794" s="2" t="s">
        <v>51</v>
      </c>
      <c r="W794" s="4">
        <v>46053</v>
      </c>
      <c r="X794" s="8" t="str">
        <f t="shared" si="194"/>
        <v>Tháng 1</v>
      </c>
      <c r="Y794" s="17" t="s">
        <v>1376</v>
      </c>
    </row>
    <row r="795" spans="1:25" x14ac:dyDescent="0.25">
      <c r="A795" s="23" t="s">
        <v>1092</v>
      </c>
      <c r="B795" s="20" t="s">
        <v>23</v>
      </c>
      <c r="C795" s="16">
        <v>23012</v>
      </c>
      <c r="D795" s="10">
        <f t="shared" ca="1" si="182"/>
        <v>63</v>
      </c>
      <c r="E795" s="2" t="s">
        <v>26</v>
      </c>
      <c r="F795" s="3">
        <v>158</v>
      </c>
      <c r="G795" s="3">
        <v>58</v>
      </c>
      <c r="H795" s="11">
        <f t="shared" si="183"/>
        <v>23.233456176894723</v>
      </c>
      <c r="I795" s="2">
        <v>86</v>
      </c>
      <c r="J795" s="3">
        <v>120</v>
      </c>
      <c r="K795" s="3">
        <v>80</v>
      </c>
      <c r="L795" s="10">
        <f t="shared" si="184"/>
        <v>0</v>
      </c>
      <c r="M795" s="10">
        <f t="shared" ca="1" si="185"/>
        <v>2</v>
      </c>
      <c r="N795" s="10">
        <f t="shared" si="186"/>
        <v>0</v>
      </c>
      <c r="O795" s="10">
        <f t="shared" si="187"/>
        <v>3</v>
      </c>
      <c r="P795" s="10">
        <f t="shared" si="188"/>
        <v>2</v>
      </c>
      <c r="Q795" s="10">
        <f t="shared" si="189"/>
        <v>0</v>
      </c>
      <c r="R795" s="10">
        <f t="shared" ca="1" si="190"/>
        <v>7</v>
      </c>
      <c r="S795" s="10" t="str">
        <f t="shared" ca="1" si="191"/>
        <v>Có</v>
      </c>
      <c r="T795" s="10" t="str">
        <f t="shared" ca="1" si="192"/>
        <v>Có</v>
      </c>
      <c r="U795" s="10" t="str">
        <f t="shared" si="193"/>
        <v>Không</v>
      </c>
      <c r="V795" s="2" t="s">
        <v>51</v>
      </c>
      <c r="W795" s="4">
        <v>46053</v>
      </c>
      <c r="X795" s="8" t="str">
        <f t="shared" si="194"/>
        <v>Tháng 1</v>
      </c>
      <c r="Y795" s="17" t="s">
        <v>1376</v>
      </c>
    </row>
    <row r="796" spans="1:25" x14ac:dyDescent="0.25">
      <c r="A796" s="23" t="s">
        <v>668</v>
      </c>
      <c r="B796" s="20" t="s">
        <v>30</v>
      </c>
      <c r="C796" s="16">
        <v>22647</v>
      </c>
      <c r="D796" s="10">
        <f t="shared" ca="1" si="182"/>
        <v>64</v>
      </c>
      <c r="E796" s="2" t="s">
        <v>26</v>
      </c>
      <c r="F796" s="3">
        <v>169</v>
      </c>
      <c r="G796" s="3">
        <v>68</v>
      </c>
      <c r="H796" s="11">
        <f t="shared" si="183"/>
        <v>23.808690171912751</v>
      </c>
      <c r="I796" s="2">
        <v>65</v>
      </c>
      <c r="J796" s="3">
        <v>120</v>
      </c>
      <c r="K796" s="3">
        <v>80</v>
      </c>
      <c r="L796" s="10">
        <f t="shared" si="184"/>
        <v>2</v>
      </c>
      <c r="M796" s="10">
        <f t="shared" ca="1" si="185"/>
        <v>2</v>
      </c>
      <c r="N796" s="10">
        <f t="shared" si="186"/>
        <v>0</v>
      </c>
      <c r="O796" s="10">
        <f t="shared" si="187"/>
        <v>3</v>
      </c>
      <c r="P796" s="10">
        <f t="shared" si="188"/>
        <v>0</v>
      </c>
      <c r="Q796" s="10">
        <f t="shared" si="189"/>
        <v>0</v>
      </c>
      <c r="R796" s="10">
        <f t="shared" ca="1" si="190"/>
        <v>7</v>
      </c>
      <c r="S796" s="10" t="str">
        <f t="shared" ca="1" si="191"/>
        <v>Có</v>
      </c>
      <c r="T796" s="10" t="str">
        <f t="shared" ca="1" si="192"/>
        <v>Có</v>
      </c>
      <c r="U796" s="10" t="str">
        <f t="shared" si="193"/>
        <v>Không</v>
      </c>
      <c r="V796" s="2" t="s">
        <v>51</v>
      </c>
      <c r="W796" s="4">
        <v>46081</v>
      </c>
      <c r="X796" s="8" t="str">
        <f t="shared" si="194"/>
        <v>Tháng 2</v>
      </c>
      <c r="Y796" s="17" t="s">
        <v>1376</v>
      </c>
    </row>
    <row r="797" spans="1:25" x14ac:dyDescent="0.25">
      <c r="A797" s="23" t="s">
        <v>1096</v>
      </c>
      <c r="B797" s="20" t="s">
        <v>30</v>
      </c>
      <c r="C797" s="16">
        <v>16438</v>
      </c>
      <c r="D797" s="10">
        <f t="shared" ref="D797:D823" ca="1" si="195">DATEDIF(C797,TODAY(),"Y")</f>
        <v>81</v>
      </c>
      <c r="E797" s="2" t="s">
        <v>26</v>
      </c>
      <c r="F797" s="3">
        <v>158</v>
      </c>
      <c r="G797" s="3">
        <v>58</v>
      </c>
      <c r="H797" s="11">
        <f t="shared" ref="H797:H823" si="196">G797/((F797/100)*(F797/100))</f>
        <v>23.233456176894723</v>
      </c>
      <c r="I797" s="2">
        <v>83</v>
      </c>
      <c r="J797" s="3">
        <v>120</v>
      </c>
      <c r="K797" s="3">
        <v>80</v>
      </c>
      <c r="L797" s="10">
        <f t="shared" ref="L797:L823" si="197">IF(B797="Nữ",0,2)</f>
        <v>2</v>
      </c>
      <c r="M797" s="10">
        <f t="shared" ref="M797:M823" ca="1" si="198">IF(D797&lt;45,0,IF(D797&lt;=49,1,2))</f>
        <v>2</v>
      </c>
      <c r="N797" s="10">
        <f t="shared" ref="N797:N823" si="199">IF(E797="Có",4,0)</f>
        <v>0</v>
      </c>
      <c r="O797" s="10">
        <f t="shared" ref="O797:O823" si="200">IF(H797&lt;23,0,IF(H797&lt;27.5,3,5))</f>
        <v>3</v>
      </c>
      <c r="P797" s="10">
        <f t="shared" ref="P797:P823" si="201">IF(OR(AND(B797="Nam",I797&gt;=90),AND(B797="Nữ",I797&gt;=80)),2,0)</f>
        <v>0</v>
      </c>
      <c r="Q797" s="10">
        <f t="shared" ref="Q797:Q823" si="202">IF(OR(J797&gt;=140,K797&gt;=90),2,0)</f>
        <v>0</v>
      </c>
      <c r="R797" s="10">
        <f t="shared" ref="R797:R823" ca="1" si="203">SUM(L797:Q797)</f>
        <v>7</v>
      </c>
      <c r="S797" s="10" t="str">
        <f t="shared" ref="S797:S823" ca="1" si="204">IF((R797)&gt;=6,"Có","Không cần")</f>
        <v>Có</v>
      </c>
      <c r="T797" s="10" t="str">
        <f t="shared" ref="T797:T823" ca="1" si="205">IF((R797)&gt;=6,"Có","Không")</f>
        <v>Có</v>
      </c>
      <c r="U797" s="10" t="str">
        <f t="shared" ref="U797:U823" si="206">IF(OR(J797&gt;=140,K797&gt;=90),"Có","Không")</f>
        <v>Không</v>
      </c>
      <c r="V797" s="2" t="s">
        <v>51</v>
      </c>
      <c r="W797" s="4">
        <v>46081</v>
      </c>
      <c r="X797" s="8" t="str">
        <f t="shared" ref="X797:X823" si="207">"Tháng "&amp;MONTH(W797)</f>
        <v>Tháng 2</v>
      </c>
      <c r="Y797" s="17" t="s">
        <v>1376</v>
      </c>
    </row>
    <row r="798" spans="1:25" x14ac:dyDescent="0.25">
      <c r="A798" s="23" t="s">
        <v>917</v>
      </c>
      <c r="B798" s="20" t="s">
        <v>30</v>
      </c>
      <c r="C798" s="16">
        <v>27760</v>
      </c>
      <c r="D798" s="10">
        <f t="shared" ca="1" si="195"/>
        <v>50</v>
      </c>
      <c r="E798" s="2" t="s">
        <v>26</v>
      </c>
      <c r="F798" s="3">
        <v>169</v>
      </c>
      <c r="G798" s="3">
        <v>68</v>
      </c>
      <c r="H798" s="11">
        <f t="shared" si="196"/>
        <v>23.808690171912751</v>
      </c>
      <c r="I798" s="2">
        <v>96</v>
      </c>
      <c r="J798" s="3">
        <v>120</v>
      </c>
      <c r="K798" s="3">
        <v>80</v>
      </c>
      <c r="L798" s="10">
        <f t="shared" si="197"/>
        <v>2</v>
      </c>
      <c r="M798" s="10">
        <f t="shared" ca="1" si="198"/>
        <v>2</v>
      </c>
      <c r="N798" s="10">
        <f t="shared" si="199"/>
        <v>0</v>
      </c>
      <c r="O798" s="10">
        <f t="shared" si="200"/>
        <v>3</v>
      </c>
      <c r="P798" s="10">
        <f t="shared" si="201"/>
        <v>2</v>
      </c>
      <c r="Q798" s="10">
        <f t="shared" si="202"/>
        <v>0</v>
      </c>
      <c r="R798" s="10">
        <f t="shared" ca="1" si="203"/>
        <v>9</v>
      </c>
      <c r="S798" s="10" t="str">
        <f t="shared" ca="1" si="204"/>
        <v>Có</v>
      </c>
      <c r="T798" s="10" t="str">
        <f t="shared" ca="1" si="205"/>
        <v>Có</v>
      </c>
      <c r="U798" s="10" t="str">
        <f t="shared" si="206"/>
        <v>Không</v>
      </c>
      <c r="V798" s="2" t="s">
        <v>51</v>
      </c>
      <c r="W798" s="4">
        <v>46053</v>
      </c>
      <c r="X798" s="8" t="str">
        <f t="shared" si="207"/>
        <v>Tháng 1</v>
      </c>
      <c r="Y798" s="17" t="s">
        <v>1376</v>
      </c>
    </row>
    <row r="799" spans="1:25" x14ac:dyDescent="0.25">
      <c r="A799" s="23" t="s">
        <v>274</v>
      </c>
      <c r="B799" s="20" t="s">
        <v>23</v>
      </c>
      <c r="C799" s="16">
        <v>22282</v>
      </c>
      <c r="D799" s="10">
        <f t="shared" ca="1" si="195"/>
        <v>65</v>
      </c>
      <c r="E799" s="2" t="s">
        <v>25</v>
      </c>
      <c r="F799" s="3">
        <v>160</v>
      </c>
      <c r="G799" s="3">
        <v>70</v>
      </c>
      <c r="H799" s="11">
        <f t="shared" si="196"/>
        <v>27.343749999999996</v>
      </c>
      <c r="I799" s="2">
        <v>97</v>
      </c>
      <c r="J799" s="3">
        <v>120</v>
      </c>
      <c r="K799" s="3">
        <v>70</v>
      </c>
      <c r="L799" s="10">
        <f t="shared" si="197"/>
        <v>0</v>
      </c>
      <c r="M799" s="10">
        <f t="shared" ca="1" si="198"/>
        <v>2</v>
      </c>
      <c r="N799" s="10">
        <f t="shared" si="199"/>
        <v>4</v>
      </c>
      <c r="O799" s="10">
        <f t="shared" si="200"/>
        <v>3</v>
      </c>
      <c r="P799" s="10">
        <f t="shared" si="201"/>
        <v>2</v>
      </c>
      <c r="Q799" s="10">
        <f t="shared" si="202"/>
        <v>0</v>
      </c>
      <c r="R799" s="10">
        <f t="shared" ca="1" si="203"/>
        <v>11</v>
      </c>
      <c r="S799" s="10" t="str">
        <f t="shared" ca="1" si="204"/>
        <v>Có</v>
      </c>
      <c r="T799" s="10" t="str">
        <f t="shared" ca="1" si="205"/>
        <v>Có</v>
      </c>
      <c r="U799" s="10" t="str">
        <f t="shared" si="206"/>
        <v>Không</v>
      </c>
      <c r="V799" s="2" t="s">
        <v>51</v>
      </c>
      <c r="W799" s="4">
        <v>46053</v>
      </c>
      <c r="X799" s="8" t="str">
        <f t="shared" si="207"/>
        <v>Tháng 1</v>
      </c>
      <c r="Y799" s="17" t="s">
        <v>1376</v>
      </c>
    </row>
    <row r="800" spans="1:25" x14ac:dyDescent="0.25">
      <c r="A800" s="23" t="s">
        <v>175</v>
      </c>
      <c r="B800" s="20" t="s">
        <v>23</v>
      </c>
      <c r="C800" s="16">
        <v>21551</v>
      </c>
      <c r="D800" s="10">
        <f t="shared" ca="1" si="195"/>
        <v>67</v>
      </c>
      <c r="E800" s="2" t="s">
        <v>26</v>
      </c>
      <c r="F800" s="3">
        <v>156</v>
      </c>
      <c r="G800" s="3">
        <v>53</v>
      </c>
      <c r="H800" s="11">
        <f t="shared" si="196"/>
        <v>21.7784352399737</v>
      </c>
      <c r="I800" s="2">
        <v>86</v>
      </c>
      <c r="J800" s="3">
        <v>120</v>
      </c>
      <c r="K800" s="3">
        <v>80</v>
      </c>
      <c r="L800" s="10">
        <f t="shared" si="197"/>
        <v>0</v>
      </c>
      <c r="M800" s="10">
        <f t="shared" ca="1" si="198"/>
        <v>2</v>
      </c>
      <c r="N800" s="10">
        <f t="shared" si="199"/>
        <v>0</v>
      </c>
      <c r="O800" s="10">
        <f t="shared" si="200"/>
        <v>0</v>
      </c>
      <c r="P800" s="10">
        <f t="shared" si="201"/>
        <v>2</v>
      </c>
      <c r="Q800" s="10">
        <f t="shared" si="202"/>
        <v>0</v>
      </c>
      <c r="R800" s="10">
        <f t="shared" ca="1" si="203"/>
        <v>4</v>
      </c>
      <c r="S800" s="10" t="str">
        <f t="shared" ca="1" si="204"/>
        <v>Không cần</v>
      </c>
      <c r="T800" s="10" t="str">
        <f t="shared" ca="1" si="205"/>
        <v>Không</v>
      </c>
      <c r="U800" s="10" t="str">
        <f t="shared" si="206"/>
        <v>Không</v>
      </c>
      <c r="V800" s="2" t="s">
        <v>51</v>
      </c>
      <c r="W800" s="4">
        <v>46081</v>
      </c>
      <c r="X800" s="8" t="str">
        <f t="shared" si="207"/>
        <v>Tháng 2</v>
      </c>
      <c r="Y800" s="17" t="s">
        <v>1376</v>
      </c>
    </row>
    <row r="801" spans="1:25" x14ac:dyDescent="0.25">
      <c r="A801" s="23" t="s">
        <v>574</v>
      </c>
      <c r="B801" s="20" t="s">
        <v>23</v>
      </c>
      <c r="C801" s="16">
        <v>21186</v>
      </c>
      <c r="D801" s="10">
        <f t="shared" ca="1" si="195"/>
        <v>68</v>
      </c>
      <c r="E801" s="2" t="s">
        <v>26</v>
      </c>
      <c r="F801" s="3">
        <v>169</v>
      </c>
      <c r="G801" s="3">
        <v>68</v>
      </c>
      <c r="H801" s="11">
        <f t="shared" si="196"/>
        <v>23.808690171912751</v>
      </c>
      <c r="I801" s="2">
        <v>88</v>
      </c>
      <c r="J801" s="3">
        <v>130</v>
      </c>
      <c r="K801" s="3">
        <v>80</v>
      </c>
      <c r="L801" s="10">
        <f t="shared" si="197"/>
        <v>0</v>
      </c>
      <c r="M801" s="10">
        <f t="shared" ca="1" si="198"/>
        <v>2</v>
      </c>
      <c r="N801" s="10">
        <f t="shared" si="199"/>
        <v>0</v>
      </c>
      <c r="O801" s="10">
        <f t="shared" si="200"/>
        <v>3</v>
      </c>
      <c r="P801" s="10">
        <f t="shared" si="201"/>
        <v>2</v>
      </c>
      <c r="Q801" s="10">
        <f t="shared" si="202"/>
        <v>0</v>
      </c>
      <c r="R801" s="10">
        <f t="shared" ca="1" si="203"/>
        <v>7</v>
      </c>
      <c r="S801" s="10" t="str">
        <f t="shared" ca="1" si="204"/>
        <v>Có</v>
      </c>
      <c r="T801" s="10" t="str">
        <f t="shared" ca="1" si="205"/>
        <v>Có</v>
      </c>
      <c r="U801" s="10" t="str">
        <f t="shared" si="206"/>
        <v>Không</v>
      </c>
      <c r="V801" s="2" t="s">
        <v>51</v>
      </c>
      <c r="W801" s="4">
        <v>46053</v>
      </c>
      <c r="X801" s="8" t="str">
        <f t="shared" si="207"/>
        <v>Tháng 1</v>
      </c>
      <c r="Y801" s="17" t="s">
        <v>1376</v>
      </c>
    </row>
    <row r="802" spans="1:25" x14ac:dyDescent="0.25">
      <c r="A802" s="23" t="s">
        <v>544</v>
      </c>
      <c r="B802" s="20" t="s">
        <v>23</v>
      </c>
      <c r="C802" s="16">
        <v>30317</v>
      </c>
      <c r="D802" s="10">
        <f t="shared" ca="1" si="195"/>
        <v>43</v>
      </c>
      <c r="E802" s="2" t="s">
        <v>25</v>
      </c>
      <c r="F802" s="3">
        <v>169</v>
      </c>
      <c r="G802" s="3">
        <v>68</v>
      </c>
      <c r="H802" s="11">
        <f t="shared" si="196"/>
        <v>23.808690171912751</v>
      </c>
      <c r="I802" s="2">
        <v>88</v>
      </c>
      <c r="J802" s="3">
        <v>140</v>
      </c>
      <c r="K802" s="3">
        <v>80</v>
      </c>
      <c r="L802" s="10">
        <f t="shared" si="197"/>
        <v>0</v>
      </c>
      <c r="M802" s="10">
        <f t="shared" ca="1" si="198"/>
        <v>0</v>
      </c>
      <c r="N802" s="10">
        <f t="shared" si="199"/>
        <v>4</v>
      </c>
      <c r="O802" s="10">
        <f t="shared" si="200"/>
        <v>3</v>
      </c>
      <c r="P802" s="10">
        <f t="shared" si="201"/>
        <v>2</v>
      </c>
      <c r="Q802" s="10">
        <f t="shared" si="202"/>
        <v>2</v>
      </c>
      <c r="R802" s="10">
        <f t="shared" ca="1" si="203"/>
        <v>11</v>
      </c>
      <c r="S802" s="10" t="str">
        <f t="shared" ca="1" si="204"/>
        <v>Có</v>
      </c>
      <c r="T802" s="10" t="str">
        <f t="shared" ca="1" si="205"/>
        <v>Có</v>
      </c>
      <c r="U802" s="10" t="str">
        <f t="shared" si="206"/>
        <v>Có</v>
      </c>
      <c r="V802" s="2" t="s">
        <v>51</v>
      </c>
      <c r="W802" s="4">
        <v>46053</v>
      </c>
      <c r="X802" s="8" t="str">
        <f t="shared" si="207"/>
        <v>Tháng 1</v>
      </c>
      <c r="Y802" s="17" t="s">
        <v>1376</v>
      </c>
    </row>
    <row r="803" spans="1:25" x14ac:dyDescent="0.25">
      <c r="A803" s="23" t="s">
        <v>1098</v>
      </c>
      <c r="B803" s="20" t="s">
        <v>23</v>
      </c>
      <c r="C803" s="16">
        <v>33970</v>
      </c>
      <c r="D803" s="10">
        <f t="shared" ca="1" si="195"/>
        <v>33</v>
      </c>
      <c r="E803" s="2" t="s">
        <v>26</v>
      </c>
      <c r="F803" s="3">
        <v>160</v>
      </c>
      <c r="G803" s="3">
        <v>49</v>
      </c>
      <c r="H803" s="11">
        <f t="shared" si="196"/>
        <v>19.140624999999996</v>
      </c>
      <c r="I803" s="2">
        <v>68</v>
      </c>
      <c r="J803" s="3">
        <v>150</v>
      </c>
      <c r="K803" s="3">
        <v>80</v>
      </c>
      <c r="L803" s="10">
        <f t="shared" si="197"/>
        <v>0</v>
      </c>
      <c r="M803" s="10">
        <f t="shared" ca="1" si="198"/>
        <v>0</v>
      </c>
      <c r="N803" s="10">
        <f t="shared" si="199"/>
        <v>0</v>
      </c>
      <c r="O803" s="10">
        <f t="shared" si="200"/>
        <v>0</v>
      </c>
      <c r="P803" s="10">
        <f t="shared" si="201"/>
        <v>0</v>
      </c>
      <c r="Q803" s="10">
        <f t="shared" si="202"/>
        <v>2</v>
      </c>
      <c r="R803" s="10">
        <f t="shared" ca="1" si="203"/>
        <v>2</v>
      </c>
      <c r="S803" s="10" t="str">
        <f t="shared" ca="1" si="204"/>
        <v>Không cần</v>
      </c>
      <c r="T803" s="10" t="str">
        <f t="shared" ca="1" si="205"/>
        <v>Không</v>
      </c>
      <c r="U803" s="10" t="str">
        <f t="shared" si="206"/>
        <v>Có</v>
      </c>
      <c r="V803" s="2" t="s">
        <v>51</v>
      </c>
      <c r="W803" s="4">
        <v>46081</v>
      </c>
      <c r="X803" s="8" t="str">
        <f t="shared" si="207"/>
        <v>Tháng 2</v>
      </c>
      <c r="Y803" s="17" t="s">
        <v>1376</v>
      </c>
    </row>
    <row r="804" spans="1:25" x14ac:dyDescent="0.25">
      <c r="A804" s="23" t="s">
        <v>570</v>
      </c>
      <c r="B804" s="20" t="s">
        <v>23</v>
      </c>
      <c r="C804" s="16">
        <v>24473</v>
      </c>
      <c r="D804" s="10">
        <f t="shared" ca="1" si="195"/>
        <v>59</v>
      </c>
      <c r="E804" s="2" t="s">
        <v>26</v>
      </c>
      <c r="F804" s="3">
        <v>159</v>
      </c>
      <c r="G804" s="3">
        <v>70</v>
      </c>
      <c r="H804" s="11">
        <f t="shared" si="196"/>
        <v>27.688778133776353</v>
      </c>
      <c r="I804" s="2">
        <v>100</v>
      </c>
      <c r="J804" s="3">
        <v>120</v>
      </c>
      <c r="K804" s="3">
        <v>80</v>
      </c>
      <c r="L804" s="10">
        <f t="shared" si="197"/>
        <v>0</v>
      </c>
      <c r="M804" s="10">
        <f t="shared" ca="1" si="198"/>
        <v>2</v>
      </c>
      <c r="N804" s="10">
        <f t="shared" si="199"/>
        <v>0</v>
      </c>
      <c r="O804" s="10">
        <f t="shared" si="200"/>
        <v>5</v>
      </c>
      <c r="P804" s="10">
        <f t="shared" si="201"/>
        <v>2</v>
      </c>
      <c r="Q804" s="10">
        <f t="shared" si="202"/>
        <v>0</v>
      </c>
      <c r="R804" s="10">
        <f t="shared" ca="1" si="203"/>
        <v>9</v>
      </c>
      <c r="S804" s="10" t="str">
        <f t="shared" ca="1" si="204"/>
        <v>Có</v>
      </c>
      <c r="T804" s="10" t="str">
        <f t="shared" ca="1" si="205"/>
        <v>Có</v>
      </c>
      <c r="U804" s="10" t="str">
        <f t="shared" si="206"/>
        <v>Không</v>
      </c>
      <c r="V804" s="2" t="s">
        <v>51</v>
      </c>
      <c r="W804" s="4">
        <v>46081</v>
      </c>
      <c r="X804" s="8" t="str">
        <f t="shared" si="207"/>
        <v>Tháng 2</v>
      </c>
      <c r="Y804" s="17" t="s">
        <v>1376</v>
      </c>
    </row>
    <row r="805" spans="1:25" x14ac:dyDescent="0.25">
      <c r="A805" s="23" t="s">
        <v>673</v>
      </c>
      <c r="B805" s="20" t="s">
        <v>23</v>
      </c>
      <c r="C805" s="16">
        <v>23377</v>
      </c>
      <c r="D805" s="10">
        <f t="shared" ca="1" si="195"/>
        <v>62</v>
      </c>
      <c r="E805" s="2" t="s">
        <v>26</v>
      </c>
      <c r="F805" s="3">
        <v>163</v>
      </c>
      <c r="G805" s="3">
        <v>54</v>
      </c>
      <c r="H805" s="11">
        <f t="shared" si="196"/>
        <v>20.324438255109339</v>
      </c>
      <c r="I805" s="2">
        <v>98</v>
      </c>
      <c r="J805" s="3">
        <v>120</v>
      </c>
      <c r="K805" s="3">
        <v>80</v>
      </c>
      <c r="L805" s="10">
        <f t="shared" si="197"/>
        <v>0</v>
      </c>
      <c r="M805" s="10">
        <f t="shared" ca="1" si="198"/>
        <v>2</v>
      </c>
      <c r="N805" s="10">
        <f t="shared" si="199"/>
        <v>0</v>
      </c>
      <c r="O805" s="10">
        <f t="shared" si="200"/>
        <v>0</v>
      </c>
      <c r="P805" s="10">
        <f t="shared" si="201"/>
        <v>2</v>
      </c>
      <c r="Q805" s="10">
        <f t="shared" si="202"/>
        <v>0</v>
      </c>
      <c r="R805" s="10">
        <f t="shared" ca="1" si="203"/>
        <v>4</v>
      </c>
      <c r="S805" s="10" t="str">
        <f t="shared" ca="1" si="204"/>
        <v>Không cần</v>
      </c>
      <c r="T805" s="10" t="str">
        <f t="shared" ca="1" si="205"/>
        <v>Không</v>
      </c>
      <c r="U805" s="10" t="str">
        <f t="shared" si="206"/>
        <v>Không</v>
      </c>
      <c r="V805" s="2" t="s">
        <v>51</v>
      </c>
      <c r="W805" s="4">
        <v>46053</v>
      </c>
      <c r="X805" s="8" t="str">
        <f t="shared" si="207"/>
        <v>Tháng 1</v>
      </c>
      <c r="Y805" s="17" t="s">
        <v>1376</v>
      </c>
    </row>
    <row r="806" spans="1:25" x14ac:dyDescent="0.25">
      <c r="A806" s="23" t="s">
        <v>918</v>
      </c>
      <c r="B806" s="20" t="s">
        <v>23</v>
      </c>
      <c r="C806" s="16">
        <v>29221</v>
      </c>
      <c r="D806" s="10">
        <f t="shared" ca="1" si="195"/>
        <v>46</v>
      </c>
      <c r="E806" s="2" t="s">
        <v>26</v>
      </c>
      <c r="F806" s="3">
        <v>158</v>
      </c>
      <c r="G806" s="3">
        <v>58</v>
      </c>
      <c r="H806" s="11">
        <f t="shared" si="196"/>
        <v>23.233456176894723</v>
      </c>
      <c r="I806" s="2">
        <v>75</v>
      </c>
      <c r="J806" s="3">
        <v>120</v>
      </c>
      <c r="K806" s="3">
        <v>80</v>
      </c>
      <c r="L806" s="10">
        <f t="shared" si="197"/>
        <v>0</v>
      </c>
      <c r="M806" s="10">
        <f t="shared" ca="1" si="198"/>
        <v>1</v>
      </c>
      <c r="N806" s="10">
        <f t="shared" si="199"/>
        <v>0</v>
      </c>
      <c r="O806" s="10">
        <f t="shared" si="200"/>
        <v>3</v>
      </c>
      <c r="P806" s="10">
        <f t="shared" si="201"/>
        <v>0</v>
      </c>
      <c r="Q806" s="10">
        <f t="shared" si="202"/>
        <v>0</v>
      </c>
      <c r="R806" s="10">
        <f t="shared" ca="1" si="203"/>
        <v>4</v>
      </c>
      <c r="S806" s="10" t="str">
        <f t="shared" ca="1" si="204"/>
        <v>Không cần</v>
      </c>
      <c r="T806" s="10" t="str">
        <f t="shared" ca="1" si="205"/>
        <v>Không</v>
      </c>
      <c r="U806" s="10" t="str">
        <f t="shared" si="206"/>
        <v>Không</v>
      </c>
      <c r="V806" s="2" t="s">
        <v>51</v>
      </c>
      <c r="W806" s="4">
        <v>46053</v>
      </c>
      <c r="X806" s="8" t="str">
        <f t="shared" si="207"/>
        <v>Tháng 1</v>
      </c>
      <c r="Y806" s="17" t="s">
        <v>1376</v>
      </c>
    </row>
    <row r="807" spans="1:25" x14ac:dyDescent="0.25">
      <c r="A807" s="23" t="s">
        <v>141</v>
      </c>
      <c r="B807" s="20" t="s">
        <v>23</v>
      </c>
      <c r="C807" s="16">
        <v>22647</v>
      </c>
      <c r="D807" s="10">
        <f t="shared" ca="1" si="195"/>
        <v>64</v>
      </c>
      <c r="E807" s="2" t="s">
        <v>26</v>
      </c>
      <c r="F807" s="3">
        <v>158</v>
      </c>
      <c r="G807" s="3">
        <v>58</v>
      </c>
      <c r="H807" s="11">
        <f t="shared" si="196"/>
        <v>23.233456176894723</v>
      </c>
      <c r="I807" s="2">
        <v>79</v>
      </c>
      <c r="J807" s="3">
        <v>140</v>
      </c>
      <c r="K807" s="3">
        <v>80</v>
      </c>
      <c r="L807" s="10">
        <f t="shared" si="197"/>
        <v>0</v>
      </c>
      <c r="M807" s="10">
        <f t="shared" ca="1" si="198"/>
        <v>2</v>
      </c>
      <c r="N807" s="10">
        <f t="shared" si="199"/>
        <v>0</v>
      </c>
      <c r="O807" s="10">
        <f t="shared" si="200"/>
        <v>3</v>
      </c>
      <c r="P807" s="10">
        <f t="shared" si="201"/>
        <v>0</v>
      </c>
      <c r="Q807" s="10">
        <f t="shared" si="202"/>
        <v>2</v>
      </c>
      <c r="R807" s="10">
        <f t="shared" ca="1" si="203"/>
        <v>7</v>
      </c>
      <c r="S807" s="10" t="str">
        <f t="shared" ca="1" si="204"/>
        <v>Có</v>
      </c>
      <c r="T807" s="10" t="str">
        <f t="shared" ca="1" si="205"/>
        <v>Có</v>
      </c>
      <c r="U807" s="10" t="str">
        <f t="shared" si="206"/>
        <v>Có</v>
      </c>
      <c r="V807" s="2" t="s">
        <v>51</v>
      </c>
      <c r="W807" s="4">
        <v>46053</v>
      </c>
      <c r="X807" s="8" t="str">
        <f t="shared" si="207"/>
        <v>Tháng 1</v>
      </c>
      <c r="Y807" s="17" t="s">
        <v>1376</v>
      </c>
    </row>
    <row r="808" spans="1:25" x14ac:dyDescent="0.25">
      <c r="A808" s="23" t="s">
        <v>709</v>
      </c>
      <c r="B808" s="20" t="s">
        <v>23</v>
      </c>
      <c r="C808" s="16">
        <v>26299</v>
      </c>
      <c r="D808" s="10">
        <f t="shared" ca="1" si="195"/>
        <v>54</v>
      </c>
      <c r="E808" s="2" t="s">
        <v>26</v>
      </c>
      <c r="F808" s="3">
        <v>169</v>
      </c>
      <c r="G808" s="3">
        <v>68</v>
      </c>
      <c r="H808" s="11">
        <f t="shared" si="196"/>
        <v>23.808690171912751</v>
      </c>
      <c r="I808" s="2">
        <v>76</v>
      </c>
      <c r="J808" s="3">
        <v>120</v>
      </c>
      <c r="K808" s="3">
        <v>70</v>
      </c>
      <c r="L808" s="10">
        <f t="shared" si="197"/>
        <v>0</v>
      </c>
      <c r="M808" s="10">
        <f t="shared" ca="1" si="198"/>
        <v>2</v>
      </c>
      <c r="N808" s="10">
        <f t="shared" si="199"/>
        <v>0</v>
      </c>
      <c r="O808" s="10">
        <f t="shared" si="200"/>
        <v>3</v>
      </c>
      <c r="P808" s="10">
        <f t="shared" si="201"/>
        <v>0</v>
      </c>
      <c r="Q808" s="10">
        <f t="shared" si="202"/>
        <v>0</v>
      </c>
      <c r="R808" s="10">
        <f t="shared" ca="1" si="203"/>
        <v>5</v>
      </c>
      <c r="S808" s="10" t="str">
        <f t="shared" ca="1" si="204"/>
        <v>Không cần</v>
      </c>
      <c r="T808" s="10" t="str">
        <f t="shared" ca="1" si="205"/>
        <v>Không</v>
      </c>
      <c r="U808" s="10" t="str">
        <f t="shared" si="206"/>
        <v>Không</v>
      </c>
      <c r="V808" s="2" t="s">
        <v>51</v>
      </c>
      <c r="W808" s="4">
        <v>46053</v>
      </c>
      <c r="X808" s="8" t="str">
        <f t="shared" si="207"/>
        <v>Tháng 1</v>
      </c>
      <c r="Y808" s="17" t="s">
        <v>1376</v>
      </c>
    </row>
    <row r="809" spans="1:25" x14ac:dyDescent="0.25">
      <c r="A809" s="23" t="s">
        <v>1101</v>
      </c>
      <c r="B809" s="20" t="s">
        <v>30</v>
      </c>
      <c r="C809" s="16">
        <v>22647</v>
      </c>
      <c r="D809" s="10">
        <f t="shared" ca="1" si="195"/>
        <v>64</v>
      </c>
      <c r="E809" s="2" t="s">
        <v>26</v>
      </c>
      <c r="F809" s="3">
        <v>162</v>
      </c>
      <c r="G809" s="3">
        <v>64</v>
      </c>
      <c r="H809" s="11">
        <f t="shared" si="196"/>
        <v>24.386526444139609</v>
      </c>
      <c r="I809" s="2">
        <v>73</v>
      </c>
      <c r="J809" s="3">
        <v>150</v>
      </c>
      <c r="K809" s="3">
        <v>80</v>
      </c>
      <c r="L809" s="10">
        <f t="shared" si="197"/>
        <v>2</v>
      </c>
      <c r="M809" s="10">
        <f t="shared" ca="1" si="198"/>
        <v>2</v>
      </c>
      <c r="N809" s="10">
        <f t="shared" si="199"/>
        <v>0</v>
      </c>
      <c r="O809" s="10">
        <f t="shared" si="200"/>
        <v>3</v>
      </c>
      <c r="P809" s="10">
        <f t="shared" si="201"/>
        <v>0</v>
      </c>
      <c r="Q809" s="10">
        <f t="shared" si="202"/>
        <v>2</v>
      </c>
      <c r="R809" s="10">
        <f t="shared" ca="1" si="203"/>
        <v>9</v>
      </c>
      <c r="S809" s="10" t="str">
        <f t="shared" ca="1" si="204"/>
        <v>Có</v>
      </c>
      <c r="T809" s="10" t="str">
        <f t="shared" ca="1" si="205"/>
        <v>Có</v>
      </c>
      <c r="U809" s="10" t="str">
        <f t="shared" si="206"/>
        <v>Có</v>
      </c>
      <c r="V809" s="2" t="s">
        <v>51</v>
      </c>
      <c r="W809" s="4">
        <v>46053</v>
      </c>
      <c r="X809" s="8" t="str">
        <f t="shared" si="207"/>
        <v>Tháng 1</v>
      </c>
      <c r="Y809" s="17" t="s">
        <v>1376</v>
      </c>
    </row>
    <row r="810" spans="1:25" x14ac:dyDescent="0.25">
      <c r="A810" s="23" t="s">
        <v>993</v>
      </c>
      <c r="B810" s="20" t="s">
        <v>30</v>
      </c>
      <c r="C810" s="16">
        <v>25569</v>
      </c>
      <c r="D810" s="10">
        <f t="shared" ca="1" si="195"/>
        <v>56</v>
      </c>
      <c r="E810" s="2" t="s">
        <v>26</v>
      </c>
      <c r="F810" s="3">
        <v>158</v>
      </c>
      <c r="G810" s="3">
        <v>58</v>
      </c>
      <c r="H810" s="11">
        <f t="shared" si="196"/>
        <v>23.233456176894723</v>
      </c>
      <c r="I810" s="2">
        <v>72</v>
      </c>
      <c r="J810" s="3">
        <v>140</v>
      </c>
      <c r="K810" s="3">
        <v>80</v>
      </c>
      <c r="L810" s="10">
        <f t="shared" si="197"/>
        <v>2</v>
      </c>
      <c r="M810" s="10">
        <f t="shared" ca="1" si="198"/>
        <v>2</v>
      </c>
      <c r="N810" s="10">
        <f t="shared" si="199"/>
        <v>0</v>
      </c>
      <c r="O810" s="10">
        <f t="shared" si="200"/>
        <v>3</v>
      </c>
      <c r="P810" s="10">
        <f t="shared" si="201"/>
        <v>0</v>
      </c>
      <c r="Q810" s="10">
        <f t="shared" si="202"/>
        <v>2</v>
      </c>
      <c r="R810" s="10">
        <f t="shared" ca="1" si="203"/>
        <v>9</v>
      </c>
      <c r="S810" s="10" t="str">
        <f t="shared" ca="1" si="204"/>
        <v>Có</v>
      </c>
      <c r="T810" s="10" t="str">
        <f t="shared" ca="1" si="205"/>
        <v>Có</v>
      </c>
      <c r="U810" s="10" t="str">
        <f t="shared" si="206"/>
        <v>Có</v>
      </c>
      <c r="V810" s="2" t="s">
        <v>51</v>
      </c>
      <c r="W810" s="4">
        <v>46081</v>
      </c>
      <c r="X810" s="8" t="str">
        <f t="shared" si="207"/>
        <v>Tháng 2</v>
      </c>
      <c r="Y810" s="17" t="s">
        <v>1376</v>
      </c>
    </row>
    <row r="811" spans="1:25" x14ac:dyDescent="0.25">
      <c r="A811" s="23" t="s">
        <v>1103</v>
      </c>
      <c r="B811" s="20" t="s">
        <v>23</v>
      </c>
      <c r="C811" s="16">
        <v>27030</v>
      </c>
      <c r="D811" s="10">
        <f t="shared" ca="1" si="195"/>
        <v>52</v>
      </c>
      <c r="E811" s="2" t="s">
        <v>26</v>
      </c>
      <c r="F811" s="3">
        <v>160</v>
      </c>
      <c r="G811" s="3">
        <v>70</v>
      </c>
      <c r="H811" s="11">
        <f t="shared" si="196"/>
        <v>27.343749999999996</v>
      </c>
      <c r="I811" s="2">
        <v>74</v>
      </c>
      <c r="J811" s="3">
        <v>120</v>
      </c>
      <c r="K811" s="3">
        <v>80</v>
      </c>
      <c r="L811" s="10">
        <f t="shared" si="197"/>
        <v>0</v>
      </c>
      <c r="M811" s="10">
        <f t="shared" ca="1" si="198"/>
        <v>2</v>
      </c>
      <c r="N811" s="10">
        <f t="shared" si="199"/>
        <v>0</v>
      </c>
      <c r="O811" s="10">
        <f t="shared" si="200"/>
        <v>3</v>
      </c>
      <c r="P811" s="10">
        <f t="shared" si="201"/>
        <v>0</v>
      </c>
      <c r="Q811" s="10">
        <f t="shared" si="202"/>
        <v>0</v>
      </c>
      <c r="R811" s="10">
        <f t="shared" ca="1" si="203"/>
        <v>5</v>
      </c>
      <c r="S811" s="10" t="str">
        <f t="shared" ca="1" si="204"/>
        <v>Không cần</v>
      </c>
      <c r="T811" s="10" t="str">
        <f t="shared" ca="1" si="205"/>
        <v>Không</v>
      </c>
      <c r="U811" s="10" t="str">
        <f t="shared" si="206"/>
        <v>Không</v>
      </c>
      <c r="V811" s="2" t="s">
        <v>51</v>
      </c>
      <c r="W811" s="4">
        <v>46081</v>
      </c>
      <c r="X811" s="8" t="str">
        <f t="shared" si="207"/>
        <v>Tháng 2</v>
      </c>
      <c r="Y811" s="17" t="s">
        <v>1376</v>
      </c>
    </row>
    <row r="812" spans="1:25" x14ac:dyDescent="0.25">
      <c r="A812" s="23" t="s">
        <v>510</v>
      </c>
      <c r="B812" s="20" t="s">
        <v>30</v>
      </c>
      <c r="C812" s="16">
        <v>18994</v>
      </c>
      <c r="D812" s="10">
        <f t="shared" ca="1" si="195"/>
        <v>74</v>
      </c>
      <c r="E812" s="2" t="s">
        <v>25</v>
      </c>
      <c r="F812" s="3">
        <v>156</v>
      </c>
      <c r="G812" s="3">
        <v>53</v>
      </c>
      <c r="H812" s="11">
        <f t="shared" si="196"/>
        <v>21.7784352399737</v>
      </c>
      <c r="I812" s="2">
        <v>88</v>
      </c>
      <c r="J812" s="3">
        <v>140</v>
      </c>
      <c r="K812" s="3">
        <v>80</v>
      </c>
      <c r="L812" s="10">
        <f t="shared" si="197"/>
        <v>2</v>
      </c>
      <c r="M812" s="10">
        <f t="shared" ca="1" si="198"/>
        <v>2</v>
      </c>
      <c r="N812" s="10">
        <f t="shared" si="199"/>
        <v>4</v>
      </c>
      <c r="O812" s="10">
        <f t="shared" si="200"/>
        <v>0</v>
      </c>
      <c r="P812" s="10">
        <f t="shared" si="201"/>
        <v>0</v>
      </c>
      <c r="Q812" s="10">
        <f t="shared" si="202"/>
        <v>2</v>
      </c>
      <c r="R812" s="10">
        <f t="shared" ca="1" si="203"/>
        <v>10</v>
      </c>
      <c r="S812" s="10" t="str">
        <f t="shared" ca="1" si="204"/>
        <v>Có</v>
      </c>
      <c r="T812" s="10" t="str">
        <f t="shared" ca="1" si="205"/>
        <v>Có</v>
      </c>
      <c r="U812" s="10" t="str">
        <f t="shared" si="206"/>
        <v>Có</v>
      </c>
      <c r="V812" s="2" t="s">
        <v>51</v>
      </c>
      <c r="W812" s="4">
        <v>46081</v>
      </c>
      <c r="X812" s="8" t="str">
        <f t="shared" si="207"/>
        <v>Tháng 2</v>
      </c>
      <c r="Y812" s="17" t="s">
        <v>1376</v>
      </c>
    </row>
    <row r="813" spans="1:25" x14ac:dyDescent="0.25">
      <c r="A813" s="23" t="s">
        <v>1104</v>
      </c>
      <c r="B813" s="20" t="s">
        <v>23</v>
      </c>
      <c r="C813" s="16">
        <v>27760</v>
      </c>
      <c r="D813" s="10">
        <f t="shared" ca="1" si="195"/>
        <v>50</v>
      </c>
      <c r="E813" s="2" t="s">
        <v>26</v>
      </c>
      <c r="F813" s="3">
        <v>169</v>
      </c>
      <c r="G813" s="3">
        <v>68</v>
      </c>
      <c r="H813" s="11">
        <f t="shared" si="196"/>
        <v>23.808690171912751</v>
      </c>
      <c r="I813" s="2">
        <v>72</v>
      </c>
      <c r="J813" s="3">
        <v>140</v>
      </c>
      <c r="K813" s="3">
        <v>80</v>
      </c>
      <c r="L813" s="10">
        <f t="shared" si="197"/>
        <v>0</v>
      </c>
      <c r="M813" s="10">
        <f t="shared" ca="1" si="198"/>
        <v>2</v>
      </c>
      <c r="N813" s="10">
        <f t="shared" si="199"/>
        <v>0</v>
      </c>
      <c r="O813" s="10">
        <f t="shared" si="200"/>
        <v>3</v>
      </c>
      <c r="P813" s="10">
        <f t="shared" si="201"/>
        <v>0</v>
      </c>
      <c r="Q813" s="10">
        <f t="shared" si="202"/>
        <v>2</v>
      </c>
      <c r="R813" s="10">
        <f t="shared" ca="1" si="203"/>
        <v>7</v>
      </c>
      <c r="S813" s="10" t="str">
        <f t="shared" ca="1" si="204"/>
        <v>Có</v>
      </c>
      <c r="T813" s="10" t="str">
        <f t="shared" ca="1" si="205"/>
        <v>Có</v>
      </c>
      <c r="U813" s="10" t="str">
        <f t="shared" si="206"/>
        <v>Có</v>
      </c>
      <c r="V813" s="2" t="s">
        <v>51</v>
      </c>
      <c r="W813" s="4">
        <v>46053</v>
      </c>
      <c r="X813" s="8" t="str">
        <f t="shared" si="207"/>
        <v>Tháng 1</v>
      </c>
      <c r="Y813" s="17" t="s">
        <v>1376</v>
      </c>
    </row>
    <row r="814" spans="1:25" x14ac:dyDescent="0.25">
      <c r="A814" s="23" t="s">
        <v>1105</v>
      </c>
      <c r="B814" s="20" t="s">
        <v>23</v>
      </c>
      <c r="C814" s="16">
        <v>25204</v>
      </c>
      <c r="D814" s="10">
        <f t="shared" ca="1" si="195"/>
        <v>57</v>
      </c>
      <c r="E814" s="2" t="s">
        <v>26</v>
      </c>
      <c r="F814" s="3">
        <v>160</v>
      </c>
      <c r="G814" s="3">
        <v>48</v>
      </c>
      <c r="H814" s="11">
        <f t="shared" si="196"/>
        <v>18.749999999999996</v>
      </c>
      <c r="I814" s="2">
        <v>65</v>
      </c>
      <c r="J814" s="3">
        <v>120</v>
      </c>
      <c r="K814" s="3">
        <v>80</v>
      </c>
      <c r="L814" s="10">
        <f t="shared" si="197"/>
        <v>0</v>
      </c>
      <c r="M814" s="10">
        <f t="shared" ca="1" si="198"/>
        <v>2</v>
      </c>
      <c r="N814" s="10">
        <f t="shared" si="199"/>
        <v>0</v>
      </c>
      <c r="O814" s="10">
        <f t="shared" si="200"/>
        <v>0</v>
      </c>
      <c r="P814" s="10">
        <f t="shared" si="201"/>
        <v>0</v>
      </c>
      <c r="Q814" s="10">
        <f t="shared" si="202"/>
        <v>0</v>
      </c>
      <c r="R814" s="10">
        <f t="shared" ca="1" si="203"/>
        <v>2</v>
      </c>
      <c r="S814" s="10" t="str">
        <f t="shared" ca="1" si="204"/>
        <v>Không cần</v>
      </c>
      <c r="T814" s="10" t="str">
        <f t="shared" ca="1" si="205"/>
        <v>Không</v>
      </c>
      <c r="U814" s="10" t="str">
        <f t="shared" si="206"/>
        <v>Không</v>
      </c>
      <c r="V814" s="2" t="s">
        <v>51</v>
      </c>
      <c r="W814" s="4">
        <v>46081</v>
      </c>
      <c r="X814" s="8" t="str">
        <f t="shared" si="207"/>
        <v>Tháng 2</v>
      </c>
      <c r="Y814" s="17" t="s">
        <v>1376</v>
      </c>
    </row>
    <row r="815" spans="1:25" x14ac:dyDescent="0.25">
      <c r="A815" s="23" t="s">
        <v>1108</v>
      </c>
      <c r="B815" s="20" t="s">
        <v>23</v>
      </c>
      <c r="C815" s="16">
        <v>18264</v>
      </c>
      <c r="D815" s="10">
        <f t="shared" ca="1" si="195"/>
        <v>76</v>
      </c>
      <c r="E815" s="2" t="s">
        <v>26</v>
      </c>
      <c r="F815" s="3">
        <v>158</v>
      </c>
      <c r="G815" s="3">
        <v>58</v>
      </c>
      <c r="H815" s="11">
        <f t="shared" si="196"/>
        <v>23.233456176894723</v>
      </c>
      <c r="I815" s="2">
        <v>71</v>
      </c>
      <c r="J815" s="3">
        <v>140</v>
      </c>
      <c r="K815" s="3">
        <v>80</v>
      </c>
      <c r="L815" s="10">
        <f t="shared" si="197"/>
        <v>0</v>
      </c>
      <c r="M815" s="10">
        <f t="shared" ca="1" si="198"/>
        <v>2</v>
      </c>
      <c r="N815" s="10">
        <f t="shared" si="199"/>
        <v>0</v>
      </c>
      <c r="O815" s="10">
        <f t="shared" si="200"/>
        <v>3</v>
      </c>
      <c r="P815" s="10">
        <f t="shared" si="201"/>
        <v>0</v>
      </c>
      <c r="Q815" s="10">
        <f t="shared" si="202"/>
        <v>2</v>
      </c>
      <c r="R815" s="10">
        <f t="shared" ca="1" si="203"/>
        <v>7</v>
      </c>
      <c r="S815" s="10" t="str">
        <f t="shared" ca="1" si="204"/>
        <v>Có</v>
      </c>
      <c r="T815" s="10" t="str">
        <f t="shared" ca="1" si="205"/>
        <v>Có</v>
      </c>
      <c r="U815" s="10" t="str">
        <f t="shared" si="206"/>
        <v>Có</v>
      </c>
      <c r="V815" s="2" t="s">
        <v>51</v>
      </c>
      <c r="W815" s="4">
        <v>46053</v>
      </c>
      <c r="X815" s="8" t="str">
        <f t="shared" si="207"/>
        <v>Tháng 1</v>
      </c>
      <c r="Y815" s="17" t="s">
        <v>1376</v>
      </c>
    </row>
    <row r="816" spans="1:25" x14ac:dyDescent="0.25">
      <c r="A816" s="23" t="s">
        <v>1109</v>
      </c>
      <c r="B816" s="20" t="s">
        <v>23</v>
      </c>
      <c r="C816" s="16">
        <v>18264</v>
      </c>
      <c r="D816" s="10">
        <f t="shared" ca="1" si="195"/>
        <v>76</v>
      </c>
      <c r="E816" s="2" t="s">
        <v>26</v>
      </c>
      <c r="F816" s="3">
        <v>169</v>
      </c>
      <c r="G816" s="3">
        <v>68</v>
      </c>
      <c r="H816" s="11">
        <f t="shared" si="196"/>
        <v>23.808690171912751</v>
      </c>
      <c r="I816" s="2">
        <v>76</v>
      </c>
      <c r="J816" s="3">
        <v>140</v>
      </c>
      <c r="K816" s="3">
        <v>80</v>
      </c>
      <c r="L816" s="10">
        <f t="shared" si="197"/>
        <v>0</v>
      </c>
      <c r="M816" s="10">
        <f t="shared" ca="1" si="198"/>
        <v>2</v>
      </c>
      <c r="N816" s="10">
        <f t="shared" si="199"/>
        <v>0</v>
      </c>
      <c r="O816" s="10">
        <f t="shared" si="200"/>
        <v>3</v>
      </c>
      <c r="P816" s="10">
        <f t="shared" si="201"/>
        <v>0</v>
      </c>
      <c r="Q816" s="10">
        <f t="shared" si="202"/>
        <v>2</v>
      </c>
      <c r="R816" s="10">
        <f t="shared" ca="1" si="203"/>
        <v>7</v>
      </c>
      <c r="S816" s="10" t="str">
        <f t="shared" ca="1" si="204"/>
        <v>Có</v>
      </c>
      <c r="T816" s="10" t="str">
        <f t="shared" ca="1" si="205"/>
        <v>Có</v>
      </c>
      <c r="U816" s="10" t="str">
        <f t="shared" si="206"/>
        <v>Có</v>
      </c>
      <c r="V816" s="2" t="s">
        <v>51</v>
      </c>
      <c r="W816" s="4">
        <v>46053</v>
      </c>
      <c r="X816" s="8" t="str">
        <f t="shared" si="207"/>
        <v>Tháng 1</v>
      </c>
      <c r="Y816" s="17" t="s">
        <v>1376</v>
      </c>
    </row>
    <row r="817" spans="1:25" x14ac:dyDescent="0.25">
      <c r="A817" s="23" t="s">
        <v>1110</v>
      </c>
      <c r="B817" s="20" t="s">
        <v>23</v>
      </c>
      <c r="C817" s="16">
        <v>27030</v>
      </c>
      <c r="D817" s="10">
        <f t="shared" ca="1" si="195"/>
        <v>52</v>
      </c>
      <c r="E817" s="2" t="s">
        <v>26</v>
      </c>
      <c r="F817" s="3">
        <v>160</v>
      </c>
      <c r="G817" s="3">
        <v>52</v>
      </c>
      <c r="H817" s="11">
        <f t="shared" si="196"/>
        <v>20.312499999999996</v>
      </c>
      <c r="I817" s="2">
        <v>74</v>
      </c>
      <c r="J817" s="3">
        <v>120</v>
      </c>
      <c r="K817" s="3">
        <v>80</v>
      </c>
      <c r="L817" s="10">
        <f t="shared" si="197"/>
        <v>0</v>
      </c>
      <c r="M817" s="10">
        <f t="shared" ca="1" si="198"/>
        <v>2</v>
      </c>
      <c r="N817" s="10">
        <f t="shared" si="199"/>
        <v>0</v>
      </c>
      <c r="O817" s="10">
        <f t="shared" si="200"/>
        <v>0</v>
      </c>
      <c r="P817" s="10">
        <f t="shared" si="201"/>
        <v>0</v>
      </c>
      <c r="Q817" s="10">
        <f t="shared" si="202"/>
        <v>0</v>
      </c>
      <c r="R817" s="10">
        <f t="shared" ca="1" si="203"/>
        <v>2</v>
      </c>
      <c r="S817" s="10" t="str">
        <f t="shared" ca="1" si="204"/>
        <v>Không cần</v>
      </c>
      <c r="T817" s="10" t="str">
        <f t="shared" ca="1" si="205"/>
        <v>Không</v>
      </c>
      <c r="U817" s="10" t="str">
        <f t="shared" si="206"/>
        <v>Không</v>
      </c>
      <c r="V817" s="2" t="s">
        <v>51</v>
      </c>
      <c r="W817" s="4">
        <v>46081</v>
      </c>
      <c r="X817" s="8" t="str">
        <f t="shared" si="207"/>
        <v>Tháng 2</v>
      </c>
      <c r="Y817" s="17" t="s">
        <v>1376</v>
      </c>
    </row>
    <row r="818" spans="1:25" x14ac:dyDescent="0.25">
      <c r="A818" s="23" t="s">
        <v>1112</v>
      </c>
      <c r="B818" s="20" t="s">
        <v>23</v>
      </c>
      <c r="C818" s="16">
        <v>19725</v>
      </c>
      <c r="D818" s="10">
        <f t="shared" ca="1" si="195"/>
        <v>72</v>
      </c>
      <c r="E818" s="2" t="s">
        <v>26</v>
      </c>
      <c r="F818" s="3">
        <v>158</v>
      </c>
      <c r="G818" s="3">
        <v>58</v>
      </c>
      <c r="H818" s="11">
        <f t="shared" si="196"/>
        <v>23.233456176894723</v>
      </c>
      <c r="I818" s="2">
        <v>91</v>
      </c>
      <c r="J818" s="3">
        <v>120</v>
      </c>
      <c r="K818" s="3">
        <v>80</v>
      </c>
      <c r="L818" s="10">
        <f t="shared" si="197"/>
        <v>0</v>
      </c>
      <c r="M818" s="10">
        <f t="shared" ca="1" si="198"/>
        <v>2</v>
      </c>
      <c r="N818" s="10">
        <f t="shared" si="199"/>
        <v>0</v>
      </c>
      <c r="O818" s="10">
        <f t="shared" si="200"/>
        <v>3</v>
      </c>
      <c r="P818" s="10">
        <f t="shared" si="201"/>
        <v>2</v>
      </c>
      <c r="Q818" s="10">
        <f t="shared" si="202"/>
        <v>0</v>
      </c>
      <c r="R818" s="10">
        <f t="shared" ca="1" si="203"/>
        <v>7</v>
      </c>
      <c r="S818" s="10" t="str">
        <f t="shared" ca="1" si="204"/>
        <v>Có</v>
      </c>
      <c r="T818" s="10" t="str">
        <f t="shared" ca="1" si="205"/>
        <v>Có</v>
      </c>
      <c r="U818" s="10" t="str">
        <f t="shared" si="206"/>
        <v>Không</v>
      </c>
      <c r="V818" s="2" t="s">
        <v>51</v>
      </c>
      <c r="W818" s="4">
        <v>46081</v>
      </c>
      <c r="X818" s="8" t="str">
        <f t="shared" si="207"/>
        <v>Tháng 2</v>
      </c>
      <c r="Y818" s="17" t="s">
        <v>1376</v>
      </c>
    </row>
    <row r="819" spans="1:25" x14ac:dyDescent="0.25">
      <c r="A819" s="23" t="s">
        <v>935</v>
      </c>
      <c r="B819" s="20" t="s">
        <v>23</v>
      </c>
      <c r="C819" s="16">
        <v>21186</v>
      </c>
      <c r="D819" s="10">
        <f t="shared" ca="1" si="195"/>
        <v>68</v>
      </c>
      <c r="E819" s="2" t="s">
        <v>26</v>
      </c>
      <c r="F819" s="3">
        <v>158</v>
      </c>
      <c r="G819" s="3">
        <v>68</v>
      </c>
      <c r="H819" s="11">
        <f t="shared" si="196"/>
        <v>27.239224483255885</v>
      </c>
      <c r="I819" s="2">
        <v>78</v>
      </c>
      <c r="J819" s="3">
        <v>140</v>
      </c>
      <c r="K819" s="3">
        <v>80</v>
      </c>
      <c r="L819" s="10">
        <f t="shared" si="197"/>
        <v>0</v>
      </c>
      <c r="M819" s="10">
        <f t="shared" ca="1" si="198"/>
        <v>2</v>
      </c>
      <c r="N819" s="10">
        <f t="shared" si="199"/>
        <v>0</v>
      </c>
      <c r="O819" s="10">
        <f t="shared" si="200"/>
        <v>3</v>
      </c>
      <c r="P819" s="10">
        <f t="shared" si="201"/>
        <v>0</v>
      </c>
      <c r="Q819" s="10">
        <f t="shared" si="202"/>
        <v>2</v>
      </c>
      <c r="R819" s="10">
        <f t="shared" ca="1" si="203"/>
        <v>7</v>
      </c>
      <c r="S819" s="10" t="str">
        <f t="shared" ca="1" si="204"/>
        <v>Có</v>
      </c>
      <c r="T819" s="10" t="str">
        <f t="shared" ca="1" si="205"/>
        <v>Có</v>
      </c>
      <c r="U819" s="10" t="str">
        <f t="shared" si="206"/>
        <v>Có</v>
      </c>
      <c r="V819" s="2" t="s">
        <v>51</v>
      </c>
      <c r="W819" s="4">
        <v>46053</v>
      </c>
      <c r="X819" s="8" t="str">
        <f t="shared" si="207"/>
        <v>Tháng 1</v>
      </c>
      <c r="Y819" s="17" t="s">
        <v>1376</v>
      </c>
    </row>
    <row r="820" spans="1:25" x14ac:dyDescent="0.25">
      <c r="A820" s="23" t="s">
        <v>1113</v>
      </c>
      <c r="B820" s="20" t="s">
        <v>23</v>
      </c>
      <c r="C820" s="16">
        <v>25204</v>
      </c>
      <c r="D820" s="10">
        <f t="shared" ca="1" si="195"/>
        <v>57</v>
      </c>
      <c r="E820" s="2" t="s">
        <v>25</v>
      </c>
      <c r="F820" s="3">
        <v>169</v>
      </c>
      <c r="G820" s="3">
        <v>68</v>
      </c>
      <c r="H820" s="11">
        <f t="shared" si="196"/>
        <v>23.808690171912751</v>
      </c>
      <c r="I820" s="2">
        <v>84</v>
      </c>
      <c r="J820" s="3">
        <v>120</v>
      </c>
      <c r="K820" s="3">
        <v>80</v>
      </c>
      <c r="L820" s="10">
        <f t="shared" si="197"/>
        <v>0</v>
      </c>
      <c r="M820" s="10">
        <f t="shared" ca="1" si="198"/>
        <v>2</v>
      </c>
      <c r="N820" s="10">
        <f t="shared" si="199"/>
        <v>4</v>
      </c>
      <c r="O820" s="10">
        <f t="shared" si="200"/>
        <v>3</v>
      </c>
      <c r="P820" s="10">
        <f t="shared" si="201"/>
        <v>2</v>
      </c>
      <c r="Q820" s="10">
        <f t="shared" si="202"/>
        <v>0</v>
      </c>
      <c r="R820" s="10">
        <f t="shared" ca="1" si="203"/>
        <v>11</v>
      </c>
      <c r="S820" s="10" t="str">
        <f t="shared" ca="1" si="204"/>
        <v>Có</v>
      </c>
      <c r="T820" s="10" t="str">
        <f t="shared" ca="1" si="205"/>
        <v>Có</v>
      </c>
      <c r="U820" s="10" t="str">
        <f t="shared" si="206"/>
        <v>Không</v>
      </c>
      <c r="V820" s="2" t="s">
        <v>51</v>
      </c>
      <c r="W820" s="4">
        <v>46053</v>
      </c>
      <c r="X820" s="8" t="str">
        <f t="shared" si="207"/>
        <v>Tháng 1</v>
      </c>
      <c r="Y820" s="17" t="s">
        <v>1376</v>
      </c>
    </row>
    <row r="821" spans="1:25" x14ac:dyDescent="0.25">
      <c r="A821" s="23" t="s">
        <v>1115</v>
      </c>
      <c r="B821" s="20" t="s">
        <v>23</v>
      </c>
      <c r="C821" s="16">
        <v>21186</v>
      </c>
      <c r="D821" s="10">
        <f t="shared" ca="1" si="195"/>
        <v>68</v>
      </c>
      <c r="E821" s="2" t="s">
        <v>26</v>
      </c>
      <c r="F821" s="3">
        <v>160</v>
      </c>
      <c r="G821" s="3">
        <v>55</v>
      </c>
      <c r="H821" s="11">
        <f t="shared" si="196"/>
        <v>21.484374999999996</v>
      </c>
      <c r="I821" s="2">
        <v>95</v>
      </c>
      <c r="J821" s="3">
        <v>130</v>
      </c>
      <c r="K821" s="3">
        <v>80</v>
      </c>
      <c r="L821" s="10">
        <f t="shared" si="197"/>
        <v>0</v>
      </c>
      <c r="M821" s="10">
        <f t="shared" ca="1" si="198"/>
        <v>2</v>
      </c>
      <c r="N821" s="10">
        <f t="shared" si="199"/>
        <v>0</v>
      </c>
      <c r="O821" s="10">
        <f t="shared" si="200"/>
        <v>0</v>
      </c>
      <c r="P821" s="10">
        <f t="shared" si="201"/>
        <v>2</v>
      </c>
      <c r="Q821" s="10">
        <f t="shared" si="202"/>
        <v>0</v>
      </c>
      <c r="R821" s="10">
        <f t="shared" ca="1" si="203"/>
        <v>4</v>
      </c>
      <c r="S821" s="10" t="str">
        <f t="shared" ca="1" si="204"/>
        <v>Không cần</v>
      </c>
      <c r="T821" s="10" t="str">
        <f t="shared" ca="1" si="205"/>
        <v>Không</v>
      </c>
      <c r="U821" s="10" t="str">
        <f t="shared" si="206"/>
        <v>Không</v>
      </c>
      <c r="V821" s="2" t="s">
        <v>51</v>
      </c>
      <c r="W821" s="4">
        <v>46081</v>
      </c>
      <c r="X821" s="8" t="str">
        <f t="shared" si="207"/>
        <v>Tháng 2</v>
      </c>
      <c r="Y821" s="17" t="s">
        <v>1376</v>
      </c>
    </row>
    <row r="822" spans="1:25" x14ac:dyDescent="0.25">
      <c r="A822" s="23" t="s">
        <v>1116</v>
      </c>
      <c r="B822" s="20" t="s">
        <v>23</v>
      </c>
      <c r="C822" s="16">
        <v>24108</v>
      </c>
      <c r="D822" s="10">
        <f t="shared" ca="1" si="195"/>
        <v>60</v>
      </c>
      <c r="E822" s="2" t="s">
        <v>26</v>
      </c>
      <c r="F822" s="3">
        <v>169</v>
      </c>
      <c r="G822" s="3">
        <v>68</v>
      </c>
      <c r="H822" s="11">
        <f t="shared" si="196"/>
        <v>23.808690171912751</v>
      </c>
      <c r="I822" s="2">
        <v>96</v>
      </c>
      <c r="J822" s="3">
        <v>130</v>
      </c>
      <c r="K822" s="3">
        <v>80</v>
      </c>
      <c r="L822" s="10">
        <f t="shared" si="197"/>
        <v>0</v>
      </c>
      <c r="M822" s="10">
        <f t="shared" ca="1" si="198"/>
        <v>2</v>
      </c>
      <c r="N822" s="10">
        <f t="shared" si="199"/>
        <v>0</v>
      </c>
      <c r="O822" s="10">
        <f t="shared" si="200"/>
        <v>3</v>
      </c>
      <c r="P822" s="10">
        <f t="shared" si="201"/>
        <v>2</v>
      </c>
      <c r="Q822" s="10">
        <f t="shared" si="202"/>
        <v>0</v>
      </c>
      <c r="R822" s="10">
        <f t="shared" ca="1" si="203"/>
        <v>7</v>
      </c>
      <c r="S822" s="10" t="str">
        <f t="shared" ca="1" si="204"/>
        <v>Có</v>
      </c>
      <c r="T822" s="10" t="str">
        <f t="shared" ca="1" si="205"/>
        <v>Có</v>
      </c>
      <c r="U822" s="10" t="str">
        <f t="shared" si="206"/>
        <v>Không</v>
      </c>
      <c r="V822" s="2" t="s">
        <v>51</v>
      </c>
      <c r="W822" s="4">
        <v>46053</v>
      </c>
      <c r="X822" s="8" t="str">
        <f t="shared" si="207"/>
        <v>Tháng 1</v>
      </c>
      <c r="Y822" s="17" t="s">
        <v>1376</v>
      </c>
    </row>
    <row r="823" spans="1:25" x14ac:dyDescent="0.25">
      <c r="A823" s="23" t="s">
        <v>1117</v>
      </c>
      <c r="B823" s="20" t="s">
        <v>30</v>
      </c>
      <c r="C823" s="16">
        <v>23377</v>
      </c>
      <c r="D823" s="10">
        <f t="shared" ca="1" si="195"/>
        <v>62</v>
      </c>
      <c r="E823" s="2" t="s">
        <v>26</v>
      </c>
      <c r="F823" s="3">
        <v>160</v>
      </c>
      <c r="G823" s="3">
        <v>57</v>
      </c>
      <c r="H823" s="11">
        <f t="shared" si="196"/>
        <v>22.265624999999996</v>
      </c>
      <c r="I823" s="2">
        <v>72</v>
      </c>
      <c r="J823" s="3">
        <v>120</v>
      </c>
      <c r="K823" s="3">
        <v>70</v>
      </c>
      <c r="L823" s="10">
        <f t="shared" si="197"/>
        <v>2</v>
      </c>
      <c r="M823" s="10">
        <f t="shared" ca="1" si="198"/>
        <v>2</v>
      </c>
      <c r="N823" s="10">
        <f t="shared" si="199"/>
        <v>0</v>
      </c>
      <c r="O823" s="10">
        <f t="shared" si="200"/>
        <v>0</v>
      </c>
      <c r="P823" s="10">
        <f t="shared" si="201"/>
        <v>0</v>
      </c>
      <c r="Q823" s="10">
        <f t="shared" si="202"/>
        <v>0</v>
      </c>
      <c r="R823" s="10">
        <f t="shared" ca="1" si="203"/>
        <v>4</v>
      </c>
      <c r="S823" s="10" t="str">
        <f t="shared" ca="1" si="204"/>
        <v>Không cần</v>
      </c>
      <c r="T823" s="10" t="str">
        <f t="shared" ca="1" si="205"/>
        <v>Không</v>
      </c>
      <c r="U823" s="10" t="str">
        <f t="shared" si="206"/>
        <v>Không</v>
      </c>
      <c r="V823" s="2" t="s">
        <v>51</v>
      </c>
      <c r="W823" s="4">
        <v>46053</v>
      </c>
      <c r="X823" s="8" t="str">
        <f t="shared" si="207"/>
        <v>Tháng 1</v>
      </c>
      <c r="Y823" s="17" t="s">
        <v>1376</v>
      </c>
    </row>
    <row r="824" spans="1:25" x14ac:dyDescent="0.25">
      <c r="A824" s="23" t="s">
        <v>1120</v>
      </c>
      <c r="B824" s="20" t="s">
        <v>23</v>
      </c>
      <c r="C824" s="16">
        <v>28126</v>
      </c>
      <c r="D824" s="10">
        <f t="shared" ref="D824:D853" ca="1" si="208">DATEDIF(C824,TODAY(),"Y")</f>
        <v>49</v>
      </c>
      <c r="E824" s="2" t="s">
        <v>26</v>
      </c>
      <c r="F824" s="3">
        <v>160</v>
      </c>
      <c r="G824" s="3">
        <v>65</v>
      </c>
      <c r="H824" s="11">
        <f t="shared" ref="H824:H853" si="209">G824/((F824/100)*(F824/100))</f>
        <v>25.390624999999996</v>
      </c>
      <c r="I824" s="2">
        <v>84</v>
      </c>
      <c r="J824" s="3">
        <v>130</v>
      </c>
      <c r="K824" s="3">
        <v>70</v>
      </c>
      <c r="L824" s="10">
        <f t="shared" ref="L824:L853" si="210">IF(B824="Nữ",0,2)</f>
        <v>0</v>
      </c>
      <c r="M824" s="10">
        <f t="shared" ref="M824:M853" ca="1" si="211">IF(D824&lt;45,0,IF(D824&lt;=49,1,2))</f>
        <v>1</v>
      </c>
      <c r="N824" s="10">
        <f t="shared" ref="N824:N853" si="212">IF(E824="Có",4,0)</f>
        <v>0</v>
      </c>
      <c r="O824" s="10">
        <f t="shared" ref="O824:O853" si="213">IF(H824&lt;23,0,IF(H824&lt;27.5,3,5))</f>
        <v>3</v>
      </c>
      <c r="P824" s="10">
        <f t="shared" ref="P824:P853" si="214">IF(OR(AND(B824="Nam",I824&gt;=90),AND(B824="Nữ",I824&gt;=80)),2,0)</f>
        <v>2</v>
      </c>
      <c r="Q824" s="10">
        <f t="shared" ref="Q824:Q853" si="215">IF(OR(J824&gt;=140,K824&gt;=90),2,0)</f>
        <v>0</v>
      </c>
      <c r="R824" s="10">
        <f t="shared" ref="R824:R853" ca="1" si="216">SUM(L824:Q824)</f>
        <v>6</v>
      </c>
      <c r="S824" s="10" t="str">
        <f t="shared" ref="S824:S853" ca="1" si="217">IF((R824)&gt;=6,"Có","Không cần")</f>
        <v>Có</v>
      </c>
      <c r="T824" s="10" t="str">
        <f t="shared" ref="T824:T853" ca="1" si="218">IF((R824)&gt;=6,"Có","Không")</f>
        <v>Có</v>
      </c>
      <c r="U824" s="10" t="str">
        <f t="shared" ref="U824:U853" si="219">IF(OR(J824&gt;=140,K824&gt;=90),"Có","Không")</f>
        <v>Không</v>
      </c>
      <c r="V824" s="2" t="s">
        <v>51</v>
      </c>
      <c r="W824" s="4">
        <v>46053</v>
      </c>
      <c r="X824" s="8" t="str">
        <f t="shared" ref="X824:X853" si="220">"Tháng "&amp;MONTH(W824)</f>
        <v>Tháng 1</v>
      </c>
      <c r="Y824" s="17" t="s">
        <v>1376</v>
      </c>
    </row>
    <row r="825" spans="1:25" x14ac:dyDescent="0.25">
      <c r="A825" s="23" t="s">
        <v>1121</v>
      </c>
      <c r="B825" s="20" t="s">
        <v>23</v>
      </c>
      <c r="C825" s="16">
        <v>23377</v>
      </c>
      <c r="D825" s="10">
        <f t="shared" ca="1" si="208"/>
        <v>62</v>
      </c>
      <c r="E825" s="2" t="s">
        <v>26</v>
      </c>
      <c r="F825" s="3">
        <v>160</v>
      </c>
      <c r="G825" s="3">
        <v>67</v>
      </c>
      <c r="H825" s="11">
        <f t="shared" si="209"/>
        <v>26.171874999999996</v>
      </c>
      <c r="I825" s="2">
        <v>74</v>
      </c>
      <c r="J825" s="3">
        <v>120</v>
      </c>
      <c r="K825" s="3">
        <v>80</v>
      </c>
      <c r="L825" s="10">
        <f t="shared" si="210"/>
        <v>0</v>
      </c>
      <c r="M825" s="10">
        <f t="shared" ca="1" si="211"/>
        <v>2</v>
      </c>
      <c r="N825" s="10">
        <f t="shared" si="212"/>
        <v>0</v>
      </c>
      <c r="O825" s="10">
        <f t="shared" si="213"/>
        <v>3</v>
      </c>
      <c r="P825" s="10">
        <f t="shared" si="214"/>
        <v>0</v>
      </c>
      <c r="Q825" s="10">
        <f t="shared" si="215"/>
        <v>0</v>
      </c>
      <c r="R825" s="10">
        <f t="shared" ca="1" si="216"/>
        <v>5</v>
      </c>
      <c r="S825" s="10" t="str">
        <f t="shared" ca="1" si="217"/>
        <v>Không cần</v>
      </c>
      <c r="T825" s="10" t="str">
        <f t="shared" ca="1" si="218"/>
        <v>Không</v>
      </c>
      <c r="U825" s="10" t="str">
        <f t="shared" si="219"/>
        <v>Không</v>
      </c>
      <c r="V825" s="2" t="s">
        <v>51</v>
      </c>
      <c r="W825" s="4">
        <v>46081</v>
      </c>
      <c r="X825" s="8" t="str">
        <f t="shared" si="220"/>
        <v>Tháng 2</v>
      </c>
      <c r="Y825" s="17" t="s">
        <v>1376</v>
      </c>
    </row>
    <row r="826" spans="1:25" x14ac:dyDescent="0.25">
      <c r="A826" s="23" t="s">
        <v>1122</v>
      </c>
      <c r="B826" s="20" t="s">
        <v>30</v>
      </c>
      <c r="C826" s="16">
        <v>25934</v>
      </c>
      <c r="D826" s="10">
        <f t="shared" ca="1" si="208"/>
        <v>55</v>
      </c>
      <c r="E826" s="2" t="s">
        <v>26</v>
      </c>
      <c r="F826" s="3">
        <v>156</v>
      </c>
      <c r="G826" s="3">
        <v>54</v>
      </c>
      <c r="H826" s="11">
        <f t="shared" si="209"/>
        <v>22.189349112426033</v>
      </c>
      <c r="I826" s="2">
        <v>65</v>
      </c>
      <c r="J826" s="3">
        <v>120</v>
      </c>
      <c r="K826" s="3">
        <v>70</v>
      </c>
      <c r="L826" s="10">
        <f t="shared" si="210"/>
        <v>2</v>
      </c>
      <c r="M826" s="10">
        <f t="shared" ca="1" si="211"/>
        <v>2</v>
      </c>
      <c r="N826" s="10">
        <f t="shared" si="212"/>
        <v>0</v>
      </c>
      <c r="O826" s="10">
        <f t="shared" si="213"/>
        <v>0</v>
      </c>
      <c r="P826" s="10">
        <f t="shared" si="214"/>
        <v>0</v>
      </c>
      <c r="Q826" s="10">
        <f t="shared" si="215"/>
        <v>0</v>
      </c>
      <c r="R826" s="10">
        <f t="shared" ca="1" si="216"/>
        <v>4</v>
      </c>
      <c r="S826" s="10" t="str">
        <f t="shared" ca="1" si="217"/>
        <v>Không cần</v>
      </c>
      <c r="T826" s="10" t="str">
        <f t="shared" ca="1" si="218"/>
        <v>Không</v>
      </c>
      <c r="U826" s="10" t="str">
        <f t="shared" si="219"/>
        <v>Không</v>
      </c>
      <c r="V826" s="2" t="s">
        <v>51</v>
      </c>
      <c r="W826" s="4">
        <v>46053</v>
      </c>
      <c r="X826" s="8" t="str">
        <f t="shared" si="220"/>
        <v>Tháng 1</v>
      </c>
      <c r="Y826" s="17" t="s">
        <v>1376</v>
      </c>
    </row>
    <row r="827" spans="1:25" x14ac:dyDescent="0.25">
      <c r="A827" s="23" t="s">
        <v>1123</v>
      </c>
      <c r="B827" s="20" t="s">
        <v>23</v>
      </c>
      <c r="C827" s="16">
        <v>32874</v>
      </c>
      <c r="D827" s="10">
        <f t="shared" ca="1" si="208"/>
        <v>36</v>
      </c>
      <c r="E827" s="2" t="s">
        <v>26</v>
      </c>
      <c r="F827" s="3">
        <v>169</v>
      </c>
      <c r="G827" s="3">
        <v>78</v>
      </c>
      <c r="H827" s="11">
        <f t="shared" si="209"/>
        <v>27.309968138370508</v>
      </c>
      <c r="I827" s="2">
        <v>82</v>
      </c>
      <c r="J827" s="3">
        <v>170</v>
      </c>
      <c r="K827" s="3">
        <v>80</v>
      </c>
      <c r="L827" s="10">
        <f t="shared" si="210"/>
        <v>0</v>
      </c>
      <c r="M827" s="10">
        <f t="shared" ca="1" si="211"/>
        <v>0</v>
      </c>
      <c r="N827" s="10">
        <f t="shared" si="212"/>
        <v>0</v>
      </c>
      <c r="O827" s="10">
        <f t="shared" si="213"/>
        <v>3</v>
      </c>
      <c r="P827" s="10">
        <f t="shared" si="214"/>
        <v>2</v>
      </c>
      <c r="Q827" s="10">
        <f t="shared" si="215"/>
        <v>2</v>
      </c>
      <c r="R827" s="10">
        <f t="shared" ca="1" si="216"/>
        <v>7</v>
      </c>
      <c r="S827" s="10" t="str">
        <f t="shared" ca="1" si="217"/>
        <v>Có</v>
      </c>
      <c r="T827" s="10" t="str">
        <f t="shared" ca="1" si="218"/>
        <v>Có</v>
      </c>
      <c r="U827" s="10" t="str">
        <f t="shared" si="219"/>
        <v>Có</v>
      </c>
      <c r="V827" s="2" t="s">
        <v>51</v>
      </c>
      <c r="W827" s="4">
        <v>46081</v>
      </c>
      <c r="X827" s="8" t="str">
        <f t="shared" si="220"/>
        <v>Tháng 2</v>
      </c>
      <c r="Y827" s="17" t="s">
        <v>1376</v>
      </c>
    </row>
    <row r="828" spans="1:25" x14ac:dyDescent="0.25">
      <c r="A828" s="23" t="s">
        <v>1124</v>
      </c>
      <c r="B828" s="20" t="s">
        <v>23</v>
      </c>
      <c r="C828" s="16">
        <v>21186</v>
      </c>
      <c r="D828" s="10">
        <f t="shared" ca="1" si="208"/>
        <v>68</v>
      </c>
      <c r="E828" s="2" t="s">
        <v>26</v>
      </c>
      <c r="F828" s="3">
        <v>169</v>
      </c>
      <c r="G828" s="3">
        <v>68</v>
      </c>
      <c r="H828" s="11">
        <f t="shared" si="209"/>
        <v>23.808690171912751</v>
      </c>
      <c r="I828" s="2">
        <v>76</v>
      </c>
      <c r="J828" s="3">
        <v>140</v>
      </c>
      <c r="K828" s="3">
        <v>80</v>
      </c>
      <c r="L828" s="10">
        <f t="shared" si="210"/>
        <v>0</v>
      </c>
      <c r="M828" s="10">
        <f t="shared" ca="1" si="211"/>
        <v>2</v>
      </c>
      <c r="N828" s="10">
        <f t="shared" si="212"/>
        <v>0</v>
      </c>
      <c r="O828" s="10">
        <f t="shared" si="213"/>
        <v>3</v>
      </c>
      <c r="P828" s="10">
        <f t="shared" si="214"/>
        <v>0</v>
      </c>
      <c r="Q828" s="10">
        <f t="shared" si="215"/>
        <v>2</v>
      </c>
      <c r="R828" s="10">
        <f t="shared" ca="1" si="216"/>
        <v>7</v>
      </c>
      <c r="S828" s="10" t="str">
        <f t="shared" ca="1" si="217"/>
        <v>Có</v>
      </c>
      <c r="T828" s="10" t="str">
        <f t="shared" ca="1" si="218"/>
        <v>Có</v>
      </c>
      <c r="U828" s="10" t="str">
        <f t="shared" si="219"/>
        <v>Có</v>
      </c>
      <c r="V828" s="2" t="s">
        <v>51</v>
      </c>
      <c r="W828" s="4">
        <v>46081</v>
      </c>
      <c r="X828" s="8" t="str">
        <f t="shared" si="220"/>
        <v>Tháng 2</v>
      </c>
      <c r="Y828" s="17" t="s">
        <v>1376</v>
      </c>
    </row>
    <row r="829" spans="1:25" x14ac:dyDescent="0.25">
      <c r="A829" s="23" t="s">
        <v>451</v>
      </c>
      <c r="B829" s="20" t="s">
        <v>23</v>
      </c>
      <c r="C829" s="16">
        <v>29221</v>
      </c>
      <c r="D829" s="10">
        <f t="shared" ca="1" si="208"/>
        <v>46</v>
      </c>
      <c r="E829" s="2" t="s">
        <v>26</v>
      </c>
      <c r="F829" s="3">
        <v>158</v>
      </c>
      <c r="G829" s="3">
        <v>58</v>
      </c>
      <c r="H829" s="11">
        <f t="shared" si="209"/>
        <v>23.233456176894723</v>
      </c>
      <c r="I829" s="2">
        <v>66</v>
      </c>
      <c r="J829" s="3">
        <v>120</v>
      </c>
      <c r="K829" s="3">
        <v>80</v>
      </c>
      <c r="L829" s="10">
        <f t="shared" si="210"/>
        <v>0</v>
      </c>
      <c r="M829" s="10">
        <f t="shared" ca="1" si="211"/>
        <v>1</v>
      </c>
      <c r="N829" s="10">
        <f t="shared" si="212"/>
        <v>0</v>
      </c>
      <c r="O829" s="10">
        <f t="shared" si="213"/>
        <v>3</v>
      </c>
      <c r="P829" s="10">
        <f t="shared" si="214"/>
        <v>0</v>
      </c>
      <c r="Q829" s="10">
        <f t="shared" si="215"/>
        <v>0</v>
      </c>
      <c r="R829" s="10">
        <f t="shared" ca="1" si="216"/>
        <v>4</v>
      </c>
      <c r="S829" s="10" t="str">
        <f t="shared" ca="1" si="217"/>
        <v>Không cần</v>
      </c>
      <c r="T829" s="10" t="str">
        <f t="shared" ca="1" si="218"/>
        <v>Không</v>
      </c>
      <c r="U829" s="10" t="str">
        <f t="shared" si="219"/>
        <v>Không</v>
      </c>
      <c r="V829" s="2" t="s">
        <v>51</v>
      </c>
      <c r="W829" s="4">
        <v>46081</v>
      </c>
      <c r="X829" s="8" t="str">
        <f t="shared" si="220"/>
        <v>Tháng 2</v>
      </c>
      <c r="Y829" s="17" t="s">
        <v>1376</v>
      </c>
    </row>
    <row r="830" spans="1:25" x14ac:dyDescent="0.25">
      <c r="A830" s="25" t="s">
        <v>469</v>
      </c>
      <c r="B830" s="20" t="s">
        <v>30</v>
      </c>
      <c r="C830" s="16">
        <v>18264</v>
      </c>
      <c r="D830" s="10">
        <f t="shared" ca="1" si="208"/>
        <v>76</v>
      </c>
      <c r="E830" s="2" t="s">
        <v>26</v>
      </c>
      <c r="F830" s="3">
        <v>169</v>
      </c>
      <c r="G830" s="3">
        <v>68</v>
      </c>
      <c r="H830" s="11">
        <f t="shared" si="209"/>
        <v>23.808690171912751</v>
      </c>
      <c r="I830" s="2">
        <v>89</v>
      </c>
      <c r="J830" s="3">
        <v>120</v>
      </c>
      <c r="K830" s="3">
        <v>80</v>
      </c>
      <c r="L830" s="10">
        <f t="shared" si="210"/>
        <v>2</v>
      </c>
      <c r="M830" s="10">
        <f t="shared" ca="1" si="211"/>
        <v>2</v>
      </c>
      <c r="N830" s="10">
        <f t="shared" si="212"/>
        <v>0</v>
      </c>
      <c r="O830" s="10">
        <f t="shared" si="213"/>
        <v>3</v>
      </c>
      <c r="P830" s="10">
        <f t="shared" si="214"/>
        <v>0</v>
      </c>
      <c r="Q830" s="10">
        <f t="shared" si="215"/>
        <v>0</v>
      </c>
      <c r="R830" s="10">
        <f t="shared" ca="1" si="216"/>
        <v>7</v>
      </c>
      <c r="S830" s="10" t="str">
        <f t="shared" ca="1" si="217"/>
        <v>Có</v>
      </c>
      <c r="T830" s="10" t="str">
        <f t="shared" ca="1" si="218"/>
        <v>Có</v>
      </c>
      <c r="U830" s="10" t="str">
        <f t="shared" si="219"/>
        <v>Không</v>
      </c>
      <c r="V830" s="2" t="s">
        <v>51</v>
      </c>
      <c r="W830" s="4">
        <v>46081</v>
      </c>
      <c r="X830" s="8" t="str">
        <f t="shared" si="220"/>
        <v>Tháng 2</v>
      </c>
      <c r="Y830" s="17" t="s">
        <v>1376</v>
      </c>
    </row>
    <row r="831" spans="1:25" x14ac:dyDescent="0.25">
      <c r="A831" s="25" t="s">
        <v>967</v>
      </c>
      <c r="B831" s="20" t="s">
        <v>23</v>
      </c>
      <c r="C831" s="16">
        <v>21186</v>
      </c>
      <c r="D831" s="10">
        <f t="shared" ca="1" si="208"/>
        <v>68</v>
      </c>
      <c r="E831" s="2" t="s">
        <v>26</v>
      </c>
      <c r="F831" s="3">
        <v>158</v>
      </c>
      <c r="G831" s="3">
        <v>45</v>
      </c>
      <c r="H831" s="11">
        <f t="shared" si="209"/>
        <v>18.025957378625218</v>
      </c>
      <c r="I831" s="2">
        <v>90</v>
      </c>
      <c r="J831" s="3">
        <v>120</v>
      </c>
      <c r="K831" s="3">
        <v>80</v>
      </c>
      <c r="L831" s="10">
        <f t="shared" si="210"/>
        <v>0</v>
      </c>
      <c r="M831" s="10">
        <f t="shared" ca="1" si="211"/>
        <v>2</v>
      </c>
      <c r="N831" s="10">
        <f t="shared" si="212"/>
        <v>0</v>
      </c>
      <c r="O831" s="10">
        <f t="shared" si="213"/>
        <v>0</v>
      </c>
      <c r="P831" s="10">
        <f t="shared" si="214"/>
        <v>2</v>
      </c>
      <c r="Q831" s="10">
        <f t="shared" si="215"/>
        <v>0</v>
      </c>
      <c r="R831" s="10">
        <f t="shared" ca="1" si="216"/>
        <v>4</v>
      </c>
      <c r="S831" s="10" t="str">
        <f t="shared" ca="1" si="217"/>
        <v>Không cần</v>
      </c>
      <c r="T831" s="10" t="str">
        <f t="shared" ca="1" si="218"/>
        <v>Không</v>
      </c>
      <c r="U831" s="10" t="str">
        <f t="shared" si="219"/>
        <v>Không</v>
      </c>
      <c r="V831" s="2" t="s">
        <v>51</v>
      </c>
      <c r="W831" s="4">
        <v>46081</v>
      </c>
      <c r="X831" s="8" t="str">
        <f t="shared" si="220"/>
        <v>Tháng 2</v>
      </c>
      <c r="Y831" s="17" t="s">
        <v>1376</v>
      </c>
    </row>
    <row r="832" spans="1:25" x14ac:dyDescent="0.25">
      <c r="A832" s="25" t="s">
        <v>617</v>
      </c>
      <c r="B832" s="20" t="s">
        <v>23</v>
      </c>
      <c r="C832" s="16">
        <v>20821</v>
      </c>
      <c r="D832" s="10">
        <f t="shared" ca="1" si="208"/>
        <v>69</v>
      </c>
      <c r="E832" s="2" t="s">
        <v>26</v>
      </c>
      <c r="F832" s="3">
        <v>158</v>
      </c>
      <c r="G832" s="3">
        <v>58</v>
      </c>
      <c r="H832" s="11">
        <f t="shared" si="209"/>
        <v>23.233456176894723</v>
      </c>
      <c r="I832" s="2">
        <v>75</v>
      </c>
      <c r="J832" s="3">
        <v>140</v>
      </c>
      <c r="K832" s="3">
        <v>80</v>
      </c>
      <c r="L832" s="10">
        <f t="shared" si="210"/>
        <v>0</v>
      </c>
      <c r="M832" s="10">
        <f t="shared" ca="1" si="211"/>
        <v>2</v>
      </c>
      <c r="N832" s="10">
        <f t="shared" si="212"/>
        <v>0</v>
      </c>
      <c r="O832" s="10">
        <f t="shared" si="213"/>
        <v>3</v>
      </c>
      <c r="P832" s="10">
        <f t="shared" si="214"/>
        <v>0</v>
      </c>
      <c r="Q832" s="10">
        <f t="shared" si="215"/>
        <v>2</v>
      </c>
      <c r="R832" s="10">
        <f t="shared" ca="1" si="216"/>
        <v>7</v>
      </c>
      <c r="S832" s="10" t="str">
        <f t="shared" ca="1" si="217"/>
        <v>Có</v>
      </c>
      <c r="T832" s="10" t="str">
        <f t="shared" ca="1" si="218"/>
        <v>Có</v>
      </c>
      <c r="U832" s="10" t="str">
        <f t="shared" si="219"/>
        <v>Có</v>
      </c>
      <c r="V832" s="2" t="s">
        <v>51</v>
      </c>
      <c r="W832" s="4">
        <v>46053</v>
      </c>
      <c r="X832" s="8" t="str">
        <f t="shared" si="220"/>
        <v>Tháng 1</v>
      </c>
      <c r="Y832" s="17" t="s">
        <v>1376</v>
      </c>
    </row>
    <row r="833" spans="1:25" x14ac:dyDescent="0.25">
      <c r="A833" s="25" t="s">
        <v>1126</v>
      </c>
      <c r="B833" s="20" t="s">
        <v>23</v>
      </c>
      <c r="C833" s="16">
        <v>18264</v>
      </c>
      <c r="D833" s="10">
        <f t="shared" ca="1" si="208"/>
        <v>76</v>
      </c>
      <c r="E833" s="2" t="s">
        <v>25</v>
      </c>
      <c r="F833" s="3">
        <v>158</v>
      </c>
      <c r="G833" s="3">
        <v>58</v>
      </c>
      <c r="H833" s="11">
        <f t="shared" si="209"/>
        <v>23.233456176894723</v>
      </c>
      <c r="I833" s="2">
        <v>67</v>
      </c>
      <c r="J833" s="3">
        <v>120</v>
      </c>
      <c r="K833" s="3">
        <v>70</v>
      </c>
      <c r="L833" s="10">
        <f t="shared" si="210"/>
        <v>0</v>
      </c>
      <c r="M833" s="10">
        <f t="shared" ca="1" si="211"/>
        <v>2</v>
      </c>
      <c r="N833" s="10">
        <f t="shared" si="212"/>
        <v>4</v>
      </c>
      <c r="O833" s="10">
        <f t="shared" si="213"/>
        <v>3</v>
      </c>
      <c r="P833" s="10">
        <f t="shared" si="214"/>
        <v>0</v>
      </c>
      <c r="Q833" s="10">
        <f t="shared" si="215"/>
        <v>0</v>
      </c>
      <c r="R833" s="10">
        <f t="shared" ca="1" si="216"/>
        <v>9</v>
      </c>
      <c r="S833" s="10" t="str">
        <f t="shared" ca="1" si="217"/>
        <v>Có</v>
      </c>
      <c r="T833" s="10" t="str">
        <f t="shared" ca="1" si="218"/>
        <v>Có</v>
      </c>
      <c r="U833" s="10" t="str">
        <f t="shared" si="219"/>
        <v>Không</v>
      </c>
      <c r="V833" s="2" t="s">
        <v>51</v>
      </c>
      <c r="W833" s="4">
        <v>46081</v>
      </c>
      <c r="X833" s="8" t="str">
        <f t="shared" si="220"/>
        <v>Tháng 2</v>
      </c>
      <c r="Y833" s="17" t="s">
        <v>1376</v>
      </c>
    </row>
    <row r="834" spans="1:25" x14ac:dyDescent="0.25">
      <c r="A834" s="25" t="s">
        <v>1127</v>
      </c>
      <c r="B834" s="20" t="s">
        <v>23</v>
      </c>
      <c r="C834" s="16">
        <v>24838</v>
      </c>
      <c r="D834" s="10">
        <f t="shared" ca="1" si="208"/>
        <v>58</v>
      </c>
      <c r="E834" s="2" t="s">
        <v>26</v>
      </c>
      <c r="F834" s="3">
        <v>155</v>
      </c>
      <c r="G834" s="3">
        <v>57</v>
      </c>
      <c r="H834" s="11">
        <f t="shared" si="209"/>
        <v>23.725286160249738</v>
      </c>
      <c r="I834" s="2">
        <v>91</v>
      </c>
      <c r="J834" s="3">
        <v>120</v>
      </c>
      <c r="K834" s="3">
        <v>80</v>
      </c>
      <c r="L834" s="10">
        <f t="shared" si="210"/>
        <v>0</v>
      </c>
      <c r="M834" s="10">
        <f t="shared" ca="1" si="211"/>
        <v>2</v>
      </c>
      <c r="N834" s="10">
        <f t="shared" si="212"/>
        <v>0</v>
      </c>
      <c r="O834" s="10">
        <f t="shared" si="213"/>
        <v>3</v>
      </c>
      <c r="P834" s="10">
        <f t="shared" si="214"/>
        <v>2</v>
      </c>
      <c r="Q834" s="10">
        <f t="shared" si="215"/>
        <v>0</v>
      </c>
      <c r="R834" s="10">
        <f t="shared" ca="1" si="216"/>
        <v>7</v>
      </c>
      <c r="S834" s="10" t="str">
        <f t="shared" ca="1" si="217"/>
        <v>Có</v>
      </c>
      <c r="T834" s="10" t="str">
        <f t="shared" ca="1" si="218"/>
        <v>Có</v>
      </c>
      <c r="U834" s="10" t="str">
        <f t="shared" si="219"/>
        <v>Không</v>
      </c>
      <c r="V834" s="2" t="s">
        <v>51</v>
      </c>
      <c r="W834" s="4">
        <v>46053</v>
      </c>
      <c r="X834" s="8" t="str">
        <f t="shared" si="220"/>
        <v>Tháng 1</v>
      </c>
      <c r="Y834" s="17" t="s">
        <v>1376</v>
      </c>
    </row>
    <row r="835" spans="1:25" x14ac:dyDescent="0.25">
      <c r="A835" s="25" t="s">
        <v>1128</v>
      </c>
      <c r="B835" s="20" t="s">
        <v>30</v>
      </c>
      <c r="C835" s="16">
        <v>22647</v>
      </c>
      <c r="D835" s="10">
        <f t="shared" ca="1" si="208"/>
        <v>64</v>
      </c>
      <c r="E835" s="2" t="s">
        <v>26</v>
      </c>
      <c r="F835" s="3">
        <v>158</v>
      </c>
      <c r="G835" s="3">
        <v>58</v>
      </c>
      <c r="H835" s="11">
        <f t="shared" si="209"/>
        <v>23.233456176894723</v>
      </c>
      <c r="I835" s="2">
        <v>85</v>
      </c>
      <c r="J835" s="3">
        <v>150</v>
      </c>
      <c r="K835" s="3">
        <v>80</v>
      </c>
      <c r="L835" s="10">
        <f t="shared" si="210"/>
        <v>2</v>
      </c>
      <c r="M835" s="10">
        <f t="shared" ca="1" si="211"/>
        <v>2</v>
      </c>
      <c r="N835" s="10">
        <f t="shared" si="212"/>
        <v>0</v>
      </c>
      <c r="O835" s="10">
        <f t="shared" si="213"/>
        <v>3</v>
      </c>
      <c r="P835" s="10">
        <f t="shared" si="214"/>
        <v>0</v>
      </c>
      <c r="Q835" s="10">
        <f t="shared" si="215"/>
        <v>2</v>
      </c>
      <c r="R835" s="10">
        <f t="shared" ca="1" si="216"/>
        <v>9</v>
      </c>
      <c r="S835" s="10" t="str">
        <f t="shared" ca="1" si="217"/>
        <v>Có</v>
      </c>
      <c r="T835" s="10" t="str">
        <f t="shared" ca="1" si="218"/>
        <v>Có</v>
      </c>
      <c r="U835" s="10" t="str">
        <f t="shared" si="219"/>
        <v>Có</v>
      </c>
      <c r="V835" s="2" t="s">
        <v>51</v>
      </c>
      <c r="W835" s="4">
        <v>46053</v>
      </c>
      <c r="X835" s="8" t="str">
        <f t="shared" si="220"/>
        <v>Tháng 1</v>
      </c>
      <c r="Y835" s="17" t="s">
        <v>1376</v>
      </c>
    </row>
    <row r="836" spans="1:25" x14ac:dyDescent="0.25">
      <c r="A836" s="25" t="s">
        <v>1130</v>
      </c>
      <c r="B836" s="20" t="s">
        <v>23</v>
      </c>
      <c r="C836" s="16">
        <v>18629</v>
      </c>
      <c r="D836" s="10">
        <f t="shared" ca="1" si="208"/>
        <v>75</v>
      </c>
      <c r="E836" s="2" t="s">
        <v>26</v>
      </c>
      <c r="F836" s="3">
        <v>168</v>
      </c>
      <c r="G836" s="3">
        <v>60</v>
      </c>
      <c r="H836" s="11">
        <f t="shared" si="209"/>
        <v>21.258503401360546</v>
      </c>
      <c r="I836" s="2">
        <v>96</v>
      </c>
      <c r="J836" s="3">
        <v>140</v>
      </c>
      <c r="K836" s="3">
        <v>80</v>
      </c>
      <c r="L836" s="10">
        <f t="shared" si="210"/>
        <v>0</v>
      </c>
      <c r="M836" s="10">
        <f t="shared" ca="1" si="211"/>
        <v>2</v>
      </c>
      <c r="N836" s="10">
        <f t="shared" si="212"/>
        <v>0</v>
      </c>
      <c r="O836" s="10">
        <f t="shared" si="213"/>
        <v>0</v>
      </c>
      <c r="P836" s="10">
        <f t="shared" si="214"/>
        <v>2</v>
      </c>
      <c r="Q836" s="10">
        <f t="shared" si="215"/>
        <v>2</v>
      </c>
      <c r="R836" s="10">
        <f t="shared" ca="1" si="216"/>
        <v>6</v>
      </c>
      <c r="S836" s="10" t="str">
        <f t="shared" ca="1" si="217"/>
        <v>Có</v>
      </c>
      <c r="T836" s="10" t="str">
        <f t="shared" ca="1" si="218"/>
        <v>Có</v>
      </c>
      <c r="U836" s="10" t="str">
        <f t="shared" si="219"/>
        <v>Có</v>
      </c>
      <c r="V836" s="2" t="s">
        <v>51</v>
      </c>
      <c r="W836" s="4">
        <v>46053</v>
      </c>
      <c r="X836" s="8" t="str">
        <f t="shared" si="220"/>
        <v>Tháng 1</v>
      </c>
      <c r="Y836" s="17" t="s">
        <v>1376</v>
      </c>
    </row>
    <row r="837" spans="1:25" x14ac:dyDescent="0.25">
      <c r="A837" s="25" t="s">
        <v>991</v>
      </c>
      <c r="B837" s="20" t="s">
        <v>30</v>
      </c>
      <c r="C837" s="16">
        <v>18629</v>
      </c>
      <c r="D837" s="10">
        <f t="shared" ca="1" si="208"/>
        <v>75</v>
      </c>
      <c r="E837" s="2" t="s">
        <v>25</v>
      </c>
      <c r="F837" s="3">
        <v>158</v>
      </c>
      <c r="G837" s="3">
        <v>58</v>
      </c>
      <c r="H837" s="11">
        <f t="shared" si="209"/>
        <v>23.233456176894723</v>
      </c>
      <c r="I837" s="2">
        <v>79</v>
      </c>
      <c r="J837" s="3">
        <v>120</v>
      </c>
      <c r="K837" s="3">
        <v>70</v>
      </c>
      <c r="L837" s="10">
        <f t="shared" si="210"/>
        <v>2</v>
      </c>
      <c r="M837" s="10">
        <f t="shared" ca="1" si="211"/>
        <v>2</v>
      </c>
      <c r="N837" s="10">
        <f t="shared" si="212"/>
        <v>4</v>
      </c>
      <c r="O837" s="10">
        <f t="shared" si="213"/>
        <v>3</v>
      </c>
      <c r="P837" s="10">
        <f t="shared" si="214"/>
        <v>0</v>
      </c>
      <c r="Q837" s="10">
        <f t="shared" si="215"/>
        <v>0</v>
      </c>
      <c r="R837" s="10">
        <f t="shared" ca="1" si="216"/>
        <v>11</v>
      </c>
      <c r="S837" s="10" t="str">
        <f t="shared" ca="1" si="217"/>
        <v>Có</v>
      </c>
      <c r="T837" s="10" t="str">
        <f t="shared" ca="1" si="218"/>
        <v>Có</v>
      </c>
      <c r="U837" s="10" t="str">
        <f t="shared" si="219"/>
        <v>Không</v>
      </c>
      <c r="V837" s="2" t="s">
        <v>51</v>
      </c>
      <c r="W837" s="4">
        <v>46053</v>
      </c>
      <c r="X837" s="8" t="str">
        <f t="shared" si="220"/>
        <v>Tháng 1</v>
      </c>
      <c r="Y837" s="17" t="s">
        <v>1376</v>
      </c>
    </row>
    <row r="838" spans="1:25" x14ac:dyDescent="0.25">
      <c r="A838" s="25" t="s">
        <v>954</v>
      </c>
      <c r="B838" s="20" t="s">
        <v>30</v>
      </c>
      <c r="C838" s="16">
        <v>25569</v>
      </c>
      <c r="D838" s="10">
        <f t="shared" ca="1" si="208"/>
        <v>56</v>
      </c>
      <c r="E838" s="2" t="s">
        <v>25</v>
      </c>
      <c r="F838" s="3">
        <v>169</v>
      </c>
      <c r="G838" s="3">
        <v>68</v>
      </c>
      <c r="H838" s="11">
        <f t="shared" si="209"/>
        <v>23.808690171912751</v>
      </c>
      <c r="I838" s="2">
        <v>85</v>
      </c>
      <c r="J838" s="3">
        <v>140</v>
      </c>
      <c r="K838" s="3">
        <v>80</v>
      </c>
      <c r="L838" s="10">
        <f t="shared" si="210"/>
        <v>2</v>
      </c>
      <c r="M838" s="10">
        <f t="shared" ca="1" si="211"/>
        <v>2</v>
      </c>
      <c r="N838" s="10">
        <f t="shared" si="212"/>
        <v>4</v>
      </c>
      <c r="O838" s="10">
        <f t="shared" si="213"/>
        <v>3</v>
      </c>
      <c r="P838" s="10">
        <f t="shared" si="214"/>
        <v>0</v>
      </c>
      <c r="Q838" s="10">
        <f t="shared" si="215"/>
        <v>2</v>
      </c>
      <c r="R838" s="10">
        <f t="shared" ca="1" si="216"/>
        <v>13</v>
      </c>
      <c r="S838" s="10" t="str">
        <f t="shared" ca="1" si="217"/>
        <v>Có</v>
      </c>
      <c r="T838" s="10" t="str">
        <f t="shared" ca="1" si="218"/>
        <v>Có</v>
      </c>
      <c r="U838" s="10" t="str">
        <f t="shared" si="219"/>
        <v>Có</v>
      </c>
      <c r="V838" s="2" t="s">
        <v>51</v>
      </c>
      <c r="W838" s="4">
        <v>46081</v>
      </c>
      <c r="X838" s="8" t="str">
        <f t="shared" si="220"/>
        <v>Tháng 2</v>
      </c>
      <c r="Y838" s="17" t="s">
        <v>1376</v>
      </c>
    </row>
    <row r="839" spans="1:25" x14ac:dyDescent="0.25">
      <c r="A839" s="25" t="s">
        <v>409</v>
      </c>
      <c r="B839" s="20" t="s">
        <v>23</v>
      </c>
      <c r="C839" s="16">
        <v>23377</v>
      </c>
      <c r="D839" s="10">
        <f t="shared" ca="1" si="208"/>
        <v>62</v>
      </c>
      <c r="E839" s="2" t="s">
        <v>25</v>
      </c>
      <c r="F839" s="3">
        <v>169</v>
      </c>
      <c r="G839" s="3">
        <v>69</v>
      </c>
      <c r="H839" s="11">
        <f t="shared" si="209"/>
        <v>24.158817968558527</v>
      </c>
      <c r="I839" s="2">
        <v>71</v>
      </c>
      <c r="J839" s="3">
        <v>120</v>
      </c>
      <c r="K839" s="3">
        <v>70</v>
      </c>
      <c r="L839" s="10">
        <f t="shared" si="210"/>
        <v>0</v>
      </c>
      <c r="M839" s="10">
        <f t="shared" ca="1" si="211"/>
        <v>2</v>
      </c>
      <c r="N839" s="10">
        <f t="shared" si="212"/>
        <v>4</v>
      </c>
      <c r="O839" s="10">
        <f t="shared" si="213"/>
        <v>3</v>
      </c>
      <c r="P839" s="10">
        <f t="shared" si="214"/>
        <v>0</v>
      </c>
      <c r="Q839" s="10">
        <f t="shared" si="215"/>
        <v>0</v>
      </c>
      <c r="R839" s="10">
        <f t="shared" ca="1" si="216"/>
        <v>9</v>
      </c>
      <c r="S839" s="10" t="str">
        <f t="shared" ca="1" si="217"/>
        <v>Có</v>
      </c>
      <c r="T839" s="10" t="str">
        <f t="shared" ca="1" si="218"/>
        <v>Có</v>
      </c>
      <c r="U839" s="10" t="str">
        <f t="shared" si="219"/>
        <v>Không</v>
      </c>
      <c r="V839" s="2" t="s">
        <v>51</v>
      </c>
      <c r="W839" s="4">
        <v>46053</v>
      </c>
      <c r="X839" s="8" t="str">
        <f t="shared" si="220"/>
        <v>Tháng 1</v>
      </c>
      <c r="Y839" s="17" t="s">
        <v>1376</v>
      </c>
    </row>
    <row r="840" spans="1:25" x14ac:dyDescent="0.25">
      <c r="A840" s="25" t="s">
        <v>1133</v>
      </c>
      <c r="B840" s="20" t="s">
        <v>23</v>
      </c>
      <c r="C840" s="16">
        <v>19360</v>
      </c>
      <c r="D840" s="10">
        <f t="shared" ca="1" si="208"/>
        <v>73</v>
      </c>
      <c r="E840" s="2" t="s">
        <v>26</v>
      </c>
      <c r="F840" s="3">
        <v>169</v>
      </c>
      <c r="G840" s="3">
        <v>68</v>
      </c>
      <c r="H840" s="11">
        <f t="shared" si="209"/>
        <v>23.808690171912751</v>
      </c>
      <c r="I840" s="2">
        <v>67</v>
      </c>
      <c r="J840" s="3">
        <v>150</v>
      </c>
      <c r="K840" s="3">
        <v>80</v>
      </c>
      <c r="L840" s="10">
        <f t="shared" si="210"/>
        <v>0</v>
      </c>
      <c r="M840" s="10">
        <f t="shared" ca="1" si="211"/>
        <v>2</v>
      </c>
      <c r="N840" s="10">
        <f t="shared" si="212"/>
        <v>0</v>
      </c>
      <c r="O840" s="10">
        <f t="shared" si="213"/>
        <v>3</v>
      </c>
      <c r="P840" s="10">
        <f t="shared" si="214"/>
        <v>0</v>
      </c>
      <c r="Q840" s="10">
        <f t="shared" si="215"/>
        <v>2</v>
      </c>
      <c r="R840" s="10">
        <f t="shared" ca="1" si="216"/>
        <v>7</v>
      </c>
      <c r="S840" s="10" t="str">
        <f t="shared" ca="1" si="217"/>
        <v>Có</v>
      </c>
      <c r="T840" s="10" t="str">
        <f t="shared" ca="1" si="218"/>
        <v>Có</v>
      </c>
      <c r="U840" s="10" t="str">
        <f t="shared" si="219"/>
        <v>Có</v>
      </c>
      <c r="V840" s="2" t="s">
        <v>51</v>
      </c>
      <c r="W840" s="4">
        <v>46053</v>
      </c>
      <c r="X840" s="8" t="str">
        <f t="shared" si="220"/>
        <v>Tháng 1</v>
      </c>
      <c r="Y840" s="17" t="s">
        <v>1376</v>
      </c>
    </row>
    <row r="841" spans="1:25" x14ac:dyDescent="0.25">
      <c r="A841" s="25" t="s">
        <v>1134</v>
      </c>
      <c r="B841" s="20" t="s">
        <v>30</v>
      </c>
      <c r="C841" s="16">
        <v>27395</v>
      </c>
      <c r="D841" s="10">
        <f t="shared" ca="1" si="208"/>
        <v>51</v>
      </c>
      <c r="E841" s="2" t="s">
        <v>26</v>
      </c>
      <c r="F841" s="3">
        <v>169</v>
      </c>
      <c r="G841" s="3">
        <v>69</v>
      </c>
      <c r="H841" s="11">
        <f t="shared" si="209"/>
        <v>24.158817968558527</v>
      </c>
      <c r="I841" s="2">
        <v>84</v>
      </c>
      <c r="J841" s="3">
        <v>110</v>
      </c>
      <c r="K841" s="3">
        <v>80</v>
      </c>
      <c r="L841" s="10">
        <f t="shared" si="210"/>
        <v>2</v>
      </c>
      <c r="M841" s="10">
        <f t="shared" ca="1" si="211"/>
        <v>2</v>
      </c>
      <c r="N841" s="10">
        <f t="shared" si="212"/>
        <v>0</v>
      </c>
      <c r="O841" s="10">
        <f t="shared" si="213"/>
        <v>3</v>
      </c>
      <c r="P841" s="10">
        <f t="shared" si="214"/>
        <v>0</v>
      </c>
      <c r="Q841" s="10">
        <f t="shared" si="215"/>
        <v>0</v>
      </c>
      <c r="R841" s="10">
        <f t="shared" ca="1" si="216"/>
        <v>7</v>
      </c>
      <c r="S841" s="10" t="str">
        <f t="shared" ca="1" si="217"/>
        <v>Có</v>
      </c>
      <c r="T841" s="10" t="str">
        <f t="shared" ca="1" si="218"/>
        <v>Có</v>
      </c>
      <c r="U841" s="10" t="str">
        <f t="shared" si="219"/>
        <v>Không</v>
      </c>
      <c r="V841" s="2" t="s">
        <v>51</v>
      </c>
      <c r="W841" s="4">
        <v>46053</v>
      </c>
      <c r="X841" s="8" t="str">
        <f t="shared" si="220"/>
        <v>Tháng 1</v>
      </c>
      <c r="Y841" s="17" t="s">
        <v>1376</v>
      </c>
    </row>
    <row r="842" spans="1:25" x14ac:dyDescent="0.25">
      <c r="A842" s="25" t="s">
        <v>1135</v>
      </c>
      <c r="B842" s="20" t="s">
        <v>23</v>
      </c>
      <c r="C842" s="16">
        <v>28126</v>
      </c>
      <c r="D842" s="10">
        <f t="shared" ca="1" si="208"/>
        <v>49</v>
      </c>
      <c r="E842" s="2" t="s">
        <v>26</v>
      </c>
      <c r="F842" s="3">
        <v>168</v>
      </c>
      <c r="G842" s="3">
        <v>62</v>
      </c>
      <c r="H842" s="11">
        <f t="shared" si="209"/>
        <v>21.9671201814059</v>
      </c>
      <c r="I842" s="2">
        <v>82</v>
      </c>
      <c r="J842" s="3">
        <v>140</v>
      </c>
      <c r="K842" s="3">
        <v>90</v>
      </c>
      <c r="L842" s="10">
        <f t="shared" si="210"/>
        <v>0</v>
      </c>
      <c r="M842" s="10">
        <f t="shared" ca="1" si="211"/>
        <v>1</v>
      </c>
      <c r="N842" s="10">
        <f t="shared" si="212"/>
        <v>0</v>
      </c>
      <c r="O842" s="10">
        <f t="shared" si="213"/>
        <v>0</v>
      </c>
      <c r="P842" s="10">
        <f t="shared" si="214"/>
        <v>2</v>
      </c>
      <c r="Q842" s="10">
        <f t="shared" si="215"/>
        <v>2</v>
      </c>
      <c r="R842" s="10">
        <f t="shared" ca="1" si="216"/>
        <v>5</v>
      </c>
      <c r="S842" s="10" t="str">
        <f t="shared" ca="1" si="217"/>
        <v>Không cần</v>
      </c>
      <c r="T842" s="10" t="str">
        <f t="shared" ca="1" si="218"/>
        <v>Không</v>
      </c>
      <c r="U842" s="10" t="str">
        <f t="shared" si="219"/>
        <v>Có</v>
      </c>
      <c r="V842" s="2" t="s">
        <v>51</v>
      </c>
      <c r="W842" s="4">
        <v>46081</v>
      </c>
      <c r="X842" s="8" t="str">
        <f t="shared" si="220"/>
        <v>Tháng 2</v>
      </c>
      <c r="Y842" s="17" t="s">
        <v>1376</v>
      </c>
    </row>
    <row r="843" spans="1:25" x14ac:dyDescent="0.25">
      <c r="A843" s="25" t="s">
        <v>1137</v>
      </c>
      <c r="B843" s="20" t="s">
        <v>23</v>
      </c>
      <c r="C843" s="16">
        <v>21551</v>
      </c>
      <c r="D843" s="10">
        <f t="shared" ca="1" si="208"/>
        <v>67</v>
      </c>
      <c r="E843" s="2" t="s">
        <v>25</v>
      </c>
      <c r="F843" s="3">
        <v>158</v>
      </c>
      <c r="G843" s="3">
        <v>58</v>
      </c>
      <c r="H843" s="11">
        <f t="shared" si="209"/>
        <v>23.233456176894723</v>
      </c>
      <c r="I843" s="2">
        <v>69</v>
      </c>
      <c r="J843" s="3">
        <v>120</v>
      </c>
      <c r="K843" s="3">
        <v>70</v>
      </c>
      <c r="L843" s="10">
        <f t="shared" si="210"/>
        <v>0</v>
      </c>
      <c r="M843" s="10">
        <f t="shared" ca="1" si="211"/>
        <v>2</v>
      </c>
      <c r="N843" s="10">
        <f t="shared" si="212"/>
        <v>4</v>
      </c>
      <c r="O843" s="10">
        <f t="shared" si="213"/>
        <v>3</v>
      </c>
      <c r="P843" s="10">
        <f t="shared" si="214"/>
        <v>0</v>
      </c>
      <c r="Q843" s="10">
        <f t="shared" si="215"/>
        <v>0</v>
      </c>
      <c r="R843" s="10">
        <f t="shared" ca="1" si="216"/>
        <v>9</v>
      </c>
      <c r="S843" s="10" t="str">
        <f t="shared" ca="1" si="217"/>
        <v>Có</v>
      </c>
      <c r="T843" s="10" t="str">
        <f t="shared" ca="1" si="218"/>
        <v>Có</v>
      </c>
      <c r="U843" s="10" t="str">
        <f t="shared" si="219"/>
        <v>Không</v>
      </c>
      <c r="V843" s="2" t="s">
        <v>51</v>
      </c>
      <c r="W843" s="4">
        <v>46053</v>
      </c>
      <c r="X843" s="8" t="str">
        <f t="shared" si="220"/>
        <v>Tháng 1</v>
      </c>
      <c r="Y843" s="17" t="s">
        <v>1376</v>
      </c>
    </row>
    <row r="844" spans="1:25" x14ac:dyDescent="0.25">
      <c r="A844" s="25" t="s">
        <v>224</v>
      </c>
      <c r="B844" s="20" t="s">
        <v>23</v>
      </c>
      <c r="C844" s="16">
        <v>21551</v>
      </c>
      <c r="D844" s="10">
        <f t="shared" ca="1" si="208"/>
        <v>67</v>
      </c>
      <c r="E844" s="2" t="s">
        <v>26</v>
      </c>
      <c r="F844" s="3">
        <v>158</v>
      </c>
      <c r="G844" s="3">
        <v>58</v>
      </c>
      <c r="H844" s="11">
        <f t="shared" si="209"/>
        <v>23.233456176894723</v>
      </c>
      <c r="I844" s="2">
        <v>65</v>
      </c>
      <c r="J844" s="3">
        <v>120</v>
      </c>
      <c r="K844" s="3">
        <v>80</v>
      </c>
      <c r="L844" s="10">
        <f t="shared" si="210"/>
        <v>0</v>
      </c>
      <c r="M844" s="10">
        <f t="shared" ca="1" si="211"/>
        <v>2</v>
      </c>
      <c r="N844" s="10">
        <f t="shared" si="212"/>
        <v>0</v>
      </c>
      <c r="O844" s="10">
        <f t="shared" si="213"/>
        <v>3</v>
      </c>
      <c r="P844" s="10">
        <f t="shared" si="214"/>
        <v>0</v>
      </c>
      <c r="Q844" s="10">
        <f t="shared" si="215"/>
        <v>0</v>
      </c>
      <c r="R844" s="10">
        <f t="shared" ca="1" si="216"/>
        <v>5</v>
      </c>
      <c r="S844" s="10" t="str">
        <f t="shared" ca="1" si="217"/>
        <v>Không cần</v>
      </c>
      <c r="T844" s="10" t="str">
        <f t="shared" ca="1" si="218"/>
        <v>Không</v>
      </c>
      <c r="U844" s="10" t="str">
        <f t="shared" si="219"/>
        <v>Không</v>
      </c>
      <c r="V844" s="2" t="s">
        <v>51</v>
      </c>
      <c r="W844" s="4">
        <v>46081</v>
      </c>
      <c r="X844" s="8" t="str">
        <f t="shared" si="220"/>
        <v>Tháng 2</v>
      </c>
      <c r="Y844" s="17" t="s">
        <v>1376</v>
      </c>
    </row>
    <row r="845" spans="1:25" x14ac:dyDescent="0.25">
      <c r="A845" s="25" t="s">
        <v>899</v>
      </c>
      <c r="B845" s="20" t="s">
        <v>23</v>
      </c>
      <c r="C845" s="16">
        <v>26299</v>
      </c>
      <c r="D845" s="10">
        <f t="shared" ca="1" si="208"/>
        <v>54</v>
      </c>
      <c r="E845" s="2" t="s">
        <v>25</v>
      </c>
      <c r="F845" s="3">
        <v>158</v>
      </c>
      <c r="G845" s="3">
        <v>58</v>
      </c>
      <c r="H845" s="11">
        <f t="shared" si="209"/>
        <v>23.233456176894723</v>
      </c>
      <c r="I845" s="2">
        <v>70</v>
      </c>
      <c r="J845" s="3">
        <v>120</v>
      </c>
      <c r="K845" s="3">
        <v>80</v>
      </c>
      <c r="L845" s="10">
        <f t="shared" si="210"/>
        <v>0</v>
      </c>
      <c r="M845" s="10">
        <f t="shared" ca="1" si="211"/>
        <v>2</v>
      </c>
      <c r="N845" s="10">
        <f t="shared" si="212"/>
        <v>4</v>
      </c>
      <c r="O845" s="10">
        <f t="shared" si="213"/>
        <v>3</v>
      </c>
      <c r="P845" s="10">
        <f t="shared" si="214"/>
        <v>0</v>
      </c>
      <c r="Q845" s="10">
        <f t="shared" si="215"/>
        <v>0</v>
      </c>
      <c r="R845" s="10">
        <f t="shared" ca="1" si="216"/>
        <v>9</v>
      </c>
      <c r="S845" s="10" t="str">
        <f t="shared" ca="1" si="217"/>
        <v>Có</v>
      </c>
      <c r="T845" s="10" t="str">
        <f t="shared" ca="1" si="218"/>
        <v>Có</v>
      </c>
      <c r="U845" s="10" t="str">
        <f t="shared" si="219"/>
        <v>Không</v>
      </c>
      <c r="V845" s="2" t="s">
        <v>51</v>
      </c>
      <c r="W845" s="4">
        <v>46053</v>
      </c>
      <c r="X845" s="8" t="str">
        <f t="shared" si="220"/>
        <v>Tháng 1</v>
      </c>
      <c r="Y845" s="17" t="s">
        <v>1376</v>
      </c>
    </row>
    <row r="846" spans="1:25" x14ac:dyDescent="0.25">
      <c r="A846" s="25" t="s">
        <v>240</v>
      </c>
      <c r="B846" s="20" t="s">
        <v>30</v>
      </c>
      <c r="C846" s="16">
        <v>23377</v>
      </c>
      <c r="D846" s="10">
        <f t="shared" ca="1" si="208"/>
        <v>62</v>
      </c>
      <c r="E846" s="2" t="s">
        <v>26</v>
      </c>
      <c r="F846" s="3">
        <v>162</v>
      </c>
      <c r="G846" s="3">
        <v>56</v>
      </c>
      <c r="H846" s="11">
        <f t="shared" si="209"/>
        <v>21.338210638622158</v>
      </c>
      <c r="I846" s="2">
        <v>85</v>
      </c>
      <c r="J846" s="3">
        <v>120</v>
      </c>
      <c r="K846" s="3" t="s">
        <v>27</v>
      </c>
      <c r="L846" s="10">
        <f t="shared" si="210"/>
        <v>2</v>
      </c>
      <c r="M846" s="10">
        <f t="shared" ca="1" si="211"/>
        <v>2</v>
      </c>
      <c r="N846" s="10">
        <f t="shared" si="212"/>
        <v>0</v>
      </c>
      <c r="O846" s="10">
        <f t="shared" si="213"/>
        <v>0</v>
      </c>
      <c r="P846" s="10">
        <f t="shared" si="214"/>
        <v>0</v>
      </c>
      <c r="Q846" s="10">
        <f t="shared" si="215"/>
        <v>2</v>
      </c>
      <c r="R846" s="10">
        <f t="shared" ca="1" si="216"/>
        <v>6</v>
      </c>
      <c r="S846" s="10" t="str">
        <f t="shared" ca="1" si="217"/>
        <v>Có</v>
      </c>
      <c r="T846" s="10" t="str">
        <f t="shared" ca="1" si="218"/>
        <v>Có</v>
      </c>
      <c r="U846" s="10" t="str">
        <f t="shared" si="219"/>
        <v>Có</v>
      </c>
      <c r="V846" s="2" t="s">
        <v>51</v>
      </c>
      <c r="W846" s="4">
        <v>46081</v>
      </c>
      <c r="X846" s="8" t="str">
        <f t="shared" si="220"/>
        <v>Tháng 2</v>
      </c>
      <c r="Y846" s="17" t="s">
        <v>1376</v>
      </c>
    </row>
    <row r="847" spans="1:25" x14ac:dyDescent="0.25">
      <c r="A847" s="25" t="s">
        <v>722</v>
      </c>
      <c r="B847" s="20" t="s">
        <v>30</v>
      </c>
      <c r="C847" s="16">
        <v>24838</v>
      </c>
      <c r="D847" s="10">
        <f t="shared" ca="1" si="208"/>
        <v>58</v>
      </c>
      <c r="E847" s="2" t="s">
        <v>25</v>
      </c>
      <c r="F847" s="3">
        <v>158</v>
      </c>
      <c r="G847" s="3">
        <v>58</v>
      </c>
      <c r="H847" s="11">
        <f t="shared" si="209"/>
        <v>23.233456176894723</v>
      </c>
      <c r="I847" s="2">
        <v>84</v>
      </c>
      <c r="J847" s="3">
        <v>120</v>
      </c>
      <c r="K847" s="3">
        <v>80</v>
      </c>
      <c r="L847" s="10">
        <f t="shared" si="210"/>
        <v>2</v>
      </c>
      <c r="M847" s="10">
        <f t="shared" ca="1" si="211"/>
        <v>2</v>
      </c>
      <c r="N847" s="10">
        <f t="shared" si="212"/>
        <v>4</v>
      </c>
      <c r="O847" s="10">
        <f t="shared" si="213"/>
        <v>3</v>
      </c>
      <c r="P847" s="10">
        <f t="shared" si="214"/>
        <v>0</v>
      </c>
      <c r="Q847" s="10">
        <f t="shared" si="215"/>
        <v>0</v>
      </c>
      <c r="R847" s="10">
        <f t="shared" ca="1" si="216"/>
        <v>11</v>
      </c>
      <c r="S847" s="10" t="str">
        <f t="shared" ca="1" si="217"/>
        <v>Có</v>
      </c>
      <c r="T847" s="10" t="str">
        <f t="shared" ca="1" si="218"/>
        <v>Có</v>
      </c>
      <c r="U847" s="10" t="str">
        <f t="shared" si="219"/>
        <v>Không</v>
      </c>
      <c r="V847" s="2" t="s">
        <v>51</v>
      </c>
      <c r="W847" s="4">
        <v>46081</v>
      </c>
      <c r="X847" s="8" t="str">
        <f t="shared" si="220"/>
        <v>Tháng 2</v>
      </c>
      <c r="Y847" s="17" t="s">
        <v>1376</v>
      </c>
    </row>
    <row r="848" spans="1:25" x14ac:dyDescent="0.25">
      <c r="A848" s="25" t="s">
        <v>430</v>
      </c>
      <c r="B848" s="20" t="s">
        <v>30</v>
      </c>
      <c r="C848" s="16">
        <v>20090</v>
      </c>
      <c r="D848" s="10">
        <f t="shared" ca="1" si="208"/>
        <v>71</v>
      </c>
      <c r="E848" s="2" t="s">
        <v>26</v>
      </c>
      <c r="F848" s="3">
        <v>175</v>
      </c>
      <c r="G848" s="3">
        <v>80</v>
      </c>
      <c r="H848" s="11">
        <f t="shared" si="209"/>
        <v>26.122448979591837</v>
      </c>
      <c r="I848" s="2">
        <v>81</v>
      </c>
      <c r="J848" s="3">
        <v>150</v>
      </c>
      <c r="K848" s="3">
        <v>80</v>
      </c>
      <c r="L848" s="10">
        <f t="shared" si="210"/>
        <v>2</v>
      </c>
      <c r="M848" s="10">
        <f t="shared" ca="1" si="211"/>
        <v>2</v>
      </c>
      <c r="N848" s="10">
        <f t="shared" si="212"/>
        <v>0</v>
      </c>
      <c r="O848" s="10">
        <f t="shared" si="213"/>
        <v>3</v>
      </c>
      <c r="P848" s="10">
        <f t="shared" si="214"/>
        <v>0</v>
      </c>
      <c r="Q848" s="10">
        <f t="shared" si="215"/>
        <v>2</v>
      </c>
      <c r="R848" s="10">
        <f t="shared" ca="1" si="216"/>
        <v>9</v>
      </c>
      <c r="S848" s="10" t="str">
        <f t="shared" ca="1" si="217"/>
        <v>Có</v>
      </c>
      <c r="T848" s="10" t="str">
        <f t="shared" ca="1" si="218"/>
        <v>Có</v>
      </c>
      <c r="U848" s="10" t="str">
        <f t="shared" si="219"/>
        <v>Có</v>
      </c>
      <c r="V848" s="2" t="s">
        <v>51</v>
      </c>
      <c r="W848" s="4">
        <v>46081</v>
      </c>
      <c r="X848" s="8" t="str">
        <f t="shared" si="220"/>
        <v>Tháng 2</v>
      </c>
      <c r="Y848" s="17" t="s">
        <v>1376</v>
      </c>
    </row>
    <row r="849" spans="1:25" x14ac:dyDescent="0.25">
      <c r="A849" s="25" t="s">
        <v>136</v>
      </c>
      <c r="B849" s="20" t="s">
        <v>30</v>
      </c>
      <c r="C849" s="16">
        <v>25204</v>
      </c>
      <c r="D849" s="10">
        <f t="shared" ca="1" si="208"/>
        <v>57</v>
      </c>
      <c r="E849" s="2" t="s">
        <v>26</v>
      </c>
      <c r="F849" s="3">
        <v>147</v>
      </c>
      <c r="G849" s="3">
        <v>47</v>
      </c>
      <c r="H849" s="11">
        <f t="shared" si="209"/>
        <v>21.750196677310381</v>
      </c>
      <c r="I849" s="2">
        <v>76</v>
      </c>
      <c r="J849" s="3">
        <v>120</v>
      </c>
      <c r="K849" s="3">
        <v>80</v>
      </c>
      <c r="L849" s="10">
        <f t="shared" si="210"/>
        <v>2</v>
      </c>
      <c r="M849" s="10">
        <f t="shared" ca="1" si="211"/>
        <v>2</v>
      </c>
      <c r="N849" s="10">
        <f t="shared" si="212"/>
        <v>0</v>
      </c>
      <c r="O849" s="10">
        <f t="shared" si="213"/>
        <v>0</v>
      </c>
      <c r="P849" s="10">
        <f t="shared" si="214"/>
        <v>0</v>
      </c>
      <c r="Q849" s="10">
        <f t="shared" si="215"/>
        <v>0</v>
      </c>
      <c r="R849" s="10">
        <f t="shared" ca="1" si="216"/>
        <v>4</v>
      </c>
      <c r="S849" s="10" t="str">
        <f t="shared" ca="1" si="217"/>
        <v>Không cần</v>
      </c>
      <c r="T849" s="10" t="str">
        <f t="shared" ca="1" si="218"/>
        <v>Không</v>
      </c>
      <c r="U849" s="10" t="str">
        <f t="shared" si="219"/>
        <v>Không</v>
      </c>
      <c r="V849" s="2" t="s">
        <v>51</v>
      </c>
      <c r="W849" s="4">
        <v>46081</v>
      </c>
      <c r="X849" s="8" t="str">
        <f t="shared" si="220"/>
        <v>Tháng 2</v>
      </c>
      <c r="Y849" s="17" t="s">
        <v>1376</v>
      </c>
    </row>
    <row r="850" spans="1:25" x14ac:dyDescent="0.25">
      <c r="A850" s="25" t="s">
        <v>888</v>
      </c>
      <c r="B850" s="20" t="s">
        <v>30</v>
      </c>
      <c r="C850" s="16">
        <v>19360</v>
      </c>
      <c r="D850" s="10">
        <f t="shared" ca="1" si="208"/>
        <v>73</v>
      </c>
      <c r="E850" s="2" t="s">
        <v>25</v>
      </c>
      <c r="F850" s="3">
        <v>169</v>
      </c>
      <c r="G850" s="3">
        <v>68</v>
      </c>
      <c r="H850" s="11">
        <f t="shared" si="209"/>
        <v>23.808690171912751</v>
      </c>
      <c r="I850" s="2">
        <v>86</v>
      </c>
      <c r="J850" s="3">
        <v>140</v>
      </c>
      <c r="K850" s="3">
        <v>80</v>
      </c>
      <c r="L850" s="10">
        <f t="shared" si="210"/>
        <v>2</v>
      </c>
      <c r="M850" s="10">
        <f t="shared" ca="1" si="211"/>
        <v>2</v>
      </c>
      <c r="N850" s="10">
        <f t="shared" si="212"/>
        <v>4</v>
      </c>
      <c r="O850" s="10">
        <f t="shared" si="213"/>
        <v>3</v>
      </c>
      <c r="P850" s="10">
        <f t="shared" si="214"/>
        <v>0</v>
      </c>
      <c r="Q850" s="10">
        <f t="shared" si="215"/>
        <v>2</v>
      </c>
      <c r="R850" s="10">
        <f t="shared" ca="1" si="216"/>
        <v>13</v>
      </c>
      <c r="S850" s="10" t="str">
        <f t="shared" ca="1" si="217"/>
        <v>Có</v>
      </c>
      <c r="T850" s="10" t="str">
        <f t="shared" ca="1" si="218"/>
        <v>Có</v>
      </c>
      <c r="U850" s="10" t="str">
        <f t="shared" si="219"/>
        <v>Có</v>
      </c>
      <c r="V850" s="2" t="s">
        <v>51</v>
      </c>
      <c r="W850" s="4">
        <v>46081</v>
      </c>
      <c r="X850" s="8" t="str">
        <f t="shared" si="220"/>
        <v>Tháng 2</v>
      </c>
      <c r="Y850" s="17" t="s">
        <v>1376</v>
      </c>
    </row>
    <row r="851" spans="1:25" x14ac:dyDescent="0.25">
      <c r="A851" s="25" t="s">
        <v>1140</v>
      </c>
      <c r="B851" s="20" t="s">
        <v>30</v>
      </c>
      <c r="C851" s="16">
        <v>20821</v>
      </c>
      <c r="D851" s="10">
        <f t="shared" ca="1" si="208"/>
        <v>69</v>
      </c>
      <c r="E851" s="2" t="s">
        <v>26</v>
      </c>
      <c r="F851" s="3">
        <v>170</v>
      </c>
      <c r="G851" s="3">
        <v>70</v>
      </c>
      <c r="H851" s="11">
        <f t="shared" si="209"/>
        <v>24.221453287197235</v>
      </c>
      <c r="I851" s="2">
        <v>69</v>
      </c>
      <c r="J851" s="3">
        <v>120</v>
      </c>
      <c r="K851" s="3">
        <v>80</v>
      </c>
      <c r="L851" s="10">
        <f t="shared" si="210"/>
        <v>2</v>
      </c>
      <c r="M851" s="10">
        <f t="shared" ca="1" si="211"/>
        <v>2</v>
      </c>
      <c r="N851" s="10">
        <f t="shared" si="212"/>
        <v>0</v>
      </c>
      <c r="O851" s="10">
        <f t="shared" si="213"/>
        <v>3</v>
      </c>
      <c r="P851" s="10">
        <f t="shared" si="214"/>
        <v>0</v>
      </c>
      <c r="Q851" s="10">
        <f t="shared" si="215"/>
        <v>0</v>
      </c>
      <c r="R851" s="10">
        <f t="shared" ca="1" si="216"/>
        <v>7</v>
      </c>
      <c r="S851" s="10" t="str">
        <f t="shared" ca="1" si="217"/>
        <v>Có</v>
      </c>
      <c r="T851" s="10" t="str">
        <f t="shared" ca="1" si="218"/>
        <v>Có</v>
      </c>
      <c r="U851" s="10" t="str">
        <f t="shared" si="219"/>
        <v>Không</v>
      </c>
      <c r="V851" s="2" t="s">
        <v>51</v>
      </c>
      <c r="W851" s="4">
        <v>46053</v>
      </c>
      <c r="X851" s="8" t="str">
        <f t="shared" si="220"/>
        <v>Tháng 1</v>
      </c>
      <c r="Y851" s="17" t="s">
        <v>1376</v>
      </c>
    </row>
    <row r="852" spans="1:25" x14ac:dyDescent="0.25">
      <c r="A852" s="25" t="s">
        <v>1141</v>
      </c>
      <c r="B852" s="20" t="s">
        <v>23</v>
      </c>
      <c r="C852" s="16">
        <v>21551</v>
      </c>
      <c r="D852" s="10">
        <f t="shared" ca="1" si="208"/>
        <v>67</v>
      </c>
      <c r="E852" s="2" t="s">
        <v>26</v>
      </c>
      <c r="F852" s="3">
        <v>160</v>
      </c>
      <c r="G852" s="3">
        <v>55</v>
      </c>
      <c r="H852" s="11">
        <f t="shared" si="209"/>
        <v>21.484374999999996</v>
      </c>
      <c r="I852" s="2">
        <v>68</v>
      </c>
      <c r="J852" s="3">
        <v>150</v>
      </c>
      <c r="K852" s="3">
        <v>80</v>
      </c>
      <c r="L852" s="10">
        <f t="shared" si="210"/>
        <v>0</v>
      </c>
      <c r="M852" s="10">
        <f t="shared" ca="1" si="211"/>
        <v>2</v>
      </c>
      <c r="N852" s="10">
        <f t="shared" si="212"/>
        <v>0</v>
      </c>
      <c r="O852" s="10">
        <f t="shared" si="213"/>
        <v>0</v>
      </c>
      <c r="P852" s="10">
        <f t="shared" si="214"/>
        <v>0</v>
      </c>
      <c r="Q852" s="10">
        <f t="shared" si="215"/>
        <v>2</v>
      </c>
      <c r="R852" s="10">
        <f t="shared" ca="1" si="216"/>
        <v>4</v>
      </c>
      <c r="S852" s="10" t="str">
        <f t="shared" ca="1" si="217"/>
        <v>Không cần</v>
      </c>
      <c r="T852" s="10" t="str">
        <f t="shared" ca="1" si="218"/>
        <v>Không</v>
      </c>
      <c r="U852" s="10" t="str">
        <f t="shared" si="219"/>
        <v>Có</v>
      </c>
      <c r="V852" s="2" t="s">
        <v>51</v>
      </c>
      <c r="W852" s="4">
        <v>46081</v>
      </c>
      <c r="X852" s="8" t="str">
        <f t="shared" si="220"/>
        <v>Tháng 2</v>
      </c>
      <c r="Y852" s="17" t="s">
        <v>1376</v>
      </c>
    </row>
    <row r="853" spans="1:25" x14ac:dyDescent="0.25">
      <c r="A853" s="25" t="s">
        <v>165</v>
      </c>
      <c r="B853" s="20" t="s">
        <v>23</v>
      </c>
      <c r="C853" s="16">
        <v>24108</v>
      </c>
      <c r="D853" s="10">
        <f t="shared" ca="1" si="208"/>
        <v>60</v>
      </c>
      <c r="E853" s="2" t="s">
        <v>26</v>
      </c>
      <c r="F853" s="3">
        <v>158</v>
      </c>
      <c r="G853" s="3">
        <v>58</v>
      </c>
      <c r="H853" s="11">
        <f t="shared" si="209"/>
        <v>23.233456176894723</v>
      </c>
      <c r="I853" s="2">
        <v>93</v>
      </c>
      <c r="J853" s="3">
        <v>140</v>
      </c>
      <c r="K853" s="3">
        <v>80</v>
      </c>
      <c r="L853" s="10">
        <f t="shared" si="210"/>
        <v>0</v>
      </c>
      <c r="M853" s="10">
        <f t="shared" ca="1" si="211"/>
        <v>2</v>
      </c>
      <c r="N853" s="10">
        <f t="shared" si="212"/>
        <v>0</v>
      </c>
      <c r="O853" s="10">
        <f t="shared" si="213"/>
        <v>3</v>
      </c>
      <c r="P853" s="10">
        <f t="shared" si="214"/>
        <v>2</v>
      </c>
      <c r="Q853" s="10">
        <f t="shared" si="215"/>
        <v>2</v>
      </c>
      <c r="R853" s="10">
        <f t="shared" ca="1" si="216"/>
        <v>9</v>
      </c>
      <c r="S853" s="10" t="str">
        <f t="shared" ca="1" si="217"/>
        <v>Có</v>
      </c>
      <c r="T853" s="10" t="str">
        <f t="shared" ca="1" si="218"/>
        <v>Có</v>
      </c>
      <c r="U853" s="10" t="str">
        <f t="shared" si="219"/>
        <v>Có</v>
      </c>
      <c r="V853" s="2" t="s">
        <v>51</v>
      </c>
      <c r="W853" s="4">
        <v>46053</v>
      </c>
      <c r="X853" s="8" t="str">
        <f t="shared" si="220"/>
        <v>Tháng 1</v>
      </c>
      <c r="Y853" s="17" t="s">
        <v>1376</v>
      </c>
    </row>
    <row r="854" spans="1:25" x14ac:dyDescent="0.25">
      <c r="A854" s="25" t="s">
        <v>1143</v>
      </c>
      <c r="B854" s="20" t="s">
        <v>23</v>
      </c>
      <c r="C854" s="16">
        <v>25934</v>
      </c>
      <c r="D854" s="10">
        <f t="shared" ref="D854:D881" ca="1" si="221">DATEDIF(C854,TODAY(),"Y")</f>
        <v>55</v>
      </c>
      <c r="E854" s="2" t="s">
        <v>26</v>
      </c>
      <c r="F854" s="3">
        <v>158</v>
      </c>
      <c r="G854" s="3">
        <v>58</v>
      </c>
      <c r="H854" s="11">
        <f t="shared" ref="H854:H881" si="222">G854/((F854/100)*(F854/100))</f>
        <v>23.233456176894723</v>
      </c>
      <c r="I854" s="2">
        <v>73</v>
      </c>
      <c r="J854" s="3">
        <v>120</v>
      </c>
      <c r="K854" s="3">
        <v>80</v>
      </c>
      <c r="L854" s="10">
        <f t="shared" ref="L854:L881" si="223">IF(B854="Nữ",0,2)</f>
        <v>0</v>
      </c>
      <c r="M854" s="10">
        <f t="shared" ref="M854:M881" ca="1" si="224">IF(D854&lt;45,0,IF(D854&lt;=49,1,2))</f>
        <v>2</v>
      </c>
      <c r="N854" s="10">
        <f t="shared" ref="N854:N881" si="225">IF(E854="Có",4,0)</f>
        <v>0</v>
      </c>
      <c r="O854" s="10">
        <f t="shared" ref="O854:O881" si="226">IF(H854&lt;23,0,IF(H854&lt;27.5,3,5))</f>
        <v>3</v>
      </c>
      <c r="P854" s="10">
        <f t="shared" ref="P854:P881" si="227">IF(OR(AND(B854="Nam",I854&gt;=90),AND(B854="Nữ",I854&gt;=80)),2,0)</f>
        <v>0</v>
      </c>
      <c r="Q854" s="10">
        <f t="shared" ref="Q854:Q881" si="228">IF(OR(J854&gt;=140,K854&gt;=90),2,0)</f>
        <v>0</v>
      </c>
      <c r="R854" s="10">
        <f t="shared" ref="R854:R881" ca="1" si="229">SUM(L854:Q854)</f>
        <v>5</v>
      </c>
      <c r="S854" s="10" t="str">
        <f t="shared" ref="S854:S881" ca="1" si="230">IF((R854)&gt;=6,"Có","Không cần")</f>
        <v>Không cần</v>
      </c>
      <c r="T854" s="10" t="str">
        <f t="shared" ref="T854:T881" ca="1" si="231">IF((R854)&gt;=6,"Có","Không")</f>
        <v>Không</v>
      </c>
      <c r="U854" s="10" t="str">
        <f t="shared" ref="U854:U881" si="232">IF(OR(J854&gt;=140,K854&gt;=90),"Có","Không")</f>
        <v>Không</v>
      </c>
      <c r="V854" s="2" t="s">
        <v>51</v>
      </c>
      <c r="W854" s="4">
        <v>46081</v>
      </c>
      <c r="X854" s="8" t="str">
        <f t="shared" ref="X854:X881" si="233">"Tháng "&amp;MONTH(W854)</f>
        <v>Tháng 2</v>
      </c>
      <c r="Y854" s="17" t="s">
        <v>1376</v>
      </c>
    </row>
    <row r="855" spans="1:25" x14ac:dyDescent="0.25">
      <c r="A855" s="25" t="s">
        <v>806</v>
      </c>
      <c r="B855" s="20" t="s">
        <v>23</v>
      </c>
      <c r="C855" s="16">
        <v>24108</v>
      </c>
      <c r="D855" s="10">
        <f t="shared" ca="1" si="221"/>
        <v>60</v>
      </c>
      <c r="E855" s="2" t="s">
        <v>25</v>
      </c>
      <c r="F855" s="3">
        <v>158</v>
      </c>
      <c r="G855" s="3">
        <v>58</v>
      </c>
      <c r="H855" s="11">
        <f t="shared" si="222"/>
        <v>23.233456176894723</v>
      </c>
      <c r="I855" s="2">
        <v>73</v>
      </c>
      <c r="J855" s="3">
        <v>130</v>
      </c>
      <c r="K855" s="3">
        <v>80</v>
      </c>
      <c r="L855" s="10">
        <f t="shared" si="223"/>
        <v>0</v>
      </c>
      <c r="M855" s="10">
        <f t="shared" ca="1" si="224"/>
        <v>2</v>
      </c>
      <c r="N855" s="10">
        <f t="shared" si="225"/>
        <v>4</v>
      </c>
      <c r="O855" s="10">
        <f t="shared" si="226"/>
        <v>3</v>
      </c>
      <c r="P855" s="10">
        <f t="shared" si="227"/>
        <v>0</v>
      </c>
      <c r="Q855" s="10">
        <f t="shared" si="228"/>
        <v>0</v>
      </c>
      <c r="R855" s="10">
        <f t="shared" ca="1" si="229"/>
        <v>9</v>
      </c>
      <c r="S855" s="10" t="str">
        <f t="shared" ca="1" si="230"/>
        <v>Có</v>
      </c>
      <c r="T855" s="10" t="str">
        <f t="shared" ca="1" si="231"/>
        <v>Có</v>
      </c>
      <c r="U855" s="10" t="str">
        <f t="shared" si="232"/>
        <v>Không</v>
      </c>
      <c r="V855" s="2" t="s">
        <v>51</v>
      </c>
      <c r="W855" s="4">
        <v>46053</v>
      </c>
      <c r="X855" s="8" t="str">
        <f t="shared" si="233"/>
        <v>Tháng 1</v>
      </c>
      <c r="Y855" s="17" t="s">
        <v>1376</v>
      </c>
    </row>
    <row r="856" spans="1:25" x14ac:dyDescent="0.25">
      <c r="A856" s="25" t="s">
        <v>455</v>
      </c>
      <c r="B856" s="20" t="s">
        <v>30</v>
      </c>
      <c r="C856" s="16">
        <v>21551</v>
      </c>
      <c r="D856" s="10">
        <f t="shared" ca="1" si="221"/>
        <v>67</v>
      </c>
      <c r="E856" s="2" t="s">
        <v>25</v>
      </c>
      <c r="F856" s="3">
        <v>158</v>
      </c>
      <c r="G856" s="3">
        <v>58</v>
      </c>
      <c r="H856" s="11">
        <f t="shared" si="222"/>
        <v>23.233456176894723</v>
      </c>
      <c r="I856" s="2">
        <v>79</v>
      </c>
      <c r="J856" s="3">
        <v>150</v>
      </c>
      <c r="K856" s="3">
        <v>80</v>
      </c>
      <c r="L856" s="10">
        <f t="shared" si="223"/>
        <v>2</v>
      </c>
      <c r="M856" s="10">
        <f t="shared" ca="1" si="224"/>
        <v>2</v>
      </c>
      <c r="N856" s="10">
        <f t="shared" si="225"/>
        <v>4</v>
      </c>
      <c r="O856" s="10">
        <f t="shared" si="226"/>
        <v>3</v>
      </c>
      <c r="P856" s="10">
        <f t="shared" si="227"/>
        <v>0</v>
      </c>
      <c r="Q856" s="10">
        <f t="shared" si="228"/>
        <v>2</v>
      </c>
      <c r="R856" s="10">
        <f t="shared" ca="1" si="229"/>
        <v>13</v>
      </c>
      <c r="S856" s="10" t="str">
        <f t="shared" ca="1" si="230"/>
        <v>Có</v>
      </c>
      <c r="T856" s="10" t="str">
        <f t="shared" ca="1" si="231"/>
        <v>Có</v>
      </c>
      <c r="U856" s="10" t="str">
        <f t="shared" si="232"/>
        <v>Có</v>
      </c>
      <c r="V856" s="2" t="s">
        <v>51</v>
      </c>
      <c r="W856" s="4">
        <v>46081</v>
      </c>
      <c r="X856" s="8" t="str">
        <f t="shared" si="233"/>
        <v>Tháng 2</v>
      </c>
      <c r="Y856" s="17" t="s">
        <v>1376</v>
      </c>
    </row>
    <row r="857" spans="1:25" x14ac:dyDescent="0.25">
      <c r="A857" s="25" t="s">
        <v>1145</v>
      </c>
      <c r="B857" s="20" t="s">
        <v>30</v>
      </c>
      <c r="C857" s="16">
        <v>21186</v>
      </c>
      <c r="D857" s="10">
        <f t="shared" ca="1" si="221"/>
        <v>68</v>
      </c>
      <c r="E857" s="2" t="s">
        <v>26</v>
      </c>
      <c r="F857" s="3">
        <v>169</v>
      </c>
      <c r="G857" s="3">
        <v>69</v>
      </c>
      <c r="H857" s="11">
        <f t="shared" si="222"/>
        <v>24.158817968558527</v>
      </c>
      <c r="I857" s="2">
        <v>81</v>
      </c>
      <c r="J857" s="3">
        <v>160</v>
      </c>
      <c r="K857" s="3">
        <v>80</v>
      </c>
      <c r="L857" s="10">
        <f t="shared" si="223"/>
        <v>2</v>
      </c>
      <c r="M857" s="10">
        <f t="shared" ca="1" si="224"/>
        <v>2</v>
      </c>
      <c r="N857" s="10">
        <f t="shared" si="225"/>
        <v>0</v>
      </c>
      <c r="O857" s="10">
        <f t="shared" si="226"/>
        <v>3</v>
      </c>
      <c r="P857" s="10">
        <f t="shared" si="227"/>
        <v>0</v>
      </c>
      <c r="Q857" s="10">
        <f t="shared" si="228"/>
        <v>2</v>
      </c>
      <c r="R857" s="10">
        <f t="shared" ca="1" si="229"/>
        <v>9</v>
      </c>
      <c r="S857" s="10" t="str">
        <f t="shared" ca="1" si="230"/>
        <v>Có</v>
      </c>
      <c r="T857" s="10" t="str">
        <f t="shared" ca="1" si="231"/>
        <v>Có</v>
      </c>
      <c r="U857" s="10" t="str">
        <f t="shared" si="232"/>
        <v>Có</v>
      </c>
      <c r="V857" s="2" t="s">
        <v>51</v>
      </c>
      <c r="W857" s="4">
        <v>46053</v>
      </c>
      <c r="X857" s="8" t="str">
        <f t="shared" si="233"/>
        <v>Tháng 1</v>
      </c>
      <c r="Y857" s="17" t="s">
        <v>1376</v>
      </c>
    </row>
    <row r="858" spans="1:25" x14ac:dyDescent="0.25">
      <c r="A858" s="25" t="s">
        <v>1146</v>
      </c>
      <c r="B858" s="20" t="s">
        <v>30</v>
      </c>
      <c r="C858" s="16">
        <v>13150</v>
      </c>
      <c r="D858" s="10">
        <f t="shared" ca="1" si="221"/>
        <v>90</v>
      </c>
      <c r="E858" s="2" t="s">
        <v>26</v>
      </c>
      <c r="F858" s="3">
        <v>158</v>
      </c>
      <c r="G858" s="3">
        <v>58</v>
      </c>
      <c r="H858" s="11">
        <f t="shared" si="222"/>
        <v>23.233456176894723</v>
      </c>
      <c r="I858" s="2">
        <v>83</v>
      </c>
      <c r="J858" s="3">
        <v>120</v>
      </c>
      <c r="K858" s="3">
        <v>80</v>
      </c>
      <c r="L858" s="10">
        <f t="shared" si="223"/>
        <v>2</v>
      </c>
      <c r="M858" s="10">
        <f t="shared" ca="1" si="224"/>
        <v>2</v>
      </c>
      <c r="N858" s="10">
        <f t="shared" si="225"/>
        <v>0</v>
      </c>
      <c r="O858" s="10">
        <f t="shared" si="226"/>
        <v>3</v>
      </c>
      <c r="P858" s="10">
        <f t="shared" si="227"/>
        <v>0</v>
      </c>
      <c r="Q858" s="10">
        <f t="shared" si="228"/>
        <v>0</v>
      </c>
      <c r="R858" s="10">
        <f t="shared" ca="1" si="229"/>
        <v>7</v>
      </c>
      <c r="S858" s="10" t="str">
        <f t="shared" ca="1" si="230"/>
        <v>Có</v>
      </c>
      <c r="T858" s="10" t="str">
        <f t="shared" ca="1" si="231"/>
        <v>Có</v>
      </c>
      <c r="U858" s="10" t="str">
        <f t="shared" si="232"/>
        <v>Không</v>
      </c>
      <c r="V858" s="2" t="s">
        <v>51</v>
      </c>
      <c r="W858" s="4">
        <v>46081</v>
      </c>
      <c r="X858" s="8" t="str">
        <f t="shared" si="233"/>
        <v>Tháng 2</v>
      </c>
      <c r="Y858" s="17" t="s">
        <v>1376</v>
      </c>
    </row>
    <row r="859" spans="1:25" x14ac:dyDescent="0.25">
      <c r="A859" s="25" t="s">
        <v>1148</v>
      </c>
      <c r="B859" s="20" t="s">
        <v>30</v>
      </c>
      <c r="C859" s="16">
        <v>18994</v>
      </c>
      <c r="D859" s="10">
        <f t="shared" ca="1" si="221"/>
        <v>74</v>
      </c>
      <c r="E859" s="2" t="s">
        <v>26</v>
      </c>
      <c r="F859" s="3">
        <v>169</v>
      </c>
      <c r="G859" s="3">
        <v>69</v>
      </c>
      <c r="H859" s="11">
        <f t="shared" si="222"/>
        <v>24.158817968558527</v>
      </c>
      <c r="I859" s="2">
        <v>80</v>
      </c>
      <c r="J859" s="3">
        <v>120</v>
      </c>
      <c r="K859" s="3">
        <v>80</v>
      </c>
      <c r="L859" s="10">
        <f t="shared" si="223"/>
        <v>2</v>
      </c>
      <c r="M859" s="10">
        <f t="shared" ca="1" si="224"/>
        <v>2</v>
      </c>
      <c r="N859" s="10">
        <f t="shared" si="225"/>
        <v>0</v>
      </c>
      <c r="O859" s="10">
        <f t="shared" si="226"/>
        <v>3</v>
      </c>
      <c r="P859" s="10">
        <f t="shared" si="227"/>
        <v>0</v>
      </c>
      <c r="Q859" s="10">
        <f t="shared" si="228"/>
        <v>0</v>
      </c>
      <c r="R859" s="10">
        <f t="shared" ca="1" si="229"/>
        <v>7</v>
      </c>
      <c r="S859" s="10" t="str">
        <f t="shared" ca="1" si="230"/>
        <v>Có</v>
      </c>
      <c r="T859" s="10" t="str">
        <f t="shared" ca="1" si="231"/>
        <v>Có</v>
      </c>
      <c r="U859" s="10" t="str">
        <f t="shared" si="232"/>
        <v>Không</v>
      </c>
      <c r="V859" s="2" t="s">
        <v>51</v>
      </c>
      <c r="W859" s="4">
        <v>46081</v>
      </c>
      <c r="X859" s="8" t="str">
        <f t="shared" si="233"/>
        <v>Tháng 2</v>
      </c>
      <c r="Y859" s="17" t="s">
        <v>1376</v>
      </c>
    </row>
    <row r="860" spans="1:25" x14ac:dyDescent="0.25">
      <c r="A860" s="25" t="s">
        <v>375</v>
      </c>
      <c r="B860" s="20" t="s">
        <v>30</v>
      </c>
      <c r="C860" s="16">
        <v>15342</v>
      </c>
      <c r="D860" s="10">
        <f t="shared" ca="1" si="221"/>
        <v>84</v>
      </c>
      <c r="E860" s="2" t="s">
        <v>26</v>
      </c>
      <c r="F860" s="3">
        <v>158</v>
      </c>
      <c r="G860" s="3">
        <v>58</v>
      </c>
      <c r="H860" s="11">
        <f t="shared" si="222"/>
        <v>23.233456176894723</v>
      </c>
      <c r="I860" s="2">
        <v>76</v>
      </c>
      <c r="J860" s="3">
        <v>120</v>
      </c>
      <c r="K860" s="3">
        <v>80</v>
      </c>
      <c r="L860" s="10">
        <f t="shared" si="223"/>
        <v>2</v>
      </c>
      <c r="M860" s="10">
        <f t="shared" ca="1" si="224"/>
        <v>2</v>
      </c>
      <c r="N860" s="10">
        <f t="shared" si="225"/>
        <v>0</v>
      </c>
      <c r="O860" s="10">
        <f t="shared" si="226"/>
        <v>3</v>
      </c>
      <c r="P860" s="10">
        <f t="shared" si="227"/>
        <v>0</v>
      </c>
      <c r="Q860" s="10">
        <f t="shared" si="228"/>
        <v>0</v>
      </c>
      <c r="R860" s="10">
        <f t="shared" ca="1" si="229"/>
        <v>7</v>
      </c>
      <c r="S860" s="10" t="str">
        <f t="shared" ca="1" si="230"/>
        <v>Có</v>
      </c>
      <c r="T860" s="10" t="str">
        <f t="shared" ca="1" si="231"/>
        <v>Có</v>
      </c>
      <c r="U860" s="10" t="str">
        <f t="shared" si="232"/>
        <v>Không</v>
      </c>
      <c r="V860" s="2" t="s">
        <v>51</v>
      </c>
      <c r="W860" s="4">
        <v>46053</v>
      </c>
      <c r="X860" s="8" t="str">
        <f t="shared" si="233"/>
        <v>Tháng 1</v>
      </c>
      <c r="Y860" s="17" t="s">
        <v>1376</v>
      </c>
    </row>
    <row r="861" spans="1:25" x14ac:dyDescent="0.25">
      <c r="A861" s="25" t="s">
        <v>1149</v>
      </c>
      <c r="B861" s="20" t="s">
        <v>30</v>
      </c>
      <c r="C861" s="16">
        <v>15707</v>
      </c>
      <c r="D861" s="10">
        <f t="shared" ca="1" si="221"/>
        <v>83</v>
      </c>
      <c r="E861" s="2" t="s">
        <v>26</v>
      </c>
      <c r="F861" s="3">
        <v>167</v>
      </c>
      <c r="G861" s="3">
        <v>70</v>
      </c>
      <c r="H861" s="11">
        <f t="shared" si="222"/>
        <v>25.099501595611173</v>
      </c>
      <c r="I861" s="2">
        <v>86</v>
      </c>
      <c r="J861" s="3">
        <v>140</v>
      </c>
      <c r="K861" s="3">
        <v>80</v>
      </c>
      <c r="L861" s="10">
        <f t="shared" si="223"/>
        <v>2</v>
      </c>
      <c r="M861" s="10">
        <f t="shared" ca="1" si="224"/>
        <v>2</v>
      </c>
      <c r="N861" s="10">
        <f t="shared" si="225"/>
        <v>0</v>
      </c>
      <c r="O861" s="10">
        <f t="shared" si="226"/>
        <v>3</v>
      </c>
      <c r="P861" s="10">
        <f t="shared" si="227"/>
        <v>0</v>
      </c>
      <c r="Q861" s="10">
        <f t="shared" si="228"/>
        <v>2</v>
      </c>
      <c r="R861" s="10">
        <f t="shared" ca="1" si="229"/>
        <v>9</v>
      </c>
      <c r="S861" s="10" t="str">
        <f t="shared" ca="1" si="230"/>
        <v>Có</v>
      </c>
      <c r="T861" s="10" t="str">
        <f t="shared" ca="1" si="231"/>
        <v>Có</v>
      </c>
      <c r="U861" s="10" t="str">
        <f t="shared" si="232"/>
        <v>Có</v>
      </c>
      <c r="V861" s="2" t="s">
        <v>51</v>
      </c>
      <c r="W861" s="4">
        <v>46081</v>
      </c>
      <c r="X861" s="8" t="str">
        <f t="shared" si="233"/>
        <v>Tháng 2</v>
      </c>
      <c r="Y861" s="17" t="s">
        <v>1376</v>
      </c>
    </row>
    <row r="862" spans="1:25" x14ac:dyDescent="0.25">
      <c r="A862" s="25" t="s">
        <v>1150</v>
      </c>
      <c r="B862" s="20" t="s">
        <v>23</v>
      </c>
      <c r="C862" s="16">
        <v>25569</v>
      </c>
      <c r="D862" s="10">
        <f t="shared" ca="1" si="221"/>
        <v>56</v>
      </c>
      <c r="E862" s="2" t="s">
        <v>26</v>
      </c>
      <c r="F862" s="3">
        <v>169</v>
      </c>
      <c r="G862" s="3">
        <v>68</v>
      </c>
      <c r="H862" s="11">
        <f t="shared" si="222"/>
        <v>23.808690171912751</v>
      </c>
      <c r="I862" s="2">
        <v>71</v>
      </c>
      <c r="J862" s="3">
        <v>120</v>
      </c>
      <c r="K862" s="3">
        <v>80</v>
      </c>
      <c r="L862" s="10">
        <f t="shared" si="223"/>
        <v>0</v>
      </c>
      <c r="M862" s="10">
        <f t="shared" ca="1" si="224"/>
        <v>2</v>
      </c>
      <c r="N862" s="10">
        <f t="shared" si="225"/>
        <v>0</v>
      </c>
      <c r="O862" s="10">
        <f t="shared" si="226"/>
        <v>3</v>
      </c>
      <c r="P862" s="10">
        <f t="shared" si="227"/>
        <v>0</v>
      </c>
      <c r="Q862" s="10">
        <f t="shared" si="228"/>
        <v>0</v>
      </c>
      <c r="R862" s="10">
        <f t="shared" ca="1" si="229"/>
        <v>5</v>
      </c>
      <c r="S862" s="10" t="str">
        <f t="shared" ca="1" si="230"/>
        <v>Không cần</v>
      </c>
      <c r="T862" s="10" t="str">
        <f t="shared" ca="1" si="231"/>
        <v>Không</v>
      </c>
      <c r="U862" s="10" t="str">
        <f t="shared" si="232"/>
        <v>Không</v>
      </c>
      <c r="V862" s="2" t="s">
        <v>51</v>
      </c>
      <c r="W862" s="4">
        <v>46053</v>
      </c>
      <c r="X862" s="8" t="str">
        <f t="shared" si="233"/>
        <v>Tháng 1</v>
      </c>
      <c r="Y862" s="17" t="s">
        <v>1376</v>
      </c>
    </row>
    <row r="863" spans="1:25" x14ac:dyDescent="0.25">
      <c r="A863" s="25" t="s">
        <v>1151</v>
      </c>
      <c r="B863" s="20" t="s">
        <v>23</v>
      </c>
      <c r="C863" s="16">
        <v>23377</v>
      </c>
      <c r="D863" s="10">
        <f t="shared" ca="1" si="221"/>
        <v>62</v>
      </c>
      <c r="E863" s="2" t="s">
        <v>26</v>
      </c>
      <c r="F863" s="3">
        <v>158</v>
      </c>
      <c r="G863" s="3">
        <v>58</v>
      </c>
      <c r="H863" s="11">
        <f t="shared" si="222"/>
        <v>23.233456176894723</v>
      </c>
      <c r="I863" s="2">
        <v>65</v>
      </c>
      <c r="J863" s="3">
        <v>120</v>
      </c>
      <c r="K863" s="3">
        <v>70</v>
      </c>
      <c r="L863" s="10">
        <f t="shared" si="223"/>
        <v>0</v>
      </c>
      <c r="M863" s="10">
        <f t="shared" ca="1" si="224"/>
        <v>2</v>
      </c>
      <c r="N863" s="10">
        <f t="shared" si="225"/>
        <v>0</v>
      </c>
      <c r="O863" s="10">
        <f t="shared" si="226"/>
        <v>3</v>
      </c>
      <c r="P863" s="10">
        <f t="shared" si="227"/>
        <v>0</v>
      </c>
      <c r="Q863" s="10">
        <f t="shared" si="228"/>
        <v>0</v>
      </c>
      <c r="R863" s="10">
        <f t="shared" ca="1" si="229"/>
        <v>5</v>
      </c>
      <c r="S863" s="10" t="str">
        <f t="shared" ca="1" si="230"/>
        <v>Không cần</v>
      </c>
      <c r="T863" s="10" t="str">
        <f t="shared" ca="1" si="231"/>
        <v>Không</v>
      </c>
      <c r="U863" s="10" t="str">
        <f t="shared" si="232"/>
        <v>Không</v>
      </c>
      <c r="V863" s="2" t="s">
        <v>51</v>
      </c>
      <c r="W863" s="4">
        <v>46081</v>
      </c>
      <c r="X863" s="8" t="str">
        <f t="shared" si="233"/>
        <v>Tháng 2</v>
      </c>
      <c r="Y863" s="17" t="s">
        <v>1376</v>
      </c>
    </row>
    <row r="864" spans="1:25" x14ac:dyDescent="0.25">
      <c r="A864" s="25" t="s">
        <v>858</v>
      </c>
      <c r="B864" s="20" t="s">
        <v>30</v>
      </c>
      <c r="C864" s="16">
        <v>20455</v>
      </c>
      <c r="D864" s="10">
        <f t="shared" ca="1" si="221"/>
        <v>70</v>
      </c>
      <c r="E864" s="2" t="s">
        <v>26</v>
      </c>
      <c r="F864" s="3">
        <v>158</v>
      </c>
      <c r="G864" s="3">
        <v>54</v>
      </c>
      <c r="H864" s="11">
        <f t="shared" si="222"/>
        <v>21.631148854350261</v>
      </c>
      <c r="I864" s="2">
        <v>72</v>
      </c>
      <c r="J864" s="3">
        <v>130</v>
      </c>
      <c r="K864" s="3">
        <v>80</v>
      </c>
      <c r="L864" s="10">
        <f t="shared" si="223"/>
        <v>2</v>
      </c>
      <c r="M864" s="10">
        <f t="shared" ca="1" si="224"/>
        <v>2</v>
      </c>
      <c r="N864" s="10">
        <f t="shared" si="225"/>
        <v>0</v>
      </c>
      <c r="O864" s="10">
        <f t="shared" si="226"/>
        <v>0</v>
      </c>
      <c r="P864" s="10">
        <f t="shared" si="227"/>
        <v>0</v>
      </c>
      <c r="Q864" s="10">
        <f t="shared" si="228"/>
        <v>0</v>
      </c>
      <c r="R864" s="10">
        <f t="shared" ca="1" si="229"/>
        <v>4</v>
      </c>
      <c r="S864" s="10" t="str">
        <f t="shared" ca="1" si="230"/>
        <v>Không cần</v>
      </c>
      <c r="T864" s="10" t="str">
        <f t="shared" ca="1" si="231"/>
        <v>Không</v>
      </c>
      <c r="U864" s="10" t="str">
        <f t="shared" si="232"/>
        <v>Không</v>
      </c>
      <c r="V864" s="2" t="s">
        <v>51</v>
      </c>
      <c r="W864" s="4">
        <v>46081</v>
      </c>
      <c r="X864" s="8" t="str">
        <f t="shared" si="233"/>
        <v>Tháng 2</v>
      </c>
      <c r="Y864" s="17" t="s">
        <v>1376</v>
      </c>
    </row>
    <row r="865" spans="1:25" x14ac:dyDescent="0.25">
      <c r="A865" s="25" t="s">
        <v>1154</v>
      </c>
      <c r="B865" s="20" t="s">
        <v>23</v>
      </c>
      <c r="C865" s="16">
        <v>25204</v>
      </c>
      <c r="D865" s="10">
        <f t="shared" ca="1" si="221"/>
        <v>57</v>
      </c>
      <c r="E865" s="2" t="s">
        <v>26</v>
      </c>
      <c r="F865" s="3">
        <v>158</v>
      </c>
      <c r="G865" s="3">
        <v>58</v>
      </c>
      <c r="H865" s="11">
        <f t="shared" si="222"/>
        <v>23.233456176894723</v>
      </c>
      <c r="I865" s="2">
        <v>76</v>
      </c>
      <c r="J865" s="3">
        <v>140</v>
      </c>
      <c r="K865" s="3">
        <v>80</v>
      </c>
      <c r="L865" s="10">
        <f t="shared" si="223"/>
        <v>0</v>
      </c>
      <c r="M865" s="10">
        <f t="shared" ca="1" si="224"/>
        <v>2</v>
      </c>
      <c r="N865" s="10">
        <f t="shared" si="225"/>
        <v>0</v>
      </c>
      <c r="O865" s="10">
        <f t="shared" si="226"/>
        <v>3</v>
      </c>
      <c r="P865" s="10">
        <f t="shared" si="227"/>
        <v>0</v>
      </c>
      <c r="Q865" s="10">
        <f t="shared" si="228"/>
        <v>2</v>
      </c>
      <c r="R865" s="10">
        <f t="shared" ca="1" si="229"/>
        <v>7</v>
      </c>
      <c r="S865" s="10" t="str">
        <f t="shared" ca="1" si="230"/>
        <v>Có</v>
      </c>
      <c r="T865" s="10" t="str">
        <f t="shared" ca="1" si="231"/>
        <v>Có</v>
      </c>
      <c r="U865" s="10" t="str">
        <f t="shared" si="232"/>
        <v>Có</v>
      </c>
      <c r="V865" s="2" t="s">
        <v>51</v>
      </c>
      <c r="W865" s="4">
        <v>46053</v>
      </c>
      <c r="X865" s="8" t="str">
        <f t="shared" si="233"/>
        <v>Tháng 1</v>
      </c>
      <c r="Y865" s="17" t="s">
        <v>1376</v>
      </c>
    </row>
    <row r="866" spans="1:25" x14ac:dyDescent="0.25">
      <c r="A866" s="25" t="s">
        <v>1157</v>
      </c>
      <c r="B866" s="20" t="s">
        <v>23</v>
      </c>
      <c r="C866" s="16">
        <v>21186</v>
      </c>
      <c r="D866" s="10">
        <f t="shared" ca="1" si="221"/>
        <v>68</v>
      </c>
      <c r="E866" s="2" t="s">
        <v>26</v>
      </c>
      <c r="F866" s="3">
        <v>170</v>
      </c>
      <c r="G866" s="3">
        <v>68</v>
      </c>
      <c r="H866" s="11">
        <f t="shared" si="222"/>
        <v>23.529411764705884</v>
      </c>
      <c r="I866" s="2">
        <v>90</v>
      </c>
      <c r="J866" s="3">
        <v>120</v>
      </c>
      <c r="K866" s="3">
        <v>80</v>
      </c>
      <c r="L866" s="10">
        <f t="shared" si="223"/>
        <v>0</v>
      </c>
      <c r="M866" s="10">
        <f t="shared" ca="1" si="224"/>
        <v>2</v>
      </c>
      <c r="N866" s="10">
        <f t="shared" si="225"/>
        <v>0</v>
      </c>
      <c r="O866" s="10">
        <f t="shared" si="226"/>
        <v>3</v>
      </c>
      <c r="P866" s="10">
        <f t="shared" si="227"/>
        <v>2</v>
      </c>
      <c r="Q866" s="10">
        <f t="shared" si="228"/>
        <v>0</v>
      </c>
      <c r="R866" s="10">
        <f t="shared" ca="1" si="229"/>
        <v>7</v>
      </c>
      <c r="S866" s="10" t="str">
        <f t="shared" ca="1" si="230"/>
        <v>Có</v>
      </c>
      <c r="T866" s="10" t="str">
        <f t="shared" ca="1" si="231"/>
        <v>Có</v>
      </c>
      <c r="U866" s="10" t="str">
        <f t="shared" si="232"/>
        <v>Không</v>
      </c>
      <c r="V866" s="2" t="s">
        <v>51</v>
      </c>
      <c r="W866" s="4">
        <v>46081</v>
      </c>
      <c r="X866" s="8" t="str">
        <f t="shared" si="233"/>
        <v>Tháng 2</v>
      </c>
      <c r="Y866" s="17" t="s">
        <v>1376</v>
      </c>
    </row>
    <row r="867" spans="1:25" x14ac:dyDescent="0.25">
      <c r="A867" s="25" t="s">
        <v>1161</v>
      </c>
      <c r="B867" s="20" t="s">
        <v>30</v>
      </c>
      <c r="C867" s="16">
        <v>21551</v>
      </c>
      <c r="D867" s="10">
        <f t="shared" ca="1" si="221"/>
        <v>67</v>
      </c>
      <c r="E867" s="2" t="s">
        <v>26</v>
      </c>
      <c r="F867" s="3">
        <v>158</v>
      </c>
      <c r="G867" s="3">
        <v>58</v>
      </c>
      <c r="H867" s="11">
        <f t="shared" si="222"/>
        <v>23.233456176894723</v>
      </c>
      <c r="I867" s="2">
        <v>75</v>
      </c>
      <c r="J867" s="3">
        <v>120</v>
      </c>
      <c r="K867" s="3">
        <v>80</v>
      </c>
      <c r="L867" s="10">
        <f t="shared" si="223"/>
        <v>2</v>
      </c>
      <c r="M867" s="10">
        <f t="shared" ca="1" si="224"/>
        <v>2</v>
      </c>
      <c r="N867" s="10">
        <f t="shared" si="225"/>
        <v>0</v>
      </c>
      <c r="O867" s="10">
        <f t="shared" si="226"/>
        <v>3</v>
      </c>
      <c r="P867" s="10">
        <f t="shared" si="227"/>
        <v>0</v>
      </c>
      <c r="Q867" s="10">
        <f t="shared" si="228"/>
        <v>0</v>
      </c>
      <c r="R867" s="10">
        <f t="shared" ca="1" si="229"/>
        <v>7</v>
      </c>
      <c r="S867" s="10" t="str">
        <f t="shared" ca="1" si="230"/>
        <v>Có</v>
      </c>
      <c r="T867" s="10" t="str">
        <f t="shared" ca="1" si="231"/>
        <v>Có</v>
      </c>
      <c r="U867" s="10" t="str">
        <f t="shared" si="232"/>
        <v>Không</v>
      </c>
      <c r="V867" s="2" t="s">
        <v>51</v>
      </c>
      <c r="W867" s="4">
        <v>46053</v>
      </c>
      <c r="X867" s="8" t="str">
        <f t="shared" si="233"/>
        <v>Tháng 1</v>
      </c>
      <c r="Y867" s="17" t="s">
        <v>1376</v>
      </c>
    </row>
    <row r="868" spans="1:25" x14ac:dyDescent="0.25">
      <c r="A868" s="25" t="s">
        <v>1163</v>
      </c>
      <c r="B868" s="20" t="s">
        <v>30</v>
      </c>
      <c r="C868" s="16">
        <v>25934</v>
      </c>
      <c r="D868" s="10">
        <f t="shared" ca="1" si="221"/>
        <v>55</v>
      </c>
      <c r="E868" s="2" t="s">
        <v>25</v>
      </c>
      <c r="F868" s="3">
        <v>160</v>
      </c>
      <c r="G868" s="3">
        <v>63</v>
      </c>
      <c r="H868" s="11">
        <f t="shared" si="222"/>
        <v>24.609374999999996</v>
      </c>
      <c r="I868" s="2">
        <v>68</v>
      </c>
      <c r="J868" s="3">
        <v>140</v>
      </c>
      <c r="K868" s="3">
        <v>80</v>
      </c>
      <c r="L868" s="10">
        <f t="shared" si="223"/>
        <v>2</v>
      </c>
      <c r="M868" s="10">
        <f t="shared" ca="1" si="224"/>
        <v>2</v>
      </c>
      <c r="N868" s="10">
        <f t="shared" si="225"/>
        <v>4</v>
      </c>
      <c r="O868" s="10">
        <f t="shared" si="226"/>
        <v>3</v>
      </c>
      <c r="P868" s="10">
        <f t="shared" si="227"/>
        <v>0</v>
      </c>
      <c r="Q868" s="10">
        <f t="shared" si="228"/>
        <v>2</v>
      </c>
      <c r="R868" s="10">
        <f t="shared" ca="1" si="229"/>
        <v>13</v>
      </c>
      <c r="S868" s="10" t="str">
        <f t="shared" ca="1" si="230"/>
        <v>Có</v>
      </c>
      <c r="T868" s="10" t="str">
        <f t="shared" ca="1" si="231"/>
        <v>Có</v>
      </c>
      <c r="U868" s="10" t="str">
        <f t="shared" si="232"/>
        <v>Có</v>
      </c>
      <c r="V868" s="2" t="s">
        <v>51</v>
      </c>
      <c r="W868" s="4">
        <v>46053</v>
      </c>
      <c r="X868" s="8" t="str">
        <f t="shared" si="233"/>
        <v>Tháng 1</v>
      </c>
      <c r="Y868" s="17" t="s">
        <v>1376</v>
      </c>
    </row>
    <row r="869" spans="1:25" x14ac:dyDescent="0.25">
      <c r="A869" s="25" t="s">
        <v>1164</v>
      </c>
      <c r="B869" s="20" t="s">
        <v>30</v>
      </c>
      <c r="C869" s="16">
        <v>26299</v>
      </c>
      <c r="D869" s="10">
        <f t="shared" ca="1" si="221"/>
        <v>54</v>
      </c>
      <c r="E869" s="2" t="s">
        <v>26</v>
      </c>
      <c r="F869" s="3">
        <v>169</v>
      </c>
      <c r="G869" s="3">
        <v>68</v>
      </c>
      <c r="H869" s="11">
        <f t="shared" si="222"/>
        <v>23.808690171912751</v>
      </c>
      <c r="I869" s="2">
        <v>89</v>
      </c>
      <c r="J869" s="3">
        <v>130</v>
      </c>
      <c r="K869" s="3">
        <v>80</v>
      </c>
      <c r="L869" s="10">
        <f t="shared" si="223"/>
        <v>2</v>
      </c>
      <c r="M869" s="10">
        <f t="shared" ca="1" si="224"/>
        <v>2</v>
      </c>
      <c r="N869" s="10">
        <f t="shared" si="225"/>
        <v>0</v>
      </c>
      <c r="O869" s="10">
        <f t="shared" si="226"/>
        <v>3</v>
      </c>
      <c r="P869" s="10">
        <f t="shared" si="227"/>
        <v>0</v>
      </c>
      <c r="Q869" s="10">
        <f t="shared" si="228"/>
        <v>0</v>
      </c>
      <c r="R869" s="10">
        <f t="shared" ca="1" si="229"/>
        <v>7</v>
      </c>
      <c r="S869" s="10" t="str">
        <f t="shared" ca="1" si="230"/>
        <v>Có</v>
      </c>
      <c r="T869" s="10" t="str">
        <f t="shared" ca="1" si="231"/>
        <v>Có</v>
      </c>
      <c r="U869" s="10" t="str">
        <f t="shared" si="232"/>
        <v>Không</v>
      </c>
      <c r="V869" s="2" t="s">
        <v>51</v>
      </c>
      <c r="W869" s="4">
        <v>46053</v>
      </c>
      <c r="X869" s="8" t="str">
        <f t="shared" si="233"/>
        <v>Tháng 1</v>
      </c>
      <c r="Y869" s="17" t="s">
        <v>1376</v>
      </c>
    </row>
    <row r="870" spans="1:25" x14ac:dyDescent="0.25">
      <c r="A870" s="25" t="s">
        <v>1166</v>
      </c>
      <c r="B870" s="20" t="s">
        <v>30</v>
      </c>
      <c r="C870" s="16">
        <v>15342</v>
      </c>
      <c r="D870" s="10">
        <f t="shared" ca="1" si="221"/>
        <v>84</v>
      </c>
      <c r="E870" s="2" t="s">
        <v>26</v>
      </c>
      <c r="F870" s="3">
        <v>158</v>
      </c>
      <c r="G870" s="3">
        <v>58</v>
      </c>
      <c r="H870" s="11">
        <f t="shared" si="222"/>
        <v>23.233456176894723</v>
      </c>
      <c r="I870" s="2">
        <v>86</v>
      </c>
      <c r="J870" s="3">
        <v>130</v>
      </c>
      <c r="K870" s="3">
        <v>80</v>
      </c>
      <c r="L870" s="10">
        <f t="shared" si="223"/>
        <v>2</v>
      </c>
      <c r="M870" s="10">
        <f t="shared" ca="1" si="224"/>
        <v>2</v>
      </c>
      <c r="N870" s="10">
        <f t="shared" si="225"/>
        <v>0</v>
      </c>
      <c r="O870" s="10">
        <f t="shared" si="226"/>
        <v>3</v>
      </c>
      <c r="P870" s="10">
        <f t="shared" si="227"/>
        <v>0</v>
      </c>
      <c r="Q870" s="10">
        <f t="shared" si="228"/>
        <v>0</v>
      </c>
      <c r="R870" s="10">
        <f t="shared" ca="1" si="229"/>
        <v>7</v>
      </c>
      <c r="S870" s="10" t="str">
        <f t="shared" ca="1" si="230"/>
        <v>Có</v>
      </c>
      <c r="T870" s="10" t="str">
        <f t="shared" ca="1" si="231"/>
        <v>Có</v>
      </c>
      <c r="U870" s="10" t="str">
        <f t="shared" si="232"/>
        <v>Không</v>
      </c>
      <c r="V870" s="2" t="s">
        <v>51</v>
      </c>
      <c r="W870" s="4">
        <v>46081</v>
      </c>
      <c r="X870" s="8" t="str">
        <f t="shared" si="233"/>
        <v>Tháng 2</v>
      </c>
      <c r="Y870" s="17" t="s">
        <v>1376</v>
      </c>
    </row>
    <row r="871" spans="1:25" x14ac:dyDescent="0.25">
      <c r="A871" s="25" t="s">
        <v>1167</v>
      </c>
      <c r="B871" s="20" t="s">
        <v>23</v>
      </c>
      <c r="C871" s="16">
        <v>24473</v>
      </c>
      <c r="D871" s="10">
        <f t="shared" ca="1" si="221"/>
        <v>59</v>
      </c>
      <c r="E871" s="2" t="s">
        <v>26</v>
      </c>
      <c r="F871" s="3">
        <v>160</v>
      </c>
      <c r="G871" s="3">
        <v>60</v>
      </c>
      <c r="H871" s="11">
        <f t="shared" si="222"/>
        <v>23.437499999999996</v>
      </c>
      <c r="I871" s="2">
        <v>81</v>
      </c>
      <c r="J871" s="3">
        <v>130</v>
      </c>
      <c r="K871" s="3">
        <v>80</v>
      </c>
      <c r="L871" s="10">
        <f t="shared" si="223"/>
        <v>0</v>
      </c>
      <c r="M871" s="10">
        <f t="shared" ca="1" si="224"/>
        <v>2</v>
      </c>
      <c r="N871" s="10">
        <f t="shared" si="225"/>
        <v>0</v>
      </c>
      <c r="O871" s="10">
        <f t="shared" si="226"/>
        <v>3</v>
      </c>
      <c r="P871" s="10">
        <f t="shared" si="227"/>
        <v>2</v>
      </c>
      <c r="Q871" s="10">
        <f t="shared" si="228"/>
        <v>0</v>
      </c>
      <c r="R871" s="10">
        <f t="shared" ca="1" si="229"/>
        <v>7</v>
      </c>
      <c r="S871" s="10" t="str">
        <f t="shared" ca="1" si="230"/>
        <v>Có</v>
      </c>
      <c r="T871" s="10" t="str">
        <f t="shared" ca="1" si="231"/>
        <v>Có</v>
      </c>
      <c r="U871" s="10" t="str">
        <f t="shared" si="232"/>
        <v>Không</v>
      </c>
      <c r="V871" s="2" t="s">
        <v>51</v>
      </c>
      <c r="W871" s="4">
        <v>46053</v>
      </c>
      <c r="X871" s="8" t="str">
        <f t="shared" si="233"/>
        <v>Tháng 1</v>
      </c>
      <c r="Y871" s="17" t="s">
        <v>1376</v>
      </c>
    </row>
    <row r="872" spans="1:25" x14ac:dyDescent="0.25">
      <c r="A872" s="25" t="s">
        <v>1168</v>
      </c>
      <c r="B872" s="20" t="s">
        <v>23</v>
      </c>
      <c r="C872" s="16">
        <v>23012</v>
      </c>
      <c r="D872" s="10">
        <f t="shared" ca="1" si="221"/>
        <v>63</v>
      </c>
      <c r="E872" s="2" t="s">
        <v>25</v>
      </c>
      <c r="F872" s="3">
        <v>158</v>
      </c>
      <c r="G872" s="3">
        <v>58</v>
      </c>
      <c r="H872" s="11">
        <f t="shared" si="222"/>
        <v>23.233456176894723</v>
      </c>
      <c r="I872" s="2">
        <v>66</v>
      </c>
      <c r="J872" s="3">
        <v>120</v>
      </c>
      <c r="K872" s="3">
        <v>80</v>
      </c>
      <c r="L872" s="10">
        <f t="shared" si="223"/>
        <v>0</v>
      </c>
      <c r="M872" s="10">
        <f t="shared" ca="1" si="224"/>
        <v>2</v>
      </c>
      <c r="N872" s="10">
        <f t="shared" si="225"/>
        <v>4</v>
      </c>
      <c r="O872" s="10">
        <f t="shared" si="226"/>
        <v>3</v>
      </c>
      <c r="P872" s="10">
        <f t="shared" si="227"/>
        <v>0</v>
      </c>
      <c r="Q872" s="10">
        <f t="shared" si="228"/>
        <v>0</v>
      </c>
      <c r="R872" s="10">
        <f t="shared" ca="1" si="229"/>
        <v>9</v>
      </c>
      <c r="S872" s="10" t="str">
        <f t="shared" ca="1" si="230"/>
        <v>Có</v>
      </c>
      <c r="T872" s="10" t="str">
        <f t="shared" ca="1" si="231"/>
        <v>Có</v>
      </c>
      <c r="U872" s="10" t="str">
        <f t="shared" si="232"/>
        <v>Không</v>
      </c>
      <c r="V872" s="2" t="s">
        <v>51</v>
      </c>
      <c r="W872" s="4">
        <v>46053</v>
      </c>
      <c r="X872" s="8" t="str">
        <f t="shared" si="233"/>
        <v>Tháng 1</v>
      </c>
      <c r="Y872" s="17" t="s">
        <v>1376</v>
      </c>
    </row>
    <row r="873" spans="1:25" x14ac:dyDescent="0.25">
      <c r="A873" s="25" t="s">
        <v>1169</v>
      </c>
      <c r="B873" s="20" t="s">
        <v>30</v>
      </c>
      <c r="C873" s="16">
        <v>13881</v>
      </c>
      <c r="D873" s="10">
        <f t="shared" ca="1" si="221"/>
        <v>88</v>
      </c>
      <c r="E873" s="2" t="s">
        <v>26</v>
      </c>
      <c r="F873" s="3">
        <v>169</v>
      </c>
      <c r="G873" s="3">
        <v>68</v>
      </c>
      <c r="H873" s="11">
        <f t="shared" si="222"/>
        <v>23.808690171912751</v>
      </c>
      <c r="I873" s="2">
        <v>89</v>
      </c>
      <c r="J873" s="3">
        <v>130</v>
      </c>
      <c r="K873" s="3">
        <v>80</v>
      </c>
      <c r="L873" s="10">
        <f t="shared" si="223"/>
        <v>2</v>
      </c>
      <c r="M873" s="10">
        <f t="shared" ca="1" si="224"/>
        <v>2</v>
      </c>
      <c r="N873" s="10">
        <f t="shared" si="225"/>
        <v>0</v>
      </c>
      <c r="O873" s="10">
        <f t="shared" si="226"/>
        <v>3</v>
      </c>
      <c r="P873" s="10">
        <f t="shared" si="227"/>
        <v>0</v>
      </c>
      <c r="Q873" s="10">
        <f t="shared" si="228"/>
        <v>0</v>
      </c>
      <c r="R873" s="10">
        <f t="shared" ca="1" si="229"/>
        <v>7</v>
      </c>
      <c r="S873" s="10" t="str">
        <f t="shared" ca="1" si="230"/>
        <v>Có</v>
      </c>
      <c r="T873" s="10" t="str">
        <f t="shared" ca="1" si="231"/>
        <v>Có</v>
      </c>
      <c r="U873" s="10" t="str">
        <f t="shared" si="232"/>
        <v>Không</v>
      </c>
      <c r="V873" s="2" t="s">
        <v>51</v>
      </c>
      <c r="W873" s="4">
        <v>46081</v>
      </c>
      <c r="X873" s="8" t="str">
        <f t="shared" si="233"/>
        <v>Tháng 2</v>
      </c>
      <c r="Y873" s="17" t="s">
        <v>1376</v>
      </c>
    </row>
    <row r="874" spans="1:25" x14ac:dyDescent="0.25">
      <c r="A874" s="25" t="s">
        <v>1171</v>
      </c>
      <c r="B874" s="20" t="s">
        <v>30</v>
      </c>
      <c r="C874" s="16">
        <v>15707</v>
      </c>
      <c r="D874" s="10">
        <f t="shared" ca="1" si="221"/>
        <v>83</v>
      </c>
      <c r="E874" s="2" t="s">
        <v>26</v>
      </c>
      <c r="F874" s="3">
        <v>158</v>
      </c>
      <c r="G874" s="3">
        <v>58</v>
      </c>
      <c r="H874" s="11">
        <f t="shared" si="222"/>
        <v>23.233456176894723</v>
      </c>
      <c r="I874" s="2">
        <v>87</v>
      </c>
      <c r="J874" s="3">
        <v>140</v>
      </c>
      <c r="K874" s="3">
        <v>80</v>
      </c>
      <c r="L874" s="10">
        <f t="shared" si="223"/>
        <v>2</v>
      </c>
      <c r="M874" s="10">
        <f t="shared" ca="1" si="224"/>
        <v>2</v>
      </c>
      <c r="N874" s="10">
        <f t="shared" si="225"/>
        <v>0</v>
      </c>
      <c r="O874" s="10">
        <f t="shared" si="226"/>
        <v>3</v>
      </c>
      <c r="P874" s="10">
        <f t="shared" si="227"/>
        <v>0</v>
      </c>
      <c r="Q874" s="10">
        <f t="shared" si="228"/>
        <v>2</v>
      </c>
      <c r="R874" s="10">
        <f t="shared" ca="1" si="229"/>
        <v>9</v>
      </c>
      <c r="S874" s="10" t="str">
        <f t="shared" ca="1" si="230"/>
        <v>Có</v>
      </c>
      <c r="T874" s="10" t="str">
        <f t="shared" ca="1" si="231"/>
        <v>Có</v>
      </c>
      <c r="U874" s="10" t="str">
        <f t="shared" si="232"/>
        <v>Có</v>
      </c>
      <c r="V874" s="2" t="s">
        <v>51</v>
      </c>
      <c r="W874" s="4">
        <v>46081</v>
      </c>
      <c r="X874" s="8" t="str">
        <f t="shared" si="233"/>
        <v>Tháng 2</v>
      </c>
      <c r="Y874" s="17" t="s">
        <v>1376</v>
      </c>
    </row>
    <row r="875" spans="1:25" x14ac:dyDescent="0.25">
      <c r="A875" s="26" t="s">
        <v>1174</v>
      </c>
      <c r="B875" s="20" t="s">
        <v>23</v>
      </c>
      <c r="C875" s="16">
        <v>17533</v>
      </c>
      <c r="D875" s="10">
        <f t="shared" ca="1" si="221"/>
        <v>78</v>
      </c>
      <c r="E875" s="2" t="s">
        <v>26</v>
      </c>
      <c r="F875" s="3">
        <v>158</v>
      </c>
      <c r="G875" s="3">
        <v>58</v>
      </c>
      <c r="H875" s="11">
        <f t="shared" si="222"/>
        <v>23.233456176894723</v>
      </c>
      <c r="I875" s="2">
        <v>88</v>
      </c>
      <c r="J875" s="3">
        <v>130</v>
      </c>
      <c r="K875" s="3">
        <v>80</v>
      </c>
      <c r="L875" s="10">
        <f t="shared" si="223"/>
        <v>0</v>
      </c>
      <c r="M875" s="10">
        <f t="shared" ca="1" si="224"/>
        <v>2</v>
      </c>
      <c r="N875" s="10">
        <f t="shared" si="225"/>
        <v>0</v>
      </c>
      <c r="O875" s="10">
        <f t="shared" si="226"/>
        <v>3</v>
      </c>
      <c r="P875" s="10">
        <f t="shared" si="227"/>
        <v>2</v>
      </c>
      <c r="Q875" s="10">
        <f t="shared" si="228"/>
        <v>0</v>
      </c>
      <c r="R875" s="10">
        <f t="shared" ca="1" si="229"/>
        <v>7</v>
      </c>
      <c r="S875" s="10" t="str">
        <f t="shared" ca="1" si="230"/>
        <v>Có</v>
      </c>
      <c r="T875" s="10" t="str">
        <f t="shared" ca="1" si="231"/>
        <v>Có</v>
      </c>
      <c r="U875" s="10" t="str">
        <f t="shared" si="232"/>
        <v>Không</v>
      </c>
      <c r="V875" s="2" t="s">
        <v>51</v>
      </c>
      <c r="W875" s="4">
        <v>46053</v>
      </c>
      <c r="X875" s="8" t="str">
        <f t="shared" si="233"/>
        <v>Tháng 1</v>
      </c>
      <c r="Y875" s="17" t="s">
        <v>1376</v>
      </c>
    </row>
    <row r="876" spans="1:25" x14ac:dyDescent="0.25">
      <c r="A876" s="26" t="s">
        <v>1175</v>
      </c>
      <c r="B876" s="20" t="s">
        <v>30</v>
      </c>
      <c r="C876" s="16">
        <v>21186</v>
      </c>
      <c r="D876" s="10">
        <f t="shared" ca="1" si="221"/>
        <v>68</v>
      </c>
      <c r="E876" s="2" t="s">
        <v>25</v>
      </c>
      <c r="F876" s="3">
        <v>169</v>
      </c>
      <c r="G876" s="3">
        <v>68</v>
      </c>
      <c r="H876" s="11">
        <f t="shared" si="222"/>
        <v>23.808690171912751</v>
      </c>
      <c r="I876" s="2">
        <v>83</v>
      </c>
      <c r="J876" s="3">
        <v>120</v>
      </c>
      <c r="K876" s="3">
        <v>80</v>
      </c>
      <c r="L876" s="10">
        <f t="shared" si="223"/>
        <v>2</v>
      </c>
      <c r="M876" s="10">
        <f t="shared" ca="1" si="224"/>
        <v>2</v>
      </c>
      <c r="N876" s="10">
        <f t="shared" si="225"/>
        <v>4</v>
      </c>
      <c r="O876" s="10">
        <f t="shared" si="226"/>
        <v>3</v>
      </c>
      <c r="P876" s="10">
        <f t="shared" si="227"/>
        <v>0</v>
      </c>
      <c r="Q876" s="10">
        <f t="shared" si="228"/>
        <v>0</v>
      </c>
      <c r="R876" s="10">
        <f t="shared" ca="1" si="229"/>
        <v>11</v>
      </c>
      <c r="S876" s="10" t="str">
        <f t="shared" ca="1" si="230"/>
        <v>Có</v>
      </c>
      <c r="T876" s="10" t="str">
        <f t="shared" ca="1" si="231"/>
        <v>Có</v>
      </c>
      <c r="U876" s="10" t="str">
        <f t="shared" si="232"/>
        <v>Không</v>
      </c>
      <c r="V876" s="2" t="s">
        <v>51</v>
      </c>
      <c r="W876" s="4">
        <v>46081</v>
      </c>
      <c r="X876" s="8" t="str">
        <f t="shared" si="233"/>
        <v>Tháng 2</v>
      </c>
      <c r="Y876" s="17" t="s">
        <v>1376</v>
      </c>
    </row>
    <row r="877" spans="1:25" x14ac:dyDescent="0.25">
      <c r="A877" s="26" t="s">
        <v>1177</v>
      </c>
      <c r="B877" s="20" t="s">
        <v>23</v>
      </c>
      <c r="C877" s="16">
        <v>20455</v>
      </c>
      <c r="D877" s="10">
        <f t="shared" ca="1" si="221"/>
        <v>70</v>
      </c>
      <c r="E877" s="2" t="s">
        <v>26</v>
      </c>
      <c r="F877" s="3">
        <v>168</v>
      </c>
      <c r="G877" s="3">
        <v>62</v>
      </c>
      <c r="H877" s="11">
        <f t="shared" si="222"/>
        <v>21.9671201814059</v>
      </c>
      <c r="I877" s="2">
        <v>65</v>
      </c>
      <c r="J877" s="3">
        <v>120</v>
      </c>
      <c r="K877" s="3">
        <v>80</v>
      </c>
      <c r="L877" s="10">
        <f t="shared" si="223"/>
        <v>0</v>
      </c>
      <c r="M877" s="10">
        <f t="shared" ca="1" si="224"/>
        <v>2</v>
      </c>
      <c r="N877" s="10">
        <f t="shared" si="225"/>
        <v>0</v>
      </c>
      <c r="O877" s="10">
        <f t="shared" si="226"/>
        <v>0</v>
      </c>
      <c r="P877" s="10">
        <f t="shared" si="227"/>
        <v>0</v>
      </c>
      <c r="Q877" s="10">
        <f t="shared" si="228"/>
        <v>0</v>
      </c>
      <c r="R877" s="10">
        <f t="shared" ca="1" si="229"/>
        <v>2</v>
      </c>
      <c r="S877" s="10" t="str">
        <f t="shared" ca="1" si="230"/>
        <v>Không cần</v>
      </c>
      <c r="T877" s="10" t="str">
        <f t="shared" ca="1" si="231"/>
        <v>Không</v>
      </c>
      <c r="U877" s="10" t="str">
        <f t="shared" si="232"/>
        <v>Không</v>
      </c>
      <c r="V877" s="2" t="s">
        <v>51</v>
      </c>
      <c r="W877" s="4">
        <v>46081</v>
      </c>
      <c r="X877" s="8" t="str">
        <f t="shared" si="233"/>
        <v>Tháng 2</v>
      </c>
      <c r="Y877" s="17" t="s">
        <v>1376</v>
      </c>
    </row>
    <row r="878" spans="1:25" x14ac:dyDescent="0.25">
      <c r="A878" s="26" t="s">
        <v>1178</v>
      </c>
      <c r="B878" s="20" t="s">
        <v>30</v>
      </c>
      <c r="C878" s="16">
        <v>21186</v>
      </c>
      <c r="D878" s="10">
        <f t="shared" ca="1" si="221"/>
        <v>68</v>
      </c>
      <c r="E878" s="2" t="s">
        <v>26</v>
      </c>
      <c r="F878" s="3">
        <v>158</v>
      </c>
      <c r="G878" s="3">
        <v>58</v>
      </c>
      <c r="H878" s="11">
        <f t="shared" si="222"/>
        <v>23.233456176894723</v>
      </c>
      <c r="I878" s="2">
        <v>100</v>
      </c>
      <c r="J878" s="3">
        <v>120</v>
      </c>
      <c r="K878" s="3">
        <v>80</v>
      </c>
      <c r="L878" s="10">
        <f t="shared" si="223"/>
        <v>2</v>
      </c>
      <c r="M878" s="10">
        <f t="shared" ca="1" si="224"/>
        <v>2</v>
      </c>
      <c r="N878" s="10">
        <f t="shared" si="225"/>
        <v>0</v>
      </c>
      <c r="O878" s="10">
        <f t="shared" si="226"/>
        <v>3</v>
      </c>
      <c r="P878" s="10">
        <f t="shared" si="227"/>
        <v>2</v>
      </c>
      <c r="Q878" s="10">
        <f t="shared" si="228"/>
        <v>0</v>
      </c>
      <c r="R878" s="10">
        <f t="shared" ca="1" si="229"/>
        <v>9</v>
      </c>
      <c r="S878" s="10" t="str">
        <f t="shared" ca="1" si="230"/>
        <v>Có</v>
      </c>
      <c r="T878" s="10" t="str">
        <f t="shared" ca="1" si="231"/>
        <v>Có</v>
      </c>
      <c r="U878" s="10" t="str">
        <f t="shared" si="232"/>
        <v>Không</v>
      </c>
      <c r="V878" s="2" t="s">
        <v>51</v>
      </c>
      <c r="W878" s="4">
        <v>46081</v>
      </c>
      <c r="X878" s="8" t="str">
        <f t="shared" si="233"/>
        <v>Tháng 2</v>
      </c>
      <c r="Y878" s="17" t="s">
        <v>1376</v>
      </c>
    </row>
    <row r="879" spans="1:25" x14ac:dyDescent="0.25">
      <c r="A879" s="26" t="s">
        <v>1179</v>
      </c>
      <c r="B879" s="20" t="s">
        <v>23</v>
      </c>
      <c r="C879" s="16">
        <v>27395</v>
      </c>
      <c r="D879" s="10">
        <f t="shared" ca="1" si="221"/>
        <v>51</v>
      </c>
      <c r="E879" s="2" t="s">
        <v>26</v>
      </c>
      <c r="F879" s="3">
        <v>169</v>
      </c>
      <c r="G879" s="3">
        <v>68</v>
      </c>
      <c r="H879" s="11">
        <f t="shared" si="222"/>
        <v>23.808690171912751</v>
      </c>
      <c r="I879" s="2">
        <v>96</v>
      </c>
      <c r="J879" s="3">
        <v>130</v>
      </c>
      <c r="K879" s="3">
        <v>80</v>
      </c>
      <c r="L879" s="10">
        <f t="shared" si="223"/>
        <v>0</v>
      </c>
      <c r="M879" s="10">
        <f t="shared" ca="1" si="224"/>
        <v>2</v>
      </c>
      <c r="N879" s="10">
        <f t="shared" si="225"/>
        <v>0</v>
      </c>
      <c r="O879" s="10">
        <f t="shared" si="226"/>
        <v>3</v>
      </c>
      <c r="P879" s="10">
        <f t="shared" si="227"/>
        <v>2</v>
      </c>
      <c r="Q879" s="10">
        <f t="shared" si="228"/>
        <v>0</v>
      </c>
      <c r="R879" s="10">
        <f t="shared" ca="1" si="229"/>
        <v>7</v>
      </c>
      <c r="S879" s="10" t="str">
        <f t="shared" ca="1" si="230"/>
        <v>Có</v>
      </c>
      <c r="T879" s="10" t="str">
        <f t="shared" ca="1" si="231"/>
        <v>Có</v>
      </c>
      <c r="U879" s="10" t="str">
        <f t="shared" si="232"/>
        <v>Không</v>
      </c>
      <c r="V879" s="2" t="s">
        <v>51</v>
      </c>
      <c r="W879" s="4">
        <v>46081</v>
      </c>
      <c r="X879" s="8" t="str">
        <f t="shared" si="233"/>
        <v>Tháng 2</v>
      </c>
      <c r="Y879" s="17" t="s">
        <v>1376</v>
      </c>
    </row>
    <row r="880" spans="1:25" x14ac:dyDescent="0.25">
      <c r="A880" s="26" t="s">
        <v>1180</v>
      </c>
      <c r="B880" s="20" t="s">
        <v>23</v>
      </c>
      <c r="C880" s="16">
        <v>23377</v>
      </c>
      <c r="D880" s="10">
        <f t="shared" ca="1" si="221"/>
        <v>62</v>
      </c>
      <c r="E880" s="2" t="s">
        <v>26</v>
      </c>
      <c r="F880" s="3">
        <v>158</v>
      </c>
      <c r="G880" s="3">
        <v>55</v>
      </c>
      <c r="H880" s="11">
        <f t="shared" si="222"/>
        <v>22.031725684986377</v>
      </c>
      <c r="I880" s="2">
        <v>88</v>
      </c>
      <c r="J880" s="3">
        <v>130</v>
      </c>
      <c r="K880" s="3">
        <v>80</v>
      </c>
      <c r="L880" s="10">
        <f t="shared" si="223"/>
        <v>0</v>
      </c>
      <c r="M880" s="10">
        <f t="shared" ca="1" si="224"/>
        <v>2</v>
      </c>
      <c r="N880" s="10">
        <f t="shared" si="225"/>
        <v>0</v>
      </c>
      <c r="O880" s="10">
        <f t="shared" si="226"/>
        <v>0</v>
      </c>
      <c r="P880" s="10">
        <f t="shared" si="227"/>
        <v>2</v>
      </c>
      <c r="Q880" s="10">
        <f t="shared" si="228"/>
        <v>0</v>
      </c>
      <c r="R880" s="10">
        <f t="shared" ca="1" si="229"/>
        <v>4</v>
      </c>
      <c r="S880" s="10" t="str">
        <f t="shared" ca="1" si="230"/>
        <v>Không cần</v>
      </c>
      <c r="T880" s="10" t="str">
        <f t="shared" ca="1" si="231"/>
        <v>Không</v>
      </c>
      <c r="U880" s="10" t="str">
        <f t="shared" si="232"/>
        <v>Không</v>
      </c>
      <c r="V880" s="2" t="s">
        <v>51</v>
      </c>
      <c r="W880" s="4">
        <v>46053</v>
      </c>
      <c r="X880" s="8" t="str">
        <f t="shared" si="233"/>
        <v>Tháng 1</v>
      </c>
      <c r="Y880" s="17" t="s">
        <v>1376</v>
      </c>
    </row>
    <row r="881" spans="1:25" x14ac:dyDescent="0.25">
      <c r="A881" s="26" t="s">
        <v>1182</v>
      </c>
      <c r="B881" s="20" t="s">
        <v>30</v>
      </c>
      <c r="C881" s="16">
        <v>21186</v>
      </c>
      <c r="D881" s="10">
        <f t="shared" ca="1" si="221"/>
        <v>68</v>
      </c>
      <c r="E881" s="2" t="s">
        <v>26</v>
      </c>
      <c r="F881" s="3">
        <v>150</v>
      </c>
      <c r="G881" s="3">
        <v>53</v>
      </c>
      <c r="H881" s="11">
        <f t="shared" si="222"/>
        <v>23.555555555555557</v>
      </c>
      <c r="I881" s="2">
        <v>76</v>
      </c>
      <c r="J881" s="3">
        <v>140</v>
      </c>
      <c r="K881" s="3">
        <v>80</v>
      </c>
      <c r="L881" s="10">
        <f t="shared" si="223"/>
        <v>2</v>
      </c>
      <c r="M881" s="10">
        <f t="shared" ca="1" si="224"/>
        <v>2</v>
      </c>
      <c r="N881" s="10">
        <f t="shared" si="225"/>
        <v>0</v>
      </c>
      <c r="O881" s="10">
        <f t="shared" si="226"/>
        <v>3</v>
      </c>
      <c r="P881" s="10">
        <f t="shared" si="227"/>
        <v>0</v>
      </c>
      <c r="Q881" s="10">
        <f t="shared" si="228"/>
        <v>2</v>
      </c>
      <c r="R881" s="10">
        <f t="shared" ca="1" si="229"/>
        <v>9</v>
      </c>
      <c r="S881" s="10" t="str">
        <f t="shared" ca="1" si="230"/>
        <v>Có</v>
      </c>
      <c r="T881" s="10" t="str">
        <f t="shared" ca="1" si="231"/>
        <v>Có</v>
      </c>
      <c r="U881" s="10" t="str">
        <f t="shared" si="232"/>
        <v>Có</v>
      </c>
      <c r="V881" s="2" t="s">
        <v>51</v>
      </c>
      <c r="W881" s="4">
        <v>46081</v>
      </c>
      <c r="X881" s="8" t="str">
        <f t="shared" si="233"/>
        <v>Tháng 2</v>
      </c>
      <c r="Y881" s="17" t="s">
        <v>1376</v>
      </c>
    </row>
    <row r="882" spans="1:25" x14ac:dyDescent="0.25">
      <c r="A882" s="26" t="s">
        <v>1183</v>
      </c>
      <c r="B882" s="20" t="s">
        <v>23</v>
      </c>
      <c r="C882" s="16">
        <v>13881</v>
      </c>
      <c r="D882" s="10">
        <f t="shared" ref="D882:D900" ca="1" si="234">DATEDIF(C882,TODAY(),"Y")</f>
        <v>88</v>
      </c>
      <c r="E882" s="2" t="s">
        <v>26</v>
      </c>
      <c r="F882" s="3">
        <v>167</v>
      </c>
      <c r="G882" s="3">
        <v>75</v>
      </c>
      <c r="H882" s="11">
        <f t="shared" ref="H882:H900" si="235">G882/((F882/100)*(F882/100))</f>
        <v>26.892323138154829</v>
      </c>
      <c r="I882" s="2">
        <v>82</v>
      </c>
      <c r="J882" s="3">
        <v>120</v>
      </c>
      <c r="K882" s="3">
        <v>80</v>
      </c>
      <c r="L882" s="10">
        <f t="shared" ref="L882:L900" si="236">IF(B882="Nữ",0,2)</f>
        <v>0</v>
      </c>
      <c r="M882" s="10">
        <f t="shared" ref="M882:M900" ca="1" si="237">IF(D882&lt;45,0,IF(D882&lt;=49,1,2))</f>
        <v>2</v>
      </c>
      <c r="N882" s="10">
        <f t="shared" ref="N882:N900" si="238">IF(E882="Có",4,0)</f>
        <v>0</v>
      </c>
      <c r="O882" s="10">
        <f t="shared" ref="O882:O900" si="239">IF(H882&lt;23,0,IF(H882&lt;27.5,3,5))</f>
        <v>3</v>
      </c>
      <c r="P882" s="10">
        <f t="shared" ref="P882:P900" si="240">IF(OR(AND(B882="Nam",I882&gt;=90),AND(B882="Nữ",I882&gt;=80)),2,0)</f>
        <v>2</v>
      </c>
      <c r="Q882" s="10">
        <f t="shared" ref="Q882:Q900" si="241">IF(OR(J882&gt;=140,K882&gt;=90),2,0)</f>
        <v>0</v>
      </c>
      <c r="R882" s="10">
        <f t="shared" ref="R882:R900" ca="1" si="242">SUM(L882:Q882)</f>
        <v>7</v>
      </c>
      <c r="S882" s="10" t="str">
        <f t="shared" ref="S882:S900" ca="1" si="243">IF((R882)&gt;=6,"Có","Không cần")</f>
        <v>Có</v>
      </c>
      <c r="T882" s="10" t="str">
        <f t="shared" ref="T882:T900" ca="1" si="244">IF((R882)&gt;=6,"Có","Không")</f>
        <v>Có</v>
      </c>
      <c r="U882" s="10" t="str">
        <f t="shared" ref="U882:U900" si="245">IF(OR(J882&gt;=140,K882&gt;=90),"Có","Không")</f>
        <v>Không</v>
      </c>
      <c r="V882" s="2" t="s">
        <v>51</v>
      </c>
      <c r="W882" s="4">
        <v>46053</v>
      </c>
      <c r="X882" s="8" t="str">
        <f t="shared" ref="X882:X900" si="246">"Tháng "&amp;MONTH(W882)</f>
        <v>Tháng 1</v>
      </c>
      <c r="Y882" s="17" t="s">
        <v>1376</v>
      </c>
    </row>
    <row r="883" spans="1:25" x14ac:dyDescent="0.25">
      <c r="A883" s="26" t="s">
        <v>1188</v>
      </c>
      <c r="B883" s="21" t="s">
        <v>23</v>
      </c>
      <c r="C883" s="16">
        <v>21186</v>
      </c>
      <c r="D883" s="10">
        <f t="shared" ca="1" si="234"/>
        <v>68</v>
      </c>
      <c r="E883" s="2" t="s">
        <v>26</v>
      </c>
      <c r="F883" s="3">
        <v>158</v>
      </c>
      <c r="G883" s="3">
        <v>58</v>
      </c>
      <c r="H883" s="11">
        <f t="shared" si="235"/>
        <v>23.233456176894723</v>
      </c>
      <c r="I883" s="2">
        <v>96</v>
      </c>
      <c r="J883" s="3">
        <v>120</v>
      </c>
      <c r="K883" s="3">
        <v>80</v>
      </c>
      <c r="L883" s="10">
        <f t="shared" si="236"/>
        <v>0</v>
      </c>
      <c r="M883" s="10">
        <f t="shared" ca="1" si="237"/>
        <v>2</v>
      </c>
      <c r="N883" s="10">
        <f t="shared" si="238"/>
        <v>0</v>
      </c>
      <c r="O883" s="10">
        <f t="shared" si="239"/>
        <v>3</v>
      </c>
      <c r="P883" s="10">
        <f t="shared" si="240"/>
        <v>2</v>
      </c>
      <c r="Q883" s="10">
        <f t="shared" si="241"/>
        <v>0</v>
      </c>
      <c r="R883" s="10">
        <f t="shared" ca="1" si="242"/>
        <v>7</v>
      </c>
      <c r="S883" s="10" t="str">
        <f t="shared" ca="1" si="243"/>
        <v>Có</v>
      </c>
      <c r="T883" s="10" t="str">
        <f t="shared" ca="1" si="244"/>
        <v>Có</v>
      </c>
      <c r="U883" s="10" t="str">
        <f t="shared" si="245"/>
        <v>Không</v>
      </c>
      <c r="V883" s="2" t="s">
        <v>51</v>
      </c>
      <c r="W883" s="4">
        <v>46053</v>
      </c>
      <c r="X883" s="8" t="str">
        <f t="shared" si="246"/>
        <v>Tháng 1</v>
      </c>
      <c r="Y883" s="17" t="s">
        <v>1376</v>
      </c>
    </row>
    <row r="884" spans="1:25" x14ac:dyDescent="0.25">
      <c r="A884" s="26" t="s">
        <v>1191</v>
      </c>
      <c r="B884" s="21" t="s">
        <v>30</v>
      </c>
      <c r="C884" s="16">
        <v>19360</v>
      </c>
      <c r="D884" s="10">
        <f t="shared" ca="1" si="234"/>
        <v>73</v>
      </c>
      <c r="E884" s="2" t="s">
        <v>25</v>
      </c>
      <c r="F884" s="3">
        <v>158</v>
      </c>
      <c r="G884" s="3">
        <v>58</v>
      </c>
      <c r="H884" s="11">
        <f t="shared" si="235"/>
        <v>23.233456176894723</v>
      </c>
      <c r="I884" s="2">
        <v>78</v>
      </c>
      <c r="J884" s="3">
        <v>130</v>
      </c>
      <c r="K884" s="3">
        <v>80</v>
      </c>
      <c r="L884" s="10">
        <f t="shared" si="236"/>
        <v>2</v>
      </c>
      <c r="M884" s="10">
        <f t="shared" ca="1" si="237"/>
        <v>2</v>
      </c>
      <c r="N884" s="10">
        <f t="shared" si="238"/>
        <v>4</v>
      </c>
      <c r="O884" s="10">
        <f t="shared" si="239"/>
        <v>3</v>
      </c>
      <c r="P884" s="10">
        <f t="shared" si="240"/>
        <v>0</v>
      </c>
      <c r="Q884" s="10">
        <f t="shared" si="241"/>
        <v>0</v>
      </c>
      <c r="R884" s="10">
        <f t="shared" ca="1" si="242"/>
        <v>11</v>
      </c>
      <c r="S884" s="10" t="str">
        <f t="shared" ca="1" si="243"/>
        <v>Có</v>
      </c>
      <c r="T884" s="10" t="str">
        <f t="shared" ca="1" si="244"/>
        <v>Có</v>
      </c>
      <c r="U884" s="10" t="str">
        <f t="shared" si="245"/>
        <v>Không</v>
      </c>
      <c r="V884" s="2" t="s">
        <v>51</v>
      </c>
      <c r="W884" s="4">
        <v>46081</v>
      </c>
      <c r="X884" s="8" t="str">
        <f t="shared" si="246"/>
        <v>Tháng 2</v>
      </c>
      <c r="Y884" s="17" t="s">
        <v>1376</v>
      </c>
    </row>
    <row r="885" spans="1:25" x14ac:dyDescent="0.25">
      <c r="A885" s="26" t="s">
        <v>1197</v>
      </c>
      <c r="B885" s="21" t="s">
        <v>23</v>
      </c>
      <c r="C885" s="16">
        <v>21916</v>
      </c>
      <c r="D885" s="10">
        <f t="shared" ca="1" si="234"/>
        <v>66</v>
      </c>
      <c r="E885" s="2" t="s">
        <v>25</v>
      </c>
      <c r="F885" s="3">
        <v>158</v>
      </c>
      <c r="G885" s="3">
        <v>58</v>
      </c>
      <c r="H885" s="11">
        <f t="shared" si="235"/>
        <v>23.233456176894723</v>
      </c>
      <c r="I885" s="2">
        <v>88</v>
      </c>
      <c r="J885" s="3">
        <v>120</v>
      </c>
      <c r="K885" s="3">
        <v>80</v>
      </c>
      <c r="L885" s="10">
        <f t="shared" si="236"/>
        <v>0</v>
      </c>
      <c r="M885" s="10">
        <f t="shared" ca="1" si="237"/>
        <v>2</v>
      </c>
      <c r="N885" s="10">
        <f t="shared" si="238"/>
        <v>4</v>
      </c>
      <c r="O885" s="10">
        <f t="shared" si="239"/>
        <v>3</v>
      </c>
      <c r="P885" s="10">
        <f t="shared" si="240"/>
        <v>2</v>
      </c>
      <c r="Q885" s="10">
        <f t="shared" si="241"/>
        <v>0</v>
      </c>
      <c r="R885" s="10">
        <f t="shared" ca="1" si="242"/>
        <v>11</v>
      </c>
      <c r="S885" s="10" t="str">
        <f t="shared" ca="1" si="243"/>
        <v>Có</v>
      </c>
      <c r="T885" s="10" t="str">
        <f t="shared" ca="1" si="244"/>
        <v>Có</v>
      </c>
      <c r="U885" s="10" t="str">
        <f t="shared" si="245"/>
        <v>Không</v>
      </c>
      <c r="V885" s="2" t="s">
        <v>51</v>
      </c>
      <c r="W885" s="4">
        <v>46081</v>
      </c>
      <c r="X885" s="8" t="str">
        <f t="shared" si="246"/>
        <v>Tháng 2</v>
      </c>
      <c r="Y885" s="17" t="s">
        <v>1376</v>
      </c>
    </row>
    <row r="886" spans="1:25" x14ac:dyDescent="0.25">
      <c r="A886" s="26" t="s">
        <v>1199</v>
      </c>
      <c r="B886" s="21" t="s">
        <v>23</v>
      </c>
      <c r="C886" s="16">
        <v>24108</v>
      </c>
      <c r="D886" s="10">
        <f t="shared" ca="1" si="234"/>
        <v>60</v>
      </c>
      <c r="E886" s="2" t="s">
        <v>26</v>
      </c>
      <c r="F886" s="3">
        <v>158</v>
      </c>
      <c r="G886" s="3">
        <v>58</v>
      </c>
      <c r="H886" s="11">
        <f t="shared" si="235"/>
        <v>23.233456176894723</v>
      </c>
      <c r="I886" s="2">
        <v>89</v>
      </c>
      <c r="J886" s="3">
        <v>150</v>
      </c>
      <c r="K886" s="3">
        <v>80</v>
      </c>
      <c r="L886" s="10">
        <f t="shared" si="236"/>
        <v>0</v>
      </c>
      <c r="M886" s="10">
        <f t="shared" ca="1" si="237"/>
        <v>2</v>
      </c>
      <c r="N886" s="10">
        <f t="shared" si="238"/>
        <v>0</v>
      </c>
      <c r="O886" s="10">
        <f t="shared" si="239"/>
        <v>3</v>
      </c>
      <c r="P886" s="10">
        <f t="shared" si="240"/>
        <v>2</v>
      </c>
      <c r="Q886" s="10">
        <f t="shared" si="241"/>
        <v>2</v>
      </c>
      <c r="R886" s="10">
        <f t="shared" ca="1" si="242"/>
        <v>9</v>
      </c>
      <c r="S886" s="10" t="str">
        <f t="shared" ca="1" si="243"/>
        <v>Có</v>
      </c>
      <c r="T886" s="10" t="str">
        <f t="shared" ca="1" si="244"/>
        <v>Có</v>
      </c>
      <c r="U886" s="10" t="str">
        <f t="shared" si="245"/>
        <v>Có</v>
      </c>
      <c r="V886" s="2" t="s">
        <v>51</v>
      </c>
      <c r="W886" s="4">
        <v>46081</v>
      </c>
      <c r="X886" s="8" t="str">
        <f t="shared" si="246"/>
        <v>Tháng 2</v>
      </c>
      <c r="Y886" s="17" t="s">
        <v>1376</v>
      </c>
    </row>
    <row r="887" spans="1:25" x14ac:dyDescent="0.25">
      <c r="A887" s="26" t="s">
        <v>200</v>
      </c>
      <c r="B887" s="21" t="s">
        <v>23</v>
      </c>
      <c r="C887" s="16">
        <v>18994</v>
      </c>
      <c r="D887" s="10">
        <f t="shared" ca="1" si="234"/>
        <v>74</v>
      </c>
      <c r="E887" s="2" t="s">
        <v>26</v>
      </c>
      <c r="F887" s="3">
        <v>158</v>
      </c>
      <c r="G887" s="3">
        <v>58</v>
      </c>
      <c r="H887" s="11">
        <f t="shared" si="235"/>
        <v>23.233456176894723</v>
      </c>
      <c r="I887" s="2">
        <v>100</v>
      </c>
      <c r="J887" s="3">
        <v>130</v>
      </c>
      <c r="K887" s="3">
        <v>80</v>
      </c>
      <c r="L887" s="10">
        <f t="shared" si="236"/>
        <v>0</v>
      </c>
      <c r="M887" s="10">
        <f t="shared" ca="1" si="237"/>
        <v>2</v>
      </c>
      <c r="N887" s="10">
        <f t="shared" si="238"/>
        <v>0</v>
      </c>
      <c r="O887" s="10">
        <f t="shared" si="239"/>
        <v>3</v>
      </c>
      <c r="P887" s="10">
        <f t="shared" si="240"/>
        <v>2</v>
      </c>
      <c r="Q887" s="10">
        <f t="shared" si="241"/>
        <v>0</v>
      </c>
      <c r="R887" s="10">
        <f t="shared" ca="1" si="242"/>
        <v>7</v>
      </c>
      <c r="S887" s="10" t="str">
        <f t="shared" ca="1" si="243"/>
        <v>Có</v>
      </c>
      <c r="T887" s="10" t="str">
        <f t="shared" ca="1" si="244"/>
        <v>Có</v>
      </c>
      <c r="U887" s="10" t="str">
        <f t="shared" si="245"/>
        <v>Không</v>
      </c>
      <c r="V887" s="2" t="s">
        <v>51</v>
      </c>
      <c r="W887" s="4">
        <v>46081</v>
      </c>
      <c r="X887" s="8" t="str">
        <f t="shared" si="246"/>
        <v>Tháng 2</v>
      </c>
      <c r="Y887" s="17" t="s">
        <v>1376</v>
      </c>
    </row>
    <row r="888" spans="1:25" x14ac:dyDescent="0.25">
      <c r="A888" s="26" t="s">
        <v>1204</v>
      </c>
      <c r="B888" s="21" t="s">
        <v>23</v>
      </c>
      <c r="C888" s="16">
        <v>22647</v>
      </c>
      <c r="D888" s="10">
        <f t="shared" ca="1" si="234"/>
        <v>64</v>
      </c>
      <c r="E888" s="2" t="s">
        <v>25</v>
      </c>
      <c r="F888" s="3">
        <v>169</v>
      </c>
      <c r="G888" s="3">
        <v>68</v>
      </c>
      <c r="H888" s="11">
        <f t="shared" si="235"/>
        <v>23.808690171912751</v>
      </c>
      <c r="I888" s="2">
        <v>98</v>
      </c>
      <c r="J888" s="3">
        <v>130</v>
      </c>
      <c r="K888" s="3">
        <v>80</v>
      </c>
      <c r="L888" s="10">
        <f t="shared" si="236"/>
        <v>0</v>
      </c>
      <c r="M888" s="10">
        <f t="shared" ca="1" si="237"/>
        <v>2</v>
      </c>
      <c r="N888" s="10">
        <f t="shared" si="238"/>
        <v>4</v>
      </c>
      <c r="O888" s="10">
        <f t="shared" si="239"/>
        <v>3</v>
      </c>
      <c r="P888" s="10">
        <f t="shared" si="240"/>
        <v>2</v>
      </c>
      <c r="Q888" s="10">
        <f t="shared" si="241"/>
        <v>0</v>
      </c>
      <c r="R888" s="10">
        <f t="shared" ca="1" si="242"/>
        <v>11</v>
      </c>
      <c r="S888" s="10" t="str">
        <f t="shared" ca="1" si="243"/>
        <v>Có</v>
      </c>
      <c r="T888" s="10" t="str">
        <f t="shared" ca="1" si="244"/>
        <v>Có</v>
      </c>
      <c r="U888" s="10" t="str">
        <f t="shared" si="245"/>
        <v>Không</v>
      </c>
      <c r="V888" s="2" t="s">
        <v>51</v>
      </c>
      <c r="W888" s="4">
        <v>46081</v>
      </c>
      <c r="X888" s="8" t="str">
        <f t="shared" si="246"/>
        <v>Tháng 2</v>
      </c>
      <c r="Y888" s="17" t="s">
        <v>1376</v>
      </c>
    </row>
    <row r="889" spans="1:25" x14ac:dyDescent="0.25">
      <c r="A889" s="26" t="s">
        <v>1205</v>
      </c>
      <c r="B889" s="21" t="s">
        <v>23</v>
      </c>
      <c r="C889" s="16">
        <v>20821</v>
      </c>
      <c r="D889" s="10">
        <f t="shared" ca="1" si="234"/>
        <v>69</v>
      </c>
      <c r="E889" s="2" t="s">
        <v>26</v>
      </c>
      <c r="F889" s="3">
        <v>160</v>
      </c>
      <c r="G889" s="3">
        <v>50</v>
      </c>
      <c r="H889" s="11">
        <f t="shared" si="235"/>
        <v>19.531249999999996</v>
      </c>
      <c r="I889" s="2">
        <v>65</v>
      </c>
      <c r="J889" s="3">
        <v>120</v>
      </c>
      <c r="K889" s="3">
        <v>80</v>
      </c>
      <c r="L889" s="10">
        <f t="shared" si="236"/>
        <v>0</v>
      </c>
      <c r="M889" s="10">
        <f t="shared" ca="1" si="237"/>
        <v>2</v>
      </c>
      <c r="N889" s="10">
        <f t="shared" si="238"/>
        <v>0</v>
      </c>
      <c r="O889" s="10">
        <f t="shared" si="239"/>
        <v>0</v>
      </c>
      <c r="P889" s="10">
        <f t="shared" si="240"/>
        <v>0</v>
      </c>
      <c r="Q889" s="10">
        <f t="shared" si="241"/>
        <v>0</v>
      </c>
      <c r="R889" s="10">
        <f t="shared" ca="1" si="242"/>
        <v>2</v>
      </c>
      <c r="S889" s="10" t="str">
        <f t="shared" ca="1" si="243"/>
        <v>Không cần</v>
      </c>
      <c r="T889" s="10" t="str">
        <f t="shared" ca="1" si="244"/>
        <v>Không</v>
      </c>
      <c r="U889" s="10" t="str">
        <f t="shared" si="245"/>
        <v>Không</v>
      </c>
      <c r="V889" s="2" t="s">
        <v>51</v>
      </c>
      <c r="W889" s="4">
        <v>46081</v>
      </c>
      <c r="X889" s="8" t="str">
        <f t="shared" si="246"/>
        <v>Tháng 2</v>
      </c>
      <c r="Y889" s="17" t="s">
        <v>1376</v>
      </c>
    </row>
    <row r="890" spans="1:25" x14ac:dyDescent="0.25">
      <c r="A890" s="26" t="s">
        <v>1210</v>
      </c>
      <c r="B890" s="21" t="s">
        <v>30</v>
      </c>
      <c r="C890" s="16">
        <v>27760</v>
      </c>
      <c r="D890" s="10">
        <f t="shared" ca="1" si="234"/>
        <v>50</v>
      </c>
      <c r="E890" s="2" t="s">
        <v>26</v>
      </c>
      <c r="F890" s="3">
        <v>169</v>
      </c>
      <c r="G890" s="3">
        <v>68</v>
      </c>
      <c r="H890" s="11">
        <f t="shared" si="235"/>
        <v>23.808690171912751</v>
      </c>
      <c r="I890" s="2">
        <v>76</v>
      </c>
      <c r="J890" s="3">
        <v>160</v>
      </c>
      <c r="K890" s="3">
        <v>80</v>
      </c>
      <c r="L890" s="10">
        <f t="shared" si="236"/>
        <v>2</v>
      </c>
      <c r="M890" s="10">
        <f t="shared" ca="1" si="237"/>
        <v>2</v>
      </c>
      <c r="N890" s="10">
        <f t="shared" si="238"/>
        <v>0</v>
      </c>
      <c r="O890" s="10">
        <f t="shared" si="239"/>
        <v>3</v>
      </c>
      <c r="P890" s="10">
        <f t="shared" si="240"/>
        <v>0</v>
      </c>
      <c r="Q890" s="10">
        <f t="shared" si="241"/>
        <v>2</v>
      </c>
      <c r="R890" s="10">
        <f t="shared" ca="1" si="242"/>
        <v>9</v>
      </c>
      <c r="S890" s="10" t="str">
        <f t="shared" ca="1" si="243"/>
        <v>Có</v>
      </c>
      <c r="T890" s="10" t="str">
        <f t="shared" ca="1" si="244"/>
        <v>Có</v>
      </c>
      <c r="U890" s="10" t="str">
        <f t="shared" si="245"/>
        <v>Có</v>
      </c>
      <c r="V890" s="2" t="s">
        <v>51</v>
      </c>
      <c r="W890" s="4">
        <v>46081</v>
      </c>
      <c r="X890" s="8" t="str">
        <f t="shared" si="246"/>
        <v>Tháng 2</v>
      </c>
      <c r="Y890" s="17" t="s">
        <v>1376</v>
      </c>
    </row>
    <row r="891" spans="1:25" x14ac:dyDescent="0.25">
      <c r="A891" s="26" t="s">
        <v>1215</v>
      </c>
      <c r="B891" s="21" t="s">
        <v>23</v>
      </c>
      <c r="C891" s="16">
        <v>20821</v>
      </c>
      <c r="D891" s="10">
        <f t="shared" ca="1" si="234"/>
        <v>69</v>
      </c>
      <c r="E891" s="2" t="s">
        <v>25</v>
      </c>
      <c r="F891" s="3">
        <v>169</v>
      </c>
      <c r="G891" s="3">
        <v>58</v>
      </c>
      <c r="H891" s="11">
        <f t="shared" si="235"/>
        <v>20.307412205454995</v>
      </c>
      <c r="I891" s="2">
        <v>74</v>
      </c>
      <c r="J891" s="3">
        <v>120</v>
      </c>
      <c r="K891" s="3">
        <v>80</v>
      </c>
      <c r="L891" s="10">
        <f t="shared" si="236"/>
        <v>0</v>
      </c>
      <c r="M891" s="10">
        <f t="shared" ca="1" si="237"/>
        <v>2</v>
      </c>
      <c r="N891" s="10">
        <f t="shared" si="238"/>
        <v>4</v>
      </c>
      <c r="O891" s="10">
        <f t="shared" si="239"/>
        <v>0</v>
      </c>
      <c r="P891" s="10">
        <f t="shared" si="240"/>
        <v>0</v>
      </c>
      <c r="Q891" s="10">
        <f t="shared" si="241"/>
        <v>0</v>
      </c>
      <c r="R891" s="10">
        <f t="shared" ca="1" si="242"/>
        <v>6</v>
      </c>
      <c r="S891" s="10" t="str">
        <f t="shared" ca="1" si="243"/>
        <v>Có</v>
      </c>
      <c r="T891" s="10" t="str">
        <f t="shared" ca="1" si="244"/>
        <v>Có</v>
      </c>
      <c r="U891" s="10" t="str">
        <f t="shared" si="245"/>
        <v>Không</v>
      </c>
      <c r="V891" s="2" t="s">
        <v>51</v>
      </c>
      <c r="W891" s="4">
        <v>46053</v>
      </c>
      <c r="X891" s="8" t="str">
        <f t="shared" si="246"/>
        <v>Tháng 1</v>
      </c>
      <c r="Y891" s="17" t="s">
        <v>1376</v>
      </c>
    </row>
    <row r="892" spans="1:25" x14ac:dyDescent="0.25">
      <c r="A892" s="26" t="s">
        <v>641</v>
      </c>
      <c r="B892" s="21" t="s">
        <v>23</v>
      </c>
      <c r="C892" s="16">
        <v>26299</v>
      </c>
      <c r="D892" s="10">
        <f t="shared" ca="1" si="234"/>
        <v>54</v>
      </c>
      <c r="E892" s="2" t="s">
        <v>26</v>
      </c>
      <c r="F892" s="3">
        <v>170</v>
      </c>
      <c r="G892" s="3">
        <v>72</v>
      </c>
      <c r="H892" s="11">
        <f t="shared" si="235"/>
        <v>24.913494809688583</v>
      </c>
      <c r="I892" s="2">
        <v>88</v>
      </c>
      <c r="J892" s="3">
        <v>120</v>
      </c>
      <c r="K892" s="3">
        <v>80</v>
      </c>
      <c r="L892" s="10">
        <f t="shared" si="236"/>
        <v>0</v>
      </c>
      <c r="M892" s="10">
        <f t="shared" ca="1" si="237"/>
        <v>2</v>
      </c>
      <c r="N892" s="10">
        <f t="shared" si="238"/>
        <v>0</v>
      </c>
      <c r="O892" s="10">
        <f t="shared" si="239"/>
        <v>3</v>
      </c>
      <c r="P892" s="10">
        <f t="shared" si="240"/>
        <v>2</v>
      </c>
      <c r="Q892" s="10">
        <f t="shared" si="241"/>
        <v>0</v>
      </c>
      <c r="R892" s="10">
        <f t="shared" ca="1" si="242"/>
        <v>7</v>
      </c>
      <c r="S892" s="10" t="str">
        <f t="shared" ca="1" si="243"/>
        <v>Có</v>
      </c>
      <c r="T892" s="10" t="str">
        <f t="shared" ca="1" si="244"/>
        <v>Có</v>
      </c>
      <c r="U892" s="10" t="str">
        <f t="shared" si="245"/>
        <v>Không</v>
      </c>
      <c r="V892" s="2" t="s">
        <v>51</v>
      </c>
      <c r="W892" s="4">
        <v>46053</v>
      </c>
      <c r="X892" s="8" t="str">
        <f t="shared" si="246"/>
        <v>Tháng 1</v>
      </c>
      <c r="Y892" s="17" t="s">
        <v>1376</v>
      </c>
    </row>
    <row r="893" spans="1:25" x14ac:dyDescent="0.25">
      <c r="A893" s="26" t="s">
        <v>1223</v>
      </c>
      <c r="B893" s="20" t="s">
        <v>30</v>
      </c>
      <c r="C893" s="16">
        <v>18994</v>
      </c>
      <c r="D893" s="10">
        <f t="shared" ca="1" si="234"/>
        <v>74</v>
      </c>
      <c r="E893" s="2" t="s">
        <v>26</v>
      </c>
      <c r="F893" s="3">
        <v>158</v>
      </c>
      <c r="G893" s="3">
        <v>58</v>
      </c>
      <c r="H893" s="11">
        <f t="shared" si="235"/>
        <v>23.233456176894723</v>
      </c>
      <c r="I893" s="2">
        <v>71</v>
      </c>
      <c r="J893" s="3">
        <v>150</v>
      </c>
      <c r="K893" s="3">
        <v>80</v>
      </c>
      <c r="L893" s="10">
        <f t="shared" si="236"/>
        <v>2</v>
      </c>
      <c r="M893" s="10">
        <f t="shared" ca="1" si="237"/>
        <v>2</v>
      </c>
      <c r="N893" s="10">
        <f t="shared" si="238"/>
        <v>0</v>
      </c>
      <c r="O893" s="10">
        <f t="shared" si="239"/>
        <v>3</v>
      </c>
      <c r="P893" s="10">
        <f t="shared" si="240"/>
        <v>0</v>
      </c>
      <c r="Q893" s="10">
        <f t="shared" si="241"/>
        <v>2</v>
      </c>
      <c r="R893" s="10">
        <f t="shared" ca="1" si="242"/>
        <v>9</v>
      </c>
      <c r="S893" s="10" t="str">
        <f t="shared" ca="1" si="243"/>
        <v>Có</v>
      </c>
      <c r="T893" s="10" t="str">
        <f t="shared" ca="1" si="244"/>
        <v>Có</v>
      </c>
      <c r="U893" s="10" t="str">
        <f t="shared" si="245"/>
        <v>Có</v>
      </c>
      <c r="V893" s="2" t="s">
        <v>51</v>
      </c>
      <c r="W893" s="4">
        <v>46081</v>
      </c>
      <c r="X893" s="8" t="str">
        <f t="shared" si="246"/>
        <v>Tháng 2</v>
      </c>
      <c r="Y893" s="17" t="s">
        <v>1376</v>
      </c>
    </row>
    <row r="894" spans="1:25" x14ac:dyDescent="0.25">
      <c r="A894" s="26" t="s">
        <v>521</v>
      </c>
      <c r="B894" s="21" t="s">
        <v>23</v>
      </c>
      <c r="C894" s="16">
        <v>25934</v>
      </c>
      <c r="D894" s="10">
        <f t="shared" ca="1" si="234"/>
        <v>55</v>
      </c>
      <c r="E894" s="2" t="s">
        <v>26</v>
      </c>
      <c r="F894" s="3">
        <v>158</v>
      </c>
      <c r="G894" s="3">
        <v>58</v>
      </c>
      <c r="H894" s="11">
        <f t="shared" si="235"/>
        <v>23.233456176894723</v>
      </c>
      <c r="I894" s="2">
        <v>99</v>
      </c>
      <c r="J894" s="3">
        <v>130</v>
      </c>
      <c r="K894" s="3">
        <v>80</v>
      </c>
      <c r="L894" s="10">
        <f t="shared" si="236"/>
        <v>0</v>
      </c>
      <c r="M894" s="10">
        <f t="shared" ca="1" si="237"/>
        <v>2</v>
      </c>
      <c r="N894" s="10">
        <f t="shared" si="238"/>
        <v>0</v>
      </c>
      <c r="O894" s="10">
        <f t="shared" si="239"/>
        <v>3</v>
      </c>
      <c r="P894" s="10">
        <f t="shared" si="240"/>
        <v>2</v>
      </c>
      <c r="Q894" s="10">
        <f t="shared" si="241"/>
        <v>0</v>
      </c>
      <c r="R894" s="10">
        <f t="shared" ca="1" si="242"/>
        <v>7</v>
      </c>
      <c r="S894" s="10" t="str">
        <f t="shared" ca="1" si="243"/>
        <v>Có</v>
      </c>
      <c r="T894" s="10" t="str">
        <f t="shared" ca="1" si="244"/>
        <v>Có</v>
      </c>
      <c r="U894" s="10" t="str">
        <f t="shared" si="245"/>
        <v>Không</v>
      </c>
      <c r="V894" s="2" t="s">
        <v>51</v>
      </c>
      <c r="W894" s="4">
        <v>46081</v>
      </c>
      <c r="X894" s="8" t="str">
        <f t="shared" si="246"/>
        <v>Tháng 2</v>
      </c>
      <c r="Y894" s="17" t="s">
        <v>1376</v>
      </c>
    </row>
    <row r="895" spans="1:25" x14ac:dyDescent="0.25">
      <c r="A895" s="26" t="s">
        <v>1225</v>
      </c>
      <c r="B895" s="21" t="s">
        <v>23</v>
      </c>
      <c r="C895" s="16">
        <v>23012</v>
      </c>
      <c r="D895" s="10">
        <f t="shared" ca="1" si="234"/>
        <v>63</v>
      </c>
      <c r="E895" s="2" t="s">
        <v>26</v>
      </c>
      <c r="F895" s="3">
        <v>159</v>
      </c>
      <c r="G895" s="3">
        <v>55</v>
      </c>
      <c r="H895" s="11">
        <f t="shared" si="235"/>
        <v>21.75546853368142</v>
      </c>
      <c r="I895" s="2">
        <v>86</v>
      </c>
      <c r="J895" s="3">
        <v>120</v>
      </c>
      <c r="K895" s="3">
        <v>80</v>
      </c>
      <c r="L895" s="10">
        <f t="shared" si="236"/>
        <v>0</v>
      </c>
      <c r="M895" s="10">
        <f t="shared" ca="1" si="237"/>
        <v>2</v>
      </c>
      <c r="N895" s="10">
        <f t="shared" si="238"/>
        <v>0</v>
      </c>
      <c r="O895" s="10">
        <f t="shared" si="239"/>
        <v>0</v>
      </c>
      <c r="P895" s="10">
        <f t="shared" si="240"/>
        <v>2</v>
      </c>
      <c r="Q895" s="10">
        <f t="shared" si="241"/>
        <v>0</v>
      </c>
      <c r="R895" s="10">
        <f t="shared" ca="1" si="242"/>
        <v>4</v>
      </c>
      <c r="S895" s="10" t="str">
        <f t="shared" ca="1" si="243"/>
        <v>Không cần</v>
      </c>
      <c r="T895" s="10" t="str">
        <f t="shared" ca="1" si="244"/>
        <v>Không</v>
      </c>
      <c r="U895" s="10" t="str">
        <f t="shared" si="245"/>
        <v>Không</v>
      </c>
      <c r="V895" s="2" t="s">
        <v>51</v>
      </c>
      <c r="W895" s="4">
        <v>46053</v>
      </c>
      <c r="X895" s="8" t="str">
        <f t="shared" si="246"/>
        <v>Tháng 1</v>
      </c>
      <c r="Y895" s="17" t="s">
        <v>1376</v>
      </c>
    </row>
    <row r="896" spans="1:25" x14ac:dyDescent="0.25">
      <c r="A896" s="26" t="s">
        <v>1226</v>
      </c>
      <c r="B896" s="21" t="s">
        <v>23</v>
      </c>
      <c r="C896" s="16">
        <v>19360</v>
      </c>
      <c r="D896" s="10">
        <f t="shared" ca="1" si="234"/>
        <v>73</v>
      </c>
      <c r="E896" s="2" t="s">
        <v>26</v>
      </c>
      <c r="F896" s="3">
        <v>158</v>
      </c>
      <c r="G896" s="3">
        <v>58</v>
      </c>
      <c r="H896" s="11">
        <f t="shared" si="235"/>
        <v>23.233456176894723</v>
      </c>
      <c r="I896" s="2">
        <v>88</v>
      </c>
      <c r="J896" s="3">
        <v>120</v>
      </c>
      <c r="K896" s="3">
        <v>70</v>
      </c>
      <c r="L896" s="10">
        <f t="shared" si="236"/>
        <v>0</v>
      </c>
      <c r="M896" s="10">
        <f t="shared" ca="1" si="237"/>
        <v>2</v>
      </c>
      <c r="N896" s="10">
        <f t="shared" si="238"/>
        <v>0</v>
      </c>
      <c r="O896" s="10">
        <f t="shared" si="239"/>
        <v>3</v>
      </c>
      <c r="P896" s="10">
        <f t="shared" si="240"/>
        <v>2</v>
      </c>
      <c r="Q896" s="10">
        <f t="shared" si="241"/>
        <v>0</v>
      </c>
      <c r="R896" s="10">
        <f t="shared" ca="1" si="242"/>
        <v>7</v>
      </c>
      <c r="S896" s="10" t="str">
        <f t="shared" ca="1" si="243"/>
        <v>Có</v>
      </c>
      <c r="T896" s="10" t="str">
        <f t="shared" ca="1" si="244"/>
        <v>Có</v>
      </c>
      <c r="U896" s="10" t="str">
        <f t="shared" si="245"/>
        <v>Không</v>
      </c>
      <c r="V896" s="2" t="s">
        <v>51</v>
      </c>
      <c r="W896" s="4">
        <v>46081</v>
      </c>
      <c r="X896" s="8" t="str">
        <f t="shared" si="246"/>
        <v>Tháng 2</v>
      </c>
      <c r="Y896" s="17" t="s">
        <v>1376</v>
      </c>
    </row>
    <row r="897" spans="1:25" x14ac:dyDescent="0.25">
      <c r="A897" s="26" t="s">
        <v>1229</v>
      </c>
      <c r="B897" s="20" t="s">
        <v>23</v>
      </c>
      <c r="C897" s="16">
        <v>21186</v>
      </c>
      <c r="D897" s="10">
        <f t="shared" ca="1" si="234"/>
        <v>68</v>
      </c>
      <c r="E897" s="2" t="s">
        <v>26</v>
      </c>
      <c r="F897" s="3">
        <v>169</v>
      </c>
      <c r="G897" s="3">
        <v>68</v>
      </c>
      <c r="H897" s="11">
        <f t="shared" si="235"/>
        <v>23.808690171912751</v>
      </c>
      <c r="I897" s="2">
        <v>69</v>
      </c>
      <c r="J897" s="3">
        <v>120</v>
      </c>
      <c r="K897" s="3">
        <v>80</v>
      </c>
      <c r="L897" s="10">
        <f t="shared" si="236"/>
        <v>0</v>
      </c>
      <c r="M897" s="10">
        <f t="shared" ca="1" si="237"/>
        <v>2</v>
      </c>
      <c r="N897" s="10">
        <f t="shared" si="238"/>
        <v>0</v>
      </c>
      <c r="O897" s="10">
        <f t="shared" si="239"/>
        <v>3</v>
      </c>
      <c r="P897" s="10">
        <f t="shared" si="240"/>
        <v>0</v>
      </c>
      <c r="Q897" s="10">
        <f t="shared" si="241"/>
        <v>0</v>
      </c>
      <c r="R897" s="10">
        <f t="shared" ca="1" si="242"/>
        <v>5</v>
      </c>
      <c r="S897" s="10" t="str">
        <f t="shared" ca="1" si="243"/>
        <v>Không cần</v>
      </c>
      <c r="T897" s="10" t="str">
        <f t="shared" ca="1" si="244"/>
        <v>Không</v>
      </c>
      <c r="U897" s="10" t="str">
        <f t="shared" si="245"/>
        <v>Không</v>
      </c>
      <c r="V897" s="2" t="s">
        <v>51</v>
      </c>
      <c r="W897" s="4">
        <v>46053</v>
      </c>
      <c r="X897" s="8" t="str">
        <f t="shared" si="246"/>
        <v>Tháng 1</v>
      </c>
      <c r="Y897" s="17" t="s">
        <v>1376</v>
      </c>
    </row>
    <row r="898" spans="1:25" x14ac:dyDescent="0.25">
      <c r="A898" s="26" t="s">
        <v>1231</v>
      </c>
      <c r="B898" s="21" t="s">
        <v>30</v>
      </c>
      <c r="C898" s="16">
        <v>18994</v>
      </c>
      <c r="D898" s="10">
        <f t="shared" ca="1" si="234"/>
        <v>74</v>
      </c>
      <c r="E898" s="2" t="s">
        <v>26</v>
      </c>
      <c r="F898" s="3">
        <v>158</v>
      </c>
      <c r="G898" s="3">
        <v>58</v>
      </c>
      <c r="H898" s="11">
        <f t="shared" si="235"/>
        <v>23.233456176894723</v>
      </c>
      <c r="I898" s="2">
        <v>90</v>
      </c>
      <c r="J898" s="3">
        <v>120</v>
      </c>
      <c r="K898" s="3">
        <v>80</v>
      </c>
      <c r="L898" s="10">
        <f t="shared" si="236"/>
        <v>2</v>
      </c>
      <c r="M898" s="10">
        <f t="shared" ca="1" si="237"/>
        <v>2</v>
      </c>
      <c r="N898" s="10">
        <f t="shared" si="238"/>
        <v>0</v>
      </c>
      <c r="O898" s="10">
        <f t="shared" si="239"/>
        <v>3</v>
      </c>
      <c r="P898" s="10">
        <f t="shared" si="240"/>
        <v>2</v>
      </c>
      <c r="Q898" s="10">
        <f t="shared" si="241"/>
        <v>0</v>
      </c>
      <c r="R898" s="10">
        <f t="shared" ca="1" si="242"/>
        <v>9</v>
      </c>
      <c r="S898" s="10" t="str">
        <f t="shared" ca="1" si="243"/>
        <v>Có</v>
      </c>
      <c r="T898" s="10" t="str">
        <f t="shared" ca="1" si="244"/>
        <v>Có</v>
      </c>
      <c r="U898" s="10" t="str">
        <f t="shared" si="245"/>
        <v>Không</v>
      </c>
      <c r="V898" s="2" t="s">
        <v>51</v>
      </c>
      <c r="W898" s="4">
        <v>46081</v>
      </c>
      <c r="X898" s="8" t="str">
        <f t="shared" si="246"/>
        <v>Tháng 2</v>
      </c>
      <c r="Y898" s="17" t="s">
        <v>1376</v>
      </c>
    </row>
    <row r="899" spans="1:25" x14ac:dyDescent="0.25">
      <c r="A899" s="26" t="s">
        <v>1041</v>
      </c>
      <c r="B899" s="20" t="s">
        <v>23</v>
      </c>
      <c r="C899" s="16">
        <v>20090</v>
      </c>
      <c r="D899" s="10">
        <f t="shared" ca="1" si="234"/>
        <v>71</v>
      </c>
      <c r="E899" s="2" t="s">
        <v>25</v>
      </c>
      <c r="F899" s="3">
        <v>166</v>
      </c>
      <c r="G899" s="3">
        <v>50</v>
      </c>
      <c r="H899" s="11">
        <f t="shared" si="235"/>
        <v>18.144868631151112</v>
      </c>
      <c r="I899" s="2">
        <v>76</v>
      </c>
      <c r="J899" s="3">
        <v>120</v>
      </c>
      <c r="K899" s="3">
        <v>80</v>
      </c>
      <c r="L899" s="10">
        <f t="shared" si="236"/>
        <v>0</v>
      </c>
      <c r="M899" s="10">
        <f t="shared" ca="1" si="237"/>
        <v>2</v>
      </c>
      <c r="N899" s="10">
        <f t="shared" si="238"/>
        <v>4</v>
      </c>
      <c r="O899" s="10">
        <f t="shared" si="239"/>
        <v>0</v>
      </c>
      <c r="P899" s="10">
        <f t="shared" si="240"/>
        <v>0</v>
      </c>
      <c r="Q899" s="10">
        <f t="shared" si="241"/>
        <v>0</v>
      </c>
      <c r="R899" s="10">
        <f t="shared" ca="1" si="242"/>
        <v>6</v>
      </c>
      <c r="S899" s="10" t="str">
        <f t="shared" ca="1" si="243"/>
        <v>Có</v>
      </c>
      <c r="T899" s="10" t="str">
        <f t="shared" ca="1" si="244"/>
        <v>Có</v>
      </c>
      <c r="U899" s="10" t="str">
        <f t="shared" si="245"/>
        <v>Không</v>
      </c>
      <c r="V899" s="2" t="s">
        <v>51</v>
      </c>
      <c r="W899" s="4">
        <v>46081</v>
      </c>
      <c r="X899" s="8" t="str">
        <f t="shared" si="246"/>
        <v>Tháng 2</v>
      </c>
      <c r="Y899" s="17" t="s">
        <v>1376</v>
      </c>
    </row>
    <row r="900" spans="1:25" x14ac:dyDescent="0.25">
      <c r="A900" s="26" t="s">
        <v>1239</v>
      </c>
      <c r="B900" s="21" t="s">
        <v>30</v>
      </c>
      <c r="C900" s="16">
        <v>18994</v>
      </c>
      <c r="D900" s="10">
        <f t="shared" ca="1" si="234"/>
        <v>74</v>
      </c>
      <c r="E900" s="2" t="s">
        <v>26</v>
      </c>
      <c r="F900" s="3">
        <v>160</v>
      </c>
      <c r="G900" s="3">
        <v>64</v>
      </c>
      <c r="H900" s="11">
        <f t="shared" si="235"/>
        <v>24.999999999999996</v>
      </c>
      <c r="I900" s="2">
        <v>95</v>
      </c>
      <c r="J900" s="3">
        <v>140</v>
      </c>
      <c r="K900" s="3">
        <v>80</v>
      </c>
      <c r="L900" s="10">
        <f t="shared" si="236"/>
        <v>2</v>
      </c>
      <c r="M900" s="10">
        <f t="shared" ca="1" si="237"/>
        <v>2</v>
      </c>
      <c r="N900" s="10">
        <f t="shared" si="238"/>
        <v>0</v>
      </c>
      <c r="O900" s="10">
        <f t="shared" si="239"/>
        <v>3</v>
      </c>
      <c r="P900" s="10">
        <f t="shared" si="240"/>
        <v>2</v>
      </c>
      <c r="Q900" s="10">
        <f t="shared" si="241"/>
        <v>2</v>
      </c>
      <c r="R900" s="10">
        <f t="shared" ca="1" si="242"/>
        <v>11</v>
      </c>
      <c r="S900" s="10" t="str">
        <f t="shared" ca="1" si="243"/>
        <v>Có</v>
      </c>
      <c r="T900" s="10" t="str">
        <f t="shared" ca="1" si="244"/>
        <v>Có</v>
      </c>
      <c r="U900" s="10" t="str">
        <f t="shared" si="245"/>
        <v>Có</v>
      </c>
      <c r="V900" s="2" t="s">
        <v>51</v>
      </c>
      <c r="W900" s="4">
        <v>46081</v>
      </c>
      <c r="X900" s="8" t="str">
        <f t="shared" si="246"/>
        <v>Tháng 2</v>
      </c>
      <c r="Y900" s="17" t="s">
        <v>1376</v>
      </c>
    </row>
    <row r="901" spans="1:25" x14ac:dyDescent="0.25">
      <c r="A901" s="26" t="s">
        <v>1244</v>
      </c>
      <c r="B901" s="21" t="s">
        <v>30</v>
      </c>
      <c r="C901" s="16">
        <v>26299</v>
      </c>
      <c r="D901" s="10">
        <f t="shared" ref="D901:D916" ca="1" si="247">DATEDIF(C901,TODAY(),"Y")</f>
        <v>54</v>
      </c>
      <c r="E901" s="2" t="s">
        <v>26</v>
      </c>
      <c r="F901" s="3">
        <v>158</v>
      </c>
      <c r="G901" s="3">
        <v>58</v>
      </c>
      <c r="H901" s="11">
        <f t="shared" ref="H901:H916" si="248">G901/((F901/100)*(F901/100))</f>
        <v>23.233456176894723</v>
      </c>
      <c r="I901" s="2">
        <v>88</v>
      </c>
      <c r="J901" s="3">
        <v>120</v>
      </c>
      <c r="K901" s="3">
        <v>80</v>
      </c>
      <c r="L901" s="10">
        <f t="shared" ref="L901:L916" si="249">IF(B901="Nữ",0,2)</f>
        <v>2</v>
      </c>
      <c r="M901" s="10">
        <f t="shared" ref="M901:M916" ca="1" si="250">IF(D901&lt;45,0,IF(D901&lt;=49,1,2))</f>
        <v>2</v>
      </c>
      <c r="N901" s="10">
        <f t="shared" ref="N901:N916" si="251">IF(E901="Có",4,0)</f>
        <v>0</v>
      </c>
      <c r="O901" s="10">
        <f t="shared" ref="O901:O916" si="252">IF(H901&lt;23,0,IF(H901&lt;27.5,3,5))</f>
        <v>3</v>
      </c>
      <c r="P901" s="10">
        <f t="shared" ref="P901:P916" si="253">IF(OR(AND(B901="Nam",I901&gt;=90),AND(B901="Nữ",I901&gt;=80)),2,0)</f>
        <v>0</v>
      </c>
      <c r="Q901" s="10">
        <f t="shared" ref="Q901:Q916" si="254">IF(OR(J901&gt;=140,K901&gt;=90),2,0)</f>
        <v>0</v>
      </c>
      <c r="R901" s="10">
        <f t="shared" ref="R901:R916" ca="1" si="255">SUM(L901:Q901)</f>
        <v>7</v>
      </c>
      <c r="S901" s="10" t="str">
        <f t="shared" ref="S901:S916" ca="1" si="256">IF((R901)&gt;=6,"Có","Không cần")</f>
        <v>Có</v>
      </c>
      <c r="T901" s="10" t="str">
        <f t="shared" ref="T901:T916" ca="1" si="257">IF((R901)&gt;=6,"Có","Không")</f>
        <v>Có</v>
      </c>
      <c r="U901" s="10" t="str">
        <f t="shared" ref="U901:U916" si="258">IF(OR(J901&gt;=140,K901&gt;=90),"Có","Không")</f>
        <v>Không</v>
      </c>
      <c r="V901" s="2" t="s">
        <v>51</v>
      </c>
      <c r="W901" s="4">
        <v>46081</v>
      </c>
      <c r="X901" s="8" t="str">
        <f t="shared" ref="X901:X916" si="259">"Tháng "&amp;MONTH(W901)</f>
        <v>Tháng 2</v>
      </c>
      <c r="Y901" s="17" t="s">
        <v>1376</v>
      </c>
    </row>
    <row r="902" spans="1:25" x14ac:dyDescent="0.25">
      <c r="A902" s="26" t="s">
        <v>1247</v>
      </c>
      <c r="B902" s="21" t="s">
        <v>30</v>
      </c>
      <c r="C902" s="16">
        <v>25204</v>
      </c>
      <c r="D902" s="10">
        <f t="shared" ca="1" si="247"/>
        <v>57</v>
      </c>
      <c r="E902" s="2" t="s">
        <v>26</v>
      </c>
      <c r="F902" s="3">
        <v>169</v>
      </c>
      <c r="G902" s="3">
        <v>68</v>
      </c>
      <c r="H902" s="11">
        <f t="shared" si="248"/>
        <v>23.808690171912751</v>
      </c>
      <c r="I902" s="2">
        <v>70</v>
      </c>
      <c r="J902" s="3">
        <v>120</v>
      </c>
      <c r="K902" s="3">
        <v>80</v>
      </c>
      <c r="L902" s="10">
        <f t="shared" si="249"/>
        <v>2</v>
      </c>
      <c r="M902" s="10">
        <f t="shared" ca="1" si="250"/>
        <v>2</v>
      </c>
      <c r="N902" s="10">
        <f t="shared" si="251"/>
        <v>0</v>
      </c>
      <c r="O902" s="10">
        <f t="shared" si="252"/>
        <v>3</v>
      </c>
      <c r="P902" s="10">
        <f t="shared" si="253"/>
        <v>0</v>
      </c>
      <c r="Q902" s="10">
        <f t="shared" si="254"/>
        <v>0</v>
      </c>
      <c r="R902" s="10">
        <f t="shared" ca="1" si="255"/>
        <v>7</v>
      </c>
      <c r="S902" s="10" t="str">
        <f t="shared" ca="1" si="256"/>
        <v>Có</v>
      </c>
      <c r="T902" s="10" t="str">
        <f t="shared" ca="1" si="257"/>
        <v>Có</v>
      </c>
      <c r="U902" s="10" t="str">
        <f t="shared" si="258"/>
        <v>Không</v>
      </c>
      <c r="V902" s="2" t="s">
        <v>51</v>
      </c>
      <c r="W902" s="4">
        <v>46081</v>
      </c>
      <c r="X902" s="8" t="str">
        <f t="shared" si="259"/>
        <v>Tháng 2</v>
      </c>
      <c r="Y902" s="17" t="s">
        <v>1376</v>
      </c>
    </row>
    <row r="903" spans="1:25" x14ac:dyDescent="0.25">
      <c r="A903" s="26" t="s">
        <v>287</v>
      </c>
      <c r="B903" s="20" t="s">
        <v>23</v>
      </c>
      <c r="C903" s="16">
        <v>26299</v>
      </c>
      <c r="D903" s="10">
        <f t="shared" ca="1" si="247"/>
        <v>54</v>
      </c>
      <c r="E903" s="2" t="s">
        <v>26</v>
      </c>
      <c r="F903" s="3">
        <v>169</v>
      </c>
      <c r="G903" s="3">
        <v>69</v>
      </c>
      <c r="H903" s="11">
        <f t="shared" si="248"/>
        <v>24.158817968558527</v>
      </c>
      <c r="I903" s="2">
        <v>74</v>
      </c>
      <c r="J903" s="3">
        <v>140</v>
      </c>
      <c r="K903" s="3">
        <v>80</v>
      </c>
      <c r="L903" s="10">
        <f t="shared" si="249"/>
        <v>0</v>
      </c>
      <c r="M903" s="10">
        <f t="shared" ca="1" si="250"/>
        <v>2</v>
      </c>
      <c r="N903" s="10">
        <f t="shared" si="251"/>
        <v>0</v>
      </c>
      <c r="O903" s="10">
        <f t="shared" si="252"/>
        <v>3</v>
      </c>
      <c r="P903" s="10">
        <f t="shared" si="253"/>
        <v>0</v>
      </c>
      <c r="Q903" s="10">
        <f t="shared" si="254"/>
        <v>2</v>
      </c>
      <c r="R903" s="10">
        <f t="shared" ca="1" si="255"/>
        <v>7</v>
      </c>
      <c r="S903" s="10" t="str">
        <f t="shared" ca="1" si="256"/>
        <v>Có</v>
      </c>
      <c r="T903" s="10" t="str">
        <f t="shared" ca="1" si="257"/>
        <v>Có</v>
      </c>
      <c r="U903" s="10" t="str">
        <f t="shared" si="258"/>
        <v>Có</v>
      </c>
      <c r="V903" s="2" t="s">
        <v>51</v>
      </c>
      <c r="W903" s="4">
        <v>46081</v>
      </c>
      <c r="X903" s="8" t="str">
        <f t="shared" si="259"/>
        <v>Tháng 2</v>
      </c>
      <c r="Y903" s="17" t="s">
        <v>1376</v>
      </c>
    </row>
    <row r="904" spans="1:25" x14ac:dyDescent="0.25">
      <c r="A904" s="26" t="s">
        <v>1250</v>
      </c>
      <c r="B904" s="20" t="s">
        <v>23</v>
      </c>
      <c r="C904" s="16">
        <v>17533</v>
      </c>
      <c r="D904" s="10">
        <f t="shared" ca="1" si="247"/>
        <v>78</v>
      </c>
      <c r="E904" s="2" t="s">
        <v>25</v>
      </c>
      <c r="F904" s="3">
        <v>158</v>
      </c>
      <c r="G904" s="3">
        <v>58</v>
      </c>
      <c r="H904" s="11">
        <f t="shared" si="248"/>
        <v>23.233456176894723</v>
      </c>
      <c r="I904" s="2">
        <v>84</v>
      </c>
      <c r="J904" s="3">
        <v>120</v>
      </c>
      <c r="K904" s="3">
        <v>70</v>
      </c>
      <c r="L904" s="10">
        <f t="shared" si="249"/>
        <v>0</v>
      </c>
      <c r="M904" s="10">
        <f t="shared" ca="1" si="250"/>
        <v>2</v>
      </c>
      <c r="N904" s="10">
        <f t="shared" si="251"/>
        <v>4</v>
      </c>
      <c r="O904" s="10">
        <f t="shared" si="252"/>
        <v>3</v>
      </c>
      <c r="P904" s="10">
        <f t="shared" si="253"/>
        <v>2</v>
      </c>
      <c r="Q904" s="10">
        <f t="shared" si="254"/>
        <v>0</v>
      </c>
      <c r="R904" s="10">
        <f t="shared" ca="1" si="255"/>
        <v>11</v>
      </c>
      <c r="S904" s="10" t="str">
        <f t="shared" ca="1" si="256"/>
        <v>Có</v>
      </c>
      <c r="T904" s="10" t="str">
        <f t="shared" ca="1" si="257"/>
        <v>Có</v>
      </c>
      <c r="U904" s="10" t="str">
        <f t="shared" si="258"/>
        <v>Không</v>
      </c>
      <c r="V904" s="2" t="s">
        <v>51</v>
      </c>
      <c r="W904" s="4">
        <v>46081</v>
      </c>
      <c r="X904" s="8" t="str">
        <f t="shared" si="259"/>
        <v>Tháng 2</v>
      </c>
      <c r="Y904" s="17" t="s">
        <v>1376</v>
      </c>
    </row>
    <row r="905" spans="1:25" x14ac:dyDescent="0.25">
      <c r="A905" s="26" t="s">
        <v>1264</v>
      </c>
      <c r="B905" s="20" t="s">
        <v>23</v>
      </c>
      <c r="C905" s="16">
        <v>19360</v>
      </c>
      <c r="D905" s="10">
        <f t="shared" ca="1" si="247"/>
        <v>73</v>
      </c>
      <c r="E905" s="2" t="s">
        <v>26</v>
      </c>
      <c r="F905" s="3">
        <v>158</v>
      </c>
      <c r="G905" s="3">
        <v>58</v>
      </c>
      <c r="H905" s="11">
        <f t="shared" si="248"/>
        <v>23.233456176894723</v>
      </c>
      <c r="I905" s="2">
        <v>89</v>
      </c>
      <c r="J905" s="3">
        <v>120</v>
      </c>
      <c r="K905" s="3">
        <v>70</v>
      </c>
      <c r="L905" s="10">
        <f t="shared" si="249"/>
        <v>0</v>
      </c>
      <c r="M905" s="10">
        <f t="shared" ca="1" si="250"/>
        <v>2</v>
      </c>
      <c r="N905" s="10">
        <f t="shared" si="251"/>
        <v>0</v>
      </c>
      <c r="O905" s="10">
        <f t="shared" si="252"/>
        <v>3</v>
      </c>
      <c r="P905" s="10">
        <f t="shared" si="253"/>
        <v>2</v>
      </c>
      <c r="Q905" s="10">
        <f t="shared" si="254"/>
        <v>0</v>
      </c>
      <c r="R905" s="10">
        <f t="shared" ca="1" si="255"/>
        <v>7</v>
      </c>
      <c r="S905" s="10" t="str">
        <f t="shared" ca="1" si="256"/>
        <v>Có</v>
      </c>
      <c r="T905" s="10" t="str">
        <f t="shared" ca="1" si="257"/>
        <v>Có</v>
      </c>
      <c r="U905" s="10" t="str">
        <f t="shared" si="258"/>
        <v>Không</v>
      </c>
      <c r="V905" s="2" t="s">
        <v>51</v>
      </c>
      <c r="W905" s="4">
        <v>46053</v>
      </c>
      <c r="X905" s="8" t="str">
        <f t="shared" si="259"/>
        <v>Tháng 1</v>
      </c>
      <c r="Y905" s="17" t="s">
        <v>1376</v>
      </c>
    </row>
    <row r="906" spans="1:25" x14ac:dyDescent="0.25">
      <c r="A906" s="26" t="s">
        <v>1268</v>
      </c>
      <c r="B906" s="20" t="s">
        <v>23</v>
      </c>
      <c r="C906" s="16">
        <v>19360</v>
      </c>
      <c r="D906" s="10">
        <f t="shared" ca="1" si="247"/>
        <v>73</v>
      </c>
      <c r="E906" s="2" t="s">
        <v>26</v>
      </c>
      <c r="F906" s="3">
        <v>169</v>
      </c>
      <c r="G906" s="3">
        <v>68</v>
      </c>
      <c r="H906" s="11">
        <f t="shared" si="248"/>
        <v>23.808690171912751</v>
      </c>
      <c r="I906" s="2">
        <v>77</v>
      </c>
      <c r="J906" s="3">
        <v>130</v>
      </c>
      <c r="K906" s="3">
        <v>80</v>
      </c>
      <c r="L906" s="10">
        <f t="shared" si="249"/>
        <v>0</v>
      </c>
      <c r="M906" s="10">
        <f t="shared" ca="1" si="250"/>
        <v>2</v>
      </c>
      <c r="N906" s="10">
        <f t="shared" si="251"/>
        <v>0</v>
      </c>
      <c r="O906" s="10">
        <f t="shared" si="252"/>
        <v>3</v>
      </c>
      <c r="P906" s="10">
        <f t="shared" si="253"/>
        <v>0</v>
      </c>
      <c r="Q906" s="10">
        <f t="shared" si="254"/>
        <v>0</v>
      </c>
      <c r="R906" s="10">
        <f t="shared" ca="1" si="255"/>
        <v>5</v>
      </c>
      <c r="S906" s="10" t="str">
        <f t="shared" ca="1" si="256"/>
        <v>Không cần</v>
      </c>
      <c r="T906" s="10" t="str">
        <f t="shared" ca="1" si="257"/>
        <v>Không</v>
      </c>
      <c r="U906" s="10" t="str">
        <f t="shared" si="258"/>
        <v>Không</v>
      </c>
      <c r="V906" s="2" t="s">
        <v>51</v>
      </c>
      <c r="W906" s="4">
        <v>46053</v>
      </c>
      <c r="X906" s="8" t="str">
        <f t="shared" si="259"/>
        <v>Tháng 1</v>
      </c>
      <c r="Y906" s="17" t="s">
        <v>1376</v>
      </c>
    </row>
    <row r="907" spans="1:25" x14ac:dyDescent="0.25">
      <c r="A907" s="26" t="s">
        <v>1270</v>
      </c>
      <c r="B907" s="21" t="s">
        <v>23</v>
      </c>
      <c r="C907" s="16">
        <v>18629</v>
      </c>
      <c r="D907" s="10">
        <f t="shared" ca="1" si="247"/>
        <v>75</v>
      </c>
      <c r="E907" s="2" t="s">
        <v>25</v>
      </c>
      <c r="F907" s="3">
        <v>165</v>
      </c>
      <c r="G907" s="3">
        <v>73</v>
      </c>
      <c r="H907" s="11">
        <f t="shared" si="248"/>
        <v>26.813590449954088</v>
      </c>
      <c r="I907" s="2">
        <v>67</v>
      </c>
      <c r="J907" s="3">
        <v>120</v>
      </c>
      <c r="K907" s="3">
        <v>70</v>
      </c>
      <c r="L907" s="10">
        <f t="shared" si="249"/>
        <v>0</v>
      </c>
      <c r="M907" s="10">
        <f t="shared" ca="1" si="250"/>
        <v>2</v>
      </c>
      <c r="N907" s="10">
        <f t="shared" si="251"/>
        <v>4</v>
      </c>
      <c r="O907" s="10">
        <f t="shared" si="252"/>
        <v>3</v>
      </c>
      <c r="P907" s="10">
        <f t="shared" si="253"/>
        <v>0</v>
      </c>
      <c r="Q907" s="10">
        <f t="shared" si="254"/>
        <v>0</v>
      </c>
      <c r="R907" s="10">
        <f t="shared" ca="1" si="255"/>
        <v>9</v>
      </c>
      <c r="S907" s="10" t="str">
        <f t="shared" ca="1" si="256"/>
        <v>Có</v>
      </c>
      <c r="T907" s="10" t="str">
        <f t="shared" ca="1" si="257"/>
        <v>Có</v>
      </c>
      <c r="U907" s="10" t="str">
        <f t="shared" si="258"/>
        <v>Không</v>
      </c>
      <c r="V907" s="2" t="s">
        <v>51</v>
      </c>
      <c r="W907" s="4">
        <v>46053</v>
      </c>
      <c r="X907" s="8" t="str">
        <f t="shared" si="259"/>
        <v>Tháng 1</v>
      </c>
      <c r="Y907" s="17" t="s">
        <v>1376</v>
      </c>
    </row>
    <row r="908" spans="1:25" x14ac:dyDescent="0.25">
      <c r="A908" s="26" t="s">
        <v>1271</v>
      </c>
      <c r="B908" s="21" t="s">
        <v>23</v>
      </c>
      <c r="C908" s="16">
        <v>18994</v>
      </c>
      <c r="D908" s="10">
        <f t="shared" ca="1" si="247"/>
        <v>74</v>
      </c>
      <c r="E908" s="2" t="s">
        <v>26</v>
      </c>
      <c r="F908" s="3">
        <v>169</v>
      </c>
      <c r="G908" s="3">
        <v>68</v>
      </c>
      <c r="H908" s="11">
        <f t="shared" si="248"/>
        <v>23.808690171912751</v>
      </c>
      <c r="I908" s="2">
        <v>91</v>
      </c>
      <c r="J908" s="3">
        <v>120</v>
      </c>
      <c r="K908" s="3">
        <v>70</v>
      </c>
      <c r="L908" s="10">
        <f t="shared" si="249"/>
        <v>0</v>
      </c>
      <c r="M908" s="10">
        <f t="shared" ca="1" si="250"/>
        <v>2</v>
      </c>
      <c r="N908" s="10">
        <f t="shared" si="251"/>
        <v>0</v>
      </c>
      <c r="O908" s="10">
        <f t="shared" si="252"/>
        <v>3</v>
      </c>
      <c r="P908" s="10">
        <f t="shared" si="253"/>
        <v>2</v>
      </c>
      <c r="Q908" s="10">
        <f t="shared" si="254"/>
        <v>0</v>
      </c>
      <c r="R908" s="10">
        <f t="shared" ca="1" si="255"/>
        <v>7</v>
      </c>
      <c r="S908" s="10" t="str">
        <f t="shared" ca="1" si="256"/>
        <v>Có</v>
      </c>
      <c r="T908" s="10" t="str">
        <f t="shared" ca="1" si="257"/>
        <v>Có</v>
      </c>
      <c r="U908" s="10" t="str">
        <f t="shared" si="258"/>
        <v>Không</v>
      </c>
      <c r="V908" s="2" t="s">
        <v>51</v>
      </c>
      <c r="W908" s="4">
        <v>46053</v>
      </c>
      <c r="X908" s="8" t="str">
        <f t="shared" si="259"/>
        <v>Tháng 1</v>
      </c>
      <c r="Y908" s="17" t="s">
        <v>1376</v>
      </c>
    </row>
    <row r="909" spans="1:25" x14ac:dyDescent="0.25">
      <c r="A909" s="26" t="s">
        <v>1272</v>
      </c>
      <c r="B909" s="20" t="s">
        <v>30</v>
      </c>
      <c r="C909" s="16">
        <v>20821</v>
      </c>
      <c r="D909" s="10">
        <f t="shared" ca="1" si="247"/>
        <v>69</v>
      </c>
      <c r="E909" s="2" t="s">
        <v>26</v>
      </c>
      <c r="F909" s="3">
        <v>158</v>
      </c>
      <c r="G909" s="3">
        <v>58</v>
      </c>
      <c r="H909" s="11">
        <f t="shared" si="248"/>
        <v>23.233456176894723</v>
      </c>
      <c r="I909" s="2">
        <v>85</v>
      </c>
      <c r="J909" s="3">
        <v>110</v>
      </c>
      <c r="K909" s="3">
        <v>70</v>
      </c>
      <c r="L909" s="10">
        <f t="shared" si="249"/>
        <v>2</v>
      </c>
      <c r="M909" s="10">
        <f t="shared" ca="1" si="250"/>
        <v>2</v>
      </c>
      <c r="N909" s="10">
        <f t="shared" si="251"/>
        <v>0</v>
      </c>
      <c r="O909" s="10">
        <f t="shared" si="252"/>
        <v>3</v>
      </c>
      <c r="P909" s="10">
        <f t="shared" si="253"/>
        <v>0</v>
      </c>
      <c r="Q909" s="10">
        <f t="shared" si="254"/>
        <v>0</v>
      </c>
      <c r="R909" s="10">
        <f t="shared" ca="1" si="255"/>
        <v>7</v>
      </c>
      <c r="S909" s="10" t="str">
        <f t="shared" ca="1" si="256"/>
        <v>Có</v>
      </c>
      <c r="T909" s="10" t="str">
        <f t="shared" ca="1" si="257"/>
        <v>Có</v>
      </c>
      <c r="U909" s="10" t="str">
        <f t="shared" si="258"/>
        <v>Không</v>
      </c>
      <c r="V909" s="2" t="s">
        <v>51</v>
      </c>
      <c r="W909" s="4">
        <v>46081</v>
      </c>
      <c r="X909" s="8" t="str">
        <f t="shared" si="259"/>
        <v>Tháng 2</v>
      </c>
      <c r="Y909" s="17" t="s">
        <v>1376</v>
      </c>
    </row>
    <row r="910" spans="1:25" x14ac:dyDescent="0.25">
      <c r="A910" s="26" t="s">
        <v>1274</v>
      </c>
      <c r="B910" s="21" t="s">
        <v>23</v>
      </c>
      <c r="C910" s="16">
        <v>21551</v>
      </c>
      <c r="D910" s="10">
        <f t="shared" ca="1" si="247"/>
        <v>67</v>
      </c>
      <c r="E910" s="2" t="s">
        <v>26</v>
      </c>
      <c r="F910" s="3">
        <v>169</v>
      </c>
      <c r="G910" s="3">
        <v>69</v>
      </c>
      <c r="H910" s="11">
        <f t="shared" si="248"/>
        <v>24.158817968558527</v>
      </c>
      <c r="I910" s="2">
        <v>86</v>
      </c>
      <c r="J910" s="3">
        <v>120</v>
      </c>
      <c r="K910" s="3">
        <v>80</v>
      </c>
      <c r="L910" s="10">
        <f t="shared" si="249"/>
        <v>0</v>
      </c>
      <c r="M910" s="10">
        <f t="shared" ca="1" si="250"/>
        <v>2</v>
      </c>
      <c r="N910" s="10">
        <f t="shared" si="251"/>
        <v>0</v>
      </c>
      <c r="O910" s="10">
        <f t="shared" si="252"/>
        <v>3</v>
      </c>
      <c r="P910" s="10">
        <f t="shared" si="253"/>
        <v>2</v>
      </c>
      <c r="Q910" s="10">
        <f t="shared" si="254"/>
        <v>0</v>
      </c>
      <c r="R910" s="10">
        <f t="shared" ca="1" si="255"/>
        <v>7</v>
      </c>
      <c r="S910" s="10" t="str">
        <f t="shared" ca="1" si="256"/>
        <v>Có</v>
      </c>
      <c r="T910" s="10" t="str">
        <f t="shared" ca="1" si="257"/>
        <v>Có</v>
      </c>
      <c r="U910" s="10" t="str">
        <f t="shared" si="258"/>
        <v>Không</v>
      </c>
      <c r="V910" s="2" t="s">
        <v>51</v>
      </c>
      <c r="W910" s="4">
        <v>46053</v>
      </c>
      <c r="X910" s="8" t="str">
        <f t="shared" si="259"/>
        <v>Tháng 1</v>
      </c>
      <c r="Y910" s="17" t="s">
        <v>1376</v>
      </c>
    </row>
    <row r="911" spans="1:25" x14ac:dyDescent="0.25">
      <c r="A911" s="26" t="s">
        <v>1275</v>
      </c>
      <c r="B911" s="21" t="s">
        <v>23</v>
      </c>
      <c r="C911" s="16">
        <v>24108</v>
      </c>
      <c r="D911" s="10">
        <f t="shared" ca="1" si="247"/>
        <v>60</v>
      </c>
      <c r="E911" s="2" t="s">
        <v>26</v>
      </c>
      <c r="F911" s="3">
        <v>158</v>
      </c>
      <c r="G911" s="3">
        <v>58</v>
      </c>
      <c r="H911" s="11">
        <f t="shared" si="248"/>
        <v>23.233456176894723</v>
      </c>
      <c r="I911" s="2">
        <v>80</v>
      </c>
      <c r="J911" s="3">
        <v>140</v>
      </c>
      <c r="K911" s="3">
        <v>80</v>
      </c>
      <c r="L911" s="10">
        <f t="shared" si="249"/>
        <v>0</v>
      </c>
      <c r="M911" s="10">
        <f t="shared" ca="1" si="250"/>
        <v>2</v>
      </c>
      <c r="N911" s="10">
        <f t="shared" si="251"/>
        <v>0</v>
      </c>
      <c r="O911" s="10">
        <f t="shared" si="252"/>
        <v>3</v>
      </c>
      <c r="P911" s="10">
        <f t="shared" si="253"/>
        <v>2</v>
      </c>
      <c r="Q911" s="10">
        <f t="shared" si="254"/>
        <v>2</v>
      </c>
      <c r="R911" s="10">
        <f t="shared" ca="1" si="255"/>
        <v>9</v>
      </c>
      <c r="S911" s="10" t="str">
        <f t="shared" ca="1" si="256"/>
        <v>Có</v>
      </c>
      <c r="T911" s="10" t="str">
        <f t="shared" ca="1" si="257"/>
        <v>Có</v>
      </c>
      <c r="U911" s="10" t="str">
        <f t="shared" si="258"/>
        <v>Có</v>
      </c>
      <c r="V911" s="2" t="s">
        <v>51</v>
      </c>
      <c r="W911" s="4">
        <v>46053</v>
      </c>
      <c r="X911" s="8" t="str">
        <f t="shared" si="259"/>
        <v>Tháng 1</v>
      </c>
      <c r="Y911" s="17" t="s">
        <v>1376</v>
      </c>
    </row>
    <row r="912" spans="1:25" x14ac:dyDescent="0.25">
      <c r="A912" s="26" t="s">
        <v>280</v>
      </c>
      <c r="B912" s="20" t="s">
        <v>30</v>
      </c>
      <c r="C912" s="16">
        <v>19360</v>
      </c>
      <c r="D912" s="10">
        <f t="shared" ca="1" si="247"/>
        <v>73</v>
      </c>
      <c r="E912" s="2" t="s">
        <v>26</v>
      </c>
      <c r="F912" s="3">
        <v>166</v>
      </c>
      <c r="G912" s="3">
        <v>50</v>
      </c>
      <c r="H912" s="11">
        <f t="shared" si="248"/>
        <v>18.144868631151112</v>
      </c>
      <c r="I912" s="2">
        <v>79</v>
      </c>
      <c r="J912" s="3">
        <v>140</v>
      </c>
      <c r="K912" s="3">
        <v>80</v>
      </c>
      <c r="L912" s="10">
        <f t="shared" si="249"/>
        <v>2</v>
      </c>
      <c r="M912" s="10">
        <f t="shared" ca="1" si="250"/>
        <v>2</v>
      </c>
      <c r="N912" s="10">
        <f t="shared" si="251"/>
        <v>0</v>
      </c>
      <c r="O912" s="10">
        <f t="shared" si="252"/>
        <v>0</v>
      </c>
      <c r="P912" s="10">
        <f t="shared" si="253"/>
        <v>0</v>
      </c>
      <c r="Q912" s="10">
        <f t="shared" si="254"/>
        <v>2</v>
      </c>
      <c r="R912" s="10">
        <f t="shared" ca="1" si="255"/>
        <v>6</v>
      </c>
      <c r="S912" s="10" t="str">
        <f t="shared" ca="1" si="256"/>
        <v>Có</v>
      </c>
      <c r="T912" s="10" t="str">
        <f t="shared" ca="1" si="257"/>
        <v>Có</v>
      </c>
      <c r="U912" s="10" t="str">
        <f t="shared" si="258"/>
        <v>Có</v>
      </c>
      <c r="V912" s="2" t="s">
        <v>51</v>
      </c>
      <c r="W912" s="4">
        <v>46081</v>
      </c>
      <c r="X912" s="8" t="str">
        <f t="shared" si="259"/>
        <v>Tháng 2</v>
      </c>
      <c r="Y912" s="17" t="s">
        <v>1376</v>
      </c>
    </row>
    <row r="913" spans="1:25" x14ac:dyDescent="0.25">
      <c r="A913" s="26" t="s">
        <v>1283</v>
      </c>
      <c r="B913" s="21" t="s">
        <v>23</v>
      </c>
      <c r="C913" s="16">
        <v>21551</v>
      </c>
      <c r="D913" s="10">
        <f t="shared" ca="1" si="247"/>
        <v>67</v>
      </c>
      <c r="E913" s="2" t="s">
        <v>26</v>
      </c>
      <c r="F913" s="3">
        <v>150</v>
      </c>
      <c r="G913" s="3">
        <v>55</v>
      </c>
      <c r="H913" s="11">
        <f t="shared" si="248"/>
        <v>24.444444444444443</v>
      </c>
      <c r="I913" s="2">
        <v>83</v>
      </c>
      <c r="J913" s="3">
        <v>120</v>
      </c>
      <c r="K913" s="3">
        <v>70</v>
      </c>
      <c r="L913" s="10">
        <f t="shared" si="249"/>
        <v>0</v>
      </c>
      <c r="M913" s="10">
        <f t="shared" ca="1" si="250"/>
        <v>2</v>
      </c>
      <c r="N913" s="10">
        <f t="shared" si="251"/>
        <v>0</v>
      </c>
      <c r="O913" s="10">
        <f t="shared" si="252"/>
        <v>3</v>
      </c>
      <c r="P913" s="10">
        <f t="shared" si="253"/>
        <v>2</v>
      </c>
      <c r="Q913" s="10">
        <f t="shared" si="254"/>
        <v>0</v>
      </c>
      <c r="R913" s="10">
        <f t="shared" ca="1" si="255"/>
        <v>7</v>
      </c>
      <c r="S913" s="10" t="str">
        <f t="shared" ca="1" si="256"/>
        <v>Có</v>
      </c>
      <c r="T913" s="10" t="str">
        <f t="shared" ca="1" si="257"/>
        <v>Có</v>
      </c>
      <c r="U913" s="10" t="str">
        <f t="shared" si="258"/>
        <v>Không</v>
      </c>
      <c r="V913" s="2" t="s">
        <v>51</v>
      </c>
      <c r="W913" s="4">
        <v>46053</v>
      </c>
      <c r="X913" s="8" t="str">
        <f t="shared" si="259"/>
        <v>Tháng 1</v>
      </c>
      <c r="Y913" s="17" t="s">
        <v>1376</v>
      </c>
    </row>
    <row r="914" spans="1:25" x14ac:dyDescent="0.25">
      <c r="A914" s="26" t="s">
        <v>1284</v>
      </c>
      <c r="B914" s="21" t="s">
        <v>23</v>
      </c>
      <c r="C914" s="16">
        <v>25569</v>
      </c>
      <c r="D914" s="10">
        <f t="shared" ca="1" si="247"/>
        <v>56</v>
      </c>
      <c r="E914" s="2" t="s">
        <v>26</v>
      </c>
      <c r="F914" s="3">
        <v>158</v>
      </c>
      <c r="G914" s="3">
        <v>58</v>
      </c>
      <c r="H914" s="11">
        <f t="shared" si="248"/>
        <v>23.233456176894723</v>
      </c>
      <c r="I914" s="2">
        <v>67</v>
      </c>
      <c r="J914" s="3">
        <v>100</v>
      </c>
      <c r="K914" s="3">
        <v>60</v>
      </c>
      <c r="L914" s="10">
        <f t="shared" si="249"/>
        <v>0</v>
      </c>
      <c r="M914" s="10">
        <f t="shared" ca="1" si="250"/>
        <v>2</v>
      </c>
      <c r="N914" s="10">
        <f t="shared" si="251"/>
        <v>0</v>
      </c>
      <c r="O914" s="10">
        <f t="shared" si="252"/>
        <v>3</v>
      </c>
      <c r="P914" s="10">
        <f t="shared" si="253"/>
        <v>0</v>
      </c>
      <c r="Q914" s="10">
        <f t="shared" si="254"/>
        <v>0</v>
      </c>
      <c r="R914" s="10">
        <f t="shared" ca="1" si="255"/>
        <v>5</v>
      </c>
      <c r="S914" s="10" t="str">
        <f t="shared" ca="1" si="256"/>
        <v>Không cần</v>
      </c>
      <c r="T914" s="10" t="str">
        <f t="shared" ca="1" si="257"/>
        <v>Không</v>
      </c>
      <c r="U914" s="10" t="str">
        <f t="shared" si="258"/>
        <v>Không</v>
      </c>
      <c r="V914" s="2" t="s">
        <v>51</v>
      </c>
      <c r="W914" s="4">
        <v>46081</v>
      </c>
      <c r="X914" s="8" t="str">
        <f t="shared" si="259"/>
        <v>Tháng 2</v>
      </c>
      <c r="Y914" s="17" t="s">
        <v>1376</v>
      </c>
    </row>
    <row r="915" spans="1:25" x14ac:dyDescent="0.25">
      <c r="A915" s="26" t="s">
        <v>1289</v>
      </c>
      <c r="B915" s="21" t="s">
        <v>23</v>
      </c>
      <c r="C915" s="16">
        <v>24473</v>
      </c>
      <c r="D915" s="10">
        <f t="shared" ca="1" si="247"/>
        <v>59</v>
      </c>
      <c r="E915" s="2" t="s">
        <v>26</v>
      </c>
      <c r="F915" s="3">
        <v>160</v>
      </c>
      <c r="G915" s="3">
        <v>67</v>
      </c>
      <c r="H915" s="11">
        <f t="shared" si="248"/>
        <v>26.171874999999996</v>
      </c>
      <c r="I915" s="2">
        <v>66</v>
      </c>
      <c r="J915" s="3">
        <v>120</v>
      </c>
      <c r="K915" s="3">
        <v>80</v>
      </c>
      <c r="L915" s="10">
        <f t="shared" si="249"/>
        <v>0</v>
      </c>
      <c r="M915" s="10">
        <f t="shared" ca="1" si="250"/>
        <v>2</v>
      </c>
      <c r="N915" s="10">
        <f t="shared" si="251"/>
        <v>0</v>
      </c>
      <c r="O915" s="10">
        <f t="shared" si="252"/>
        <v>3</v>
      </c>
      <c r="P915" s="10">
        <f t="shared" si="253"/>
        <v>0</v>
      </c>
      <c r="Q915" s="10">
        <f t="shared" si="254"/>
        <v>0</v>
      </c>
      <c r="R915" s="10">
        <f t="shared" ca="1" si="255"/>
        <v>5</v>
      </c>
      <c r="S915" s="10" t="str">
        <f t="shared" ca="1" si="256"/>
        <v>Không cần</v>
      </c>
      <c r="T915" s="10" t="str">
        <f t="shared" ca="1" si="257"/>
        <v>Không</v>
      </c>
      <c r="U915" s="10" t="str">
        <f t="shared" si="258"/>
        <v>Không</v>
      </c>
      <c r="V915" s="2" t="s">
        <v>51</v>
      </c>
      <c r="W915" s="4">
        <v>46053</v>
      </c>
      <c r="X915" s="8" t="str">
        <f t="shared" si="259"/>
        <v>Tháng 1</v>
      </c>
      <c r="Y915" s="17" t="s">
        <v>1376</v>
      </c>
    </row>
    <row r="916" spans="1:25" x14ac:dyDescent="0.25">
      <c r="A916" s="26" t="s">
        <v>971</v>
      </c>
      <c r="B916" s="21" t="s">
        <v>23</v>
      </c>
      <c r="C916" s="16">
        <v>26665</v>
      </c>
      <c r="D916" s="10">
        <f t="shared" ca="1" si="247"/>
        <v>53</v>
      </c>
      <c r="E916" s="2" t="s">
        <v>25</v>
      </c>
      <c r="F916" s="3">
        <v>169</v>
      </c>
      <c r="G916" s="3">
        <v>68</v>
      </c>
      <c r="H916" s="11">
        <f t="shared" si="248"/>
        <v>23.808690171912751</v>
      </c>
      <c r="I916" s="2">
        <v>70</v>
      </c>
      <c r="J916" s="3">
        <v>140</v>
      </c>
      <c r="K916" s="3">
        <v>80</v>
      </c>
      <c r="L916" s="10">
        <f t="shared" si="249"/>
        <v>0</v>
      </c>
      <c r="M916" s="10">
        <f t="shared" ca="1" si="250"/>
        <v>2</v>
      </c>
      <c r="N916" s="10">
        <f t="shared" si="251"/>
        <v>4</v>
      </c>
      <c r="O916" s="10">
        <f t="shared" si="252"/>
        <v>3</v>
      </c>
      <c r="P916" s="10">
        <f t="shared" si="253"/>
        <v>0</v>
      </c>
      <c r="Q916" s="10">
        <f t="shared" si="254"/>
        <v>2</v>
      </c>
      <c r="R916" s="10">
        <f t="shared" ca="1" si="255"/>
        <v>11</v>
      </c>
      <c r="S916" s="10" t="str">
        <f t="shared" ca="1" si="256"/>
        <v>Có</v>
      </c>
      <c r="T916" s="10" t="str">
        <f t="shared" ca="1" si="257"/>
        <v>Có</v>
      </c>
      <c r="U916" s="10" t="str">
        <f t="shared" si="258"/>
        <v>Có</v>
      </c>
      <c r="V916" s="2" t="s">
        <v>51</v>
      </c>
      <c r="W916" s="4">
        <v>46053</v>
      </c>
      <c r="X916" s="8" t="str">
        <f t="shared" si="259"/>
        <v>Tháng 1</v>
      </c>
      <c r="Y916" s="17" t="s">
        <v>1376</v>
      </c>
    </row>
    <row r="917" spans="1:25" x14ac:dyDescent="0.25">
      <c r="A917" s="25" t="s">
        <v>829</v>
      </c>
      <c r="B917" s="20" t="s">
        <v>30</v>
      </c>
      <c r="C917" s="16">
        <v>26299</v>
      </c>
      <c r="D917" s="10">
        <f t="shared" ref="D917:D929" ca="1" si="260">DATEDIF(C917,TODAY(),"Y")</f>
        <v>54</v>
      </c>
      <c r="E917" s="2" t="s">
        <v>26</v>
      </c>
      <c r="F917" s="3">
        <v>158</v>
      </c>
      <c r="G917" s="3">
        <v>58</v>
      </c>
      <c r="H917" s="11">
        <f t="shared" ref="H917:H929" si="261">G917/((F917/100)*(F917/100))</f>
        <v>23.233456176894723</v>
      </c>
      <c r="I917" s="2">
        <v>85</v>
      </c>
      <c r="J917" s="3">
        <v>120</v>
      </c>
      <c r="K917" s="3">
        <v>80</v>
      </c>
      <c r="L917" s="10">
        <f t="shared" ref="L917:L929" si="262">IF(B917="Nữ",0,2)</f>
        <v>2</v>
      </c>
      <c r="M917" s="10">
        <f t="shared" ref="M917:M929" ca="1" si="263">IF(D917&lt;45,0,IF(D917&lt;=49,1,2))</f>
        <v>2</v>
      </c>
      <c r="N917" s="10">
        <f t="shared" ref="N917:N929" si="264">IF(E917="Có",4,0)</f>
        <v>0</v>
      </c>
      <c r="O917" s="10">
        <f t="shared" ref="O917:O929" si="265">IF(H917&lt;23,0,IF(H917&lt;27.5,3,5))</f>
        <v>3</v>
      </c>
      <c r="P917" s="10">
        <f t="shared" ref="P917:P929" si="266">IF(OR(AND(B917="Nam",I917&gt;=90),AND(B917="Nữ",I917&gt;=80)),2,0)</f>
        <v>0</v>
      </c>
      <c r="Q917" s="10">
        <f t="shared" ref="Q917:Q929" si="267">IF(OR(J917&gt;=140,K917&gt;=90),2,0)</f>
        <v>0</v>
      </c>
      <c r="R917" s="10">
        <f t="shared" ref="R917:R929" ca="1" si="268">SUM(L917:Q917)</f>
        <v>7</v>
      </c>
      <c r="S917" s="10" t="str">
        <f t="shared" ref="S917:S929" ca="1" si="269">IF((R917)&gt;=6,"Có","Không cần")</f>
        <v>Có</v>
      </c>
      <c r="T917" s="10" t="str">
        <f t="shared" ref="T917:T929" ca="1" si="270">IF((R917)&gt;=6,"Có","Không")</f>
        <v>Có</v>
      </c>
      <c r="U917" s="10" t="str">
        <f t="shared" ref="U917:U929" si="271">IF(OR(J917&gt;=140,K917&gt;=90),"Có","Không")</f>
        <v>Không</v>
      </c>
      <c r="V917" s="2" t="s">
        <v>51</v>
      </c>
      <c r="W917" s="4">
        <v>46081</v>
      </c>
      <c r="X917" s="8" t="str">
        <f t="shared" ref="X917:X929" si="272">"Tháng "&amp;MONTH(W917)</f>
        <v>Tháng 2</v>
      </c>
      <c r="Y917" s="17" t="s">
        <v>1376</v>
      </c>
    </row>
    <row r="918" spans="1:25" x14ac:dyDescent="0.25">
      <c r="A918" s="26" t="s">
        <v>1308</v>
      </c>
      <c r="B918" s="21" t="s">
        <v>23</v>
      </c>
      <c r="C918" s="16">
        <v>24108</v>
      </c>
      <c r="D918" s="10">
        <f t="shared" ca="1" si="260"/>
        <v>60</v>
      </c>
      <c r="E918" s="2" t="s">
        <v>25</v>
      </c>
      <c r="F918" s="3">
        <v>160</v>
      </c>
      <c r="G918" s="3">
        <v>60</v>
      </c>
      <c r="H918" s="11">
        <f t="shared" si="261"/>
        <v>23.437499999999996</v>
      </c>
      <c r="I918" s="2">
        <v>90</v>
      </c>
      <c r="J918" s="3">
        <v>130</v>
      </c>
      <c r="K918" s="3">
        <v>80</v>
      </c>
      <c r="L918" s="10">
        <f t="shared" si="262"/>
        <v>0</v>
      </c>
      <c r="M918" s="10">
        <f t="shared" ca="1" si="263"/>
        <v>2</v>
      </c>
      <c r="N918" s="10">
        <f t="shared" si="264"/>
        <v>4</v>
      </c>
      <c r="O918" s="10">
        <f t="shared" si="265"/>
        <v>3</v>
      </c>
      <c r="P918" s="10">
        <f t="shared" si="266"/>
        <v>2</v>
      </c>
      <c r="Q918" s="10">
        <f t="shared" si="267"/>
        <v>0</v>
      </c>
      <c r="R918" s="10">
        <f t="shared" ca="1" si="268"/>
        <v>11</v>
      </c>
      <c r="S918" s="10" t="str">
        <f t="shared" ca="1" si="269"/>
        <v>Có</v>
      </c>
      <c r="T918" s="10" t="str">
        <f t="shared" ca="1" si="270"/>
        <v>Có</v>
      </c>
      <c r="U918" s="10" t="str">
        <f t="shared" si="271"/>
        <v>Không</v>
      </c>
      <c r="V918" s="2" t="s">
        <v>51</v>
      </c>
      <c r="W918" s="4">
        <v>46053</v>
      </c>
      <c r="X918" s="8" t="str">
        <f t="shared" si="272"/>
        <v>Tháng 1</v>
      </c>
      <c r="Y918" s="17" t="s">
        <v>1376</v>
      </c>
    </row>
    <row r="919" spans="1:25" x14ac:dyDescent="0.25">
      <c r="A919" s="25" t="s">
        <v>615</v>
      </c>
      <c r="B919" s="20" t="s">
        <v>23</v>
      </c>
      <c r="C919" s="16">
        <v>23743</v>
      </c>
      <c r="D919" s="10">
        <f t="shared" ca="1" si="260"/>
        <v>61</v>
      </c>
      <c r="E919" s="2" t="s">
        <v>25</v>
      </c>
      <c r="F919" s="3">
        <v>169</v>
      </c>
      <c r="G919" s="3">
        <v>68</v>
      </c>
      <c r="H919" s="11">
        <f t="shared" si="261"/>
        <v>23.808690171912751</v>
      </c>
      <c r="I919" s="2">
        <v>68</v>
      </c>
      <c r="J919" s="3">
        <v>140</v>
      </c>
      <c r="K919" s="3">
        <v>80</v>
      </c>
      <c r="L919" s="10">
        <f t="shared" si="262"/>
        <v>0</v>
      </c>
      <c r="M919" s="10">
        <f t="shared" ca="1" si="263"/>
        <v>2</v>
      </c>
      <c r="N919" s="10">
        <f t="shared" si="264"/>
        <v>4</v>
      </c>
      <c r="O919" s="10">
        <f t="shared" si="265"/>
        <v>3</v>
      </c>
      <c r="P919" s="10">
        <f t="shared" si="266"/>
        <v>0</v>
      </c>
      <c r="Q919" s="10">
        <f t="shared" si="267"/>
        <v>2</v>
      </c>
      <c r="R919" s="10">
        <f t="shared" ca="1" si="268"/>
        <v>11</v>
      </c>
      <c r="S919" s="10" t="str">
        <f t="shared" ca="1" si="269"/>
        <v>Có</v>
      </c>
      <c r="T919" s="10" t="str">
        <f t="shared" ca="1" si="270"/>
        <v>Có</v>
      </c>
      <c r="U919" s="10" t="str">
        <f t="shared" si="271"/>
        <v>Có</v>
      </c>
      <c r="V919" s="2" t="s">
        <v>51</v>
      </c>
      <c r="W919" s="4">
        <v>46081</v>
      </c>
      <c r="X919" s="8" t="str">
        <f t="shared" si="272"/>
        <v>Tháng 2</v>
      </c>
      <c r="Y919" s="17" t="s">
        <v>1376</v>
      </c>
    </row>
    <row r="920" spans="1:25" x14ac:dyDescent="0.25">
      <c r="A920" s="25" t="s">
        <v>118</v>
      </c>
      <c r="B920" s="20" t="s">
        <v>30</v>
      </c>
      <c r="C920" s="16">
        <v>20090</v>
      </c>
      <c r="D920" s="10">
        <f t="shared" ca="1" si="260"/>
        <v>71</v>
      </c>
      <c r="E920" s="2" t="s">
        <v>26</v>
      </c>
      <c r="F920" s="3">
        <v>160</v>
      </c>
      <c r="G920" s="3">
        <v>75</v>
      </c>
      <c r="H920" s="11">
        <f t="shared" si="261"/>
        <v>29.296874999999993</v>
      </c>
      <c r="I920" s="2">
        <v>86</v>
      </c>
      <c r="J920" s="3">
        <v>120</v>
      </c>
      <c r="K920" s="3">
        <v>70</v>
      </c>
      <c r="L920" s="10">
        <f t="shared" si="262"/>
        <v>2</v>
      </c>
      <c r="M920" s="10">
        <f t="shared" ca="1" si="263"/>
        <v>2</v>
      </c>
      <c r="N920" s="10">
        <f t="shared" si="264"/>
        <v>0</v>
      </c>
      <c r="O920" s="10">
        <f t="shared" si="265"/>
        <v>5</v>
      </c>
      <c r="P920" s="10">
        <f t="shared" si="266"/>
        <v>0</v>
      </c>
      <c r="Q920" s="10">
        <f t="shared" si="267"/>
        <v>0</v>
      </c>
      <c r="R920" s="10">
        <f t="shared" ca="1" si="268"/>
        <v>9</v>
      </c>
      <c r="S920" s="10" t="str">
        <f t="shared" ca="1" si="269"/>
        <v>Có</v>
      </c>
      <c r="T920" s="10" t="str">
        <f t="shared" ca="1" si="270"/>
        <v>Có</v>
      </c>
      <c r="U920" s="10" t="str">
        <f t="shared" si="271"/>
        <v>Không</v>
      </c>
      <c r="V920" s="2" t="s">
        <v>51</v>
      </c>
      <c r="W920" s="4">
        <v>46081</v>
      </c>
      <c r="X920" s="8" t="str">
        <f t="shared" si="272"/>
        <v>Tháng 2</v>
      </c>
      <c r="Y920" s="17" t="s">
        <v>1376</v>
      </c>
    </row>
    <row r="921" spans="1:25" x14ac:dyDescent="0.25">
      <c r="A921" s="25" t="s">
        <v>921</v>
      </c>
      <c r="B921" s="20" t="s">
        <v>23</v>
      </c>
      <c r="C921" s="16">
        <v>28491</v>
      </c>
      <c r="D921" s="10">
        <f t="shared" ca="1" si="260"/>
        <v>48</v>
      </c>
      <c r="E921" s="2" t="s">
        <v>26</v>
      </c>
      <c r="F921" s="3">
        <v>169</v>
      </c>
      <c r="G921" s="3">
        <v>68</v>
      </c>
      <c r="H921" s="11">
        <f t="shared" si="261"/>
        <v>23.808690171912751</v>
      </c>
      <c r="I921" s="2">
        <v>69</v>
      </c>
      <c r="J921" s="3">
        <v>120</v>
      </c>
      <c r="K921" s="3">
        <v>70</v>
      </c>
      <c r="L921" s="10">
        <f t="shared" si="262"/>
        <v>0</v>
      </c>
      <c r="M921" s="10">
        <f t="shared" ca="1" si="263"/>
        <v>1</v>
      </c>
      <c r="N921" s="10">
        <f t="shared" si="264"/>
        <v>0</v>
      </c>
      <c r="O921" s="10">
        <f t="shared" si="265"/>
        <v>3</v>
      </c>
      <c r="P921" s="10">
        <f t="shared" si="266"/>
        <v>0</v>
      </c>
      <c r="Q921" s="10">
        <f t="shared" si="267"/>
        <v>0</v>
      </c>
      <c r="R921" s="10">
        <f t="shared" ca="1" si="268"/>
        <v>4</v>
      </c>
      <c r="S921" s="10" t="str">
        <f t="shared" ca="1" si="269"/>
        <v>Không cần</v>
      </c>
      <c r="T921" s="10" t="str">
        <f t="shared" ca="1" si="270"/>
        <v>Không</v>
      </c>
      <c r="U921" s="10" t="str">
        <f t="shared" si="271"/>
        <v>Không</v>
      </c>
      <c r="V921" s="2" t="s">
        <v>51</v>
      </c>
      <c r="W921" s="4">
        <v>46053</v>
      </c>
      <c r="X921" s="8" t="str">
        <f t="shared" si="272"/>
        <v>Tháng 1</v>
      </c>
      <c r="Y921" s="17" t="s">
        <v>1376</v>
      </c>
    </row>
    <row r="922" spans="1:25" x14ac:dyDescent="0.25">
      <c r="A922" s="25" t="s">
        <v>299</v>
      </c>
      <c r="B922" s="20" t="s">
        <v>23</v>
      </c>
      <c r="C922" s="16">
        <v>17533</v>
      </c>
      <c r="D922" s="10">
        <f t="shared" ca="1" si="260"/>
        <v>78</v>
      </c>
      <c r="E922" s="2" t="s">
        <v>26</v>
      </c>
      <c r="F922" s="3">
        <v>160</v>
      </c>
      <c r="G922" s="3">
        <v>62</v>
      </c>
      <c r="H922" s="11">
        <f t="shared" si="261"/>
        <v>24.218749999999996</v>
      </c>
      <c r="I922" s="2">
        <v>93</v>
      </c>
      <c r="J922" s="3">
        <v>120</v>
      </c>
      <c r="K922" s="3">
        <v>70</v>
      </c>
      <c r="L922" s="10">
        <f t="shared" si="262"/>
        <v>0</v>
      </c>
      <c r="M922" s="10">
        <f t="shared" ca="1" si="263"/>
        <v>2</v>
      </c>
      <c r="N922" s="10">
        <f t="shared" si="264"/>
        <v>0</v>
      </c>
      <c r="O922" s="10">
        <f t="shared" si="265"/>
        <v>3</v>
      </c>
      <c r="P922" s="10">
        <f t="shared" si="266"/>
        <v>2</v>
      </c>
      <c r="Q922" s="10">
        <f t="shared" si="267"/>
        <v>0</v>
      </c>
      <c r="R922" s="10">
        <f t="shared" ca="1" si="268"/>
        <v>7</v>
      </c>
      <c r="S922" s="10" t="str">
        <f t="shared" ca="1" si="269"/>
        <v>Có</v>
      </c>
      <c r="T922" s="10" t="str">
        <f t="shared" ca="1" si="270"/>
        <v>Có</v>
      </c>
      <c r="U922" s="10" t="str">
        <f t="shared" si="271"/>
        <v>Không</v>
      </c>
      <c r="V922" s="2" t="s">
        <v>51</v>
      </c>
      <c r="W922" s="4">
        <v>46081</v>
      </c>
      <c r="X922" s="8" t="str">
        <f t="shared" si="272"/>
        <v>Tháng 2</v>
      </c>
      <c r="Y922" s="17" t="s">
        <v>1376</v>
      </c>
    </row>
    <row r="923" spans="1:25" x14ac:dyDescent="0.25">
      <c r="A923" s="25" t="s">
        <v>79</v>
      </c>
      <c r="B923" s="20" t="s">
        <v>23</v>
      </c>
      <c r="C923" s="16">
        <v>20821</v>
      </c>
      <c r="D923" s="10">
        <f t="shared" ca="1" si="260"/>
        <v>69</v>
      </c>
      <c r="E923" s="2" t="s">
        <v>26</v>
      </c>
      <c r="F923" s="3">
        <v>158</v>
      </c>
      <c r="G923" s="3">
        <v>58</v>
      </c>
      <c r="H923" s="11">
        <f t="shared" si="261"/>
        <v>23.233456176894723</v>
      </c>
      <c r="I923" s="2">
        <v>70</v>
      </c>
      <c r="J923" s="3">
        <v>120</v>
      </c>
      <c r="K923" s="3">
        <v>70</v>
      </c>
      <c r="L923" s="10">
        <f t="shared" si="262"/>
        <v>0</v>
      </c>
      <c r="M923" s="10">
        <f t="shared" ca="1" si="263"/>
        <v>2</v>
      </c>
      <c r="N923" s="10">
        <f t="shared" si="264"/>
        <v>0</v>
      </c>
      <c r="O923" s="10">
        <f t="shared" si="265"/>
        <v>3</v>
      </c>
      <c r="P923" s="10">
        <f t="shared" si="266"/>
        <v>0</v>
      </c>
      <c r="Q923" s="10">
        <f t="shared" si="267"/>
        <v>0</v>
      </c>
      <c r="R923" s="10">
        <f t="shared" ca="1" si="268"/>
        <v>5</v>
      </c>
      <c r="S923" s="10" t="str">
        <f t="shared" ca="1" si="269"/>
        <v>Không cần</v>
      </c>
      <c r="T923" s="10" t="str">
        <f t="shared" ca="1" si="270"/>
        <v>Không</v>
      </c>
      <c r="U923" s="10" t="str">
        <f t="shared" si="271"/>
        <v>Không</v>
      </c>
      <c r="V923" s="2" t="s">
        <v>51</v>
      </c>
      <c r="W923" s="4">
        <v>46081</v>
      </c>
      <c r="X923" s="8" t="str">
        <f t="shared" si="272"/>
        <v>Tháng 2</v>
      </c>
      <c r="Y923" s="17" t="s">
        <v>1376</v>
      </c>
    </row>
    <row r="924" spans="1:25" x14ac:dyDescent="0.25">
      <c r="A924" s="25" t="s">
        <v>887</v>
      </c>
      <c r="B924" s="20" t="s">
        <v>23</v>
      </c>
      <c r="C924" s="16">
        <v>19360</v>
      </c>
      <c r="D924" s="10">
        <f t="shared" ca="1" si="260"/>
        <v>73</v>
      </c>
      <c r="E924" s="2" t="s">
        <v>25</v>
      </c>
      <c r="F924" s="3">
        <v>160</v>
      </c>
      <c r="G924" s="3">
        <v>49</v>
      </c>
      <c r="H924" s="11">
        <f t="shared" si="261"/>
        <v>19.140624999999996</v>
      </c>
      <c r="I924" s="2">
        <v>84</v>
      </c>
      <c r="J924" s="3">
        <v>120</v>
      </c>
      <c r="K924" s="3">
        <v>70</v>
      </c>
      <c r="L924" s="10">
        <f t="shared" si="262"/>
        <v>0</v>
      </c>
      <c r="M924" s="10">
        <f t="shared" ca="1" si="263"/>
        <v>2</v>
      </c>
      <c r="N924" s="10">
        <f t="shared" si="264"/>
        <v>4</v>
      </c>
      <c r="O924" s="10">
        <f t="shared" si="265"/>
        <v>0</v>
      </c>
      <c r="P924" s="10">
        <f t="shared" si="266"/>
        <v>2</v>
      </c>
      <c r="Q924" s="10">
        <f t="shared" si="267"/>
        <v>0</v>
      </c>
      <c r="R924" s="10">
        <f t="shared" ca="1" si="268"/>
        <v>8</v>
      </c>
      <c r="S924" s="10" t="str">
        <f t="shared" ca="1" si="269"/>
        <v>Có</v>
      </c>
      <c r="T924" s="10" t="str">
        <f t="shared" ca="1" si="270"/>
        <v>Có</v>
      </c>
      <c r="U924" s="10" t="str">
        <f t="shared" si="271"/>
        <v>Không</v>
      </c>
      <c r="V924" s="2" t="s">
        <v>51</v>
      </c>
      <c r="W924" s="4">
        <v>46053</v>
      </c>
      <c r="X924" s="8" t="str">
        <f t="shared" si="272"/>
        <v>Tháng 1</v>
      </c>
      <c r="Y924" s="17" t="s">
        <v>1376</v>
      </c>
    </row>
    <row r="925" spans="1:25" x14ac:dyDescent="0.25">
      <c r="A925" s="25" t="s">
        <v>415</v>
      </c>
      <c r="B925" s="20" t="s">
        <v>23</v>
      </c>
      <c r="C925" s="16">
        <v>19725</v>
      </c>
      <c r="D925" s="10">
        <f t="shared" ca="1" si="260"/>
        <v>72</v>
      </c>
      <c r="E925" s="2" t="s">
        <v>26</v>
      </c>
      <c r="F925" s="3">
        <v>163</v>
      </c>
      <c r="G925" s="3">
        <v>54</v>
      </c>
      <c r="H925" s="11">
        <f t="shared" si="261"/>
        <v>20.324438255109339</v>
      </c>
      <c r="I925" s="2">
        <v>78</v>
      </c>
      <c r="J925" s="3">
        <v>100</v>
      </c>
      <c r="K925" s="3">
        <v>80</v>
      </c>
      <c r="L925" s="10">
        <f t="shared" si="262"/>
        <v>0</v>
      </c>
      <c r="M925" s="10">
        <f t="shared" ca="1" si="263"/>
        <v>2</v>
      </c>
      <c r="N925" s="10">
        <f t="shared" si="264"/>
        <v>0</v>
      </c>
      <c r="O925" s="10">
        <f t="shared" si="265"/>
        <v>0</v>
      </c>
      <c r="P925" s="10">
        <f t="shared" si="266"/>
        <v>0</v>
      </c>
      <c r="Q925" s="10">
        <f t="shared" si="267"/>
        <v>0</v>
      </c>
      <c r="R925" s="10">
        <f t="shared" ca="1" si="268"/>
        <v>2</v>
      </c>
      <c r="S925" s="10" t="str">
        <f t="shared" ca="1" si="269"/>
        <v>Không cần</v>
      </c>
      <c r="T925" s="10" t="str">
        <f t="shared" ca="1" si="270"/>
        <v>Không</v>
      </c>
      <c r="U925" s="10" t="str">
        <f t="shared" si="271"/>
        <v>Không</v>
      </c>
      <c r="V925" s="2" t="s">
        <v>51</v>
      </c>
      <c r="W925" s="4">
        <v>46081</v>
      </c>
      <c r="X925" s="8" t="str">
        <f t="shared" si="272"/>
        <v>Tháng 2</v>
      </c>
      <c r="Y925" s="17" t="s">
        <v>1376</v>
      </c>
    </row>
    <row r="926" spans="1:25" x14ac:dyDescent="0.25">
      <c r="A926" s="25" t="s">
        <v>910</v>
      </c>
      <c r="B926" s="20" t="s">
        <v>30</v>
      </c>
      <c r="C926" s="16">
        <v>19725</v>
      </c>
      <c r="D926" s="10">
        <f t="shared" ca="1" si="260"/>
        <v>72</v>
      </c>
      <c r="E926" s="2" t="s">
        <v>25</v>
      </c>
      <c r="F926" s="3">
        <v>162</v>
      </c>
      <c r="G926" s="3">
        <v>64</v>
      </c>
      <c r="H926" s="11">
        <f t="shared" si="261"/>
        <v>24.386526444139609</v>
      </c>
      <c r="I926" s="2">
        <v>99</v>
      </c>
      <c r="J926" s="3">
        <v>120</v>
      </c>
      <c r="K926" s="3">
        <v>70</v>
      </c>
      <c r="L926" s="10">
        <f t="shared" si="262"/>
        <v>2</v>
      </c>
      <c r="M926" s="10">
        <f t="shared" ca="1" si="263"/>
        <v>2</v>
      </c>
      <c r="N926" s="10">
        <f t="shared" si="264"/>
        <v>4</v>
      </c>
      <c r="O926" s="10">
        <f t="shared" si="265"/>
        <v>3</v>
      </c>
      <c r="P926" s="10">
        <f t="shared" si="266"/>
        <v>2</v>
      </c>
      <c r="Q926" s="10">
        <f t="shared" si="267"/>
        <v>0</v>
      </c>
      <c r="R926" s="10">
        <f t="shared" ca="1" si="268"/>
        <v>13</v>
      </c>
      <c r="S926" s="10" t="str">
        <f t="shared" ca="1" si="269"/>
        <v>Có</v>
      </c>
      <c r="T926" s="10" t="str">
        <f t="shared" ca="1" si="270"/>
        <v>Có</v>
      </c>
      <c r="U926" s="10" t="str">
        <f t="shared" si="271"/>
        <v>Không</v>
      </c>
      <c r="V926" s="2" t="s">
        <v>51</v>
      </c>
      <c r="W926" s="4">
        <v>46081</v>
      </c>
      <c r="X926" s="8" t="str">
        <f t="shared" si="272"/>
        <v>Tháng 2</v>
      </c>
      <c r="Y926" s="17" t="s">
        <v>1376</v>
      </c>
    </row>
    <row r="927" spans="1:25" x14ac:dyDescent="0.25">
      <c r="A927" s="25" t="s">
        <v>220</v>
      </c>
      <c r="B927" s="20" t="s">
        <v>30</v>
      </c>
      <c r="C927" s="16">
        <v>22647</v>
      </c>
      <c r="D927" s="10">
        <f t="shared" ca="1" si="260"/>
        <v>64</v>
      </c>
      <c r="E927" s="2" t="s">
        <v>26</v>
      </c>
      <c r="F927" s="3">
        <v>158</v>
      </c>
      <c r="G927" s="3">
        <v>58</v>
      </c>
      <c r="H927" s="11">
        <f t="shared" si="261"/>
        <v>23.233456176894723</v>
      </c>
      <c r="I927" s="2">
        <v>80</v>
      </c>
      <c r="J927" s="3">
        <v>140</v>
      </c>
      <c r="K927" s="3">
        <v>80</v>
      </c>
      <c r="L927" s="10">
        <f t="shared" si="262"/>
        <v>2</v>
      </c>
      <c r="M927" s="10">
        <f t="shared" ca="1" si="263"/>
        <v>2</v>
      </c>
      <c r="N927" s="10">
        <f t="shared" si="264"/>
        <v>0</v>
      </c>
      <c r="O927" s="10">
        <f t="shared" si="265"/>
        <v>3</v>
      </c>
      <c r="P927" s="10">
        <f t="shared" si="266"/>
        <v>0</v>
      </c>
      <c r="Q927" s="10">
        <f t="shared" si="267"/>
        <v>2</v>
      </c>
      <c r="R927" s="10">
        <f t="shared" ca="1" si="268"/>
        <v>9</v>
      </c>
      <c r="S927" s="10" t="str">
        <f t="shared" ca="1" si="269"/>
        <v>Có</v>
      </c>
      <c r="T927" s="10" t="str">
        <f t="shared" ca="1" si="270"/>
        <v>Có</v>
      </c>
      <c r="U927" s="10" t="str">
        <f t="shared" si="271"/>
        <v>Có</v>
      </c>
      <c r="V927" s="2" t="s">
        <v>51</v>
      </c>
      <c r="W927" s="4">
        <v>46081</v>
      </c>
      <c r="X927" s="8" t="str">
        <f t="shared" si="272"/>
        <v>Tháng 2</v>
      </c>
      <c r="Y927" s="17" t="s">
        <v>1376</v>
      </c>
    </row>
    <row r="928" spans="1:25" x14ac:dyDescent="0.25">
      <c r="A928" s="25" t="s">
        <v>1319</v>
      </c>
      <c r="B928" s="20" t="s">
        <v>23</v>
      </c>
      <c r="C928" s="16">
        <v>25934</v>
      </c>
      <c r="D928" s="10">
        <f t="shared" ca="1" si="260"/>
        <v>55</v>
      </c>
      <c r="E928" s="2" t="s">
        <v>26</v>
      </c>
      <c r="F928" s="3">
        <v>160</v>
      </c>
      <c r="G928" s="3">
        <v>60</v>
      </c>
      <c r="H928" s="11">
        <f t="shared" si="261"/>
        <v>23.437499999999996</v>
      </c>
      <c r="I928" s="2">
        <v>69</v>
      </c>
      <c r="J928" s="3">
        <v>120</v>
      </c>
      <c r="K928" s="3">
        <v>80</v>
      </c>
      <c r="L928" s="10">
        <f t="shared" si="262"/>
        <v>0</v>
      </c>
      <c r="M928" s="10">
        <f t="shared" ca="1" si="263"/>
        <v>2</v>
      </c>
      <c r="N928" s="10">
        <f t="shared" si="264"/>
        <v>0</v>
      </c>
      <c r="O928" s="10">
        <f t="shared" si="265"/>
        <v>3</v>
      </c>
      <c r="P928" s="10">
        <f t="shared" si="266"/>
        <v>0</v>
      </c>
      <c r="Q928" s="10">
        <f t="shared" si="267"/>
        <v>0</v>
      </c>
      <c r="R928" s="10">
        <f t="shared" ca="1" si="268"/>
        <v>5</v>
      </c>
      <c r="S928" s="10" t="str">
        <f t="shared" ca="1" si="269"/>
        <v>Không cần</v>
      </c>
      <c r="T928" s="10" t="str">
        <f t="shared" ca="1" si="270"/>
        <v>Không</v>
      </c>
      <c r="U928" s="10" t="str">
        <f t="shared" si="271"/>
        <v>Không</v>
      </c>
      <c r="V928" s="2" t="s">
        <v>51</v>
      </c>
      <c r="W928" s="4">
        <v>46081</v>
      </c>
      <c r="X928" s="8" t="str">
        <f t="shared" si="272"/>
        <v>Tháng 2</v>
      </c>
      <c r="Y928" s="17" t="s">
        <v>1376</v>
      </c>
    </row>
    <row r="929" spans="1:25" x14ac:dyDescent="0.25">
      <c r="A929" s="25" t="s">
        <v>523</v>
      </c>
      <c r="B929" s="20" t="s">
        <v>30</v>
      </c>
      <c r="C929" s="16">
        <v>21551</v>
      </c>
      <c r="D929" s="10">
        <f t="shared" ca="1" si="260"/>
        <v>67</v>
      </c>
      <c r="E929" s="2" t="s">
        <v>26</v>
      </c>
      <c r="F929" s="3">
        <v>162</v>
      </c>
      <c r="G929" s="3">
        <v>76</v>
      </c>
      <c r="H929" s="11">
        <f t="shared" si="261"/>
        <v>28.959000152415786</v>
      </c>
      <c r="I929" s="2">
        <v>86</v>
      </c>
      <c r="J929" s="3">
        <v>120</v>
      </c>
      <c r="K929" s="3">
        <v>80</v>
      </c>
      <c r="L929" s="10">
        <f t="shared" si="262"/>
        <v>2</v>
      </c>
      <c r="M929" s="10">
        <f t="shared" ca="1" si="263"/>
        <v>2</v>
      </c>
      <c r="N929" s="10">
        <f t="shared" si="264"/>
        <v>0</v>
      </c>
      <c r="O929" s="10">
        <f t="shared" si="265"/>
        <v>5</v>
      </c>
      <c r="P929" s="10">
        <f t="shared" si="266"/>
        <v>0</v>
      </c>
      <c r="Q929" s="10">
        <f t="shared" si="267"/>
        <v>0</v>
      </c>
      <c r="R929" s="10">
        <f t="shared" ca="1" si="268"/>
        <v>9</v>
      </c>
      <c r="S929" s="10" t="str">
        <f t="shared" ca="1" si="269"/>
        <v>Có</v>
      </c>
      <c r="T929" s="10" t="str">
        <f t="shared" ca="1" si="270"/>
        <v>Có</v>
      </c>
      <c r="U929" s="10" t="str">
        <f t="shared" si="271"/>
        <v>Không</v>
      </c>
      <c r="V929" s="2" t="s">
        <v>51</v>
      </c>
      <c r="W929" s="4">
        <v>46081</v>
      </c>
      <c r="X929" s="8" t="str">
        <f t="shared" si="272"/>
        <v>Tháng 2</v>
      </c>
      <c r="Y929" s="17" t="s">
        <v>1376</v>
      </c>
    </row>
    <row r="930" spans="1:25" x14ac:dyDescent="0.25">
      <c r="A930" s="25" t="s">
        <v>1322</v>
      </c>
      <c r="B930" s="20" t="s">
        <v>30</v>
      </c>
      <c r="C930" s="16">
        <v>25204</v>
      </c>
      <c r="D930" s="10">
        <f t="shared" ref="D930:D944" ca="1" si="273">DATEDIF(C930,TODAY(),"Y")</f>
        <v>57</v>
      </c>
      <c r="E930" s="2" t="s">
        <v>26</v>
      </c>
      <c r="F930" s="3">
        <v>158</v>
      </c>
      <c r="G930" s="3">
        <v>68</v>
      </c>
      <c r="H930" s="11">
        <f t="shared" ref="H930:H944" si="274">G930/((F930/100)*(F930/100))</f>
        <v>27.239224483255885</v>
      </c>
      <c r="I930" s="2">
        <v>79</v>
      </c>
      <c r="J930" s="3">
        <v>150</v>
      </c>
      <c r="K930" s="3">
        <v>80</v>
      </c>
      <c r="L930" s="10">
        <f t="shared" ref="L930:L944" si="275">IF(B930="Nữ",0,2)</f>
        <v>2</v>
      </c>
      <c r="M930" s="10">
        <f t="shared" ref="M930:M944" ca="1" si="276">IF(D930&lt;45,0,IF(D930&lt;=49,1,2))</f>
        <v>2</v>
      </c>
      <c r="N930" s="10">
        <f t="shared" ref="N930:N944" si="277">IF(E930="Có",4,0)</f>
        <v>0</v>
      </c>
      <c r="O930" s="10">
        <f t="shared" ref="O930:O944" si="278">IF(H930&lt;23,0,IF(H930&lt;27.5,3,5))</f>
        <v>3</v>
      </c>
      <c r="P930" s="10">
        <f t="shared" ref="P930:P944" si="279">IF(OR(AND(B930="Nam",I930&gt;=90),AND(B930="Nữ",I930&gt;=80)),2,0)</f>
        <v>0</v>
      </c>
      <c r="Q930" s="10">
        <f t="shared" ref="Q930:Q944" si="280">IF(OR(J930&gt;=140,K930&gt;=90),2,0)</f>
        <v>2</v>
      </c>
      <c r="R930" s="10">
        <f t="shared" ref="R930:R944" ca="1" si="281">SUM(L930:Q930)</f>
        <v>9</v>
      </c>
      <c r="S930" s="10" t="str">
        <f t="shared" ref="S930:S944" ca="1" si="282">IF((R930)&gt;=6,"Có","Không cần")</f>
        <v>Có</v>
      </c>
      <c r="T930" s="10" t="str">
        <f t="shared" ref="T930:T944" ca="1" si="283">IF((R930)&gt;=6,"Có","Không")</f>
        <v>Có</v>
      </c>
      <c r="U930" s="10" t="str">
        <f t="shared" ref="U930:U944" si="284">IF(OR(J930&gt;=140,K930&gt;=90),"Có","Không")</f>
        <v>Có</v>
      </c>
      <c r="V930" s="2" t="s">
        <v>51</v>
      </c>
      <c r="W930" s="4">
        <v>46081</v>
      </c>
      <c r="X930" s="8" t="str">
        <f t="shared" ref="X930:X944" si="285">"Tháng "&amp;MONTH(W930)</f>
        <v>Tháng 2</v>
      </c>
      <c r="Y930" s="17" t="s">
        <v>1376</v>
      </c>
    </row>
    <row r="931" spans="1:25" x14ac:dyDescent="0.25">
      <c r="A931" s="25" t="s">
        <v>511</v>
      </c>
      <c r="B931" s="20" t="s">
        <v>23</v>
      </c>
      <c r="C931" s="16">
        <v>21551</v>
      </c>
      <c r="D931" s="10">
        <f t="shared" ca="1" si="273"/>
        <v>67</v>
      </c>
      <c r="E931" s="2" t="s">
        <v>26</v>
      </c>
      <c r="F931" s="3">
        <v>150</v>
      </c>
      <c r="G931" s="3">
        <v>52</v>
      </c>
      <c r="H931" s="11">
        <f t="shared" si="274"/>
        <v>23.111111111111111</v>
      </c>
      <c r="I931" s="2">
        <v>97</v>
      </c>
      <c r="J931" s="3">
        <v>120</v>
      </c>
      <c r="K931" s="3">
        <v>80</v>
      </c>
      <c r="L931" s="10">
        <f t="shared" si="275"/>
        <v>0</v>
      </c>
      <c r="M931" s="10">
        <f t="shared" ca="1" si="276"/>
        <v>2</v>
      </c>
      <c r="N931" s="10">
        <f t="shared" si="277"/>
        <v>0</v>
      </c>
      <c r="O931" s="10">
        <f t="shared" si="278"/>
        <v>3</v>
      </c>
      <c r="P931" s="10">
        <f t="shared" si="279"/>
        <v>2</v>
      </c>
      <c r="Q931" s="10">
        <f t="shared" si="280"/>
        <v>0</v>
      </c>
      <c r="R931" s="10">
        <f t="shared" ca="1" si="281"/>
        <v>7</v>
      </c>
      <c r="S931" s="10" t="str">
        <f t="shared" ca="1" si="282"/>
        <v>Có</v>
      </c>
      <c r="T931" s="10" t="str">
        <f t="shared" ca="1" si="283"/>
        <v>Có</v>
      </c>
      <c r="U931" s="10" t="str">
        <f t="shared" si="284"/>
        <v>Không</v>
      </c>
      <c r="V931" s="2" t="s">
        <v>51</v>
      </c>
      <c r="W931" s="4">
        <v>46081</v>
      </c>
      <c r="X931" s="8" t="str">
        <f t="shared" si="285"/>
        <v>Tháng 2</v>
      </c>
      <c r="Y931" s="17" t="s">
        <v>1376</v>
      </c>
    </row>
    <row r="932" spans="1:25" x14ac:dyDescent="0.25">
      <c r="A932" s="25" t="s">
        <v>303</v>
      </c>
      <c r="B932" s="20" t="s">
        <v>23</v>
      </c>
      <c r="C932" s="16">
        <v>24108</v>
      </c>
      <c r="D932" s="10">
        <f t="shared" ca="1" si="273"/>
        <v>60</v>
      </c>
      <c r="E932" s="2" t="s">
        <v>26</v>
      </c>
      <c r="F932" s="3">
        <v>160</v>
      </c>
      <c r="G932" s="3">
        <v>55</v>
      </c>
      <c r="H932" s="11">
        <f t="shared" si="274"/>
        <v>21.484374999999996</v>
      </c>
      <c r="I932" s="2">
        <v>98</v>
      </c>
      <c r="J932" s="3">
        <v>120</v>
      </c>
      <c r="K932" s="3">
        <v>80</v>
      </c>
      <c r="L932" s="10">
        <f t="shared" si="275"/>
        <v>0</v>
      </c>
      <c r="M932" s="10">
        <f t="shared" ca="1" si="276"/>
        <v>2</v>
      </c>
      <c r="N932" s="10">
        <f t="shared" si="277"/>
        <v>0</v>
      </c>
      <c r="O932" s="10">
        <f t="shared" si="278"/>
        <v>0</v>
      </c>
      <c r="P932" s="10">
        <f t="shared" si="279"/>
        <v>2</v>
      </c>
      <c r="Q932" s="10">
        <f t="shared" si="280"/>
        <v>0</v>
      </c>
      <c r="R932" s="10">
        <f t="shared" ca="1" si="281"/>
        <v>4</v>
      </c>
      <c r="S932" s="10" t="str">
        <f t="shared" ca="1" si="282"/>
        <v>Không cần</v>
      </c>
      <c r="T932" s="10" t="str">
        <f t="shared" ca="1" si="283"/>
        <v>Không</v>
      </c>
      <c r="U932" s="10" t="str">
        <f t="shared" si="284"/>
        <v>Không</v>
      </c>
      <c r="V932" s="2" t="s">
        <v>51</v>
      </c>
      <c r="W932" s="4">
        <v>46081</v>
      </c>
      <c r="X932" s="8" t="str">
        <f t="shared" si="285"/>
        <v>Tháng 2</v>
      </c>
      <c r="Y932" s="17" t="s">
        <v>1376</v>
      </c>
    </row>
    <row r="933" spans="1:25" x14ac:dyDescent="0.25">
      <c r="A933" s="25" t="s">
        <v>589</v>
      </c>
      <c r="B933" s="20" t="s">
        <v>23</v>
      </c>
      <c r="C933" s="16">
        <v>21186</v>
      </c>
      <c r="D933" s="10">
        <f t="shared" ca="1" si="273"/>
        <v>68</v>
      </c>
      <c r="E933" s="2" t="s">
        <v>26</v>
      </c>
      <c r="F933" s="3">
        <v>158</v>
      </c>
      <c r="G933" s="3">
        <v>58</v>
      </c>
      <c r="H933" s="11">
        <f t="shared" si="274"/>
        <v>23.233456176894723</v>
      </c>
      <c r="I933" s="2">
        <v>86</v>
      </c>
      <c r="J933" s="3">
        <v>160</v>
      </c>
      <c r="K933" s="3">
        <v>80</v>
      </c>
      <c r="L933" s="10">
        <f t="shared" si="275"/>
        <v>0</v>
      </c>
      <c r="M933" s="10">
        <f t="shared" ca="1" si="276"/>
        <v>2</v>
      </c>
      <c r="N933" s="10">
        <f t="shared" si="277"/>
        <v>0</v>
      </c>
      <c r="O933" s="10">
        <f t="shared" si="278"/>
        <v>3</v>
      </c>
      <c r="P933" s="10">
        <f t="shared" si="279"/>
        <v>2</v>
      </c>
      <c r="Q933" s="10">
        <f t="shared" si="280"/>
        <v>2</v>
      </c>
      <c r="R933" s="10">
        <f t="shared" ca="1" si="281"/>
        <v>9</v>
      </c>
      <c r="S933" s="10" t="str">
        <f t="shared" ca="1" si="282"/>
        <v>Có</v>
      </c>
      <c r="T933" s="10" t="str">
        <f t="shared" ca="1" si="283"/>
        <v>Có</v>
      </c>
      <c r="U933" s="10" t="str">
        <f t="shared" si="284"/>
        <v>Có</v>
      </c>
      <c r="V933" s="2" t="s">
        <v>51</v>
      </c>
      <c r="W933" s="4">
        <v>46081</v>
      </c>
      <c r="X933" s="8" t="str">
        <f t="shared" si="285"/>
        <v>Tháng 2</v>
      </c>
      <c r="Y933" s="17" t="s">
        <v>1376</v>
      </c>
    </row>
    <row r="934" spans="1:25" x14ac:dyDescent="0.25">
      <c r="A934" s="25" t="s">
        <v>1326</v>
      </c>
      <c r="B934" s="20" t="s">
        <v>30</v>
      </c>
      <c r="C934" s="16">
        <v>19725</v>
      </c>
      <c r="D934" s="10">
        <f t="shared" ca="1" si="273"/>
        <v>72</v>
      </c>
      <c r="E934" s="2" t="s">
        <v>26</v>
      </c>
      <c r="F934" s="3">
        <v>155</v>
      </c>
      <c r="G934" s="3">
        <v>55</v>
      </c>
      <c r="H934" s="11">
        <f t="shared" si="274"/>
        <v>22.892819979188342</v>
      </c>
      <c r="I934" s="2">
        <v>87</v>
      </c>
      <c r="J934" s="3">
        <v>150</v>
      </c>
      <c r="K934" s="3">
        <v>80</v>
      </c>
      <c r="L934" s="10">
        <f t="shared" si="275"/>
        <v>2</v>
      </c>
      <c r="M934" s="10">
        <f t="shared" ca="1" si="276"/>
        <v>2</v>
      </c>
      <c r="N934" s="10">
        <f t="shared" si="277"/>
        <v>0</v>
      </c>
      <c r="O934" s="10">
        <f t="shared" si="278"/>
        <v>0</v>
      </c>
      <c r="P934" s="10">
        <f t="shared" si="279"/>
        <v>0</v>
      </c>
      <c r="Q934" s="10">
        <f t="shared" si="280"/>
        <v>2</v>
      </c>
      <c r="R934" s="10">
        <f t="shared" ca="1" si="281"/>
        <v>6</v>
      </c>
      <c r="S934" s="10" t="str">
        <f t="shared" ca="1" si="282"/>
        <v>Có</v>
      </c>
      <c r="T934" s="10" t="str">
        <f t="shared" ca="1" si="283"/>
        <v>Có</v>
      </c>
      <c r="U934" s="10" t="str">
        <f t="shared" si="284"/>
        <v>Có</v>
      </c>
      <c r="V934" s="2" t="s">
        <v>51</v>
      </c>
      <c r="W934" s="4">
        <v>46081</v>
      </c>
      <c r="X934" s="8" t="str">
        <f t="shared" si="285"/>
        <v>Tháng 2</v>
      </c>
      <c r="Y934" s="17" t="s">
        <v>1376</v>
      </c>
    </row>
    <row r="935" spans="1:25" x14ac:dyDescent="0.25">
      <c r="A935" s="25" t="s">
        <v>723</v>
      </c>
      <c r="B935" s="20" t="s">
        <v>23</v>
      </c>
      <c r="C935" s="16">
        <v>28856</v>
      </c>
      <c r="D935" s="10">
        <f t="shared" ca="1" si="273"/>
        <v>47</v>
      </c>
      <c r="E935" s="2" t="s">
        <v>26</v>
      </c>
      <c r="F935" s="3">
        <v>160</v>
      </c>
      <c r="G935" s="3">
        <v>54</v>
      </c>
      <c r="H935" s="11">
        <f t="shared" si="274"/>
        <v>21.093749999999996</v>
      </c>
      <c r="I935" s="2">
        <v>65</v>
      </c>
      <c r="J935" s="3">
        <v>120</v>
      </c>
      <c r="K935" s="3">
        <v>80</v>
      </c>
      <c r="L935" s="10">
        <f t="shared" si="275"/>
        <v>0</v>
      </c>
      <c r="M935" s="10">
        <f t="shared" ca="1" si="276"/>
        <v>1</v>
      </c>
      <c r="N935" s="10">
        <f t="shared" si="277"/>
        <v>0</v>
      </c>
      <c r="O935" s="10">
        <f t="shared" si="278"/>
        <v>0</v>
      </c>
      <c r="P935" s="10">
        <f t="shared" si="279"/>
        <v>0</v>
      </c>
      <c r="Q935" s="10">
        <f t="shared" si="280"/>
        <v>0</v>
      </c>
      <c r="R935" s="10">
        <f t="shared" ca="1" si="281"/>
        <v>1</v>
      </c>
      <c r="S935" s="10" t="str">
        <f t="shared" ca="1" si="282"/>
        <v>Không cần</v>
      </c>
      <c r="T935" s="10" t="str">
        <f t="shared" ca="1" si="283"/>
        <v>Không</v>
      </c>
      <c r="U935" s="10" t="str">
        <f t="shared" si="284"/>
        <v>Không</v>
      </c>
      <c r="V935" s="2" t="s">
        <v>51</v>
      </c>
      <c r="W935" s="4">
        <v>46081</v>
      </c>
      <c r="X935" s="8" t="str">
        <f t="shared" si="285"/>
        <v>Tháng 2</v>
      </c>
      <c r="Y935" s="17" t="s">
        <v>1376</v>
      </c>
    </row>
    <row r="936" spans="1:25" x14ac:dyDescent="0.25">
      <c r="A936" s="25" t="s">
        <v>233</v>
      </c>
      <c r="B936" s="20" t="s">
        <v>23</v>
      </c>
      <c r="C936" s="16">
        <v>23012</v>
      </c>
      <c r="D936" s="10">
        <f t="shared" ca="1" si="273"/>
        <v>63</v>
      </c>
      <c r="E936" s="2" t="s">
        <v>26</v>
      </c>
      <c r="F936" s="3">
        <v>169</v>
      </c>
      <c r="G936" s="3">
        <v>68</v>
      </c>
      <c r="H936" s="11">
        <f t="shared" si="274"/>
        <v>23.808690171912751</v>
      </c>
      <c r="I936" s="2">
        <v>76</v>
      </c>
      <c r="J936" s="3">
        <v>160</v>
      </c>
      <c r="K936" s="3">
        <v>80</v>
      </c>
      <c r="L936" s="10">
        <f t="shared" si="275"/>
        <v>0</v>
      </c>
      <c r="M936" s="10">
        <f t="shared" ca="1" si="276"/>
        <v>2</v>
      </c>
      <c r="N936" s="10">
        <f t="shared" si="277"/>
        <v>0</v>
      </c>
      <c r="O936" s="10">
        <f t="shared" si="278"/>
        <v>3</v>
      </c>
      <c r="P936" s="10">
        <f t="shared" si="279"/>
        <v>0</v>
      </c>
      <c r="Q936" s="10">
        <f t="shared" si="280"/>
        <v>2</v>
      </c>
      <c r="R936" s="10">
        <f t="shared" ca="1" si="281"/>
        <v>7</v>
      </c>
      <c r="S936" s="10" t="str">
        <f t="shared" ca="1" si="282"/>
        <v>Có</v>
      </c>
      <c r="T936" s="10" t="str">
        <f t="shared" ca="1" si="283"/>
        <v>Có</v>
      </c>
      <c r="U936" s="10" t="str">
        <f t="shared" si="284"/>
        <v>Có</v>
      </c>
      <c r="V936" s="2" t="s">
        <v>51</v>
      </c>
      <c r="W936" s="4">
        <v>46081</v>
      </c>
      <c r="X936" s="8" t="str">
        <f t="shared" si="285"/>
        <v>Tháng 2</v>
      </c>
      <c r="Y936" s="17" t="s">
        <v>1376</v>
      </c>
    </row>
    <row r="937" spans="1:25" x14ac:dyDescent="0.25">
      <c r="A937" s="25" t="s">
        <v>830</v>
      </c>
      <c r="B937" s="20" t="s">
        <v>23</v>
      </c>
      <c r="C937" s="16">
        <v>22647</v>
      </c>
      <c r="D937" s="10">
        <f t="shared" ca="1" si="273"/>
        <v>64</v>
      </c>
      <c r="E937" s="2" t="s">
        <v>26</v>
      </c>
      <c r="F937" s="3">
        <v>160</v>
      </c>
      <c r="G937" s="3">
        <v>67</v>
      </c>
      <c r="H937" s="11">
        <f t="shared" si="274"/>
        <v>26.171874999999996</v>
      </c>
      <c r="I937" s="2">
        <v>91</v>
      </c>
      <c r="J937" s="3">
        <v>130</v>
      </c>
      <c r="K937" s="3">
        <v>80</v>
      </c>
      <c r="L937" s="10">
        <f t="shared" si="275"/>
        <v>0</v>
      </c>
      <c r="M937" s="10">
        <f t="shared" ca="1" si="276"/>
        <v>2</v>
      </c>
      <c r="N937" s="10">
        <f t="shared" si="277"/>
        <v>0</v>
      </c>
      <c r="O937" s="10">
        <f t="shared" si="278"/>
        <v>3</v>
      </c>
      <c r="P937" s="10">
        <f t="shared" si="279"/>
        <v>2</v>
      </c>
      <c r="Q937" s="10">
        <f t="shared" si="280"/>
        <v>0</v>
      </c>
      <c r="R937" s="10">
        <f t="shared" ca="1" si="281"/>
        <v>7</v>
      </c>
      <c r="S937" s="10" t="str">
        <f t="shared" ca="1" si="282"/>
        <v>Có</v>
      </c>
      <c r="T937" s="10" t="str">
        <f t="shared" ca="1" si="283"/>
        <v>Có</v>
      </c>
      <c r="U937" s="10" t="str">
        <f t="shared" si="284"/>
        <v>Không</v>
      </c>
      <c r="V937" s="2" t="s">
        <v>51</v>
      </c>
      <c r="W937" s="4">
        <v>46081</v>
      </c>
      <c r="X937" s="8" t="str">
        <f t="shared" si="285"/>
        <v>Tháng 2</v>
      </c>
      <c r="Y937" s="17" t="s">
        <v>1376</v>
      </c>
    </row>
    <row r="938" spans="1:25" x14ac:dyDescent="0.25">
      <c r="A938" s="25" t="s">
        <v>39</v>
      </c>
      <c r="B938" s="20" t="s">
        <v>23</v>
      </c>
      <c r="C938" s="16">
        <v>21186</v>
      </c>
      <c r="D938" s="10">
        <f t="shared" ca="1" si="273"/>
        <v>68</v>
      </c>
      <c r="E938" s="2" t="s">
        <v>26</v>
      </c>
      <c r="F938" s="3">
        <v>156</v>
      </c>
      <c r="G938" s="3">
        <v>54</v>
      </c>
      <c r="H938" s="11">
        <f t="shared" si="274"/>
        <v>22.189349112426033</v>
      </c>
      <c r="I938" s="2">
        <v>90</v>
      </c>
      <c r="J938" s="3">
        <v>120</v>
      </c>
      <c r="K938" s="3">
        <v>80</v>
      </c>
      <c r="L938" s="10">
        <f t="shared" si="275"/>
        <v>0</v>
      </c>
      <c r="M938" s="10">
        <f t="shared" ca="1" si="276"/>
        <v>2</v>
      </c>
      <c r="N938" s="10">
        <f t="shared" si="277"/>
        <v>0</v>
      </c>
      <c r="O938" s="10">
        <f t="shared" si="278"/>
        <v>0</v>
      </c>
      <c r="P938" s="10">
        <f t="shared" si="279"/>
        <v>2</v>
      </c>
      <c r="Q938" s="10">
        <f t="shared" si="280"/>
        <v>0</v>
      </c>
      <c r="R938" s="10">
        <f t="shared" ca="1" si="281"/>
        <v>4</v>
      </c>
      <c r="S938" s="10" t="str">
        <f t="shared" ca="1" si="282"/>
        <v>Không cần</v>
      </c>
      <c r="T938" s="10" t="str">
        <f t="shared" ca="1" si="283"/>
        <v>Không</v>
      </c>
      <c r="U938" s="10" t="str">
        <f t="shared" si="284"/>
        <v>Không</v>
      </c>
      <c r="V938" s="2" t="s">
        <v>51</v>
      </c>
      <c r="W938" s="4">
        <v>46081</v>
      </c>
      <c r="X938" s="8" t="str">
        <f t="shared" si="285"/>
        <v>Tháng 2</v>
      </c>
      <c r="Y938" s="17" t="s">
        <v>1376</v>
      </c>
    </row>
    <row r="939" spans="1:25" x14ac:dyDescent="0.25">
      <c r="A939" s="25" t="s">
        <v>1329</v>
      </c>
      <c r="B939" s="20" t="s">
        <v>30</v>
      </c>
      <c r="C939" s="16">
        <v>20455</v>
      </c>
      <c r="D939" s="10">
        <f t="shared" ca="1" si="273"/>
        <v>70</v>
      </c>
      <c r="E939" s="2" t="s">
        <v>26</v>
      </c>
      <c r="F939" s="3">
        <v>158</v>
      </c>
      <c r="G939" s="3">
        <v>58</v>
      </c>
      <c r="H939" s="11">
        <f t="shared" si="274"/>
        <v>23.233456176894723</v>
      </c>
      <c r="I939" s="2">
        <v>73</v>
      </c>
      <c r="J939" s="3">
        <v>120</v>
      </c>
      <c r="K939" s="3">
        <v>80</v>
      </c>
      <c r="L939" s="10">
        <f t="shared" si="275"/>
        <v>2</v>
      </c>
      <c r="M939" s="10">
        <f t="shared" ca="1" si="276"/>
        <v>2</v>
      </c>
      <c r="N939" s="10">
        <f t="shared" si="277"/>
        <v>0</v>
      </c>
      <c r="O939" s="10">
        <f t="shared" si="278"/>
        <v>3</v>
      </c>
      <c r="P939" s="10">
        <f t="shared" si="279"/>
        <v>0</v>
      </c>
      <c r="Q939" s="10">
        <f t="shared" si="280"/>
        <v>0</v>
      </c>
      <c r="R939" s="10">
        <f t="shared" ca="1" si="281"/>
        <v>7</v>
      </c>
      <c r="S939" s="10" t="str">
        <f t="shared" ca="1" si="282"/>
        <v>Có</v>
      </c>
      <c r="T939" s="10" t="str">
        <f t="shared" ca="1" si="283"/>
        <v>Có</v>
      </c>
      <c r="U939" s="10" t="str">
        <f t="shared" si="284"/>
        <v>Không</v>
      </c>
      <c r="V939" s="2" t="s">
        <v>51</v>
      </c>
      <c r="W939" s="4">
        <v>46081</v>
      </c>
      <c r="X939" s="8" t="str">
        <f t="shared" si="285"/>
        <v>Tháng 2</v>
      </c>
      <c r="Y939" s="17" t="s">
        <v>1376</v>
      </c>
    </row>
    <row r="940" spans="1:25" x14ac:dyDescent="0.25">
      <c r="A940" s="25" t="s">
        <v>1331</v>
      </c>
      <c r="B940" s="20" t="s">
        <v>23</v>
      </c>
      <c r="C940" s="16">
        <v>28126</v>
      </c>
      <c r="D940" s="10">
        <f t="shared" ca="1" si="273"/>
        <v>49</v>
      </c>
      <c r="E940" s="2" t="s">
        <v>26</v>
      </c>
      <c r="F940" s="3">
        <v>169</v>
      </c>
      <c r="G940" s="3">
        <v>68</v>
      </c>
      <c r="H940" s="11">
        <f t="shared" si="274"/>
        <v>23.808690171912751</v>
      </c>
      <c r="I940" s="2">
        <v>83</v>
      </c>
      <c r="J940" s="3">
        <v>140</v>
      </c>
      <c r="K940" s="3">
        <v>80</v>
      </c>
      <c r="L940" s="10">
        <f t="shared" si="275"/>
        <v>0</v>
      </c>
      <c r="M940" s="10">
        <f t="shared" ca="1" si="276"/>
        <v>1</v>
      </c>
      <c r="N940" s="10">
        <f t="shared" si="277"/>
        <v>0</v>
      </c>
      <c r="O940" s="10">
        <f t="shared" si="278"/>
        <v>3</v>
      </c>
      <c r="P940" s="10">
        <f t="shared" si="279"/>
        <v>2</v>
      </c>
      <c r="Q940" s="10">
        <f t="shared" si="280"/>
        <v>2</v>
      </c>
      <c r="R940" s="10">
        <f t="shared" ca="1" si="281"/>
        <v>8</v>
      </c>
      <c r="S940" s="10" t="str">
        <f t="shared" ca="1" si="282"/>
        <v>Có</v>
      </c>
      <c r="T940" s="10" t="str">
        <f t="shared" ca="1" si="283"/>
        <v>Có</v>
      </c>
      <c r="U940" s="10" t="str">
        <f t="shared" si="284"/>
        <v>Có</v>
      </c>
      <c r="V940" s="2" t="s">
        <v>51</v>
      </c>
      <c r="W940" s="4">
        <v>46081</v>
      </c>
      <c r="X940" s="8" t="str">
        <f t="shared" si="285"/>
        <v>Tháng 2</v>
      </c>
      <c r="Y940" s="17" t="s">
        <v>1376</v>
      </c>
    </row>
    <row r="941" spans="1:25" x14ac:dyDescent="0.25">
      <c r="A941" s="26" t="s">
        <v>1337</v>
      </c>
      <c r="B941" s="20" t="s">
        <v>23</v>
      </c>
      <c r="C941" s="16">
        <v>20455</v>
      </c>
      <c r="D941" s="10">
        <f t="shared" ca="1" si="273"/>
        <v>70</v>
      </c>
      <c r="E941" s="2" t="s">
        <v>26</v>
      </c>
      <c r="F941" s="3">
        <v>158</v>
      </c>
      <c r="G941" s="3">
        <v>58</v>
      </c>
      <c r="H941" s="11">
        <f t="shared" si="274"/>
        <v>23.233456176894723</v>
      </c>
      <c r="I941" s="2">
        <v>81</v>
      </c>
      <c r="J941" s="3">
        <v>130</v>
      </c>
      <c r="K941" s="3">
        <v>80</v>
      </c>
      <c r="L941" s="10">
        <f t="shared" si="275"/>
        <v>0</v>
      </c>
      <c r="M941" s="10">
        <f t="shared" ca="1" si="276"/>
        <v>2</v>
      </c>
      <c r="N941" s="10">
        <f t="shared" si="277"/>
        <v>0</v>
      </c>
      <c r="O941" s="10">
        <f t="shared" si="278"/>
        <v>3</v>
      </c>
      <c r="P941" s="10">
        <f t="shared" si="279"/>
        <v>2</v>
      </c>
      <c r="Q941" s="10">
        <f t="shared" si="280"/>
        <v>0</v>
      </c>
      <c r="R941" s="10">
        <f t="shared" ca="1" si="281"/>
        <v>7</v>
      </c>
      <c r="S941" s="10" t="str">
        <f t="shared" ca="1" si="282"/>
        <v>Có</v>
      </c>
      <c r="T941" s="10" t="str">
        <f t="shared" ca="1" si="283"/>
        <v>Có</v>
      </c>
      <c r="U941" s="10" t="str">
        <f t="shared" si="284"/>
        <v>Không</v>
      </c>
      <c r="V941" s="2" t="s">
        <v>51</v>
      </c>
      <c r="W941" s="4">
        <v>46081</v>
      </c>
      <c r="X941" s="8" t="str">
        <f t="shared" si="285"/>
        <v>Tháng 2</v>
      </c>
      <c r="Y941" s="17" t="s">
        <v>1376</v>
      </c>
    </row>
    <row r="942" spans="1:25" x14ac:dyDescent="0.25">
      <c r="A942" s="26" t="s">
        <v>1340</v>
      </c>
      <c r="B942" s="20" t="s">
        <v>30</v>
      </c>
      <c r="C942" s="16">
        <v>24838</v>
      </c>
      <c r="D942" s="10">
        <f t="shared" ca="1" si="273"/>
        <v>58</v>
      </c>
      <c r="E942" s="2" t="s">
        <v>26</v>
      </c>
      <c r="F942" s="3">
        <v>168</v>
      </c>
      <c r="G942" s="3">
        <v>60</v>
      </c>
      <c r="H942" s="11">
        <f t="shared" si="274"/>
        <v>21.258503401360546</v>
      </c>
      <c r="I942" s="2">
        <v>89</v>
      </c>
      <c r="J942" s="3">
        <v>130</v>
      </c>
      <c r="K942" s="3">
        <v>80</v>
      </c>
      <c r="L942" s="10">
        <f t="shared" si="275"/>
        <v>2</v>
      </c>
      <c r="M942" s="10">
        <f t="shared" ca="1" si="276"/>
        <v>2</v>
      </c>
      <c r="N942" s="10">
        <f t="shared" si="277"/>
        <v>0</v>
      </c>
      <c r="O942" s="10">
        <f t="shared" si="278"/>
        <v>0</v>
      </c>
      <c r="P942" s="10">
        <f t="shared" si="279"/>
        <v>0</v>
      </c>
      <c r="Q942" s="10">
        <f t="shared" si="280"/>
        <v>0</v>
      </c>
      <c r="R942" s="10">
        <f t="shared" ca="1" si="281"/>
        <v>4</v>
      </c>
      <c r="S942" s="10" t="str">
        <f t="shared" ca="1" si="282"/>
        <v>Không cần</v>
      </c>
      <c r="T942" s="10" t="str">
        <f t="shared" ca="1" si="283"/>
        <v>Không</v>
      </c>
      <c r="U942" s="10" t="str">
        <f t="shared" si="284"/>
        <v>Không</v>
      </c>
      <c r="V942" s="2" t="s">
        <v>51</v>
      </c>
      <c r="W942" s="4">
        <v>46081</v>
      </c>
      <c r="X942" s="8" t="str">
        <f t="shared" si="285"/>
        <v>Tháng 2</v>
      </c>
      <c r="Y942" s="17" t="s">
        <v>1376</v>
      </c>
    </row>
    <row r="943" spans="1:25" x14ac:dyDescent="0.25">
      <c r="A943" s="26" t="s">
        <v>1345</v>
      </c>
      <c r="B943" s="20" t="s">
        <v>30</v>
      </c>
      <c r="C943" s="16">
        <v>21551</v>
      </c>
      <c r="D943" s="10">
        <f t="shared" ca="1" si="273"/>
        <v>67</v>
      </c>
      <c r="E943" s="2" t="s">
        <v>26</v>
      </c>
      <c r="F943" s="3">
        <v>169</v>
      </c>
      <c r="G943" s="3">
        <v>69</v>
      </c>
      <c r="H943" s="11">
        <f t="shared" si="274"/>
        <v>24.158817968558527</v>
      </c>
      <c r="I943" s="2">
        <v>75</v>
      </c>
      <c r="J943" s="3">
        <v>120</v>
      </c>
      <c r="K943" s="3">
        <v>80</v>
      </c>
      <c r="L943" s="10">
        <f t="shared" si="275"/>
        <v>2</v>
      </c>
      <c r="M943" s="10">
        <f t="shared" ca="1" si="276"/>
        <v>2</v>
      </c>
      <c r="N943" s="10">
        <f t="shared" si="277"/>
        <v>0</v>
      </c>
      <c r="O943" s="10">
        <f t="shared" si="278"/>
        <v>3</v>
      </c>
      <c r="P943" s="10">
        <f t="shared" si="279"/>
        <v>0</v>
      </c>
      <c r="Q943" s="10">
        <f t="shared" si="280"/>
        <v>0</v>
      </c>
      <c r="R943" s="10">
        <f t="shared" ca="1" si="281"/>
        <v>7</v>
      </c>
      <c r="S943" s="10" t="str">
        <f t="shared" ca="1" si="282"/>
        <v>Có</v>
      </c>
      <c r="T943" s="10" t="str">
        <f t="shared" ca="1" si="283"/>
        <v>Có</v>
      </c>
      <c r="U943" s="10" t="str">
        <f t="shared" si="284"/>
        <v>Không</v>
      </c>
      <c r="V943" s="2" t="s">
        <v>51</v>
      </c>
      <c r="W943" s="4">
        <v>46081</v>
      </c>
      <c r="X943" s="8" t="str">
        <f t="shared" si="285"/>
        <v>Tháng 2</v>
      </c>
      <c r="Y943" s="17" t="s">
        <v>1376</v>
      </c>
    </row>
    <row r="944" spans="1:25" x14ac:dyDescent="0.25">
      <c r="A944" s="26" t="s">
        <v>1346</v>
      </c>
      <c r="B944" s="20" t="s">
        <v>30</v>
      </c>
      <c r="C944" s="16">
        <v>20821</v>
      </c>
      <c r="D944" s="10">
        <f t="shared" ca="1" si="273"/>
        <v>69</v>
      </c>
      <c r="E944" s="2" t="s">
        <v>26</v>
      </c>
      <c r="F944" s="3">
        <v>158</v>
      </c>
      <c r="G944" s="3">
        <v>58</v>
      </c>
      <c r="H944" s="11">
        <f t="shared" si="274"/>
        <v>23.233456176894723</v>
      </c>
      <c r="I944" s="2">
        <v>88</v>
      </c>
      <c r="J944" s="3">
        <v>130</v>
      </c>
      <c r="K944" s="3">
        <v>80</v>
      </c>
      <c r="L944" s="10">
        <f t="shared" si="275"/>
        <v>2</v>
      </c>
      <c r="M944" s="10">
        <f t="shared" ca="1" si="276"/>
        <v>2</v>
      </c>
      <c r="N944" s="10">
        <f t="shared" si="277"/>
        <v>0</v>
      </c>
      <c r="O944" s="10">
        <f t="shared" si="278"/>
        <v>3</v>
      </c>
      <c r="P944" s="10">
        <f t="shared" si="279"/>
        <v>0</v>
      </c>
      <c r="Q944" s="10">
        <f t="shared" si="280"/>
        <v>0</v>
      </c>
      <c r="R944" s="10">
        <f t="shared" ca="1" si="281"/>
        <v>7</v>
      </c>
      <c r="S944" s="10" t="str">
        <f t="shared" ca="1" si="282"/>
        <v>Có</v>
      </c>
      <c r="T944" s="10" t="str">
        <f t="shared" ca="1" si="283"/>
        <v>Có</v>
      </c>
      <c r="U944" s="10" t="str">
        <f t="shared" si="284"/>
        <v>Không</v>
      </c>
      <c r="V944" s="2" t="s">
        <v>51</v>
      </c>
      <c r="W944" s="4">
        <v>46081</v>
      </c>
      <c r="X944" s="8" t="str">
        <f t="shared" si="285"/>
        <v>Tháng 2</v>
      </c>
      <c r="Y944" s="17" t="s">
        <v>1376</v>
      </c>
    </row>
    <row r="945" spans="1:25" x14ac:dyDescent="0.25">
      <c r="A945" s="27" t="s">
        <v>1355</v>
      </c>
      <c r="B945" s="20" t="s">
        <v>23</v>
      </c>
      <c r="C945" s="16">
        <v>19360</v>
      </c>
      <c r="D945" s="10">
        <f t="shared" ref="D945:D951" ca="1" si="286">DATEDIF(C945,TODAY(),"Y")</f>
        <v>73</v>
      </c>
      <c r="E945" s="2" t="s">
        <v>25</v>
      </c>
      <c r="F945" s="3">
        <v>169</v>
      </c>
      <c r="G945" s="3">
        <v>69</v>
      </c>
      <c r="H945" s="11">
        <f t="shared" ref="H945:H951" si="287">G945/((F945/100)*(F945/100))</f>
        <v>24.158817968558527</v>
      </c>
      <c r="I945" s="2">
        <v>88</v>
      </c>
      <c r="J945" s="3">
        <v>130</v>
      </c>
      <c r="K945" s="3">
        <v>80</v>
      </c>
      <c r="L945" s="10">
        <f t="shared" ref="L945:L951" si="288">IF(B945="Nữ",0,2)</f>
        <v>0</v>
      </c>
      <c r="M945" s="10">
        <f t="shared" ref="M945:M951" ca="1" si="289">IF(D945&lt;45,0,IF(D945&lt;=49,1,2))</f>
        <v>2</v>
      </c>
      <c r="N945" s="10">
        <f t="shared" ref="N945:N951" si="290">IF(E945="Có",4,0)</f>
        <v>4</v>
      </c>
      <c r="O945" s="10">
        <f t="shared" ref="O945:O951" si="291">IF(H945&lt;23,0,IF(H945&lt;27.5,3,5))</f>
        <v>3</v>
      </c>
      <c r="P945" s="10">
        <f t="shared" ref="P945:P951" si="292">IF(OR(AND(B945="Nam",I945&gt;=90),AND(B945="Nữ",I945&gt;=80)),2,0)</f>
        <v>2</v>
      </c>
      <c r="Q945" s="10">
        <f t="shared" ref="Q945:Q951" si="293">IF(OR(J945&gt;=140,K945&gt;=90),2,0)</f>
        <v>0</v>
      </c>
      <c r="R945" s="10">
        <f t="shared" ref="R945:R951" ca="1" si="294">SUM(L945:Q945)</f>
        <v>11</v>
      </c>
      <c r="S945" s="10" t="str">
        <f t="shared" ref="S945:S951" ca="1" si="295">IF((R945)&gt;=6,"Có","Không cần")</f>
        <v>Có</v>
      </c>
      <c r="T945" s="10" t="str">
        <f t="shared" ref="T945:T951" ca="1" si="296">IF((R945)&gt;=6,"Có","Không")</f>
        <v>Có</v>
      </c>
      <c r="U945" s="10" t="str">
        <f t="shared" ref="U945:U951" si="297">IF(OR(J945&gt;=140,K945&gt;=90),"Có","Không")</f>
        <v>Không</v>
      </c>
      <c r="V945" s="2" t="s">
        <v>51</v>
      </c>
      <c r="W945" s="4">
        <v>46081</v>
      </c>
      <c r="X945" s="8" t="str">
        <f t="shared" ref="X945:X951" si="298">"Tháng "&amp;MONTH(W945)</f>
        <v>Tháng 2</v>
      </c>
      <c r="Y945" s="17" t="s">
        <v>1376</v>
      </c>
    </row>
    <row r="946" spans="1:25" x14ac:dyDescent="0.25">
      <c r="A946" s="27" t="s">
        <v>1359</v>
      </c>
      <c r="B946" s="20" t="s">
        <v>30</v>
      </c>
      <c r="C946" s="16">
        <v>26299</v>
      </c>
      <c r="D946" s="10">
        <f t="shared" ca="1" si="286"/>
        <v>54</v>
      </c>
      <c r="E946" s="2" t="s">
        <v>26</v>
      </c>
      <c r="F946" s="3">
        <v>158</v>
      </c>
      <c r="G946" s="3">
        <v>58</v>
      </c>
      <c r="H946" s="11">
        <f t="shared" si="287"/>
        <v>23.233456176894723</v>
      </c>
      <c r="I946" s="2">
        <v>96</v>
      </c>
      <c r="J946" s="3">
        <v>120</v>
      </c>
      <c r="K946" s="3">
        <v>80</v>
      </c>
      <c r="L946" s="10">
        <f t="shared" si="288"/>
        <v>2</v>
      </c>
      <c r="M946" s="10">
        <f t="shared" ca="1" si="289"/>
        <v>2</v>
      </c>
      <c r="N946" s="10">
        <f t="shared" si="290"/>
        <v>0</v>
      </c>
      <c r="O946" s="10">
        <f t="shared" si="291"/>
        <v>3</v>
      </c>
      <c r="P946" s="10">
        <f t="shared" si="292"/>
        <v>2</v>
      </c>
      <c r="Q946" s="10">
        <f t="shared" si="293"/>
        <v>0</v>
      </c>
      <c r="R946" s="10">
        <f t="shared" ca="1" si="294"/>
        <v>9</v>
      </c>
      <c r="S946" s="10" t="str">
        <f t="shared" ca="1" si="295"/>
        <v>Có</v>
      </c>
      <c r="T946" s="10" t="str">
        <f t="shared" ca="1" si="296"/>
        <v>Có</v>
      </c>
      <c r="U946" s="10" t="str">
        <f t="shared" si="297"/>
        <v>Không</v>
      </c>
      <c r="V946" s="2" t="s">
        <v>51</v>
      </c>
      <c r="W946" s="4">
        <v>46081</v>
      </c>
      <c r="X946" s="8" t="str">
        <f t="shared" si="298"/>
        <v>Tháng 2</v>
      </c>
      <c r="Y946" s="17" t="s">
        <v>1376</v>
      </c>
    </row>
    <row r="947" spans="1:25" x14ac:dyDescent="0.25">
      <c r="A947" s="27" t="s">
        <v>1368</v>
      </c>
      <c r="B947" s="22" t="s">
        <v>30</v>
      </c>
      <c r="C947" s="16">
        <v>19360</v>
      </c>
      <c r="D947" s="10">
        <f t="shared" ca="1" si="286"/>
        <v>73</v>
      </c>
      <c r="E947" s="2" t="s">
        <v>26</v>
      </c>
      <c r="F947" s="3">
        <v>158</v>
      </c>
      <c r="G947" s="3">
        <v>58</v>
      </c>
      <c r="H947" s="11">
        <f t="shared" si="287"/>
        <v>23.233456176894723</v>
      </c>
      <c r="I947" s="2">
        <v>90</v>
      </c>
      <c r="J947" s="3">
        <v>120</v>
      </c>
      <c r="K947" s="3">
        <v>80</v>
      </c>
      <c r="L947" s="10">
        <f t="shared" si="288"/>
        <v>2</v>
      </c>
      <c r="M947" s="10">
        <f t="shared" ca="1" si="289"/>
        <v>2</v>
      </c>
      <c r="N947" s="10">
        <f t="shared" si="290"/>
        <v>0</v>
      </c>
      <c r="O947" s="10">
        <f t="shared" si="291"/>
        <v>3</v>
      </c>
      <c r="P947" s="10">
        <f t="shared" si="292"/>
        <v>2</v>
      </c>
      <c r="Q947" s="10">
        <f t="shared" si="293"/>
        <v>0</v>
      </c>
      <c r="R947" s="10">
        <f t="shared" ca="1" si="294"/>
        <v>9</v>
      </c>
      <c r="S947" s="10" t="str">
        <f t="shared" ca="1" si="295"/>
        <v>Có</v>
      </c>
      <c r="T947" s="10" t="str">
        <f t="shared" ca="1" si="296"/>
        <v>Có</v>
      </c>
      <c r="U947" s="10" t="str">
        <f t="shared" si="297"/>
        <v>Không</v>
      </c>
      <c r="V947" s="2" t="s">
        <v>51</v>
      </c>
      <c r="W947" s="4">
        <v>46081</v>
      </c>
      <c r="X947" s="8" t="str">
        <f t="shared" si="298"/>
        <v>Tháng 2</v>
      </c>
      <c r="Y947" s="17" t="s">
        <v>1376</v>
      </c>
    </row>
    <row r="948" spans="1:25" x14ac:dyDescent="0.25">
      <c r="A948" s="27" t="s">
        <v>1369</v>
      </c>
      <c r="B948" s="22" t="s">
        <v>30</v>
      </c>
      <c r="C948" s="16">
        <v>24838</v>
      </c>
      <c r="D948" s="10">
        <f t="shared" ca="1" si="286"/>
        <v>58</v>
      </c>
      <c r="E948" s="2" t="s">
        <v>26</v>
      </c>
      <c r="F948" s="3">
        <v>168</v>
      </c>
      <c r="G948" s="3">
        <v>67</v>
      </c>
      <c r="H948" s="11">
        <f t="shared" si="287"/>
        <v>23.738662131519277</v>
      </c>
      <c r="I948" s="2">
        <v>76</v>
      </c>
      <c r="J948" s="3">
        <v>160</v>
      </c>
      <c r="K948" s="3">
        <v>80</v>
      </c>
      <c r="L948" s="10">
        <f t="shared" si="288"/>
        <v>2</v>
      </c>
      <c r="M948" s="10">
        <f t="shared" ca="1" si="289"/>
        <v>2</v>
      </c>
      <c r="N948" s="10">
        <f t="shared" si="290"/>
        <v>0</v>
      </c>
      <c r="O948" s="10">
        <f t="shared" si="291"/>
        <v>3</v>
      </c>
      <c r="P948" s="10">
        <f t="shared" si="292"/>
        <v>0</v>
      </c>
      <c r="Q948" s="10">
        <f t="shared" si="293"/>
        <v>2</v>
      </c>
      <c r="R948" s="10">
        <f t="shared" ca="1" si="294"/>
        <v>9</v>
      </c>
      <c r="S948" s="10" t="str">
        <f t="shared" ca="1" si="295"/>
        <v>Có</v>
      </c>
      <c r="T948" s="10" t="str">
        <f t="shared" ca="1" si="296"/>
        <v>Có</v>
      </c>
      <c r="U948" s="10" t="str">
        <f t="shared" si="297"/>
        <v>Có</v>
      </c>
      <c r="V948" s="2" t="s">
        <v>51</v>
      </c>
      <c r="W948" s="4">
        <v>46081</v>
      </c>
      <c r="X948" s="8" t="str">
        <f t="shared" si="298"/>
        <v>Tháng 2</v>
      </c>
      <c r="Y948" s="17" t="s">
        <v>1376</v>
      </c>
    </row>
    <row r="949" spans="1:25" x14ac:dyDescent="0.25">
      <c r="A949" s="24" t="s">
        <v>1379</v>
      </c>
      <c r="B949" s="15" t="s">
        <v>1373</v>
      </c>
      <c r="C949" s="16">
        <v>24473</v>
      </c>
      <c r="D949" s="10">
        <f t="shared" ca="1" si="286"/>
        <v>59</v>
      </c>
      <c r="E949" s="2" t="s">
        <v>26</v>
      </c>
      <c r="F949" s="3">
        <v>158</v>
      </c>
      <c r="G949" s="3">
        <v>58</v>
      </c>
      <c r="H949" s="11">
        <f t="shared" si="287"/>
        <v>23.233456176894723</v>
      </c>
      <c r="I949" s="2">
        <v>72</v>
      </c>
      <c r="J949" s="3">
        <v>120</v>
      </c>
      <c r="K949" s="3">
        <v>80</v>
      </c>
      <c r="L949" s="10">
        <f t="shared" si="288"/>
        <v>0</v>
      </c>
      <c r="M949" s="10">
        <f t="shared" ca="1" si="289"/>
        <v>2</v>
      </c>
      <c r="N949" s="10">
        <f t="shared" si="290"/>
        <v>0</v>
      </c>
      <c r="O949" s="10">
        <f t="shared" si="291"/>
        <v>3</v>
      </c>
      <c r="P949" s="10">
        <f t="shared" si="292"/>
        <v>0</v>
      </c>
      <c r="Q949" s="10">
        <f t="shared" si="293"/>
        <v>0</v>
      </c>
      <c r="R949" s="10">
        <f t="shared" ca="1" si="294"/>
        <v>5</v>
      </c>
      <c r="S949" s="10" t="str">
        <f t="shared" ca="1" si="295"/>
        <v>Không cần</v>
      </c>
      <c r="T949" s="10" t="str">
        <f t="shared" ca="1" si="296"/>
        <v>Không</v>
      </c>
      <c r="U949" s="10" t="str">
        <f t="shared" si="297"/>
        <v>Không</v>
      </c>
      <c r="V949" s="2" t="s">
        <v>51</v>
      </c>
      <c r="W949" s="4">
        <v>46081</v>
      </c>
      <c r="X949" s="8" t="str">
        <f t="shared" si="298"/>
        <v>Tháng 2</v>
      </c>
      <c r="Y949" s="17" t="s">
        <v>1376</v>
      </c>
    </row>
    <row r="950" spans="1:25" x14ac:dyDescent="0.25">
      <c r="A950" s="24" t="s">
        <v>1382</v>
      </c>
      <c r="B950" s="15" t="s">
        <v>1373</v>
      </c>
      <c r="C950" s="16">
        <v>23743</v>
      </c>
      <c r="D950" s="10">
        <f t="shared" ca="1" si="286"/>
        <v>61</v>
      </c>
      <c r="E950" s="2" t="s">
        <v>26</v>
      </c>
      <c r="F950" s="3">
        <v>158</v>
      </c>
      <c r="G950" s="3">
        <v>58</v>
      </c>
      <c r="H950" s="11">
        <f t="shared" si="287"/>
        <v>23.233456176894723</v>
      </c>
      <c r="I950" s="2">
        <v>76</v>
      </c>
      <c r="J950" s="3">
        <v>120</v>
      </c>
      <c r="K950" s="3">
        <v>80</v>
      </c>
      <c r="L950" s="10">
        <f t="shared" si="288"/>
        <v>0</v>
      </c>
      <c r="M950" s="10">
        <f t="shared" ca="1" si="289"/>
        <v>2</v>
      </c>
      <c r="N950" s="10">
        <f t="shared" si="290"/>
        <v>0</v>
      </c>
      <c r="O950" s="10">
        <f t="shared" si="291"/>
        <v>3</v>
      </c>
      <c r="P950" s="10">
        <f t="shared" si="292"/>
        <v>0</v>
      </c>
      <c r="Q950" s="10">
        <f t="shared" si="293"/>
        <v>0</v>
      </c>
      <c r="R950" s="10">
        <f t="shared" ca="1" si="294"/>
        <v>5</v>
      </c>
      <c r="S950" s="10" t="str">
        <f t="shared" ca="1" si="295"/>
        <v>Không cần</v>
      </c>
      <c r="T950" s="10" t="str">
        <f t="shared" ca="1" si="296"/>
        <v>Không</v>
      </c>
      <c r="U950" s="10" t="str">
        <f t="shared" si="297"/>
        <v>Không</v>
      </c>
      <c r="V950" s="2" t="s">
        <v>51</v>
      </c>
      <c r="W950" s="4">
        <v>46081</v>
      </c>
      <c r="X950" s="8" t="str">
        <f t="shared" si="298"/>
        <v>Tháng 2</v>
      </c>
      <c r="Y950" s="17" t="s">
        <v>1376</v>
      </c>
    </row>
    <row r="951" spans="1:25" x14ac:dyDescent="0.25">
      <c r="A951" s="24" t="s">
        <v>1374</v>
      </c>
      <c r="B951" s="15" t="s">
        <v>1373</v>
      </c>
      <c r="C951" s="16">
        <v>23377</v>
      </c>
      <c r="D951" s="10">
        <f t="shared" ca="1" si="286"/>
        <v>62</v>
      </c>
      <c r="E951" s="2" t="s">
        <v>25</v>
      </c>
      <c r="F951" s="3">
        <v>169</v>
      </c>
      <c r="G951" s="3">
        <v>68</v>
      </c>
      <c r="H951" s="11">
        <f t="shared" si="287"/>
        <v>23.808690171912751</v>
      </c>
      <c r="I951" s="2">
        <v>99</v>
      </c>
      <c r="J951" s="3">
        <v>130</v>
      </c>
      <c r="K951" s="3">
        <v>80</v>
      </c>
      <c r="L951" s="10">
        <f t="shared" si="288"/>
        <v>0</v>
      </c>
      <c r="M951" s="10">
        <f t="shared" ca="1" si="289"/>
        <v>2</v>
      </c>
      <c r="N951" s="10">
        <f t="shared" si="290"/>
        <v>4</v>
      </c>
      <c r="O951" s="10">
        <f t="shared" si="291"/>
        <v>3</v>
      </c>
      <c r="P951" s="10">
        <f t="shared" si="292"/>
        <v>2</v>
      </c>
      <c r="Q951" s="10">
        <f t="shared" si="293"/>
        <v>0</v>
      </c>
      <c r="R951" s="10">
        <f t="shared" ca="1" si="294"/>
        <v>11</v>
      </c>
      <c r="S951" s="10" t="str">
        <f t="shared" ca="1" si="295"/>
        <v>Có</v>
      </c>
      <c r="T951" s="10" t="str">
        <f t="shared" ca="1" si="296"/>
        <v>Có</v>
      </c>
      <c r="U951" s="10" t="str">
        <f t="shared" si="297"/>
        <v>Không</v>
      </c>
      <c r="V951" s="2" t="s">
        <v>51</v>
      </c>
      <c r="W951" s="4">
        <v>46081</v>
      </c>
      <c r="X951" s="8" t="str">
        <f t="shared" si="298"/>
        <v>Tháng 2</v>
      </c>
      <c r="Y951" s="17" t="s">
        <v>1376</v>
      </c>
    </row>
    <row r="956" spans="1:25" ht="49.5" x14ac:dyDescent="0.25">
      <c r="S956" s="28" t="s">
        <v>1389</v>
      </c>
      <c r="T956" s="28" t="s">
        <v>1388</v>
      </c>
      <c r="U956" s="28" t="s">
        <v>1387</v>
      </c>
    </row>
    <row r="957" spans="1:25" x14ac:dyDescent="0.25">
      <c r="S957" s="28">
        <f ca="1">COUNTIF(S2:S951,"Có")</f>
        <v>689</v>
      </c>
      <c r="T957" s="28">
        <f ca="1">COUNTIF(T2:T951,"Có")</f>
        <v>689</v>
      </c>
      <c r="U957" s="28">
        <f>COUNTIF(U2:U951,"Có")</f>
        <v>294</v>
      </c>
    </row>
  </sheetData>
  <autoFilter ref="A1:Y95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C17" sqref="C17"/>
    </sheetView>
  </sheetViews>
  <sheetFormatPr defaultRowHeight="15.75" x14ac:dyDescent="0.25"/>
  <cols>
    <col min="1" max="1" width="25.625" style="45" bestFit="1" customWidth="1"/>
    <col min="2" max="2" width="9" style="45"/>
    <col min="3" max="3" width="80.625" style="46" bestFit="1" customWidth="1"/>
    <col min="4" max="16384" width="9" style="45"/>
  </cols>
  <sheetData>
    <row r="1" spans="1:3" ht="19.5" customHeight="1" x14ac:dyDescent="0.25">
      <c r="A1" s="47" t="s">
        <v>1390</v>
      </c>
      <c r="B1" s="20">
        <v>1</v>
      </c>
      <c r="C1" s="48" t="s">
        <v>1394</v>
      </c>
    </row>
    <row r="2" spans="1:3" ht="19.5" customHeight="1" x14ac:dyDescent="0.25">
      <c r="A2" s="47"/>
      <c r="B2" s="20">
        <v>2</v>
      </c>
      <c r="C2" s="48" t="s">
        <v>1395</v>
      </c>
    </row>
    <row r="3" spans="1:3" ht="19.5" customHeight="1" x14ac:dyDescent="0.25">
      <c r="A3" s="47"/>
      <c r="B3" s="20">
        <v>3</v>
      </c>
      <c r="C3" s="48" t="s">
        <v>1396</v>
      </c>
    </row>
    <row r="4" spans="1:3" ht="19.5" customHeight="1" x14ac:dyDescent="0.25">
      <c r="A4" s="47"/>
      <c r="B4" s="20">
        <v>4</v>
      </c>
      <c r="C4" s="48" t="s">
        <v>1397</v>
      </c>
    </row>
    <row r="5" spans="1:3" ht="19.5" customHeight="1" x14ac:dyDescent="0.25">
      <c r="A5" s="47"/>
      <c r="B5" s="20">
        <v>5</v>
      </c>
      <c r="C5" s="48" t="s">
        <v>1398</v>
      </c>
    </row>
    <row r="6" spans="1:3" ht="19.5" customHeight="1" x14ac:dyDescent="0.25">
      <c r="A6" s="47"/>
      <c r="B6" s="20">
        <v>6</v>
      </c>
      <c r="C6" s="48" t="s">
        <v>1399</v>
      </c>
    </row>
    <row r="7" spans="1:3" ht="19.5" customHeight="1" x14ac:dyDescent="0.25">
      <c r="A7" s="47"/>
      <c r="B7" s="20">
        <v>7</v>
      </c>
      <c r="C7" s="48" t="s">
        <v>1400</v>
      </c>
    </row>
    <row r="8" spans="1:3" ht="19.5" customHeight="1" x14ac:dyDescent="0.25">
      <c r="A8" s="47"/>
      <c r="B8" s="20">
        <v>8</v>
      </c>
      <c r="C8" s="48" t="s">
        <v>1401</v>
      </c>
    </row>
    <row r="9" spans="1:3" ht="19.5" customHeight="1" x14ac:dyDescent="0.25">
      <c r="A9" s="47" t="s">
        <v>1391</v>
      </c>
      <c r="B9" s="20">
        <v>1</v>
      </c>
      <c r="C9" s="48" t="s">
        <v>1402</v>
      </c>
    </row>
    <row r="10" spans="1:3" ht="19.5" customHeight="1" x14ac:dyDescent="0.25">
      <c r="A10" s="47"/>
      <c r="B10" s="20">
        <v>2</v>
      </c>
      <c r="C10" s="48" t="s">
        <v>1403</v>
      </c>
    </row>
    <row r="11" spans="1:3" ht="19.5" customHeight="1" x14ac:dyDescent="0.25">
      <c r="A11" s="47"/>
      <c r="B11" s="20">
        <v>3</v>
      </c>
      <c r="C11" s="48" t="s">
        <v>1404</v>
      </c>
    </row>
    <row r="12" spans="1:3" ht="19.5" customHeight="1" x14ac:dyDescent="0.25">
      <c r="A12" s="47"/>
      <c r="B12" s="20">
        <v>4</v>
      </c>
      <c r="C12" s="48" t="s">
        <v>1405</v>
      </c>
    </row>
    <row r="13" spans="1:3" ht="19.5" customHeight="1" x14ac:dyDescent="0.25">
      <c r="A13" s="47"/>
      <c r="B13" s="20">
        <v>5</v>
      </c>
      <c r="C13" s="48" t="s">
        <v>1406</v>
      </c>
    </row>
  </sheetData>
  <mergeCells count="2">
    <mergeCell ref="A9:A13"/>
    <mergeCell ref="A1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thongke</vt:lpstr>
      <vt:lpstr>ksl2</vt:lpstr>
      <vt:lpstr>KSL TÍNH ĐẾN THÁNG 4</vt:lpstr>
      <vt:lpstr>Bộ câu hỏi COPD - HEN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Windows User</cp:lastModifiedBy>
  <dcterms:created xsi:type="dcterms:W3CDTF">2026-06-08T08:33:33Z</dcterms:created>
  <dcterms:modified xsi:type="dcterms:W3CDTF">2026-06-09T01:01:38Z</dcterms:modified>
</cp:coreProperties>
</file>