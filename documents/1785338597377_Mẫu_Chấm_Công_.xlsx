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7594C4-FE1E-495C-8626-8B1587210052}" xr6:coauthVersionLast="47" xr6:coauthVersionMax="47" xr10:uidLastSave="{00000000-0000-0000-0000-000000000000}"/>
  <bookViews>
    <workbookView xWindow="6480" yWindow="1770" windowWidth="22125" windowHeight="11295" xr2:uid="{00000000-000D-0000-FFFF-FFFF00000000}"/>
  </bookViews>
  <sheets>
    <sheet name="Mẫu chấm công" sheetId="1" r:id="rId1"/>
    <sheet name="Lịch chi tiết" sheetId="2" r:id="rId2"/>
    <sheet name="Mẫu Danh sách" sheetId="3" r:id="rId3"/>
    <sheet name="Mẫu toa thuốc" sheetId="4" r:id="rId4"/>
    <sheet name="Mã ICD" sheetId="5" r:id="rId5"/>
  </sheets>
  <definedNames>
    <definedName name="_xlnm._FilterDatabase" localSheetId="0" hidden="1">'Mẫu chấm công'!$J$7:$Y$117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ldR0do3zYcnZ5CK/IL7C+QDmjQql66hUVfQvIJhHfGI="/>
    </ext>
  </extLst>
</workbook>
</file>

<file path=xl/calcChain.xml><?xml version="1.0" encoding="utf-8"?>
<calcChain xmlns="http://schemas.openxmlformats.org/spreadsheetml/2006/main">
  <c r="C131" i="1" l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D123" i="1" s="1"/>
  <c r="K117" i="1"/>
  <c r="I117" i="1"/>
  <c r="K116" i="1"/>
  <c r="I116" i="1"/>
  <c r="K115" i="1"/>
  <c r="I115" i="1"/>
  <c r="K114" i="1"/>
  <c r="I114" i="1"/>
  <c r="K113" i="1"/>
  <c r="I113" i="1"/>
  <c r="K112" i="1"/>
  <c r="I112" i="1"/>
  <c r="K111" i="1"/>
  <c r="I111" i="1"/>
  <c r="K110" i="1"/>
  <c r="I110" i="1"/>
  <c r="K109" i="1"/>
  <c r="I109" i="1"/>
  <c r="K108" i="1"/>
  <c r="I108" i="1"/>
  <c r="K107" i="1"/>
  <c r="I107" i="1"/>
  <c r="K106" i="1"/>
  <c r="I106" i="1"/>
  <c r="K105" i="1"/>
  <c r="I105" i="1"/>
  <c r="K104" i="1"/>
  <c r="I104" i="1"/>
  <c r="K103" i="1"/>
  <c r="I103" i="1"/>
  <c r="K102" i="1"/>
  <c r="I102" i="1"/>
  <c r="K101" i="1"/>
  <c r="I101" i="1"/>
  <c r="K100" i="1"/>
  <c r="I100" i="1"/>
  <c r="K99" i="1"/>
  <c r="I99" i="1"/>
  <c r="K98" i="1"/>
  <c r="I98" i="1"/>
  <c r="K97" i="1"/>
  <c r="I97" i="1"/>
  <c r="K96" i="1"/>
  <c r="I96" i="1"/>
  <c r="K95" i="1"/>
  <c r="I95" i="1"/>
  <c r="K94" i="1"/>
  <c r="I94" i="1"/>
  <c r="K93" i="1"/>
  <c r="I93" i="1"/>
  <c r="K92" i="1"/>
  <c r="I92" i="1"/>
  <c r="K91" i="1"/>
  <c r="I91" i="1"/>
  <c r="K90" i="1"/>
  <c r="I90" i="1"/>
  <c r="K89" i="1"/>
  <c r="I89" i="1"/>
  <c r="K88" i="1"/>
  <c r="I88" i="1"/>
  <c r="K87" i="1"/>
  <c r="I87" i="1"/>
  <c r="K86" i="1"/>
  <c r="I86" i="1"/>
  <c r="K85" i="1"/>
  <c r="I85" i="1"/>
  <c r="K84" i="1"/>
  <c r="I84" i="1"/>
  <c r="K83" i="1"/>
  <c r="I83" i="1"/>
  <c r="K82" i="1"/>
  <c r="I82" i="1"/>
  <c r="K81" i="1"/>
  <c r="I81" i="1"/>
  <c r="K80" i="1"/>
  <c r="I80" i="1"/>
  <c r="K79" i="1"/>
  <c r="I79" i="1"/>
  <c r="K78" i="1"/>
  <c r="I78" i="1"/>
  <c r="K77" i="1"/>
  <c r="I77" i="1"/>
  <c r="K76" i="1"/>
  <c r="I76" i="1"/>
  <c r="K75" i="1"/>
  <c r="I75" i="1"/>
  <c r="K74" i="1"/>
  <c r="I74" i="1"/>
  <c r="K73" i="1"/>
  <c r="I73" i="1"/>
  <c r="K72" i="1"/>
  <c r="I72" i="1"/>
  <c r="K71" i="1"/>
  <c r="I71" i="1"/>
  <c r="K70" i="1"/>
  <c r="I70" i="1"/>
  <c r="K69" i="1"/>
  <c r="I69" i="1"/>
  <c r="K68" i="1"/>
  <c r="I68" i="1"/>
  <c r="K67" i="1"/>
  <c r="I67" i="1"/>
  <c r="K66" i="1"/>
  <c r="I66" i="1"/>
  <c r="K65" i="1"/>
  <c r="I65" i="1"/>
  <c r="K64" i="1"/>
  <c r="I64" i="1"/>
  <c r="K63" i="1"/>
  <c r="I63" i="1"/>
  <c r="K62" i="1"/>
  <c r="I62" i="1"/>
  <c r="K61" i="1"/>
  <c r="I61" i="1"/>
  <c r="K60" i="1"/>
  <c r="I60" i="1"/>
  <c r="K59" i="1"/>
  <c r="I59" i="1"/>
  <c r="K58" i="1"/>
  <c r="I58" i="1"/>
  <c r="K57" i="1"/>
  <c r="I57" i="1"/>
  <c r="K56" i="1"/>
  <c r="I56" i="1"/>
  <c r="K55" i="1"/>
  <c r="I55" i="1"/>
  <c r="K54" i="1"/>
  <c r="I54" i="1"/>
  <c r="K53" i="1"/>
  <c r="I53" i="1"/>
  <c r="K52" i="1"/>
  <c r="I52" i="1"/>
  <c r="K51" i="1"/>
  <c r="I51" i="1"/>
  <c r="K50" i="1"/>
  <c r="I50" i="1"/>
  <c r="K49" i="1"/>
  <c r="I49" i="1"/>
  <c r="K48" i="1"/>
  <c r="I48" i="1"/>
  <c r="K47" i="1"/>
  <c r="I47" i="1"/>
  <c r="K46" i="1"/>
  <c r="I46" i="1"/>
  <c r="K45" i="1"/>
  <c r="I45" i="1"/>
  <c r="K44" i="1"/>
  <c r="I44" i="1"/>
  <c r="K43" i="1"/>
  <c r="I43" i="1"/>
  <c r="K42" i="1"/>
  <c r="I42" i="1"/>
  <c r="K41" i="1"/>
  <c r="I41" i="1"/>
  <c r="K40" i="1"/>
  <c r="I40" i="1"/>
  <c r="K39" i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K31" i="1"/>
  <c r="K30" i="1"/>
  <c r="I30" i="1"/>
  <c r="K29" i="1"/>
  <c r="I29" i="1"/>
  <c r="K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X7" i="1"/>
  <c r="W7" i="1"/>
  <c r="V7" i="1"/>
  <c r="U7" i="1"/>
  <c r="T7" i="1"/>
  <c r="S7" i="1"/>
  <c r="R7" i="1"/>
  <c r="Q7" i="1"/>
  <c r="P7" i="1"/>
  <c r="O7" i="1"/>
  <c r="N7" i="1"/>
  <c r="M7" i="1"/>
  <c r="L7" i="1"/>
  <c r="K5" i="1"/>
  <c r="D132" i="1" l="1"/>
  <c r="C133" i="1" s="1"/>
</calcChain>
</file>

<file path=xl/sharedStrings.xml><?xml version="1.0" encoding="utf-8"?>
<sst xmlns="http://schemas.openxmlformats.org/spreadsheetml/2006/main" count="586" uniqueCount="187">
  <si>
    <t>UBND PHƯỜNG HIỆP THÀNH</t>
  </si>
  <si>
    <t>Click</t>
  </si>
  <si>
    <t>CỘNG HÒA XÃ HỘI CHỦ NGHĨA VIỆT NAM</t>
  </si>
  <si>
    <t>TRẠM Y TẾ</t>
  </si>
  <si>
    <t>Độc lập - Tự do - Hạnh phúc</t>
  </si>
  <si>
    <t>DANH SÁCH</t>
  </si>
  <si>
    <t>THỜI GIAN VÀ ĐỊA ĐIỂM KHÁM BỆNH CHO NGƯỜI KHUYẾT TẬT, NGƯỜI CAO TUỔI, KHÁM SÀNG LỌC CHO NGƯỜI TRÊN 40 TUỔI
TẠI ĐỊA BÀN PHƯỜNG HIỆP THÀNH NĂM 2026</t>
  </si>
  <si>
    <t>STT</t>
  </si>
  <si>
    <t>Khóm/Ấp</t>
  </si>
  <si>
    <t>Thời gian</t>
  </si>
  <si>
    <t>Tuần</t>
  </si>
  <si>
    <t>KHÁM BỆNH CHO NGƯỜI KHUYẾT TẬT, NGƯỜI CAO TUỔI, KHÁM SÀNG LỌC CHO NGƯỜI TRÊN 40 TUỔI
 TẠI ĐỊA BÀN PHƯỜNG HIỆP THÀNH NĂM 2026</t>
  </si>
  <si>
    <t>TT</t>
  </si>
  <si>
    <t>Người tham gia:</t>
  </si>
  <si>
    <t>1:.....................................................................</t>
  </si>
  <si>
    <t>2:.................................................................</t>
  </si>
  <si>
    <t>Ngày trong tuần</t>
  </si>
  <si>
    <t>3:...........................................................</t>
  </si>
  <si>
    <t>Ghi chú</t>
  </si>
  <si>
    <t>Ngày</t>
  </si>
  <si>
    <t>Tổng số người
  dân được khám sàng lọc</t>
  </si>
  <si>
    <t>Khóm:.......................................................................</t>
  </si>
  <si>
    <t>Trẻ dưới 
 06 tuổi</t>
  </si>
  <si>
    <t>Khóm Biển Đông B</t>
  </si>
  <si>
    <t>Ngày thực hiện: Ngày ................tháng................năm 2026</t>
  </si>
  <si>
    <t>Trẻ từ 06 - dưới 18 tuổi</t>
  </si>
  <si>
    <t>Thứ hai</t>
  </si>
  <si>
    <t>Người đủ 18 
 tuổi trở lên</t>
  </si>
  <si>
    <t>Hồ sơ sức
  khỏe điện tử</t>
  </si>
  <si>
    <t>Tuần 1</t>
  </si>
  <si>
    <t>Nhóm bệnh lý</t>
  </si>
  <si>
    <t>không có bệnh, chỉ kiểm tra sức khỏe</t>
  </si>
  <si>
    <t>Họ và tên</t>
  </si>
  <si>
    <t>Năm sinh</t>
  </si>
  <si>
    <t>Số CCCD</t>
  </si>
  <si>
    <t>Tim mạch, THA, ĐTĐ</t>
  </si>
  <si>
    <t>Địa chỉ</t>
  </si>
  <si>
    <t>Cơ xương khớp</t>
  </si>
  <si>
    <t>Đối tượng ưu tiên</t>
  </si>
  <si>
    <t>Hô hấp</t>
  </si>
  <si>
    <t>Tiêu hóa</t>
  </si>
  <si>
    <t>Thể trạng</t>
  </si>
  <si>
    <t>Bênh
  lý khác</t>
  </si>
  <si>
    <t>Chẩn đoán</t>
  </si>
  <si>
    <t>Thứ ba</t>
  </si>
  <si>
    <t>Nam</t>
  </si>
  <si>
    <t>Nữ</t>
  </si>
  <si>
    <t>Trẻ dưới 
 24 tháng</t>
  </si>
  <si>
    <t>Từ 24 tháng tuổi-dưới 6 tuổi</t>
  </si>
  <si>
    <t>nKT</t>
  </si>
  <si>
    <t>Từ 18- dưới 60 tuổi</t>
  </si>
  <si>
    <t>nCT</t>
  </si>
  <si>
    <t>Trên 60 tuổi</t>
  </si>
  <si>
    <t>nBKLN</t>
  </si>
  <si>
    <t>CN</t>
  </si>
  <si>
    <t>Thứ tư</t>
  </si>
  <si>
    <t>NGƯỜI THAM GIA KHÁM BỆNH CHO NGƯỜI KHUYẾT TẬT, NGƯỜI CAO TUỔI, KHÁM SÀNG LỌC CHO NGƯỜI TRÊN 40 TUỔI
TẠI ĐỊA BÀN PHƯỜNG HIỆP THÀNH NĂM 2026</t>
  </si>
  <si>
    <t>CC</t>
  </si>
  <si>
    <t>Bệnh lý khác</t>
  </si>
  <si>
    <t>Thứ năm</t>
  </si>
  <si>
    <t>2008 &gt; 2020</t>
  </si>
  <si>
    <t>1966 &gt; 2008</t>
  </si>
  <si>
    <t>&lt; 1966</t>
  </si>
  <si>
    <t>I10 - I20 - E11,9...</t>
  </si>
  <si>
    <t>I10 – Tăng huyết áp nguyên phát</t>
  </si>
  <si>
    <t>M15,9 - M54,5</t>
  </si>
  <si>
    <t>□ Tim mạch, THA, ĐTĐ
□ Cơ xương khớp
□ Hô hấp □ Tiêu hóa
□ Bệnh khác:….....................</t>
  </si>
  <si>
    <t>M15.9 – Thoái hóa đa khớp</t>
  </si>
  <si>
    <t>K21,9</t>
  </si>
  <si>
    <t>J00 – Viêm mũi họng cấp (cảm lạnh)</t>
  </si>
  <si>
    <t>K21.9 – Trào ngược dạ dày thực quản</t>
  </si>
  <si>
    <t>N39.0 – Nhiễm khuẩn đường tiết niệu</t>
  </si>
  <si>
    <t>Thứ sáu</t>
  </si>
  <si>
    <t>I20.9 – Đau thắt ngực</t>
  </si>
  <si>
    <t>Đội ngũ Y tế các chương trình</t>
  </si>
  <si>
    <t>M17.9 – Thoái hóa gối</t>
  </si>
  <si>
    <t>J02.9 – Viêm họng cấp</t>
  </si>
  <si>
    <t>K29.7 – Viêm dạ dày</t>
  </si>
  <si>
    <t>H52.4 – Lão thị</t>
  </si>
  <si>
    <t>I25.9 – Bệnh tim thiếu máu cục bộ mạn</t>
  </si>
  <si>
    <t>M19.9 – Thoái hóa khớp</t>
  </si>
  <si>
    <t>J03.9 – Viêm amidan cấp</t>
  </si>
  <si>
    <t>K30 – Khó tiêu</t>
  </si>
  <si>
    <t>Tuần 2</t>
  </si>
  <si>
    <t>H10.9 – Viêm kết mạc</t>
  </si>
  <si>
    <t>Người cao tuổi</t>
  </si>
  <si>
    <t>Người khuyết tật</t>
  </si>
  <si>
    <t>Khám sàng lọc BKLN</t>
  </si>
  <si>
    <t>I48 – Rung nhĩ</t>
  </si>
  <si>
    <t>M25.5 – Đau khớp</t>
  </si>
  <si>
    <t>Tổng cộng</t>
  </si>
  <si>
    <t>J06.9 – Nhiễm khuẩn hô hấp trên cấp</t>
  </si>
  <si>
    <t>K59.0 – Táo bón</t>
  </si>
  <si>
    <t>L30.9 – Viêm da</t>
  </si>
  <si>
    <t>I50.9 – Suy tim</t>
  </si>
  <si>
    <t>M54.5 – Đau thắt lưng</t>
  </si>
  <si>
    <t>J18.9 – Viêm phổi</t>
  </si>
  <si>
    <t>K52.9 – Viêm dạ dày ruột không nhiễm khuẩn</t>
  </si>
  <si>
    <t>L29.9 – Ngứa</t>
  </si>
  <si>
    <t>E11.9 – Đái tháo đường typ 2</t>
  </si>
  <si>
    <t>M54.2 – Đau cổ</t>
  </si>
  <si>
    <t>J20.9 – Viêm phế quản cấp</t>
  </si>
  <si>
    <t>K58.9 – Hội chứng ruột kích thích</t>
  </si>
  <si>
    <t>R42 – Chóng mặt</t>
  </si>
  <si>
    <t>E78.2 – Rối loạn lipid máu</t>
  </si>
  <si>
    <t>M79.1 – Đau cơ</t>
  </si>
  <si>
    <t>J40 – Viêm phế quản không xác định cấp hay mạn</t>
  </si>
  <si>
    <t>K64.9 – Trĩ</t>
  </si>
  <si>
    <t>R51 – Đau đầu</t>
  </si>
  <si>
    <t>Lê Trung Tính</t>
  </si>
  <si>
    <t>x</t>
  </si>
  <si>
    <t>Phùng Ngọc Hân</t>
  </si>
  <si>
    <t>I69 – Di chứng đột quỵ</t>
  </si>
  <si>
    <t>M79.6 – Đau chi</t>
  </si>
  <si>
    <t>J44.9 – COPD</t>
  </si>
  <si>
    <t>K76.0 – Gan nhiễm mỡ</t>
  </si>
  <si>
    <t>G47.0 – Mất ngủ</t>
  </si>
  <si>
    <t>Tiêm chủng</t>
  </si>
  <si>
    <t>N18 – Bệnh thận mạn</t>
  </si>
  <si>
    <t>M81.9 – Loãng xương</t>
  </si>
  <si>
    <t>J45.9 – Hen phế quản</t>
  </si>
  <si>
    <t>Khóm Biển Đông A</t>
  </si>
  <si>
    <t>K80.2 – Sỏi túi mật</t>
  </si>
  <si>
    <t>Z00.0 – Khám sức khỏe</t>
  </si>
  <si>
    <t>Tuần 3</t>
  </si>
  <si>
    <t>I70 – Xơ vữa động mạch</t>
  </si>
  <si>
    <t>M75.1 – Viêm gân vai</t>
  </si>
  <si>
    <t>J31.0 – Viêm mũi mạn</t>
  </si>
  <si>
    <t>K05.1 – Viêm lợi</t>
  </si>
  <si>
    <t>Z71.8 – Tư vấn sức khỏe</t>
  </si>
  <si>
    <t>Lê Văn Thuận</t>
  </si>
  <si>
    <t>Sơn Lý Hồng Đức</t>
  </si>
  <si>
    <t>Nghỉ</t>
  </si>
  <si>
    <t>Tuần 4</t>
  </si>
  <si>
    <t>Huỳnh Tấn Phát</t>
  </si>
  <si>
    <t>Khóm Biển Tây A</t>
  </si>
  <si>
    <t>Tuần 5</t>
  </si>
  <si>
    <t>Khóm Biển Tây B</t>
  </si>
  <si>
    <t>Tuần 6</t>
  </si>
  <si>
    <t>Thứ sáu -Tiêm chủng</t>
  </si>
  <si>
    <t>Thứ hai -Tiêm chủng</t>
  </si>
  <si>
    <t>Tuần 7</t>
  </si>
  <si>
    <t>Khóm giồng giữa A</t>
  </si>
  <si>
    <t>Tuần 8</t>
  </si>
  <si>
    <t>Khóm Giồng Giữa A</t>
  </si>
  <si>
    <t>Khóm giồng giữa B</t>
  </si>
  <si>
    <t>Tuần 9</t>
  </si>
  <si>
    <t>Thứ 4</t>
  </si>
  <si>
    <t>Tuần 10</t>
  </si>
  <si>
    <t>Thứ 5</t>
  </si>
  <si>
    <t>Thứ 6</t>
  </si>
  <si>
    <t>Khóm giồng nhãn</t>
  </si>
  <si>
    <t>Khốm Biển Tây A</t>
  </si>
  <si>
    <t>Tuần 11</t>
  </si>
  <si>
    <t>Khóm giồng nhãn A</t>
  </si>
  <si>
    <t>Tuần 12</t>
  </si>
  <si>
    <t xml:space="preserve">Khóm Giồng Giữa B </t>
  </si>
  <si>
    <t>Khóm Giồng Giữa B</t>
  </si>
  <si>
    <t>Thứ 2</t>
  </si>
  <si>
    <t>Thứ 3</t>
  </si>
  <si>
    <t>Tuần 13</t>
  </si>
  <si>
    <t>Khóm giồng giữa</t>
  </si>
  <si>
    <t>Tuần 14</t>
  </si>
  <si>
    <t>Tuần 15</t>
  </si>
  <si>
    <t>Khóm xóm lẫm</t>
  </si>
  <si>
    <t>Tuần 16</t>
  </si>
  <si>
    <t>Khóm đầu lộ</t>
  </si>
  <si>
    <t>Tuần 17</t>
  </si>
  <si>
    <t>Khóm đầu lộ A</t>
  </si>
  <si>
    <t>Tuần 18</t>
  </si>
  <si>
    <t>Khóm nhà mát</t>
  </si>
  <si>
    <t>Tuần 19</t>
  </si>
  <si>
    <t>Khóm kinh tế</t>
  </si>
  <si>
    <t>Tuần 20</t>
  </si>
  <si>
    <t>Khóm bờ tây</t>
  </si>
  <si>
    <t>Tuần 21</t>
  </si>
  <si>
    <t>Khóm chòm xoài</t>
  </si>
  <si>
    <t>Tuần 22</t>
  </si>
  <si>
    <t>Thống kê số lượng ngày của từng người Tham gia</t>
  </si>
  <si>
    <t>Họ và Tên</t>
  </si>
  <si>
    <t>Số lượng ngày</t>
  </si>
  <si>
    <t>Số tiền</t>
  </si>
  <si>
    <t>Hồ Chí Ngoan</t>
  </si>
  <si>
    <t>Lâm Minh Ngoãn</t>
  </si>
  <si>
    <t>Lê Chí Thẩm</t>
  </si>
  <si>
    <t>Lê Quyền Thoại</t>
  </si>
  <si>
    <t xml:space="preserve">Bằng chữ: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</si>
</sst>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0\ &quot;Ngày&quot;"/>
    <numFmt numFmtId="166" formatCode="#,##0\ [$đ-42A]"/>
  </numFmts>
  <fonts count="17" x14ac:knownFonts="1">
    <font>
      <sz val="11"/>
      <color theme="1"/>
      <name val="Calibri"/>
      <scheme val="minor"/>
    </font>
    <font>
      <sz val="13"/>
      <color theme="1"/>
      <name val="Times New Roman"/>
    </font>
    <font>
      <sz val="11"/>
      <color rgb="FF000000"/>
      <name val="Calibri"/>
    </font>
    <font>
      <b/>
      <sz val="14"/>
      <color theme="1"/>
      <name val="Times New Roman"/>
    </font>
    <font>
      <sz val="13"/>
      <color rgb="FF000000"/>
      <name val="Times New Roman"/>
    </font>
    <font>
      <b/>
      <sz val="16"/>
      <color theme="1"/>
      <name val="Times New Roman"/>
    </font>
    <font>
      <u/>
      <sz val="100"/>
      <color rgb="FF0000FF"/>
      <name val="Impact"/>
    </font>
    <font>
      <b/>
      <sz val="14"/>
      <color rgb="FF000000"/>
      <name val="Times New Roman"/>
    </font>
    <font>
      <b/>
      <sz val="13"/>
      <color theme="1"/>
      <name val="Times New Roman"/>
    </font>
    <font>
      <b/>
      <sz val="16"/>
      <color rgb="FF000000"/>
      <name val="Times New Roman"/>
    </font>
    <font>
      <sz val="11"/>
      <name val="Calibri"/>
    </font>
    <font>
      <sz val="14"/>
      <color rgb="FF000000"/>
      <name val="Times New Roman"/>
    </font>
    <font>
      <sz val="14"/>
      <color theme="1"/>
      <name val="Times New Roman"/>
    </font>
    <font>
      <sz val="11"/>
      <color theme="1"/>
      <name val="Calibri"/>
    </font>
    <font>
      <b/>
      <sz val="13"/>
      <color rgb="FF000000"/>
      <name val="Times New Roman"/>
    </font>
    <font>
      <sz val="11"/>
      <color theme="1"/>
      <name val="Times New Roman"/>
    </font>
    <font>
      <i/>
      <sz val="13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1" fillId="0" borderId="0" xfId="0" applyFont="1"/>
    <xf numFmtId="0" fontId="8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/>
    <xf numFmtId="0" fontId="12" fillId="0" borderId="0" xfId="0" applyFont="1"/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14" fontId="1" fillId="3" borderId="6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/>
    </xf>
    <xf numFmtId="14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5" fillId="0" borderId="0" xfId="0" applyFont="1"/>
    <xf numFmtId="3" fontId="4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8" fillId="5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4" fontId="1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1" fillId="4" borderId="6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14" fontId="1" fillId="3" borderId="6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165" fontId="1" fillId="0" borderId="6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vertical="center"/>
    </xf>
    <xf numFmtId="166" fontId="8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" fillId="3" borderId="1" xfId="0" applyFont="1" applyFill="1" applyBorder="1" applyAlignment="1">
      <alignment horizontal="center" vertical="center" textRotation="180"/>
    </xf>
    <xf numFmtId="0" fontId="10" fillId="0" borderId="10" xfId="0" applyFont="1" applyBorder="1"/>
    <xf numFmtId="0" fontId="10" fillId="0" borderId="5" xfId="0" applyFont="1" applyBorder="1"/>
    <xf numFmtId="0" fontId="1" fillId="4" borderId="1" xfId="0" applyFont="1" applyFill="1" applyBorder="1" applyAlignment="1">
      <alignment horizontal="center" vertical="center" textRotation="180"/>
    </xf>
    <xf numFmtId="0" fontId="8" fillId="6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8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9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left"/>
    </xf>
    <xf numFmtId="0" fontId="10" fillId="0" borderId="7" xfId="0" applyFont="1" applyBorder="1"/>
    <xf numFmtId="0" fontId="11" fillId="0" borderId="7" xfId="0" applyFont="1" applyBorder="1" applyAlignment="1">
      <alignment horizontal="center"/>
    </xf>
    <xf numFmtId="0" fontId="14" fillId="2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Mẫu chấm công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23:E131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Mẫu chấm cô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ocQ6haOGsAjTgdnsqXSePsXDgJ9vOfe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Y1000"/>
  <sheetViews>
    <sheetView tabSelected="1" topLeftCell="H1" zoomScale="55" zoomScaleNormal="55" workbookViewId="0">
      <pane ySplit="7" topLeftCell="A8" activePane="bottomLeft" state="frozen"/>
      <selection pane="bottomLeft" activeCell="N10" sqref="N10"/>
    </sheetView>
  </sheetViews>
  <sheetFormatPr defaultColWidth="14.42578125" defaultRowHeight="15" customHeight="1" x14ac:dyDescent="0.25"/>
  <cols>
    <col min="1" max="1" width="6" customWidth="1"/>
    <col min="2" max="3" width="32.85546875" customWidth="1"/>
    <col min="4" max="6" width="36" customWidth="1"/>
    <col min="7" max="7" width="29.85546875" customWidth="1"/>
    <col min="8" max="8" width="8.7109375" customWidth="1"/>
    <col min="9" max="9" width="21" customWidth="1"/>
    <col min="10" max="10" width="9" customWidth="1"/>
    <col min="11" max="11" width="18.140625" customWidth="1"/>
    <col min="12" max="12" width="28.140625" customWidth="1"/>
    <col min="13" max="13" width="23.28515625" customWidth="1"/>
    <col min="14" max="14" width="31.140625" customWidth="1"/>
    <col min="15" max="15" width="25.7109375" customWidth="1"/>
    <col min="16" max="16" width="21.5703125" customWidth="1"/>
    <col min="17" max="17" width="14" customWidth="1"/>
    <col min="18" max="18" width="15.5703125" customWidth="1"/>
    <col min="19" max="19" width="25" customWidth="1"/>
    <col min="20" max="20" width="17.7109375" customWidth="1"/>
    <col min="21" max="21" width="8.85546875" customWidth="1"/>
    <col min="22" max="22" width="10.42578125" customWidth="1"/>
    <col min="23" max="23" width="10" customWidth="1"/>
    <col min="24" max="24" width="40.42578125" customWidth="1"/>
    <col min="25" max="25" width="9.5703125" customWidth="1"/>
  </cols>
  <sheetData>
    <row r="1" spans="1:25" ht="16.5" customHeight="1" x14ac:dyDescent="0.25">
      <c r="A1" s="80" t="s">
        <v>0</v>
      </c>
      <c r="B1" s="62"/>
      <c r="C1" s="62"/>
      <c r="E1" s="61" t="s">
        <v>2</v>
      </c>
      <c r="F1" s="62"/>
      <c r="G1" s="62"/>
      <c r="H1" s="62"/>
      <c r="I1" s="1"/>
      <c r="J1" s="73" t="s">
        <v>12</v>
      </c>
      <c r="K1" s="73" t="s">
        <v>19</v>
      </c>
      <c r="L1" s="73" t="s">
        <v>20</v>
      </c>
      <c r="M1" s="74" t="s">
        <v>22</v>
      </c>
      <c r="N1" s="75"/>
      <c r="O1" s="73" t="s">
        <v>25</v>
      </c>
      <c r="P1" s="74" t="s">
        <v>27</v>
      </c>
      <c r="Q1" s="75"/>
      <c r="R1" s="73" t="s">
        <v>28</v>
      </c>
      <c r="S1" s="70" t="s">
        <v>30</v>
      </c>
      <c r="T1" s="68"/>
      <c r="U1" s="68"/>
      <c r="V1" s="68"/>
      <c r="W1" s="69"/>
      <c r="X1" s="73" t="s">
        <v>31</v>
      </c>
      <c r="Y1" s="73" t="s">
        <v>18</v>
      </c>
    </row>
    <row r="2" spans="1:25" ht="16.5" customHeight="1" x14ac:dyDescent="0.25">
      <c r="A2" s="61" t="s">
        <v>3</v>
      </c>
      <c r="B2" s="62"/>
      <c r="C2" s="62"/>
      <c r="E2" s="61" t="s">
        <v>4</v>
      </c>
      <c r="F2" s="62"/>
      <c r="G2" s="62"/>
      <c r="H2" s="62"/>
      <c r="I2" s="1"/>
      <c r="J2" s="64"/>
      <c r="K2" s="64"/>
      <c r="L2" s="64"/>
      <c r="M2" s="76"/>
      <c r="N2" s="77"/>
      <c r="O2" s="64"/>
      <c r="P2" s="76"/>
      <c r="Q2" s="77"/>
      <c r="R2" s="64"/>
      <c r="S2" s="73" t="s">
        <v>35</v>
      </c>
      <c r="T2" s="73" t="s">
        <v>37</v>
      </c>
      <c r="U2" s="73" t="s">
        <v>39</v>
      </c>
      <c r="V2" s="73" t="s">
        <v>40</v>
      </c>
      <c r="W2" s="73" t="s">
        <v>42</v>
      </c>
      <c r="X2" s="64"/>
      <c r="Y2" s="64"/>
    </row>
    <row r="3" spans="1:25" ht="16.5" customHeight="1" x14ac:dyDescent="0.25">
      <c r="A3" s="3"/>
      <c r="B3" s="3"/>
      <c r="C3" s="3"/>
      <c r="D3" s="3"/>
      <c r="E3" s="3"/>
      <c r="F3" s="3"/>
      <c r="G3" s="3"/>
      <c r="H3" s="1"/>
      <c r="I3" s="1"/>
      <c r="J3" s="64"/>
      <c r="K3" s="64"/>
      <c r="L3" s="64"/>
      <c r="M3" s="78"/>
      <c r="N3" s="79"/>
      <c r="O3" s="64"/>
      <c r="P3" s="78"/>
      <c r="Q3" s="79"/>
      <c r="R3" s="64"/>
      <c r="S3" s="64"/>
      <c r="T3" s="64"/>
      <c r="U3" s="64"/>
      <c r="V3" s="64"/>
      <c r="W3" s="64"/>
      <c r="X3" s="64"/>
      <c r="Y3" s="64"/>
    </row>
    <row r="4" spans="1:25" ht="16.5" customHeight="1" x14ac:dyDescent="0.25">
      <c r="A4" s="84" t="s">
        <v>5</v>
      </c>
      <c r="B4" s="62"/>
      <c r="C4" s="62"/>
      <c r="D4" s="62"/>
      <c r="E4" s="62"/>
      <c r="F4" s="62"/>
      <c r="G4" s="62"/>
      <c r="H4" s="62"/>
      <c r="I4" s="1"/>
      <c r="J4" s="65"/>
      <c r="K4" s="65"/>
      <c r="L4" s="65"/>
      <c r="M4" s="21" t="s">
        <v>47</v>
      </c>
      <c r="N4" s="21" t="s">
        <v>48</v>
      </c>
      <c r="O4" s="65"/>
      <c r="P4" s="21" t="s">
        <v>50</v>
      </c>
      <c r="Q4" s="21" t="s">
        <v>52</v>
      </c>
      <c r="R4" s="65"/>
      <c r="S4" s="65"/>
      <c r="T4" s="65"/>
      <c r="U4" s="65"/>
      <c r="V4" s="65"/>
      <c r="W4" s="65"/>
      <c r="X4" s="65"/>
      <c r="Y4" s="65"/>
    </row>
    <row r="5" spans="1:25" ht="38.25" customHeight="1" x14ac:dyDescent="0.25">
      <c r="A5" s="85" t="s">
        <v>56</v>
      </c>
      <c r="B5" s="62"/>
      <c r="C5" s="62"/>
      <c r="D5" s="62"/>
      <c r="E5" s="62"/>
      <c r="F5" s="62"/>
      <c r="G5" s="62"/>
      <c r="H5" s="62"/>
      <c r="I5" s="1"/>
      <c r="J5" s="81"/>
      <c r="K5" s="81">
        <f>COUNT(L8:L117)</f>
        <v>13</v>
      </c>
      <c r="L5" s="81"/>
      <c r="M5" s="81"/>
      <c r="N5" s="81"/>
      <c r="O5" s="81" t="s">
        <v>60</v>
      </c>
      <c r="P5" s="81" t="s">
        <v>61</v>
      </c>
      <c r="Q5" s="81" t="s">
        <v>62</v>
      </c>
      <c r="R5" s="81"/>
      <c r="S5" s="81" t="s">
        <v>63</v>
      </c>
      <c r="T5" s="81" t="s">
        <v>65</v>
      </c>
      <c r="U5" s="81"/>
      <c r="V5" s="81" t="s">
        <v>68</v>
      </c>
      <c r="W5" s="81"/>
      <c r="X5" s="81"/>
      <c r="Y5" s="81"/>
    </row>
    <row r="6" spans="1:25" ht="30" customHeight="1" x14ac:dyDescent="0.25">
      <c r="A6" s="82" t="s">
        <v>7</v>
      </c>
      <c r="B6" s="82" t="s">
        <v>8</v>
      </c>
      <c r="C6" s="82" t="s">
        <v>9</v>
      </c>
      <c r="D6" s="86" t="s">
        <v>74</v>
      </c>
      <c r="E6" s="68"/>
      <c r="F6" s="69"/>
      <c r="G6" s="82" t="s">
        <v>18</v>
      </c>
      <c r="H6" s="82" t="s">
        <v>10</v>
      </c>
      <c r="I6" s="82" t="s">
        <v>8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</row>
    <row r="7" spans="1:25" ht="32.25" customHeight="1" x14ac:dyDescent="0.25">
      <c r="A7" s="65"/>
      <c r="B7" s="65"/>
      <c r="C7" s="65"/>
      <c r="D7" s="5" t="s">
        <v>85</v>
      </c>
      <c r="E7" s="5" t="s">
        <v>86</v>
      </c>
      <c r="F7" s="5" t="s">
        <v>87</v>
      </c>
      <c r="G7" s="65"/>
      <c r="H7" s="65"/>
      <c r="I7" s="65"/>
      <c r="J7" s="83" t="s">
        <v>90</v>
      </c>
      <c r="K7" s="69"/>
      <c r="L7" s="28">
        <f t="shared" ref="L7:X7" si="0">SUM(L8:L117)</f>
        <v>202</v>
      </c>
      <c r="M7" s="28">
        <f t="shared" si="0"/>
        <v>0</v>
      </c>
      <c r="N7" s="28">
        <f t="shared" si="0"/>
        <v>0</v>
      </c>
      <c r="O7" s="28">
        <f t="shared" si="0"/>
        <v>5</v>
      </c>
      <c r="P7" s="28">
        <f t="shared" si="0"/>
        <v>47</v>
      </c>
      <c r="Q7" s="28">
        <f t="shared" si="0"/>
        <v>150</v>
      </c>
      <c r="R7" s="28">
        <f t="shared" si="0"/>
        <v>0</v>
      </c>
      <c r="S7" s="28">
        <f t="shared" si="0"/>
        <v>89</v>
      </c>
      <c r="T7" s="28">
        <f t="shared" si="0"/>
        <v>46</v>
      </c>
      <c r="U7" s="28">
        <f t="shared" si="0"/>
        <v>2</v>
      </c>
      <c r="V7" s="28">
        <f t="shared" si="0"/>
        <v>25</v>
      </c>
      <c r="W7" s="28">
        <f t="shared" si="0"/>
        <v>34</v>
      </c>
      <c r="X7" s="28">
        <f t="shared" si="0"/>
        <v>16</v>
      </c>
      <c r="Y7" s="28"/>
    </row>
    <row r="8" spans="1:25" ht="49.5" customHeight="1" x14ac:dyDescent="0.25">
      <c r="A8" s="13">
        <v>1</v>
      </c>
      <c r="B8" s="29" t="s">
        <v>23</v>
      </c>
      <c r="C8" s="30">
        <v>46195</v>
      </c>
      <c r="D8" s="31" t="s">
        <v>109</v>
      </c>
      <c r="E8" s="31" t="s">
        <v>110</v>
      </c>
      <c r="F8" s="31" t="s">
        <v>111</v>
      </c>
      <c r="G8" s="13" t="s">
        <v>26</v>
      </c>
      <c r="H8" s="63" t="s">
        <v>29</v>
      </c>
      <c r="I8" s="13" t="str">
        <f t="shared" ref="I8:I27" si="1">B8</f>
        <v>Khóm Biển Đông B</v>
      </c>
      <c r="J8" s="32">
        <v>1</v>
      </c>
      <c r="K8" s="33">
        <f t="shared" ref="K8:K117" si="2">C8</f>
        <v>46195</v>
      </c>
      <c r="L8" s="34">
        <v>40</v>
      </c>
      <c r="M8" s="35">
        <v>0</v>
      </c>
      <c r="N8" s="35">
        <v>0</v>
      </c>
      <c r="O8" s="35">
        <v>0</v>
      </c>
      <c r="P8" s="35">
        <v>4</v>
      </c>
      <c r="Q8" s="35">
        <v>36</v>
      </c>
      <c r="R8" s="35">
        <v>0</v>
      </c>
      <c r="S8" s="35">
        <v>21</v>
      </c>
      <c r="T8" s="35">
        <v>16</v>
      </c>
      <c r="U8" s="35">
        <v>1</v>
      </c>
      <c r="V8" s="35">
        <v>8</v>
      </c>
      <c r="W8" s="35">
        <v>8</v>
      </c>
      <c r="X8" s="35">
        <v>2</v>
      </c>
      <c r="Y8" s="32"/>
    </row>
    <row r="9" spans="1:25" ht="49.5" customHeight="1" x14ac:dyDescent="0.25">
      <c r="A9" s="18">
        <v>2</v>
      </c>
      <c r="B9" s="36" t="s">
        <v>23</v>
      </c>
      <c r="C9" s="37">
        <v>46196</v>
      </c>
      <c r="D9" s="38" t="s">
        <v>110</v>
      </c>
      <c r="E9" s="38" t="s">
        <v>130</v>
      </c>
      <c r="F9" s="38" t="s">
        <v>111</v>
      </c>
      <c r="G9" s="18" t="s">
        <v>44</v>
      </c>
      <c r="H9" s="64"/>
      <c r="I9" s="18" t="str">
        <f t="shared" si="1"/>
        <v>Khóm Biển Đông B</v>
      </c>
      <c r="J9" s="32">
        <v>2</v>
      </c>
      <c r="K9" s="33">
        <f t="shared" si="2"/>
        <v>46196</v>
      </c>
      <c r="L9" s="34">
        <v>10</v>
      </c>
      <c r="M9" s="35">
        <v>0</v>
      </c>
      <c r="N9" s="35">
        <v>0</v>
      </c>
      <c r="O9" s="35">
        <v>1</v>
      </c>
      <c r="P9" s="35">
        <v>0</v>
      </c>
      <c r="Q9" s="35">
        <v>9</v>
      </c>
      <c r="R9" s="35">
        <v>0</v>
      </c>
      <c r="S9" s="35">
        <v>4</v>
      </c>
      <c r="T9" s="35">
        <v>0</v>
      </c>
      <c r="U9" s="35">
        <v>0</v>
      </c>
      <c r="V9" s="35">
        <v>0</v>
      </c>
      <c r="W9" s="35">
        <v>2</v>
      </c>
      <c r="X9" s="35">
        <v>3</v>
      </c>
      <c r="Y9" s="32"/>
    </row>
    <row r="10" spans="1:25" ht="49.5" customHeight="1" x14ac:dyDescent="0.25">
      <c r="A10" s="13">
        <v>3</v>
      </c>
      <c r="B10" s="29" t="s">
        <v>23</v>
      </c>
      <c r="C10" s="39">
        <v>46197</v>
      </c>
      <c r="D10" s="31" t="s">
        <v>109</v>
      </c>
      <c r="E10" s="31" t="s">
        <v>110</v>
      </c>
      <c r="F10" s="31" t="s">
        <v>131</v>
      </c>
      <c r="G10" s="13" t="s">
        <v>55</v>
      </c>
      <c r="H10" s="64"/>
      <c r="I10" s="13" t="str">
        <f t="shared" si="1"/>
        <v>Khóm Biển Đông B</v>
      </c>
      <c r="J10" s="32">
        <v>3</v>
      </c>
      <c r="K10" s="33">
        <f t="shared" si="2"/>
        <v>46197</v>
      </c>
      <c r="L10" s="34">
        <v>10</v>
      </c>
      <c r="M10" s="35">
        <v>0</v>
      </c>
      <c r="N10" s="35">
        <v>0</v>
      </c>
      <c r="O10" s="35">
        <v>4</v>
      </c>
      <c r="P10" s="35">
        <v>5</v>
      </c>
      <c r="Q10" s="35">
        <v>1</v>
      </c>
      <c r="R10" s="35">
        <v>0</v>
      </c>
      <c r="S10" s="35">
        <v>1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2"/>
    </row>
    <row r="11" spans="1:25" ht="49.5" hidden="1" customHeight="1" x14ac:dyDescent="0.25">
      <c r="A11" s="18">
        <v>4</v>
      </c>
      <c r="B11" s="40"/>
      <c r="C11" s="37">
        <v>46198</v>
      </c>
      <c r="D11" s="38" t="s">
        <v>132</v>
      </c>
      <c r="E11" s="38" t="s">
        <v>132</v>
      </c>
      <c r="F11" s="38" t="s">
        <v>132</v>
      </c>
      <c r="G11" s="18" t="s">
        <v>59</v>
      </c>
      <c r="H11" s="64"/>
      <c r="I11" s="18">
        <f t="shared" si="1"/>
        <v>0</v>
      </c>
      <c r="J11" s="32">
        <v>4</v>
      </c>
      <c r="K11" s="33">
        <f t="shared" si="2"/>
        <v>46198</v>
      </c>
      <c r="L11" s="34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ht="49.5" hidden="1" customHeight="1" x14ac:dyDescent="0.25">
      <c r="A12" s="13">
        <v>5</v>
      </c>
      <c r="B12" s="40"/>
      <c r="C12" s="39">
        <v>46199</v>
      </c>
      <c r="D12" s="31" t="s">
        <v>132</v>
      </c>
      <c r="E12" s="31" t="s">
        <v>132</v>
      </c>
      <c r="F12" s="31" t="s">
        <v>132</v>
      </c>
      <c r="G12" s="13" t="s">
        <v>72</v>
      </c>
      <c r="H12" s="65"/>
      <c r="I12" s="13">
        <f t="shared" si="1"/>
        <v>0</v>
      </c>
      <c r="J12" s="32">
        <v>5</v>
      </c>
      <c r="K12" s="33">
        <f t="shared" si="2"/>
        <v>46199</v>
      </c>
      <c r="L12" s="34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ht="49.5" customHeight="1" x14ac:dyDescent="0.25">
      <c r="A13" s="18">
        <v>6</v>
      </c>
      <c r="B13" s="36" t="s">
        <v>121</v>
      </c>
      <c r="C13" s="37">
        <v>46202</v>
      </c>
      <c r="D13" s="38" t="s">
        <v>110</v>
      </c>
      <c r="E13" s="38" t="s">
        <v>130</v>
      </c>
      <c r="F13" s="38" t="s">
        <v>134</v>
      </c>
      <c r="G13" s="18" t="s">
        <v>26</v>
      </c>
      <c r="H13" s="66" t="s">
        <v>83</v>
      </c>
      <c r="I13" s="18" t="str">
        <f t="shared" si="1"/>
        <v>Khóm Biển Đông A</v>
      </c>
      <c r="J13" s="32">
        <v>6</v>
      </c>
      <c r="K13" s="33">
        <f t="shared" si="2"/>
        <v>46202</v>
      </c>
      <c r="L13" s="34">
        <v>15</v>
      </c>
      <c r="M13" s="35">
        <v>0</v>
      </c>
      <c r="N13" s="35">
        <v>0</v>
      </c>
      <c r="O13" s="35">
        <v>0</v>
      </c>
      <c r="P13" s="35">
        <v>2</v>
      </c>
      <c r="Q13" s="35">
        <v>13</v>
      </c>
      <c r="R13" s="35">
        <v>0</v>
      </c>
      <c r="S13" s="35">
        <v>11</v>
      </c>
      <c r="T13" s="35">
        <v>0</v>
      </c>
      <c r="U13" s="35">
        <v>0</v>
      </c>
      <c r="V13" s="35">
        <v>1</v>
      </c>
      <c r="W13" s="35">
        <v>2</v>
      </c>
      <c r="X13" s="35">
        <v>3</v>
      </c>
      <c r="Y13" s="32"/>
    </row>
    <row r="14" spans="1:25" ht="49.5" hidden="1" customHeight="1" x14ac:dyDescent="0.25">
      <c r="A14" s="13">
        <v>7</v>
      </c>
      <c r="B14" s="40"/>
      <c r="C14" s="39">
        <v>46203</v>
      </c>
      <c r="D14" s="31" t="s">
        <v>132</v>
      </c>
      <c r="E14" s="31" t="s">
        <v>132</v>
      </c>
      <c r="F14" s="31" t="s">
        <v>132</v>
      </c>
      <c r="G14" s="13" t="s">
        <v>44</v>
      </c>
      <c r="H14" s="64"/>
      <c r="I14" s="13">
        <f t="shared" si="1"/>
        <v>0</v>
      </c>
      <c r="J14" s="32">
        <v>7</v>
      </c>
      <c r="K14" s="33">
        <f t="shared" si="2"/>
        <v>46203</v>
      </c>
      <c r="L14" s="3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49.5" customHeight="1" x14ac:dyDescent="0.25">
      <c r="A15" s="18">
        <v>8</v>
      </c>
      <c r="B15" s="36" t="s">
        <v>121</v>
      </c>
      <c r="C15" s="37">
        <v>46204</v>
      </c>
      <c r="D15" s="38" t="s">
        <v>109</v>
      </c>
      <c r="E15" s="38" t="s">
        <v>110</v>
      </c>
      <c r="F15" s="38" t="s">
        <v>131</v>
      </c>
      <c r="G15" s="18" t="s">
        <v>55</v>
      </c>
      <c r="H15" s="64"/>
      <c r="I15" s="18" t="str">
        <f t="shared" si="1"/>
        <v>Khóm Biển Đông A</v>
      </c>
      <c r="J15" s="32">
        <v>8</v>
      </c>
      <c r="K15" s="33">
        <f t="shared" si="2"/>
        <v>46204</v>
      </c>
      <c r="L15" s="34">
        <v>14</v>
      </c>
      <c r="M15" s="35">
        <v>0</v>
      </c>
      <c r="N15" s="35">
        <v>0</v>
      </c>
      <c r="O15" s="35">
        <v>0</v>
      </c>
      <c r="P15" s="35">
        <v>1</v>
      </c>
      <c r="Q15" s="35">
        <v>13</v>
      </c>
      <c r="R15" s="35">
        <v>0</v>
      </c>
      <c r="S15" s="35">
        <v>10</v>
      </c>
      <c r="T15" s="35">
        <v>7</v>
      </c>
      <c r="U15" s="35">
        <v>0</v>
      </c>
      <c r="V15" s="35">
        <v>4</v>
      </c>
      <c r="W15" s="35">
        <v>7</v>
      </c>
      <c r="X15" s="35">
        <v>0</v>
      </c>
      <c r="Y15" s="32"/>
    </row>
    <row r="16" spans="1:25" ht="49.5" customHeight="1" x14ac:dyDescent="0.25">
      <c r="A16" s="13">
        <v>9</v>
      </c>
      <c r="B16" s="29" t="s">
        <v>121</v>
      </c>
      <c r="C16" s="39">
        <v>46205</v>
      </c>
      <c r="D16" s="31" t="s">
        <v>110</v>
      </c>
      <c r="E16" s="31" t="s">
        <v>130</v>
      </c>
      <c r="F16" s="31" t="s">
        <v>134</v>
      </c>
      <c r="G16" s="13" t="s">
        <v>59</v>
      </c>
      <c r="H16" s="64"/>
      <c r="I16" s="13" t="str">
        <f t="shared" si="1"/>
        <v>Khóm Biển Đông A</v>
      </c>
      <c r="J16" s="32">
        <v>9</v>
      </c>
      <c r="K16" s="33">
        <f t="shared" si="2"/>
        <v>46205</v>
      </c>
      <c r="L16" s="34">
        <v>11</v>
      </c>
      <c r="M16" s="35">
        <v>0</v>
      </c>
      <c r="N16" s="35">
        <v>0</v>
      </c>
      <c r="O16" s="35">
        <v>0</v>
      </c>
      <c r="P16" s="35">
        <v>5</v>
      </c>
      <c r="Q16" s="35">
        <v>6</v>
      </c>
      <c r="R16" s="35">
        <v>0</v>
      </c>
      <c r="S16" s="35">
        <v>1</v>
      </c>
      <c r="T16" s="35">
        <v>0</v>
      </c>
      <c r="U16" s="35">
        <v>0</v>
      </c>
      <c r="V16" s="35">
        <v>0</v>
      </c>
      <c r="W16" s="35">
        <v>0</v>
      </c>
      <c r="X16" s="35">
        <v>3</v>
      </c>
      <c r="Y16" s="32"/>
    </row>
    <row r="17" spans="1:25" ht="49.5" hidden="1" customHeight="1" x14ac:dyDescent="0.25">
      <c r="A17" s="18">
        <v>10</v>
      </c>
      <c r="B17" s="40"/>
      <c r="C17" s="37">
        <v>46206</v>
      </c>
      <c r="D17" s="38" t="s">
        <v>117</v>
      </c>
      <c r="E17" s="38" t="s">
        <v>117</v>
      </c>
      <c r="F17" s="38" t="s">
        <v>117</v>
      </c>
      <c r="G17" s="18" t="s">
        <v>139</v>
      </c>
      <c r="H17" s="65"/>
      <c r="I17" s="18">
        <f t="shared" si="1"/>
        <v>0</v>
      </c>
      <c r="J17" s="32">
        <v>10</v>
      </c>
      <c r="K17" s="33">
        <f t="shared" si="2"/>
        <v>46206</v>
      </c>
      <c r="L17" s="34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 ht="49.5" hidden="1" customHeight="1" x14ac:dyDescent="0.25">
      <c r="A18" s="13">
        <v>11</v>
      </c>
      <c r="B18" s="40"/>
      <c r="C18" s="39">
        <v>46209</v>
      </c>
      <c r="D18" s="31" t="s">
        <v>117</v>
      </c>
      <c r="E18" s="31" t="s">
        <v>117</v>
      </c>
      <c r="F18" s="31" t="s">
        <v>117</v>
      </c>
      <c r="G18" s="13" t="s">
        <v>140</v>
      </c>
      <c r="H18" s="63" t="s">
        <v>124</v>
      </c>
      <c r="I18" s="13">
        <f t="shared" si="1"/>
        <v>0</v>
      </c>
      <c r="J18" s="32">
        <v>11</v>
      </c>
      <c r="K18" s="33">
        <f t="shared" si="2"/>
        <v>46209</v>
      </c>
      <c r="L18" s="34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 ht="49.5" hidden="1" customHeight="1" x14ac:dyDescent="0.25">
      <c r="A19" s="18">
        <v>12</v>
      </c>
      <c r="B19" s="40"/>
      <c r="C19" s="37">
        <v>46210</v>
      </c>
      <c r="D19" s="38" t="s">
        <v>132</v>
      </c>
      <c r="E19" s="38" t="s">
        <v>132</v>
      </c>
      <c r="F19" s="38" t="s">
        <v>132</v>
      </c>
      <c r="G19" s="18" t="s">
        <v>44</v>
      </c>
      <c r="H19" s="64"/>
      <c r="I19" s="18">
        <f t="shared" si="1"/>
        <v>0</v>
      </c>
      <c r="J19" s="32">
        <v>12</v>
      </c>
      <c r="K19" s="33">
        <f t="shared" si="2"/>
        <v>46210</v>
      </c>
      <c r="L19" s="34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 ht="49.5" customHeight="1" x14ac:dyDescent="0.25">
      <c r="A20" s="13">
        <v>13</v>
      </c>
      <c r="B20" s="29" t="s">
        <v>121</v>
      </c>
      <c r="C20" s="39">
        <v>46211</v>
      </c>
      <c r="D20" s="31" t="s">
        <v>110</v>
      </c>
      <c r="E20" s="31" t="s">
        <v>130</v>
      </c>
      <c r="F20" s="31" t="s">
        <v>111</v>
      </c>
      <c r="G20" s="13" t="s">
        <v>55</v>
      </c>
      <c r="H20" s="64"/>
      <c r="I20" s="13" t="str">
        <f t="shared" si="1"/>
        <v>Khóm Biển Đông A</v>
      </c>
      <c r="J20" s="32">
        <v>13</v>
      </c>
      <c r="K20" s="33">
        <f t="shared" si="2"/>
        <v>46211</v>
      </c>
      <c r="L20" s="34">
        <v>9</v>
      </c>
      <c r="M20" s="35">
        <v>0</v>
      </c>
      <c r="N20" s="35">
        <v>0</v>
      </c>
      <c r="O20" s="35">
        <v>0</v>
      </c>
      <c r="P20" s="35">
        <v>3</v>
      </c>
      <c r="Q20" s="35">
        <v>6</v>
      </c>
      <c r="R20" s="35">
        <v>0</v>
      </c>
      <c r="S20" s="35">
        <v>3</v>
      </c>
      <c r="T20" s="35">
        <v>0</v>
      </c>
      <c r="U20" s="35">
        <v>0</v>
      </c>
      <c r="V20" s="35">
        <v>1</v>
      </c>
      <c r="W20" s="35">
        <v>4</v>
      </c>
      <c r="X20" s="35">
        <v>2</v>
      </c>
      <c r="Y20" s="32"/>
    </row>
    <row r="21" spans="1:25" ht="49.5" hidden="1" customHeight="1" x14ac:dyDescent="0.25">
      <c r="A21" s="18">
        <v>14</v>
      </c>
      <c r="B21" s="40"/>
      <c r="C21" s="37">
        <v>46212</v>
      </c>
      <c r="D21" s="38" t="s">
        <v>132</v>
      </c>
      <c r="E21" s="38" t="s">
        <v>132</v>
      </c>
      <c r="F21" s="38" t="s">
        <v>132</v>
      </c>
      <c r="G21" s="18" t="s">
        <v>59</v>
      </c>
      <c r="H21" s="64"/>
      <c r="I21" s="18">
        <f t="shared" si="1"/>
        <v>0</v>
      </c>
      <c r="J21" s="32">
        <v>14</v>
      </c>
      <c r="K21" s="33">
        <f t="shared" si="2"/>
        <v>46212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ht="49.5" customHeight="1" x14ac:dyDescent="0.25">
      <c r="A22" s="13">
        <v>15</v>
      </c>
      <c r="B22" s="29" t="s">
        <v>144</v>
      </c>
      <c r="C22" s="39">
        <v>46213</v>
      </c>
      <c r="D22" s="31" t="s">
        <v>109</v>
      </c>
      <c r="E22" s="31" t="s">
        <v>110</v>
      </c>
      <c r="F22" s="31" t="s">
        <v>131</v>
      </c>
      <c r="G22" s="13" t="s">
        <v>72</v>
      </c>
      <c r="H22" s="65"/>
      <c r="I22" s="13" t="str">
        <f t="shared" si="1"/>
        <v>Khóm Giồng Giữa A</v>
      </c>
      <c r="J22" s="32">
        <v>15</v>
      </c>
      <c r="K22" s="33">
        <f t="shared" si="2"/>
        <v>46213</v>
      </c>
      <c r="L22" s="32">
        <v>17</v>
      </c>
      <c r="M22" s="32">
        <v>0</v>
      </c>
      <c r="N22" s="32">
        <v>0</v>
      </c>
      <c r="O22" s="32">
        <v>0</v>
      </c>
      <c r="P22" s="32">
        <v>6</v>
      </c>
      <c r="Q22" s="32">
        <v>11</v>
      </c>
      <c r="R22" s="32">
        <v>0</v>
      </c>
      <c r="S22" s="32">
        <v>6</v>
      </c>
      <c r="T22" s="32">
        <v>5</v>
      </c>
      <c r="U22" s="32">
        <v>0</v>
      </c>
      <c r="V22" s="32">
        <v>4</v>
      </c>
      <c r="W22" s="32">
        <v>6</v>
      </c>
      <c r="X22" s="32">
        <v>0</v>
      </c>
      <c r="Y22" s="32"/>
    </row>
    <row r="23" spans="1:25" ht="49.5" hidden="1" customHeight="1" x14ac:dyDescent="0.25">
      <c r="A23" s="18">
        <v>16</v>
      </c>
      <c r="B23" s="40"/>
      <c r="C23" s="37">
        <v>46216</v>
      </c>
      <c r="D23" s="38" t="s">
        <v>132</v>
      </c>
      <c r="E23" s="38" t="s">
        <v>132</v>
      </c>
      <c r="F23" s="38" t="s">
        <v>132</v>
      </c>
      <c r="G23" s="18" t="s">
        <v>26</v>
      </c>
      <c r="H23" s="66" t="s">
        <v>133</v>
      </c>
      <c r="I23" s="18">
        <f t="shared" si="1"/>
        <v>0</v>
      </c>
      <c r="J23" s="32">
        <v>16</v>
      </c>
      <c r="K23" s="33">
        <f t="shared" si="2"/>
        <v>46216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ht="49.5" hidden="1" customHeight="1" x14ac:dyDescent="0.25">
      <c r="A24" s="13">
        <v>17</v>
      </c>
      <c r="B24" s="40"/>
      <c r="C24" s="39">
        <v>46217</v>
      </c>
      <c r="D24" s="31" t="s">
        <v>132</v>
      </c>
      <c r="E24" s="31" t="s">
        <v>132</v>
      </c>
      <c r="F24" s="31" t="s">
        <v>132</v>
      </c>
      <c r="G24" s="13" t="s">
        <v>44</v>
      </c>
      <c r="H24" s="64"/>
      <c r="I24" s="13">
        <f t="shared" si="1"/>
        <v>0</v>
      </c>
      <c r="J24" s="32">
        <v>17</v>
      </c>
      <c r="K24" s="33">
        <f t="shared" si="2"/>
        <v>46217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ht="49.5" customHeight="1" x14ac:dyDescent="0.25">
      <c r="A25" s="18">
        <v>18</v>
      </c>
      <c r="B25" s="36" t="s">
        <v>144</v>
      </c>
      <c r="C25" s="37">
        <v>46218</v>
      </c>
      <c r="D25" s="38" t="s">
        <v>109</v>
      </c>
      <c r="E25" s="38" t="s">
        <v>110</v>
      </c>
      <c r="F25" s="38" t="s">
        <v>131</v>
      </c>
      <c r="G25" s="18" t="s">
        <v>147</v>
      </c>
      <c r="H25" s="64"/>
      <c r="I25" s="18" t="str">
        <f t="shared" si="1"/>
        <v>Khóm Giồng Giữa A</v>
      </c>
      <c r="J25" s="32">
        <v>18</v>
      </c>
      <c r="K25" s="33">
        <f t="shared" si="2"/>
        <v>46218</v>
      </c>
      <c r="L25" s="32">
        <v>21</v>
      </c>
      <c r="M25" s="32">
        <v>0</v>
      </c>
      <c r="N25" s="32">
        <v>0</v>
      </c>
      <c r="O25" s="32">
        <v>0</v>
      </c>
      <c r="P25" s="32">
        <v>4</v>
      </c>
      <c r="Q25" s="32">
        <v>17</v>
      </c>
      <c r="R25" s="32">
        <v>0</v>
      </c>
      <c r="S25" s="32">
        <v>10</v>
      </c>
      <c r="T25" s="32">
        <v>8</v>
      </c>
      <c r="U25" s="32">
        <v>0</v>
      </c>
      <c r="V25" s="32">
        <v>4</v>
      </c>
      <c r="W25" s="32">
        <v>0</v>
      </c>
      <c r="X25" s="32">
        <v>0</v>
      </c>
      <c r="Y25" s="32"/>
    </row>
    <row r="26" spans="1:25" ht="49.5" hidden="1" customHeight="1" x14ac:dyDescent="0.25">
      <c r="A26" s="13">
        <v>19</v>
      </c>
      <c r="B26" s="40"/>
      <c r="C26" s="39">
        <v>46219</v>
      </c>
      <c r="D26" s="31" t="s">
        <v>132</v>
      </c>
      <c r="E26" s="31" t="s">
        <v>132</v>
      </c>
      <c r="F26" s="31" t="s">
        <v>132</v>
      </c>
      <c r="G26" s="13" t="s">
        <v>149</v>
      </c>
      <c r="H26" s="64"/>
      <c r="I26" s="13">
        <f t="shared" si="1"/>
        <v>0</v>
      </c>
      <c r="J26" s="32">
        <v>19</v>
      </c>
      <c r="K26" s="33">
        <f t="shared" si="2"/>
        <v>46219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 ht="49.5" hidden="1" customHeight="1" x14ac:dyDescent="0.25">
      <c r="A27" s="18">
        <v>20</v>
      </c>
      <c r="B27" s="36"/>
      <c r="C27" s="37">
        <v>46220</v>
      </c>
      <c r="D27" s="38"/>
      <c r="E27" s="38"/>
      <c r="F27" s="38"/>
      <c r="G27" s="18" t="s">
        <v>150</v>
      </c>
      <c r="H27" s="65"/>
      <c r="I27" s="18">
        <f t="shared" si="1"/>
        <v>0</v>
      </c>
      <c r="J27" s="32">
        <v>20</v>
      </c>
      <c r="K27" s="33">
        <f t="shared" si="2"/>
        <v>46220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 ht="49.5" customHeight="1" x14ac:dyDescent="0.25">
      <c r="A28" s="13">
        <v>21</v>
      </c>
      <c r="B28" s="42" t="s">
        <v>135</v>
      </c>
      <c r="C28" s="39">
        <v>46223</v>
      </c>
      <c r="D28" s="31"/>
      <c r="E28" s="31" t="s">
        <v>130</v>
      </c>
      <c r="F28" s="31" t="s">
        <v>111</v>
      </c>
      <c r="G28" s="13" t="s">
        <v>26</v>
      </c>
      <c r="H28" s="63" t="s">
        <v>136</v>
      </c>
      <c r="I28" s="43" t="s">
        <v>152</v>
      </c>
      <c r="J28" s="32">
        <v>21</v>
      </c>
      <c r="K28" s="33">
        <f t="shared" si="2"/>
        <v>46223</v>
      </c>
      <c r="L28" s="35">
        <v>17</v>
      </c>
      <c r="M28" s="35">
        <v>0</v>
      </c>
      <c r="N28" s="35">
        <v>0</v>
      </c>
      <c r="O28" s="35">
        <v>0</v>
      </c>
      <c r="P28" s="35">
        <v>5</v>
      </c>
      <c r="Q28" s="35">
        <v>12</v>
      </c>
      <c r="R28" s="35">
        <v>0</v>
      </c>
      <c r="S28" s="35">
        <v>7</v>
      </c>
      <c r="T28" s="35">
        <v>1</v>
      </c>
      <c r="U28" s="35">
        <v>1</v>
      </c>
      <c r="V28" s="35">
        <v>3</v>
      </c>
      <c r="W28" s="35">
        <v>3</v>
      </c>
      <c r="X28" s="35">
        <v>1</v>
      </c>
      <c r="Y28" s="32"/>
    </row>
    <row r="29" spans="1:25" ht="49.5" hidden="1" customHeight="1" x14ac:dyDescent="0.25">
      <c r="A29" s="18">
        <v>22</v>
      </c>
      <c r="B29" s="36"/>
      <c r="C29" s="37">
        <v>46224</v>
      </c>
      <c r="D29" s="38"/>
      <c r="E29" s="38"/>
      <c r="F29" s="38"/>
      <c r="G29" s="18"/>
      <c r="H29" s="64"/>
      <c r="I29" s="18">
        <f t="shared" ref="I29:I30" si="3">B29</f>
        <v>0</v>
      </c>
      <c r="J29" s="32">
        <v>22</v>
      </c>
      <c r="K29" s="33">
        <f t="shared" si="2"/>
        <v>46224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 ht="49.5" customHeight="1" x14ac:dyDescent="0.25">
      <c r="A30" s="13">
        <v>23</v>
      </c>
      <c r="B30" s="29"/>
      <c r="C30" s="39">
        <v>46225</v>
      </c>
      <c r="D30" s="31" t="s">
        <v>109</v>
      </c>
      <c r="E30" s="31" t="s">
        <v>110</v>
      </c>
      <c r="F30" s="31" t="s">
        <v>131</v>
      </c>
      <c r="G30" s="13"/>
      <c r="H30" s="64"/>
      <c r="I30" s="13">
        <f t="shared" si="3"/>
        <v>0</v>
      </c>
      <c r="J30" s="32">
        <v>23</v>
      </c>
      <c r="K30" s="33">
        <f t="shared" si="2"/>
        <v>46225</v>
      </c>
      <c r="L30" s="32">
        <v>8</v>
      </c>
      <c r="M30" s="32">
        <v>0</v>
      </c>
      <c r="N30" s="32">
        <v>0</v>
      </c>
      <c r="O30" s="32">
        <v>0</v>
      </c>
      <c r="P30" s="32">
        <v>1</v>
      </c>
      <c r="Q30" s="32">
        <v>7</v>
      </c>
      <c r="R30" s="32">
        <v>0</v>
      </c>
      <c r="S30" s="32">
        <v>6</v>
      </c>
      <c r="T30" s="32">
        <v>5</v>
      </c>
      <c r="U30" s="32">
        <v>0</v>
      </c>
      <c r="V30" s="32">
        <v>0</v>
      </c>
      <c r="W30" s="32">
        <v>2</v>
      </c>
      <c r="X30" s="32">
        <v>0</v>
      </c>
      <c r="Y30" s="32"/>
    </row>
    <row r="31" spans="1:25" ht="49.5" customHeight="1" x14ac:dyDescent="0.25">
      <c r="A31" s="18">
        <v>24</v>
      </c>
      <c r="B31" s="44" t="s">
        <v>137</v>
      </c>
      <c r="C31" s="37">
        <v>46226</v>
      </c>
      <c r="D31" s="38" t="s">
        <v>110</v>
      </c>
      <c r="E31" s="38" t="s">
        <v>130</v>
      </c>
      <c r="F31" s="38" t="s">
        <v>111</v>
      </c>
      <c r="G31" s="45" t="s">
        <v>149</v>
      </c>
      <c r="H31" s="64"/>
      <c r="I31" s="45" t="s">
        <v>137</v>
      </c>
      <c r="J31" s="32">
        <v>24</v>
      </c>
      <c r="K31" s="33">
        <f t="shared" si="2"/>
        <v>46226</v>
      </c>
      <c r="L31" s="35">
        <v>17</v>
      </c>
      <c r="M31" s="35">
        <v>0</v>
      </c>
      <c r="N31" s="35">
        <v>0</v>
      </c>
      <c r="O31" s="35">
        <v>0</v>
      </c>
      <c r="P31" s="35">
        <v>8</v>
      </c>
      <c r="Q31" s="35">
        <v>9</v>
      </c>
      <c r="R31" s="35">
        <v>0</v>
      </c>
      <c r="S31" s="35">
        <v>4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2"/>
    </row>
    <row r="32" spans="1:25" ht="49.5" customHeight="1" x14ac:dyDescent="0.25">
      <c r="A32" s="13">
        <v>25</v>
      </c>
      <c r="B32" s="42" t="s">
        <v>156</v>
      </c>
      <c r="C32" s="39">
        <v>46227</v>
      </c>
      <c r="D32" s="46" t="s">
        <v>109</v>
      </c>
      <c r="E32" s="31"/>
      <c r="F32" s="46" t="s">
        <v>111</v>
      </c>
      <c r="G32" s="43" t="s">
        <v>150</v>
      </c>
      <c r="H32" s="65"/>
      <c r="I32" s="43" t="s">
        <v>157</v>
      </c>
      <c r="J32" s="32">
        <v>25</v>
      </c>
      <c r="K32" s="33">
        <f t="shared" si="2"/>
        <v>46227</v>
      </c>
      <c r="L32" s="35">
        <v>13</v>
      </c>
      <c r="M32" s="35">
        <v>0</v>
      </c>
      <c r="N32" s="35">
        <v>0</v>
      </c>
      <c r="O32" s="35">
        <v>0</v>
      </c>
      <c r="P32" s="35">
        <v>3</v>
      </c>
      <c r="Q32" s="35">
        <v>10</v>
      </c>
      <c r="R32" s="35">
        <v>0</v>
      </c>
      <c r="S32" s="35">
        <v>5</v>
      </c>
      <c r="T32" s="35">
        <v>4</v>
      </c>
      <c r="U32" s="35">
        <v>0</v>
      </c>
      <c r="V32" s="35">
        <v>0</v>
      </c>
      <c r="W32" s="35">
        <v>0</v>
      </c>
      <c r="X32" s="35">
        <v>2</v>
      </c>
      <c r="Y32" s="32"/>
    </row>
    <row r="33" spans="1:25" ht="49.5" hidden="1" customHeight="1" x14ac:dyDescent="0.25">
      <c r="A33" s="18">
        <v>26</v>
      </c>
      <c r="B33" s="36"/>
      <c r="C33" s="37">
        <v>46230</v>
      </c>
      <c r="D33" s="47" t="s">
        <v>132</v>
      </c>
      <c r="E33" s="47" t="s">
        <v>132</v>
      </c>
      <c r="F33" s="47" t="s">
        <v>132</v>
      </c>
      <c r="G33" s="45" t="s">
        <v>158</v>
      </c>
      <c r="H33" s="66" t="s">
        <v>138</v>
      </c>
      <c r="I33" s="18">
        <f t="shared" ref="I33:I117" si="4">B33</f>
        <v>0</v>
      </c>
      <c r="J33" s="32">
        <v>26</v>
      </c>
      <c r="K33" s="33">
        <f t="shared" si="2"/>
        <v>46230</v>
      </c>
      <c r="L33" s="35" t="s">
        <v>132</v>
      </c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 ht="49.5" hidden="1" customHeight="1" x14ac:dyDescent="0.25">
      <c r="A34" s="13">
        <v>27</v>
      </c>
      <c r="B34" s="29"/>
      <c r="C34" s="39">
        <v>46231</v>
      </c>
      <c r="D34" s="46" t="s">
        <v>132</v>
      </c>
      <c r="E34" s="46" t="s">
        <v>132</v>
      </c>
      <c r="F34" s="46" t="s">
        <v>132</v>
      </c>
      <c r="G34" s="43" t="s">
        <v>159</v>
      </c>
      <c r="H34" s="64"/>
      <c r="I34" s="13">
        <f t="shared" si="4"/>
        <v>0</v>
      </c>
      <c r="J34" s="32">
        <v>27</v>
      </c>
      <c r="K34" s="33">
        <f t="shared" si="2"/>
        <v>46231</v>
      </c>
      <c r="L34" s="32" t="s">
        <v>132</v>
      </c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 ht="49.5" hidden="1" customHeight="1" x14ac:dyDescent="0.25">
      <c r="A35" s="18">
        <v>28</v>
      </c>
      <c r="B35" s="36"/>
      <c r="C35" s="37">
        <v>46232</v>
      </c>
      <c r="D35" s="47"/>
      <c r="E35" s="47"/>
      <c r="F35" s="47"/>
      <c r="G35" s="18"/>
      <c r="H35" s="64"/>
      <c r="I35" s="18">
        <f t="shared" si="4"/>
        <v>0</v>
      </c>
      <c r="J35" s="32">
        <v>28</v>
      </c>
      <c r="K35" s="33">
        <f t="shared" si="2"/>
        <v>46232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 ht="49.5" hidden="1" customHeight="1" x14ac:dyDescent="0.25">
      <c r="A36" s="13">
        <v>29</v>
      </c>
      <c r="B36" s="29"/>
      <c r="C36" s="39">
        <v>46233</v>
      </c>
      <c r="D36" s="31"/>
      <c r="E36" s="31"/>
      <c r="F36" s="31"/>
      <c r="G36" s="13"/>
      <c r="H36" s="64"/>
      <c r="I36" s="13">
        <f t="shared" si="4"/>
        <v>0</v>
      </c>
      <c r="J36" s="32">
        <v>29</v>
      </c>
      <c r="K36" s="33">
        <f t="shared" si="2"/>
        <v>46233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 ht="49.5" hidden="1" customHeight="1" x14ac:dyDescent="0.25">
      <c r="A37" s="18">
        <v>30</v>
      </c>
      <c r="B37" s="36"/>
      <c r="C37" s="37">
        <v>46234</v>
      </c>
      <c r="D37" s="38"/>
      <c r="E37" s="38"/>
      <c r="F37" s="38"/>
      <c r="G37" s="18"/>
      <c r="H37" s="65"/>
      <c r="I37" s="18">
        <f t="shared" si="4"/>
        <v>0</v>
      </c>
      <c r="J37" s="32">
        <v>30</v>
      </c>
      <c r="K37" s="33">
        <f t="shared" si="2"/>
        <v>46234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 ht="49.5" hidden="1" customHeight="1" x14ac:dyDescent="0.25">
      <c r="A38" s="13">
        <v>31</v>
      </c>
      <c r="B38" s="29"/>
      <c r="C38" s="39">
        <v>46237</v>
      </c>
      <c r="D38" s="31"/>
      <c r="E38" s="31"/>
      <c r="F38" s="31"/>
      <c r="G38" s="13" t="s">
        <v>117</v>
      </c>
      <c r="H38" s="63" t="s">
        <v>141</v>
      </c>
      <c r="I38" s="13">
        <f t="shared" si="4"/>
        <v>0</v>
      </c>
      <c r="J38" s="32">
        <v>31</v>
      </c>
      <c r="K38" s="33">
        <f t="shared" si="2"/>
        <v>46237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 ht="49.5" hidden="1" customHeight="1" x14ac:dyDescent="0.25">
      <c r="A39" s="18">
        <v>32</v>
      </c>
      <c r="B39" s="36"/>
      <c r="C39" s="37">
        <v>46238</v>
      </c>
      <c r="D39" s="38"/>
      <c r="E39" s="38"/>
      <c r="F39" s="38"/>
      <c r="G39" s="18" t="s">
        <v>117</v>
      </c>
      <c r="H39" s="64"/>
      <c r="I39" s="18">
        <f t="shared" si="4"/>
        <v>0</v>
      </c>
      <c r="J39" s="32">
        <v>32</v>
      </c>
      <c r="K39" s="33">
        <f t="shared" si="2"/>
        <v>46238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 ht="49.5" hidden="1" customHeight="1" x14ac:dyDescent="0.25">
      <c r="A40" s="13">
        <v>33</v>
      </c>
      <c r="B40" s="29"/>
      <c r="C40" s="39">
        <v>46239</v>
      </c>
      <c r="D40" s="31"/>
      <c r="E40" s="31"/>
      <c r="F40" s="31"/>
      <c r="G40" s="13"/>
      <c r="H40" s="64"/>
      <c r="I40" s="13">
        <f t="shared" si="4"/>
        <v>0</v>
      </c>
      <c r="J40" s="32">
        <v>33</v>
      </c>
      <c r="K40" s="33">
        <f t="shared" si="2"/>
        <v>46239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 ht="49.5" hidden="1" customHeight="1" x14ac:dyDescent="0.25">
      <c r="A41" s="18">
        <v>34</v>
      </c>
      <c r="B41" s="36"/>
      <c r="C41" s="37">
        <v>46240</v>
      </c>
      <c r="D41" s="38"/>
      <c r="E41" s="38"/>
      <c r="F41" s="38"/>
      <c r="G41" s="18"/>
      <c r="H41" s="64"/>
      <c r="I41" s="18">
        <f t="shared" si="4"/>
        <v>0</v>
      </c>
      <c r="J41" s="32">
        <v>34</v>
      </c>
      <c r="K41" s="33">
        <f t="shared" si="2"/>
        <v>46240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 ht="49.5" hidden="1" customHeight="1" x14ac:dyDescent="0.25">
      <c r="A42" s="13">
        <v>35</v>
      </c>
      <c r="B42" s="29"/>
      <c r="C42" s="39">
        <v>46241</v>
      </c>
      <c r="D42" s="31"/>
      <c r="E42" s="31"/>
      <c r="F42" s="31"/>
      <c r="G42" s="13"/>
      <c r="H42" s="65"/>
      <c r="I42" s="13">
        <f t="shared" si="4"/>
        <v>0</v>
      </c>
      <c r="J42" s="32">
        <v>35</v>
      </c>
      <c r="K42" s="33">
        <f t="shared" si="2"/>
        <v>46241</v>
      </c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 ht="49.5" hidden="1" customHeight="1" x14ac:dyDescent="0.25">
      <c r="A43" s="18">
        <v>36</v>
      </c>
      <c r="B43" s="36"/>
      <c r="C43" s="37">
        <v>46244</v>
      </c>
      <c r="D43" s="38"/>
      <c r="E43" s="38"/>
      <c r="F43" s="38"/>
      <c r="G43" s="18"/>
      <c r="H43" s="66" t="s">
        <v>143</v>
      </c>
      <c r="I43" s="18">
        <f t="shared" si="4"/>
        <v>0</v>
      </c>
      <c r="J43" s="32">
        <v>36</v>
      </c>
      <c r="K43" s="33">
        <f t="shared" si="2"/>
        <v>46244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 ht="49.5" hidden="1" customHeight="1" x14ac:dyDescent="0.25">
      <c r="A44" s="13">
        <v>37</v>
      </c>
      <c r="B44" s="29"/>
      <c r="C44" s="39">
        <v>46245</v>
      </c>
      <c r="D44" s="31"/>
      <c r="E44" s="31"/>
      <c r="F44" s="31"/>
      <c r="G44" s="13"/>
      <c r="H44" s="64"/>
      <c r="I44" s="13">
        <f t="shared" si="4"/>
        <v>0</v>
      </c>
      <c r="J44" s="32">
        <v>37</v>
      </c>
      <c r="K44" s="33">
        <f t="shared" si="2"/>
        <v>46245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 ht="49.5" hidden="1" customHeight="1" x14ac:dyDescent="0.25">
      <c r="A45" s="18">
        <v>38</v>
      </c>
      <c r="B45" s="36"/>
      <c r="C45" s="37">
        <v>46246</v>
      </c>
      <c r="D45" s="38"/>
      <c r="E45" s="38"/>
      <c r="F45" s="38"/>
      <c r="G45" s="18"/>
      <c r="H45" s="64"/>
      <c r="I45" s="18">
        <f t="shared" si="4"/>
        <v>0</v>
      </c>
      <c r="J45" s="32">
        <v>38</v>
      </c>
      <c r="K45" s="33">
        <f t="shared" si="2"/>
        <v>46246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 ht="49.5" hidden="1" customHeight="1" x14ac:dyDescent="0.25">
      <c r="A46" s="13">
        <v>39</v>
      </c>
      <c r="B46" s="29"/>
      <c r="C46" s="39">
        <v>46247</v>
      </c>
      <c r="D46" s="31"/>
      <c r="E46" s="31"/>
      <c r="F46" s="31"/>
      <c r="G46" s="13"/>
      <c r="H46" s="64"/>
      <c r="I46" s="13">
        <f t="shared" si="4"/>
        <v>0</v>
      </c>
      <c r="J46" s="32">
        <v>39</v>
      </c>
      <c r="K46" s="33">
        <f t="shared" si="2"/>
        <v>46247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 ht="49.5" hidden="1" customHeight="1" x14ac:dyDescent="0.25">
      <c r="A47" s="18">
        <v>40</v>
      </c>
      <c r="B47" s="36"/>
      <c r="C47" s="37">
        <v>46248</v>
      </c>
      <c r="D47" s="38"/>
      <c r="E47" s="38"/>
      <c r="F47" s="38"/>
      <c r="G47" s="18"/>
      <c r="H47" s="65"/>
      <c r="I47" s="18">
        <f t="shared" si="4"/>
        <v>0</v>
      </c>
      <c r="J47" s="32">
        <v>40</v>
      </c>
      <c r="K47" s="33">
        <f t="shared" si="2"/>
        <v>46248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 ht="49.5" hidden="1" customHeight="1" x14ac:dyDescent="0.25">
      <c r="A48" s="13">
        <v>41</v>
      </c>
      <c r="B48" s="29"/>
      <c r="C48" s="39">
        <v>46251</v>
      </c>
      <c r="D48" s="31"/>
      <c r="E48" s="31"/>
      <c r="F48" s="31"/>
      <c r="G48" s="13"/>
      <c r="H48" s="63" t="s">
        <v>146</v>
      </c>
      <c r="I48" s="13">
        <f t="shared" si="4"/>
        <v>0</v>
      </c>
      <c r="J48" s="32">
        <v>41</v>
      </c>
      <c r="K48" s="33">
        <f t="shared" si="2"/>
        <v>46251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 ht="49.5" hidden="1" customHeight="1" x14ac:dyDescent="0.25">
      <c r="A49" s="18">
        <v>42</v>
      </c>
      <c r="B49" s="36"/>
      <c r="C49" s="37">
        <v>46252</v>
      </c>
      <c r="D49" s="38"/>
      <c r="E49" s="38"/>
      <c r="F49" s="38"/>
      <c r="G49" s="18"/>
      <c r="H49" s="64"/>
      <c r="I49" s="18">
        <f t="shared" si="4"/>
        <v>0</v>
      </c>
      <c r="J49" s="32">
        <v>42</v>
      </c>
      <c r="K49" s="33">
        <f t="shared" si="2"/>
        <v>46252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 ht="49.5" hidden="1" customHeight="1" x14ac:dyDescent="0.25">
      <c r="A50" s="13">
        <v>43</v>
      </c>
      <c r="B50" s="29"/>
      <c r="C50" s="39">
        <v>46253</v>
      </c>
      <c r="D50" s="31"/>
      <c r="E50" s="31"/>
      <c r="F50" s="31"/>
      <c r="G50" s="13"/>
      <c r="H50" s="64"/>
      <c r="I50" s="13">
        <f t="shared" si="4"/>
        <v>0</v>
      </c>
      <c r="J50" s="32">
        <v>43</v>
      </c>
      <c r="K50" s="33">
        <f t="shared" si="2"/>
        <v>46253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 ht="49.5" hidden="1" customHeight="1" x14ac:dyDescent="0.25">
      <c r="A51" s="18">
        <v>44</v>
      </c>
      <c r="B51" s="36"/>
      <c r="C51" s="37">
        <v>46254</v>
      </c>
      <c r="D51" s="38"/>
      <c r="E51" s="38"/>
      <c r="F51" s="38"/>
      <c r="G51" s="18"/>
      <c r="H51" s="64"/>
      <c r="I51" s="18">
        <f t="shared" si="4"/>
        <v>0</v>
      </c>
      <c r="J51" s="32">
        <v>44</v>
      </c>
      <c r="K51" s="33">
        <f t="shared" si="2"/>
        <v>46254</v>
      </c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 ht="49.5" hidden="1" customHeight="1" x14ac:dyDescent="0.25">
      <c r="A52" s="13">
        <v>45</v>
      </c>
      <c r="B52" s="29"/>
      <c r="C52" s="39">
        <v>46255</v>
      </c>
      <c r="D52" s="31"/>
      <c r="E52" s="31"/>
      <c r="F52" s="31"/>
      <c r="G52" s="13"/>
      <c r="H52" s="65"/>
      <c r="I52" s="13">
        <f t="shared" si="4"/>
        <v>0</v>
      </c>
      <c r="J52" s="32">
        <v>45</v>
      </c>
      <c r="K52" s="33">
        <f t="shared" si="2"/>
        <v>46255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 ht="49.5" hidden="1" customHeight="1" x14ac:dyDescent="0.25">
      <c r="A53" s="18">
        <v>46</v>
      </c>
      <c r="B53" s="36"/>
      <c r="C53" s="37">
        <v>46258</v>
      </c>
      <c r="D53" s="38"/>
      <c r="E53" s="38"/>
      <c r="F53" s="38"/>
      <c r="G53" s="18"/>
      <c r="H53" s="66" t="s">
        <v>148</v>
      </c>
      <c r="I53" s="18">
        <f t="shared" si="4"/>
        <v>0</v>
      </c>
      <c r="J53" s="32">
        <v>46</v>
      </c>
      <c r="K53" s="33">
        <f t="shared" si="2"/>
        <v>46258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 ht="49.5" hidden="1" customHeight="1" x14ac:dyDescent="0.25">
      <c r="A54" s="13">
        <v>47</v>
      </c>
      <c r="B54" s="29"/>
      <c r="C54" s="39">
        <v>46259</v>
      </c>
      <c r="D54" s="31"/>
      <c r="E54" s="31"/>
      <c r="F54" s="31"/>
      <c r="G54" s="13"/>
      <c r="H54" s="64"/>
      <c r="I54" s="13">
        <f t="shared" si="4"/>
        <v>0</v>
      </c>
      <c r="J54" s="32">
        <v>47</v>
      </c>
      <c r="K54" s="33">
        <f t="shared" si="2"/>
        <v>46259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 ht="49.5" hidden="1" customHeight="1" x14ac:dyDescent="0.25">
      <c r="A55" s="18">
        <v>48</v>
      </c>
      <c r="B55" s="36"/>
      <c r="C55" s="37">
        <v>46260</v>
      </c>
      <c r="D55" s="38"/>
      <c r="E55" s="38"/>
      <c r="F55" s="38"/>
      <c r="G55" s="18"/>
      <c r="H55" s="64"/>
      <c r="I55" s="18">
        <f t="shared" si="4"/>
        <v>0</v>
      </c>
      <c r="J55" s="32">
        <v>48</v>
      </c>
      <c r="K55" s="33">
        <f t="shared" si="2"/>
        <v>46260</v>
      </c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49.5" hidden="1" customHeight="1" x14ac:dyDescent="0.25">
      <c r="A56" s="13">
        <v>49</v>
      </c>
      <c r="B56" s="29"/>
      <c r="C56" s="39">
        <v>46261</v>
      </c>
      <c r="D56" s="31"/>
      <c r="E56" s="31"/>
      <c r="F56" s="31"/>
      <c r="G56" s="13"/>
      <c r="H56" s="64"/>
      <c r="I56" s="13">
        <f t="shared" si="4"/>
        <v>0</v>
      </c>
      <c r="J56" s="32">
        <v>49</v>
      </c>
      <c r="K56" s="33">
        <f t="shared" si="2"/>
        <v>46261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49.5" hidden="1" customHeight="1" x14ac:dyDescent="0.25">
      <c r="A57" s="18">
        <v>50</v>
      </c>
      <c r="B57" s="36"/>
      <c r="C57" s="37">
        <v>46262</v>
      </c>
      <c r="D57" s="38"/>
      <c r="E57" s="38"/>
      <c r="F57" s="38"/>
      <c r="G57" s="18"/>
      <c r="H57" s="65"/>
      <c r="I57" s="18">
        <f t="shared" si="4"/>
        <v>0</v>
      </c>
      <c r="J57" s="32">
        <v>50</v>
      </c>
      <c r="K57" s="33">
        <f t="shared" si="2"/>
        <v>46262</v>
      </c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49.5" hidden="1" customHeight="1" x14ac:dyDescent="0.25">
      <c r="A58" s="13">
        <v>51</v>
      </c>
      <c r="B58" s="29"/>
      <c r="C58" s="39">
        <v>46265</v>
      </c>
      <c r="D58" s="31"/>
      <c r="E58" s="31"/>
      <c r="F58" s="31"/>
      <c r="G58" s="13"/>
      <c r="H58" s="63" t="s">
        <v>153</v>
      </c>
      <c r="I58" s="13">
        <f t="shared" si="4"/>
        <v>0</v>
      </c>
      <c r="J58" s="32">
        <v>51</v>
      </c>
      <c r="K58" s="33">
        <f t="shared" si="2"/>
        <v>46265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49.5" hidden="1" customHeight="1" x14ac:dyDescent="0.25">
      <c r="A59" s="18">
        <v>52</v>
      </c>
      <c r="B59" s="36"/>
      <c r="C59" s="37">
        <v>46266</v>
      </c>
      <c r="D59" s="38"/>
      <c r="E59" s="38"/>
      <c r="F59" s="38"/>
      <c r="G59" s="18"/>
      <c r="H59" s="64"/>
      <c r="I59" s="18">
        <f t="shared" si="4"/>
        <v>0</v>
      </c>
      <c r="J59" s="32">
        <v>52</v>
      </c>
      <c r="K59" s="33">
        <f t="shared" si="2"/>
        <v>46266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49.5" hidden="1" customHeight="1" x14ac:dyDescent="0.25">
      <c r="A60" s="13">
        <v>53</v>
      </c>
      <c r="B60" s="29"/>
      <c r="C60" s="39">
        <v>46267</v>
      </c>
      <c r="D60" s="31"/>
      <c r="E60" s="31"/>
      <c r="F60" s="31"/>
      <c r="G60" s="13"/>
      <c r="H60" s="64"/>
      <c r="I60" s="13">
        <f t="shared" si="4"/>
        <v>0</v>
      </c>
      <c r="J60" s="32">
        <v>53</v>
      </c>
      <c r="K60" s="33">
        <f t="shared" si="2"/>
        <v>46267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 ht="49.5" hidden="1" customHeight="1" x14ac:dyDescent="0.25">
      <c r="A61" s="18">
        <v>54</v>
      </c>
      <c r="B61" s="36"/>
      <c r="C61" s="37">
        <v>46268</v>
      </c>
      <c r="D61" s="38"/>
      <c r="E61" s="38"/>
      <c r="F61" s="38"/>
      <c r="G61" s="18" t="s">
        <v>117</v>
      </c>
      <c r="H61" s="64"/>
      <c r="I61" s="18">
        <f t="shared" si="4"/>
        <v>0</v>
      </c>
      <c r="J61" s="32">
        <v>54</v>
      </c>
      <c r="K61" s="33">
        <f t="shared" si="2"/>
        <v>46268</v>
      </c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 ht="49.5" hidden="1" customHeight="1" x14ac:dyDescent="0.25">
      <c r="A62" s="13">
        <v>55</v>
      </c>
      <c r="B62" s="29"/>
      <c r="C62" s="39">
        <v>46269</v>
      </c>
      <c r="D62" s="31"/>
      <c r="E62" s="31"/>
      <c r="F62" s="31"/>
      <c r="G62" s="13" t="s">
        <v>117</v>
      </c>
      <c r="H62" s="65"/>
      <c r="I62" s="13">
        <f t="shared" si="4"/>
        <v>0</v>
      </c>
      <c r="J62" s="32">
        <v>55</v>
      </c>
      <c r="K62" s="33">
        <f t="shared" si="2"/>
        <v>46269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 ht="49.5" hidden="1" customHeight="1" x14ac:dyDescent="0.25">
      <c r="A63" s="18">
        <v>56</v>
      </c>
      <c r="B63" s="36"/>
      <c r="C63" s="37">
        <v>46272</v>
      </c>
      <c r="D63" s="38"/>
      <c r="E63" s="38"/>
      <c r="F63" s="38"/>
      <c r="G63" s="18"/>
      <c r="H63" s="66" t="s">
        <v>155</v>
      </c>
      <c r="I63" s="18">
        <f t="shared" si="4"/>
        <v>0</v>
      </c>
      <c r="J63" s="32">
        <v>56</v>
      </c>
      <c r="K63" s="33">
        <f t="shared" si="2"/>
        <v>46272</v>
      </c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 ht="49.5" hidden="1" customHeight="1" x14ac:dyDescent="0.25">
      <c r="A64" s="13">
        <v>57</v>
      </c>
      <c r="B64" s="29"/>
      <c r="C64" s="39">
        <v>46273</v>
      </c>
      <c r="D64" s="31"/>
      <c r="E64" s="31"/>
      <c r="F64" s="31"/>
      <c r="G64" s="13"/>
      <c r="H64" s="64"/>
      <c r="I64" s="13">
        <f t="shared" si="4"/>
        <v>0</v>
      </c>
      <c r="J64" s="32">
        <v>57</v>
      </c>
      <c r="K64" s="33">
        <f t="shared" si="2"/>
        <v>46273</v>
      </c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 ht="49.5" hidden="1" customHeight="1" x14ac:dyDescent="0.25">
      <c r="A65" s="18">
        <v>58</v>
      </c>
      <c r="B65" s="36"/>
      <c r="C65" s="37">
        <v>46274</v>
      </c>
      <c r="D65" s="38"/>
      <c r="E65" s="38"/>
      <c r="F65" s="38"/>
      <c r="G65" s="18"/>
      <c r="H65" s="64"/>
      <c r="I65" s="18">
        <f t="shared" si="4"/>
        <v>0</v>
      </c>
      <c r="J65" s="32">
        <v>58</v>
      </c>
      <c r="K65" s="33">
        <f t="shared" si="2"/>
        <v>46274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 ht="49.5" hidden="1" customHeight="1" x14ac:dyDescent="0.25">
      <c r="A66" s="13">
        <v>59</v>
      </c>
      <c r="B66" s="29"/>
      <c r="C66" s="39">
        <v>46275</v>
      </c>
      <c r="D66" s="31"/>
      <c r="E66" s="31"/>
      <c r="F66" s="31"/>
      <c r="G66" s="13"/>
      <c r="H66" s="64"/>
      <c r="I66" s="13">
        <f t="shared" si="4"/>
        <v>0</v>
      </c>
      <c r="J66" s="32">
        <v>59</v>
      </c>
      <c r="K66" s="33">
        <f t="shared" si="2"/>
        <v>46275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 ht="49.5" hidden="1" customHeight="1" x14ac:dyDescent="0.25">
      <c r="A67" s="18">
        <v>60</v>
      </c>
      <c r="B67" s="36"/>
      <c r="C67" s="37">
        <v>46276</v>
      </c>
      <c r="D67" s="38"/>
      <c r="E67" s="38"/>
      <c r="F67" s="38"/>
      <c r="G67" s="18"/>
      <c r="H67" s="65"/>
      <c r="I67" s="18">
        <f t="shared" si="4"/>
        <v>0</v>
      </c>
      <c r="J67" s="32">
        <v>60</v>
      </c>
      <c r="K67" s="33">
        <f t="shared" si="2"/>
        <v>46276</v>
      </c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 ht="49.5" hidden="1" customHeight="1" x14ac:dyDescent="0.25">
      <c r="A68" s="13">
        <v>61</v>
      </c>
      <c r="B68" s="29"/>
      <c r="C68" s="39">
        <v>46279</v>
      </c>
      <c r="D68" s="31"/>
      <c r="E68" s="31"/>
      <c r="F68" s="31"/>
      <c r="G68" s="13"/>
      <c r="H68" s="63" t="s">
        <v>160</v>
      </c>
      <c r="I68" s="13">
        <f t="shared" si="4"/>
        <v>0</v>
      </c>
      <c r="J68" s="32">
        <v>61</v>
      </c>
      <c r="K68" s="33">
        <f t="shared" si="2"/>
        <v>46279</v>
      </c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 ht="49.5" hidden="1" customHeight="1" x14ac:dyDescent="0.25">
      <c r="A69" s="18">
        <v>62</v>
      </c>
      <c r="B69" s="36"/>
      <c r="C69" s="37">
        <v>46280</v>
      </c>
      <c r="D69" s="38"/>
      <c r="E69" s="38"/>
      <c r="F69" s="38"/>
      <c r="G69" s="18"/>
      <c r="H69" s="64"/>
      <c r="I69" s="18">
        <f t="shared" si="4"/>
        <v>0</v>
      </c>
      <c r="J69" s="32">
        <v>62</v>
      </c>
      <c r="K69" s="33">
        <f t="shared" si="2"/>
        <v>46280</v>
      </c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 ht="49.5" hidden="1" customHeight="1" x14ac:dyDescent="0.25">
      <c r="A70" s="13">
        <v>63</v>
      </c>
      <c r="B70" s="29"/>
      <c r="C70" s="39">
        <v>46281</v>
      </c>
      <c r="D70" s="31"/>
      <c r="E70" s="31"/>
      <c r="F70" s="31"/>
      <c r="G70" s="13"/>
      <c r="H70" s="64"/>
      <c r="I70" s="13">
        <f t="shared" si="4"/>
        <v>0</v>
      </c>
      <c r="J70" s="32">
        <v>63</v>
      </c>
      <c r="K70" s="33">
        <f t="shared" si="2"/>
        <v>46281</v>
      </c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 ht="49.5" hidden="1" customHeight="1" x14ac:dyDescent="0.25">
      <c r="A71" s="18">
        <v>64</v>
      </c>
      <c r="B71" s="36"/>
      <c r="C71" s="37">
        <v>46282</v>
      </c>
      <c r="D71" s="38"/>
      <c r="E71" s="38"/>
      <c r="F71" s="38"/>
      <c r="G71" s="18"/>
      <c r="H71" s="64"/>
      <c r="I71" s="18">
        <f t="shared" si="4"/>
        <v>0</v>
      </c>
      <c r="J71" s="32">
        <v>64</v>
      </c>
      <c r="K71" s="33">
        <f t="shared" si="2"/>
        <v>46282</v>
      </c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 ht="49.5" hidden="1" customHeight="1" x14ac:dyDescent="0.25">
      <c r="A72" s="13">
        <v>65</v>
      </c>
      <c r="B72" s="29"/>
      <c r="C72" s="39">
        <v>46283</v>
      </c>
      <c r="D72" s="31"/>
      <c r="E72" s="31"/>
      <c r="F72" s="31"/>
      <c r="G72" s="13"/>
      <c r="H72" s="65"/>
      <c r="I72" s="13">
        <f t="shared" si="4"/>
        <v>0</v>
      </c>
      <c r="J72" s="32">
        <v>65</v>
      </c>
      <c r="K72" s="33">
        <f t="shared" si="2"/>
        <v>46283</v>
      </c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 ht="49.5" hidden="1" customHeight="1" x14ac:dyDescent="0.25">
      <c r="A73" s="18">
        <v>66</v>
      </c>
      <c r="B73" s="36"/>
      <c r="C73" s="37">
        <v>46286</v>
      </c>
      <c r="D73" s="38"/>
      <c r="E73" s="38"/>
      <c r="F73" s="38"/>
      <c r="G73" s="18"/>
      <c r="H73" s="66" t="s">
        <v>162</v>
      </c>
      <c r="I73" s="18">
        <f t="shared" si="4"/>
        <v>0</v>
      </c>
      <c r="J73" s="32">
        <v>66</v>
      </c>
      <c r="K73" s="33">
        <f t="shared" si="2"/>
        <v>46286</v>
      </c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49.5" hidden="1" customHeight="1" x14ac:dyDescent="0.25">
      <c r="A74" s="13">
        <v>67</v>
      </c>
      <c r="B74" s="29"/>
      <c r="C74" s="39">
        <v>46287</v>
      </c>
      <c r="D74" s="31"/>
      <c r="E74" s="31"/>
      <c r="F74" s="31"/>
      <c r="G74" s="13"/>
      <c r="H74" s="64"/>
      <c r="I74" s="13">
        <f t="shared" si="4"/>
        <v>0</v>
      </c>
      <c r="J74" s="32">
        <v>67</v>
      </c>
      <c r="K74" s="33">
        <f t="shared" si="2"/>
        <v>46287</v>
      </c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49.5" hidden="1" customHeight="1" x14ac:dyDescent="0.25">
      <c r="A75" s="18">
        <v>68</v>
      </c>
      <c r="B75" s="36"/>
      <c r="C75" s="37">
        <v>46288</v>
      </c>
      <c r="D75" s="38"/>
      <c r="E75" s="38"/>
      <c r="F75" s="38"/>
      <c r="G75" s="18"/>
      <c r="H75" s="64"/>
      <c r="I75" s="18">
        <f t="shared" si="4"/>
        <v>0</v>
      </c>
      <c r="J75" s="32">
        <v>68</v>
      </c>
      <c r="K75" s="33">
        <f t="shared" si="2"/>
        <v>46288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49.5" hidden="1" customHeight="1" x14ac:dyDescent="0.25">
      <c r="A76" s="13">
        <v>69</v>
      </c>
      <c r="B76" s="29"/>
      <c r="C76" s="39">
        <v>46289</v>
      </c>
      <c r="D76" s="31"/>
      <c r="E76" s="31"/>
      <c r="F76" s="31"/>
      <c r="G76" s="13"/>
      <c r="H76" s="64"/>
      <c r="I76" s="13">
        <f t="shared" si="4"/>
        <v>0</v>
      </c>
      <c r="J76" s="32">
        <v>69</v>
      </c>
      <c r="K76" s="33">
        <f t="shared" si="2"/>
        <v>46289</v>
      </c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49.5" hidden="1" customHeight="1" x14ac:dyDescent="0.25">
      <c r="A77" s="18">
        <v>70</v>
      </c>
      <c r="B77" s="36"/>
      <c r="C77" s="37">
        <v>46290</v>
      </c>
      <c r="D77" s="38"/>
      <c r="E77" s="38"/>
      <c r="F77" s="38"/>
      <c r="G77" s="18"/>
      <c r="H77" s="65"/>
      <c r="I77" s="18">
        <f t="shared" si="4"/>
        <v>0</v>
      </c>
      <c r="J77" s="32">
        <v>70</v>
      </c>
      <c r="K77" s="33">
        <f t="shared" si="2"/>
        <v>46290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49.5" hidden="1" customHeight="1" x14ac:dyDescent="0.25">
      <c r="A78" s="13">
        <v>71</v>
      </c>
      <c r="B78" s="29"/>
      <c r="C78" s="39">
        <v>46293</v>
      </c>
      <c r="D78" s="31"/>
      <c r="E78" s="31"/>
      <c r="F78" s="31"/>
      <c r="G78" s="13"/>
      <c r="H78" s="63" t="s">
        <v>163</v>
      </c>
      <c r="I78" s="13">
        <f t="shared" si="4"/>
        <v>0</v>
      </c>
      <c r="J78" s="32">
        <v>71</v>
      </c>
      <c r="K78" s="33">
        <f t="shared" si="2"/>
        <v>46293</v>
      </c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49.5" hidden="1" customHeight="1" x14ac:dyDescent="0.25">
      <c r="A79" s="18">
        <v>72</v>
      </c>
      <c r="B79" s="36"/>
      <c r="C79" s="37">
        <v>46294</v>
      </c>
      <c r="D79" s="38"/>
      <c r="E79" s="38"/>
      <c r="F79" s="38"/>
      <c r="G79" s="18"/>
      <c r="H79" s="64"/>
      <c r="I79" s="18">
        <f t="shared" si="4"/>
        <v>0</v>
      </c>
      <c r="J79" s="32">
        <v>72</v>
      </c>
      <c r="K79" s="33">
        <f t="shared" si="2"/>
        <v>46294</v>
      </c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49.5" hidden="1" customHeight="1" x14ac:dyDescent="0.25">
      <c r="A80" s="13">
        <v>73</v>
      </c>
      <c r="B80" s="29"/>
      <c r="C80" s="39">
        <v>46295</v>
      </c>
      <c r="D80" s="31"/>
      <c r="E80" s="31"/>
      <c r="F80" s="31"/>
      <c r="G80" s="13"/>
      <c r="H80" s="64"/>
      <c r="I80" s="13">
        <f t="shared" si="4"/>
        <v>0</v>
      </c>
      <c r="J80" s="32">
        <v>73</v>
      </c>
      <c r="K80" s="33">
        <f t="shared" si="2"/>
        <v>46295</v>
      </c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49.5" hidden="1" customHeight="1" x14ac:dyDescent="0.25">
      <c r="A81" s="18">
        <v>74</v>
      </c>
      <c r="B81" s="36"/>
      <c r="C81" s="37">
        <v>46296</v>
      </c>
      <c r="D81" s="38"/>
      <c r="E81" s="38"/>
      <c r="F81" s="38"/>
      <c r="G81" s="18"/>
      <c r="H81" s="64"/>
      <c r="I81" s="18">
        <f t="shared" si="4"/>
        <v>0</v>
      </c>
      <c r="J81" s="32">
        <v>74</v>
      </c>
      <c r="K81" s="33">
        <f t="shared" si="2"/>
        <v>46296</v>
      </c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49.5" hidden="1" customHeight="1" x14ac:dyDescent="0.25">
      <c r="A82" s="13">
        <v>75</v>
      </c>
      <c r="B82" s="29"/>
      <c r="C82" s="39">
        <v>46297</v>
      </c>
      <c r="D82" s="31"/>
      <c r="E82" s="31"/>
      <c r="F82" s="31"/>
      <c r="G82" s="13"/>
      <c r="H82" s="65"/>
      <c r="I82" s="13">
        <f t="shared" si="4"/>
        <v>0</v>
      </c>
      <c r="J82" s="32">
        <v>75</v>
      </c>
      <c r="K82" s="33">
        <f t="shared" si="2"/>
        <v>46297</v>
      </c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49.5" hidden="1" customHeight="1" x14ac:dyDescent="0.25">
      <c r="A83" s="18">
        <v>76</v>
      </c>
      <c r="B83" s="36"/>
      <c r="C83" s="37">
        <v>46300</v>
      </c>
      <c r="D83" s="38"/>
      <c r="E83" s="38"/>
      <c r="F83" s="38"/>
      <c r="G83" s="18"/>
      <c r="H83" s="66" t="s">
        <v>165</v>
      </c>
      <c r="I83" s="18">
        <f t="shared" si="4"/>
        <v>0</v>
      </c>
      <c r="J83" s="32">
        <v>76</v>
      </c>
      <c r="K83" s="33">
        <f t="shared" si="2"/>
        <v>46300</v>
      </c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49.5" hidden="1" customHeight="1" x14ac:dyDescent="0.25">
      <c r="A84" s="13">
        <v>77</v>
      </c>
      <c r="B84" s="29"/>
      <c r="C84" s="39">
        <v>46301</v>
      </c>
      <c r="D84" s="31"/>
      <c r="E84" s="31"/>
      <c r="F84" s="31"/>
      <c r="G84" s="13"/>
      <c r="H84" s="64"/>
      <c r="I84" s="13">
        <f t="shared" si="4"/>
        <v>0</v>
      </c>
      <c r="J84" s="32">
        <v>77</v>
      </c>
      <c r="K84" s="33">
        <f t="shared" si="2"/>
        <v>46301</v>
      </c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49.5" hidden="1" customHeight="1" x14ac:dyDescent="0.25">
      <c r="A85" s="18">
        <v>78</v>
      </c>
      <c r="B85" s="36"/>
      <c r="C85" s="37">
        <v>46302</v>
      </c>
      <c r="D85" s="38"/>
      <c r="E85" s="38"/>
      <c r="F85" s="38"/>
      <c r="G85" s="18"/>
      <c r="H85" s="64"/>
      <c r="I85" s="18">
        <f t="shared" si="4"/>
        <v>0</v>
      </c>
      <c r="J85" s="32">
        <v>78</v>
      </c>
      <c r="K85" s="33">
        <f t="shared" si="2"/>
        <v>46302</v>
      </c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49.5" hidden="1" customHeight="1" x14ac:dyDescent="0.25">
      <c r="A86" s="13">
        <v>79</v>
      </c>
      <c r="B86" s="29"/>
      <c r="C86" s="39">
        <v>46303</v>
      </c>
      <c r="D86" s="31"/>
      <c r="E86" s="31"/>
      <c r="F86" s="31"/>
      <c r="G86" s="13"/>
      <c r="H86" s="64"/>
      <c r="I86" s="13">
        <f t="shared" si="4"/>
        <v>0</v>
      </c>
      <c r="J86" s="32">
        <v>79</v>
      </c>
      <c r="K86" s="33">
        <f t="shared" si="2"/>
        <v>46303</v>
      </c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49.5" hidden="1" customHeight="1" x14ac:dyDescent="0.25">
      <c r="A87" s="18">
        <v>80</v>
      </c>
      <c r="B87" s="36"/>
      <c r="C87" s="37">
        <v>46304</v>
      </c>
      <c r="D87" s="38"/>
      <c r="E87" s="38"/>
      <c r="F87" s="38"/>
      <c r="G87" s="18"/>
      <c r="H87" s="65"/>
      <c r="I87" s="18">
        <f t="shared" si="4"/>
        <v>0</v>
      </c>
      <c r="J87" s="32">
        <v>80</v>
      </c>
      <c r="K87" s="33">
        <f t="shared" si="2"/>
        <v>46304</v>
      </c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49.5" hidden="1" customHeight="1" x14ac:dyDescent="0.25">
      <c r="A88" s="13">
        <v>81</v>
      </c>
      <c r="B88" s="29"/>
      <c r="C88" s="51">
        <v>46307</v>
      </c>
      <c r="D88" s="31"/>
      <c r="E88" s="31"/>
      <c r="F88" s="31"/>
      <c r="G88" s="13"/>
      <c r="H88" s="63" t="s">
        <v>167</v>
      </c>
      <c r="I88" s="13">
        <f t="shared" si="4"/>
        <v>0</v>
      </c>
      <c r="J88" s="32">
        <v>81</v>
      </c>
      <c r="K88" s="52">
        <f t="shared" si="2"/>
        <v>46307</v>
      </c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49.5" hidden="1" customHeight="1" x14ac:dyDescent="0.25">
      <c r="A89" s="18">
        <v>82</v>
      </c>
      <c r="B89" s="36"/>
      <c r="C89" s="53">
        <v>46308</v>
      </c>
      <c r="D89" s="38"/>
      <c r="E89" s="38"/>
      <c r="F89" s="38"/>
      <c r="G89" s="18"/>
      <c r="H89" s="64"/>
      <c r="I89" s="18">
        <f t="shared" si="4"/>
        <v>0</v>
      </c>
      <c r="J89" s="32">
        <v>82</v>
      </c>
      <c r="K89" s="52">
        <f t="shared" si="2"/>
        <v>46308</v>
      </c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49.5" hidden="1" customHeight="1" x14ac:dyDescent="0.25">
      <c r="A90" s="13">
        <v>83</v>
      </c>
      <c r="B90" s="29"/>
      <c r="C90" s="51">
        <v>46309</v>
      </c>
      <c r="D90" s="31"/>
      <c r="E90" s="31"/>
      <c r="F90" s="31"/>
      <c r="G90" s="13"/>
      <c r="H90" s="64"/>
      <c r="I90" s="13">
        <f t="shared" si="4"/>
        <v>0</v>
      </c>
      <c r="J90" s="32">
        <v>83</v>
      </c>
      <c r="K90" s="52">
        <f t="shared" si="2"/>
        <v>46309</v>
      </c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49.5" hidden="1" customHeight="1" x14ac:dyDescent="0.25">
      <c r="A91" s="18">
        <v>84</v>
      </c>
      <c r="B91" s="36"/>
      <c r="C91" s="53">
        <v>46310</v>
      </c>
      <c r="D91" s="38"/>
      <c r="E91" s="38"/>
      <c r="F91" s="38"/>
      <c r="G91" s="18"/>
      <c r="H91" s="64"/>
      <c r="I91" s="18">
        <f t="shared" si="4"/>
        <v>0</v>
      </c>
      <c r="J91" s="32">
        <v>84</v>
      </c>
      <c r="K91" s="52">
        <f t="shared" si="2"/>
        <v>46310</v>
      </c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49.5" hidden="1" customHeight="1" x14ac:dyDescent="0.25">
      <c r="A92" s="13">
        <v>85</v>
      </c>
      <c r="B92" s="29"/>
      <c r="C92" s="51">
        <v>46311</v>
      </c>
      <c r="D92" s="31"/>
      <c r="E92" s="31"/>
      <c r="F92" s="31"/>
      <c r="G92" s="13"/>
      <c r="H92" s="65"/>
      <c r="I92" s="13">
        <f t="shared" si="4"/>
        <v>0</v>
      </c>
      <c r="J92" s="32">
        <v>85</v>
      </c>
      <c r="K92" s="52">
        <f t="shared" si="2"/>
        <v>46311</v>
      </c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49.5" hidden="1" customHeight="1" x14ac:dyDescent="0.25">
      <c r="A93" s="18">
        <v>86</v>
      </c>
      <c r="B93" s="36"/>
      <c r="C93" s="53">
        <v>46314</v>
      </c>
      <c r="D93" s="38"/>
      <c r="E93" s="38"/>
      <c r="F93" s="38"/>
      <c r="G93" s="18"/>
      <c r="H93" s="66" t="s">
        <v>169</v>
      </c>
      <c r="I93" s="18">
        <f t="shared" si="4"/>
        <v>0</v>
      </c>
      <c r="J93" s="32">
        <v>86</v>
      </c>
      <c r="K93" s="52">
        <f t="shared" si="2"/>
        <v>46314</v>
      </c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49.5" hidden="1" customHeight="1" x14ac:dyDescent="0.25">
      <c r="A94" s="13">
        <v>87</v>
      </c>
      <c r="B94" s="29"/>
      <c r="C94" s="51">
        <v>46315</v>
      </c>
      <c r="D94" s="31"/>
      <c r="E94" s="31"/>
      <c r="F94" s="31"/>
      <c r="G94" s="13"/>
      <c r="H94" s="64"/>
      <c r="I94" s="13">
        <f t="shared" si="4"/>
        <v>0</v>
      </c>
      <c r="J94" s="32">
        <v>87</v>
      </c>
      <c r="K94" s="52">
        <f t="shared" si="2"/>
        <v>46315</v>
      </c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49.5" hidden="1" customHeight="1" x14ac:dyDescent="0.25">
      <c r="A95" s="18">
        <v>88</v>
      </c>
      <c r="B95" s="36"/>
      <c r="C95" s="53">
        <v>46316</v>
      </c>
      <c r="D95" s="38"/>
      <c r="E95" s="38"/>
      <c r="F95" s="38"/>
      <c r="G95" s="18"/>
      <c r="H95" s="64"/>
      <c r="I95" s="18">
        <f t="shared" si="4"/>
        <v>0</v>
      </c>
      <c r="J95" s="32">
        <v>88</v>
      </c>
      <c r="K95" s="52">
        <f t="shared" si="2"/>
        <v>46316</v>
      </c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49.5" hidden="1" customHeight="1" x14ac:dyDescent="0.25">
      <c r="A96" s="13">
        <v>89</v>
      </c>
      <c r="B96" s="29"/>
      <c r="C96" s="51">
        <v>46317</v>
      </c>
      <c r="D96" s="31"/>
      <c r="E96" s="31"/>
      <c r="F96" s="31"/>
      <c r="G96" s="13"/>
      <c r="H96" s="64"/>
      <c r="I96" s="13">
        <f t="shared" si="4"/>
        <v>0</v>
      </c>
      <c r="J96" s="32">
        <v>89</v>
      </c>
      <c r="K96" s="52">
        <f t="shared" si="2"/>
        <v>46317</v>
      </c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49.5" hidden="1" customHeight="1" x14ac:dyDescent="0.25">
      <c r="A97" s="18">
        <v>90</v>
      </c>
      <c r="B97" s="36"/>
      <c r="C97" s="53">
        <v>46318</v>
      </c>
      <c r="D97" s="38"/>
      <c r="E97" s="38"/>
      <c r="F97" s="38"/>
      <c r="G97" s="18"/>
      <c r="H97" s="65"/>
      <c r="I97" s="18">
        <f t="shared" si="4"/>
        <v>0</v>
      </c>
      <c r="J97" s="32">
        <v>90</v>
      </c>
      <c r="K97" s="52">
        <f t="shared" si="2"/>
        <v>46318</v>
      </c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49.5" hidden="1" customHeight="1" x14ac:dyDescent="0.25">
      <c r="A98" s="13">
        <v>91</v>
      </c>
      <c r="B98" s="29"/>
      <c r="C98" s="51">
        <v>46321</v>
      </c>
      <c r="D98" s="31"/>
      <c r="E98" s="31"/>
      <c r="F98" s="31"/>
      <c r="G98" s="13"/>
      <c r="H98" s="63" t="s">
        <v>171</v>
      </c>
      <c r="I98" s="13">
        <f t="shared" si="4"/>
        <v>0</v>
      </c>
      <c r="J98" s="32">
        <v>91</v>
      </c>
      <c r="K98" s="52">
        <f t="shared" si="2"/>
        <v>46321</v>
      </c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49.5" hidden="1" customHeight="1" x14ac:dyDescent="0.25">
      <c r="A99" s="18">
        <v>92</v>
      </c>
      <c r="B99" s="36"/>
      <c r="C99" s="53">
        <v>46322</v>
      </c>
      <c r="D99" s="38"/>
      <c r="E99" s="38"/>
      <c r="F99" s="38"/>
      <c r="G99" s="18"/>
      <c r="H99" s="64"/>
      <c r="I99" s="18">
        <f t="shared" si="4"/>
        <v>0</v>
      </c>
      <c r="J99" s="32">
        <v>92</v>
      </c>
      <c r="K99" s="52">
        <f t="shared" si="2"/>
        <v>46322</v>
      </c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49.5" hidden="1" customHeight="1" x14ac:dyDescent="0.25">
      <c r="A100" s="13">
        <v>93</v>
      </c>
      <c r="B100" s="29"/>
      <c r="C100" s="51">
        <v>46323</v>
      </c>
      <c r="D100" s="31"/>
      <c r="E100" s="31"/>
      <c r="F100" s="31"/>
      <c r="G100" s="13"/>
      <c r="H100" s="64"/>
      <c r="I100" s="13">
        <f t="shared" si="4"/>
        <v>0</v>
      </c>
      <c r="J100" s="32">
        <v>93</v>
      </c>
      <c r="K100" s="52">
        <f t="shared" si="2"/>
        <v>46323</v>
      </c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49.5" hidden="1" customHeight="1" x14ac:dyDescent="0.25">
      <c r="A101" s="18">
        <v>94</v>
      </c>
      <c r="B101" s="36"/>
      <c r="C101" s="53">
        <v>46324</v>
      </c>
      <c r="D101" s="38"/>
      <c r="E101" s="38"/>
      <c r="F101" s="38"/>
      <c r="G101" s="18"/>
      <c r="H101" s="64"/>
      <c r="I101" s="18">
        <f t="shared" si="4"/>
        <v>0</v>
      </c>
      <c r="J101" s="32">
        <v>94</v>
      </c>
      <c r="K101" s="52">
        <f t="shared" si="2"/>
        <v>46324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49.5" hidden="1" customHeight="1" x14ac:dyDescent="0.25">
      <c r="A102" s="13">
        <v>95</v>
      </c>
      <c r="B102" s="29"/>
      <c r="C102" s="51">
        <v>46325</v>
      </c>
      <c r="D102" s="31"/>
      <c r="E102" s="31"/>
      <c r="F102" s="31"/>
      <c r="G102" s="13"/>
      <c r="H102" s="65"/>
      <c r="I102" s="13">
        <f t="shared" si="4"/>
        <v>0</v>
      </c>
      <c r="J102" s="32">
        <v>95</v>
      </c>
      <c r="K102" s="52">
        <f t="shared" si="2"/>
        <v>46325</v>
      </c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49.5" hidden="1" customHeight="1" x14ac:dyDescent="0.25">
      <c r="A103" s="18">
        <v>96</v>
      </c>
      <c r="B103" s="36"/>
      <c r="C103" s="37">
        <v>46328</v>
      </c>
      <c r="D103" s="38"/>
      <c r="E103" s="38"/>
      <c r="F103" s="38"/>
      <c r="G103" s="18"/>
      <c r="H103" s="66" t="s">
        <v>173</v>
      </c>
      <c r="I103" s="18">
        <f t="shared" si="4"/>
        <v>0</v>
      </c>
      <c r="J103" s="32">
        <v>96</v>
      </c>
      <c r="K103" s="33">
        <f t="shared" si="2"/>
        <v>46328</v>
      </c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49.5" hidden="1" customHeight="1" x14ac:dyDescent="0.25">
      <c r="A104" s="13">
        <v>97</v>
      </c>
      <c r="B104" s="29"/>
      <c r="C104" s="39">
        <v>46329</v>
      </c>
      <c r="D104" s="31"/>
      <c r="E104" s="31"/>
      <c r="F104" s="31"/>
      <c r="G104" s="13" t="s">
        <v>117</v>
      </c>
      <c r="H104" s="64"/>
      <c r="I104" s="13">
        <f t="shared" si="4"/>
        <v>0</v>
      </c>
      <c r="J104" s="32">
        <v>97</v>
      </c>
      <c r="K104" s="33">
        <f t="shared" si="2"/>
        <v>46329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49.5" hidden="1" customHeight="1" x14ac:dyDescent="0.25">
      <c r="A105" s="18">
        <v>98</v>
      </c>
      <c r="B105" s="36"/>
      <c r="C105" s="37">
        <v>46330</v>
      </c>
      <c r="D105" s="38"/>
      <c r="E105" s="38"/>
      <c r="F105" s="38"/>
      <c r="G105" s="18" t="s">
        <v>117</v>
      </c>
      <c r="H105" s="64"/>
      <c r="I105" s="18">
        <f t="shared" si="4"/>
        <v>0</v>
      </c>
      <c r="J105" s="32">
        <v>98</v>
      </c>
      <c r="K105" s="33">
        <f t="shared" si="2"/>
        <v>46330</v>
      </c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49.5" hidden="1" customHeight="1" x14ac:dyDescent="0.25">
      <c r="A106" s="13">
        <v>99</v>
      </c>
      <c r="B106" s="29"/>
      <c r="C106" s="39">
        <v>46331</v>
      </c>
      <c r="D106" s="31"/>
      <c r="E106" s="31"/>
      <c r="F106" s="31"/>
      <c r="G106" s="13"/>
      <c r="H106" s="64"/>
      <c r="I106" s="13">
        <f t="shared" si="4"/>
        <v>0</v>
      </c>
      <c r="J106" s="32">
        <v>99</v>
      </c>
      <c r="K106" s="33">
        <f t="shared" si="2"/>
        <v>46331</v>
      </c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49.5" hidden="1" customHeight="1" x14ac:dyDescent="0.25">
      <c r="A107" s="18">
        <v>100</v>
      </c>
      <c r="B107" s="36"/>
      <c r="C107" s="37">
        <v>46332</v>
      </c>
      <c r="D107" s="38"/>
      <c r="E107" s="38"/>
      <c r="F107" s="38"/>
      <c r="G107" s="18"/>
      <c r="H107" s="65"/>
      <c r="I107" s="18">
        <f t="shared" si="4"/>
        <v>0</v>
      </c>
      <c r="J107" s="32">
        <v>100</v>
      </c>
      <c r="K107" s="33">
        <f t="shared" si="2"/>
        <v>46332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49.5" hidden="1" customHeight="1" x14ac:dyDescent="0.25">
      <c r="A108" s="13">
        <v>101</v>
      </c>
      <c r="B108" s="29"/>
      <c r="C108" s="39">
        <v>46335</v>
      </c>
      <c r="D108" s="31"/>
      <c r="E108" s="31"/>
      <c r="F108" s="31"/>
      <c r="G108" s="13"/>
      <c r="H108" s="63" t="s">
        <v>175</v>
      </c>
      <c r="I108" s="13">
        <f t="shared" si="4"/>
        <v>0</v>
      </c>
      <c r="J108" s="32">
        <v>101</v>
      </c>
      <c r="K108" s="33">
        <f t="shared" si="2"/>
        <v>46335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49.5" hidden="1" customHeight="1" x14ac:dyDescent="0.25">
      <c r="A109" s="18">
        <v>102</v>
      </c>
      <c r="B109" s="36"/>
      <c r="C109" s="53">
        <v>46336</v>
      </c>
      <c r="D109" s="38"/>
      <c r="E109" s="38"/>
      <c r="F109" s="38"/>
      <c r="G109" s="18"/>
      <c r="H109" s="64"/>
      <c r="I109" s="18">
        <f t="shared" si="4"/>
        <v>0</v>
      </c>
      <c r="J109" s="32">
        <v>102</v>
      </c>
      <c r="K109" s="52">
        <f t="shared" si="2"/>
        <v>46336</v>
      </c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49.5" hidden="1" customHeight="1" x14ac:dyDescent="0.25">
      <c r="A110" s="13">
        <v>103</v>
      </c>
      <c r="B110" s="29"/>
      <c r="C110" s="51">
        <v>46337</v>
      </c>
      <c r="D110" s="31"/>
      <c r="E110" s="31"/>
      <c r="F110" s="31"/>
      <c r="G110" s="13"/>
      <c r="H110" s="64"/>
      <c r="I110" s="13">
        <f t="shared" si="4"/>
        <v>0</v>
      </c>
      <c r="J110" s="32">
        <v>103</v>
      </c>
      <c r="K110" s="52">
        <f t="shared" si="2"/>
        <v>46337</v>
      </c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49.5" hidden="1" customHeight="1" x14ac:dyDescent="0.25">
      <c r="A111" s="18">
        <v>104</v>
      </c>
      <c r="B111" s="36"/>
      <c r="C111" s="53">
        <v>46338</v>
      </c>
      <c r="D111" s="38"/>
      <c r="E111" s="38"/>
      <c r="F111" s="38"/>
      <c r="G111" s="18"/>
      <c r="H111" s="64"/>
      <c r="I111" s="18">
        <f t="shared" si="4"/>
        <v>0</v>
      </c>
      <c r="J111" s="32">
        <v>104</v>
      </c>
      <c r="K111" s="52">
        <f t="shared" si="2"/>
        <v>46338</v>
      </c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49.5" hidden="1" customHeight="1" x14ac:dyDescent="0.25">
      <c r="A112" s="13">
        <v>105</v>
      </c>
      <c r="B112" s="29"/>
      <c r="C112" s="51">
        <v>46339</v>
      </c>
      <c r="D112" s="31"/>
      <c r="E112" s="31"/>
      <c r="F112" s="31"/>
      <c r="G112" s="13"/>
      <c r="H112" s="65"/>
      <c r="I112" s="13">
        <f t="shared" si="4"/>
        <v>0</v>
      </c>
      <c r="J112" s="32">
        <v>105</v>
      </c>
      <c r="K112" s="52">
        <f t="shared" si="2"/>
        <v>46339</v>
      </c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49.5" hidden="1" customHeight="1" x14ac:dyDescent="0.25">
      <c r="A113" s="18">
        <v>106</v>
      </c>
      <c r="B113" s="36"/>
      <c r="C113" s="53">
        <v>46342</v>
      </c>
      <c r="D113" s="38"/>
      <c r="E113" s="38"/>
      <c r="F113" s="38"/>
      <c r="G113" s="18"/>
      <c r="H113" s="66" t="s">
        <v>177</v>
      </c>
      <c r="I113" s="18">
        <f t="shared" si="4"/>
        <v>0</v>
      </c>
      <c r="J113" s="32">
        <v>106</v>
      </c>
      <c r="K113" s="52">
        <f t="shared" si="2"/>
        <v>46342</v>
      </c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49.5" hidden="1" customHeight="1" x14ac:dyDescent="0.25">
      <c r="A114" s="13">
        <v>107</v>
      </c>
      <c r="B114" s="29"/>
      <c r="C114" s="51">
        <v>46343</v>
      </c>
      <c r="D114" s="31"/>
      <c r="E114" s="31"/>
      <c r="F114" s="31"/>
      <c r="G114" s="13"/>
      <c r="H114" s="64"/>
      <c r="I114" s="13">
        <f t="shared" si="4"/>
        <v>0</v>
      </c>
      <c r="J114" s="32">
        <v>107</v>
      </c>
      <c r="K114" s="52">
        <f t="shared" si="2"/>
        <v>46343</v>
      </c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49.5" hidden="1" customHeight="1" x14ac:dyDescent="0.25">
      <c r="A115" s="18">
        <v>108</v>
      </c>
      <c r="B115" s="36"/>
      <c r="C115" s="53">
        <v>46344</v>
      </c>
      <c r="D115" s="38"/>
      <c r="E115" s="38"/>
      <c r="F115" s="38"/>
      <c r="G115" s="18"/>
      <c r="H115" s="64"/>
      <c r="I115" s="18">
        <f t="shared" si="4"/>
        <v>0</v>
      </c>
      <c r="J115" s="32">
        <v>108</v>
      </c>
      <c r="K115" s="52">
        <f t="shared" si="2"/>
        <v>46344</v>
      </c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49.5" hidden="1" customHeight="1" x14ac:dyDescent="0.25">
      <c r="A116" s="13">
        <v>109</v>
      </c>
      <c r="B116" s="29"/>
      <c r="C116" s="51">
        <v>46345</v>
      </c>
      <c r="D116" s="31"/>
      <c r="E116" s="31"/>
      <c r="F116" s="31"/>
      <c r="G116" s="13"/>
      <c r="H116" s="64"/>
      <c r="I116" s="13">
        <f t="shared" si="4"/>
        <v>0</v>
      </c>
      <c r="J116" s="32">
        <v>109</v>
      </c>
      <c r="K116" s="52">
        <f t="shared" si="2"/>
        <v>46345</v>
      </c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49.5" hidden="1" customHeight="1" x14ac:dyDescent="0.25">
      <c r="A117" s="18">
        <v>110</v>
      </c>
      <c r="B117" s="36"/>
      <c r="C117" s="53">
        <v>46346</v>
      </c>
      <c r="D117" s="54"/>
      <c r="E117" s="54"/>
      <c r="F117" s="18"/>
      <c r="G117" s="18"/>
      <c r="H117" s="65"/>
      <c r="I117" s="18">
        <f t="shared" si="4"/>
        <v>0</v>
      </c>
      <c r="J117" s="32">
        <v>110</v>
      </c>
      <c r="K117" s="52">
        <f t="shared" si="2"/>
        <v>46346</v>
      </c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36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36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36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40.5" customHeight="1" x14ac:dyDescent="0.25">
      <c r="A121" s="67" t="s">
        <v>178</v>
      </c>
      <c r="B121" s="68"/>
      <c r="C121" s="68"/>
      <c r="D121" s="68"/>
      <c r="E121" s="6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40.5" customHeight="1" x14ac:dyDescent="0.25">
      <c r="A122" s="55" t="s">
        <v>7</v>
      </c>
      <c r="B122" s="55" t="s">
        <v>179</v>
      </c>
      <c r="C122" s="55" t="s">
        <v>180</v>
      </c>
      <c r="D122" s="55" t="s">
        <v>181</v>
      </c>
      <c r="E122" s="55" t="s">
        <v>18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40.5" customHeight="1" x14ac:dyDescent="0.25">
      <c r="A123" s="56">
        <v>1</v>
      </c>
      <c r="B123" s="57" t="s">
        <v>109</v>
      </c>
      <c r="C123" s="58">
        <f>COUNTIF(D8:D117,B123)</f>
        <v>7</v>
      </c>
      <c r="D123" s="59">
        <f t="shared" ref="D123:D131" si="5">C123*50000</f>
        <v>350000</v>
      </c>
      <c r="E123" s="5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40.5" customHeight="1" x14ac:dyDescent="0.25">
      <c r="A124" s="56">
        <v>2</v>
      </c>
      <c r="B124" s="57" t="s">
        <v>130</v>
      </c>
      <c r="C124" s="58">
        <f>COUNTIF(E8:E117,B124)</f>
        <v>6</v>
      </c>
      <c r="D124" s="59">
        <f t="shared" si="5"/>
        <v>300000</v>
      </c>
      <c r="E124" s="5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40.5" customHeight="1" x14ac:dyDescent="0.25">
      <c r="A125" s="56">
        <v>3</v>
      </c>
      <c r="B125" s="57" t="s">
        <v>182</v>
      </c>
      <c r="C125" s="58">
        <f t="shared" ref="C125:C131" si="6">COUNTIF($F$8:$F$117,B125)</f>
        <v>0</v>
      </c>
      <c r="D125" s="59">
        <f t="shared" si="5"/>
        <v>0</v>
      </c>
      <c r="E125" s="5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40.5" customHeight="1" x14ac:dyDescent="0.25">
      <c r="A126" s="56">
        <v>4</v>
      </c>
      <c r="B126" s="57" t="s">
        <v>134</v>
      </c>
      <c r="C126" s="58">
        <f t="shared" si="6"/>
        <v>2</v>
      </c>
      <c r="D126" s="59">
        <f t="shared" si="5"/>
        <v>100000</v>
      </c>
      <c r="E126" s="5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40.5" customHeight="1" x14ac:dyDescent="0.25">
      <c r="A127" s="56">
        <v>5</v>
      </c>
      <c r="B127" s="57" t="s">
        <v>183</v>
      </c>
      <c r="C127" s="58">
        <f t="shared" si="6"/>
        <v>0</v>
      </c>
      <c r="D127" s="59">
        <f t="shared" si="5"/>
        <v>0</v>
      </c>
      <c r="E127" s="5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40.5" customHeight="1" x14ac:dyDescent="0.25">
      <c r="A128" s="56">
        <v>6</v>
      </c>
      <c r="B128" s="57" t="s">
        <v>184</v>
      </c>
      <c r="C128" s="58">
        <f t="shared" si="6"/>
        <v>0</v>
      </c>
      <c r="D128" s="59">
        <f t="shared" si="5"/>
        <v>0</v>
      </c>
      <c r="E128" s="5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40.5" customHeight="1" x14ac:dyDescent="0.25">
      <c r="A129" s="56">
        <v>7</v>
      </c>
      <c r="B129" s="57" t="s">
        <v>185</v>
      </c>
      <c r="C129" s="58">
        <f t="shared" si="6"/>
        <v>0</v>
      </c>
      <c r="D129" s="59">
        <f t="shared" si="5"/>
        <v>0</v>
      </c>
      <c r="E129" s="5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40.5" customHeight="1" x14ac:dyDescent="0.25">
      <c r="A130" s="56">
        <v>8</v>
      </c>
      <c r="B130" s="57" t="s">
        <v>111</v>
      </c>
      <c r="C130" s="58">
        <f t="shared" si="6"/>
        <v>6</v>
      </c>
      <c r="D130" s="59">
        <f t="shared" si="5"/>
        <v>300000</v>
      </c>
      <c r="E130" s="5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40.5" customHeight="1" x14ac:dyDescent="0.25">
      <c r="A131" s="56">
        <v>9</v>
      </c>
      <c r="B131" s="57" t="s">
        <v>131</v>
      </c>
      <c r="C131" s="58">
        <f t="shared" si="6"/>
        <v>5</v>
      </c>
      <c r="D131" s="59">
        <f t="shared" si="5"/>
        <v>250000</v>
      </c>
      <c r="E131" s="5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40.5" customHeight="1" x14ac:dyDescent="0.25">
      <c r="A132" s="70" t="s">
        <v>90</v>
      </c>
      <c r="B132" s="68"/>
      <c r="C132" s="69"/>
      <c r="D132" s="60">
        <f>SUM(D123:D131)</f>
        <v>1300000</v>
      </c>
      <c r="E132" s="3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67.5" customHeight="1" x14ac:dyDescent="0.25">
      <c r="A133" s="71" t="s">
        <v>186</v>
      </c>
      <c r="B133" s="62"/>
      <c r="C133" s="72" t="str">
        <f>SUBSTITUTE(CHOOSE(MID(TEXT(D132,"000000000"),1,1)+1,"","Một Trăm ","Hai Trăm ","Ba Trăm ","Bốn Trăm ","Năm Trăm ","Sáu Trăm ","Bảy Trăm ","Tám Trăm ","Chín Trăm ")&amp;CHOOSE(MID(TEXT(D132,"000000000"),2,1)+1,"",IF(MID(TEXT(D132,"000000000"),3,1)="0","Mười","Mười "), "Hai Mươi ","Ba Mươi ","Bốn Mươi ","Năm Mươi ","Sáu Mươi ","Bảy Mươi ","Tám Mươi ","Chín Mươi ")&amp;CHOOSE(MID(TEXT(D132,"000000000"),3,1)+1,IF(OR(MID(TEXT(D132,"000000000"),1,2)="00",MID(TEXT(D132,"000000000"),2,1)="0"),"","Lẻ "),"Một ","Hai ","Ba ","Bốn ","Năm ","Sáu ","Bảy ","Tám ","Chín ")&amp;IF(MID(TEXT(D132,"000000000"),1,3)="000","","Triệu ")&amp;CHOOSE(MID(TEXT(D132,"000000000"),4,1)+1,IF(MID(TEXT(D132,"000000000"),1,3)="000","","Không Trăm "),"Một Trăm ","Hai Trăm ","Ba Trăm ","Bốn Trăm ","Năm Trăm ","Sáu Trăm ","Bảy Trăm ","Tám Trăm ","Chín Trăm ")&amp;CHOOSE(MID(TEXT(D132,"000000000"),5,1)+1,IF(MID(TEXT(D132,"000000000"),6,1)="0","","Lẻ "),IF(MID(TEXT(D132,"000000000"),6,1)="0","Mười","Mười "), "Hai Mươi ","Ba Mươi ","Bốn Mươi ","Năm Mươi ","Sáu Mươi ","Bảy Mươi ","Tám Mươi ","Chín Mươi ")&amp;CHOOSE(MID(TEXT(D132,"000000000"),6,1)+1,"","Một ","Hai ","Ba ","Bốn ","Lăm ","Sáu ","Bảy ","Tám ","Chín ")&amp;IF(MID(TEXT(D132,"000000000"),4,3)="000","","Ngàn ")&amp;CHOOSE(MID(TEXT(D132,"000000000"),7,1)+1,IF(MID(TEXT(D132,"000000000"),4,3)="000","","Không Trăm "),"Một Trăm ","Hai Trăm ","Ba Trăm ","Bốn Trăm ","Năm Trăm ","Sáu Trăm ","Bảy Trăm ","Tám Trăm ","Chín Trăm ")&amp;CHOOSE(MID(TEXT(D132,"000000000"),8,1)+1,IF(MID(TEXT(D132,"000000000"),9,1)="0","","Lẻ "),IF(MID(TEXT(D132,"000000000"),9,1)="0","Mười","Mười "), "Hai Mươi ","Ba Mươi ","Bốn Mươi ","Năm Mươi ","Sáu Mươi ","Bảy Mươi ","Tám Mươi ","Chín Mươi ")&amp;CHOOSE(MID(TEXT(D132,"000000000"),9,1)+1,"","Một ","Hai ","Ba ","Bốn ","Lăm ","Sáu ","Bảy ","Tám ","Chín ")&amp;"Đồng chẵn","Không Trăm Lẻ ","")</f>
        <v>Một Triệu Ba Trăm Ngàn Không Trăm Đồng chẵn</v>
      </c>
      <c r="D133" s="62"/>
      <c r="E133" s="6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6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6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6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6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6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6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6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6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6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6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6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6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6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6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6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6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6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6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6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6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6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6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6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6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6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6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6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6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6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6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6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6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6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6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6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6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6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6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6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6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6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6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6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6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6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6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6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6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6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6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6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6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6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6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6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6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6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6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6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6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6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6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6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6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6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6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6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6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6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6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6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6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6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6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6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6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6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6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6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6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6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6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6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6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6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6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6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6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6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6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6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6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6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6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6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6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6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6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6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6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6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6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6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6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6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6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6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6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6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6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6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6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6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6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6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6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6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6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6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6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6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6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6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6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6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6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6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6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6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6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6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6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6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6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6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6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6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6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6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6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6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6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6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6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6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6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6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6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6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6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6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6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6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6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6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6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6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6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6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6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6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6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6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6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6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6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6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6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6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6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6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6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6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6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6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6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6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6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6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6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6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6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6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6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6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6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6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6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6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6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6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6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6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6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6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6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6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6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6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6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6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6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6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6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6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6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6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6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6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6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6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6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6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6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6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6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6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6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6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6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6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6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6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6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6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6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6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6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6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6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6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6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6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6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6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6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6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6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6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6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6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6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6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6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6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6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6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6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6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6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6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6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6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6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6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6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6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6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6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6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6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6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6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6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6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6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6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6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6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6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6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6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6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6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6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6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6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6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6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6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6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6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6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6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6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6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6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6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6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6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6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6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6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6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6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6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6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6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6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6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6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6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6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6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6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6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6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6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6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6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6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6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6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6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6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6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6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6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6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6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6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6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6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6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6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6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6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6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6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6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6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6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6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6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6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6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6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6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6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6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6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6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6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6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6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6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6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6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6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6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6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6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6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6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6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6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6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6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6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6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6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6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6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6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6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6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6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6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6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6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6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6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6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6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6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6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6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6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6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6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6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6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6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6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6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6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6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6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6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6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6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6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6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6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6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6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6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6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6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6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6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6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6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6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6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6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6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6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6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6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6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6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6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6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6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6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6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6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6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6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6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6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6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6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6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6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6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6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6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6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6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6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6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6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6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6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6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6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6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6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6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6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6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6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6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6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6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6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6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6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6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6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6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6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6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6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6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6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6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6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6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6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6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6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6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6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6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6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6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6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6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6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6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6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6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6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6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6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6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6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6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6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6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6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6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6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6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6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6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6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6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6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6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6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6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6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6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6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6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6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6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6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6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6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6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6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6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6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6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6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6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6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6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6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6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6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6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6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6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6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6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6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6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6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6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6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6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6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6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6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6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6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6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6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6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6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6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6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6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6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6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6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6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6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6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6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6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6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6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6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6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6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6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6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6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6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6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6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6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6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6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6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6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6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6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6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6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6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6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6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6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6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6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6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6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6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6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6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6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6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6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6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6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6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6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6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6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6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6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6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6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6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6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6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6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6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6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6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6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6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6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6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6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6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6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6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6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6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6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6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6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6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6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6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6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6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6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6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6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6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6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6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6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6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6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6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6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6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6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6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6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6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6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6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6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6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6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6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6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6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6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6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6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6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6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6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6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6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6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6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6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6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6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6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6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6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6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6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6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6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6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6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6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6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6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6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6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6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6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6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6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6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6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6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6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6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6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6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6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6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6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6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6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6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6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6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6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6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6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6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6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6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6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6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6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6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6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6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6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6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6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6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6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6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6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6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6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6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6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6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6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6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6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6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6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6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6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6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6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6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6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6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6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6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6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6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6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6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6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6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6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6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6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6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6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6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6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6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6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6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6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6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6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6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6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6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6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6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6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6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6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6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6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6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6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6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6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6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6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6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6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6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6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6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6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6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6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6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6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6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6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6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6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6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6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6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6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6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6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6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6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6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6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6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6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6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6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6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6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6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6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6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6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6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6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6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6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6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6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6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6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6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6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6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6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6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6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6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6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6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6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6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6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6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6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6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6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6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6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6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6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6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6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6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6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6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6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6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6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6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6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6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6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6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6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6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6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6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6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6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6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6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6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6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6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6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6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6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6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6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6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6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6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6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6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6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6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6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6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6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6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6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6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6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6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6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6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J7:Y117" xr:uid="{00000000-0001-0000-0000-000000000000}">
    <filterColumn colId="0" showButton="0"/>
    <filterColumn colId="2">
      <filters>
        <filter val="10"/>
        <filter val="11"/>
        <filter val="13"/>
        <filter val="14"/>
        <filter val="15"/>
        <filter val="17"/>
        <filter val="21"/>
        <filter val="40"/>
        <filter val="8"/>
        <filter val="9"/>
      </filters>
    </filterColumn>
  </autoFilter>
  <mergeCells count="71">
    <mergeCell ref="L5:L6"/>
    <mergeCell ref="M5:M6"/>
    <mergeCell ref="N5:N6"/>
    <mergeCell ref="D6:F6"/>
    <mergeCell ref="Y5:Y6"/>
    <mergeCell ref="O5:O6"/>
    <mergeCell ref="P5:P6"/>
    <mergeCell ref="Q5:Q6"/>
    <mergeCell ref="R5:R6"/>
    <mergeCell ref="S5:S6"/>
    <mergeCell ref="T5:T6"/>
    <mergeCell ref="U5:U6"/>
    <mergeCell ref="O1:O4"/>
    <mergeCell ref="A2:C2"/>
    <mergeCell ref="V5:V6"/>
    <mergeCell ref="W5:W6"/>
    <mergeCell ref="X5:X6"/>
    <mergeCell ref="A6:A7"/>
    <mergeCell ref="B6:B7"/>
    <mergeCell ref="C6:C7"/>
    <mergeCell ref="G6:G7"/>
    <mergeCell ref="H6:H7"/>
    <mergeCell ref="I6:I7"/>
    <mergeCell ref="J7:K7"/>
    <mergeCell ref="A4:H4"/>
    <mergeCell ref="A5:H5"/>
    <mergeCell ref="J5:J6"/>
    <mergeCell ref="K5:K6"/>
    <mergeCell ref="A1:C1"/>
    <mergeCell ref="J1:J4"/>
    <mergeCell ref="K1:K4"/>
    <mergeCell ref="L1:L4"/>
    <mergeCell ref="M1:N3"/>
    <mergeCell ref="X1:X4"/>
    <mergeCell ref="Y1:Y4"/>
    <mergeCell ref="S2:S4"/>
    <mergeCell ref="T2:T4"/>
    <mergeCell ref="W2:W4"/>
    <mergeCell ref="U2:U4"/>
    <mergeCell ref="V2:V4"/>
    <mergeCell ref="P1:Q3"/>
    <mergeCell ref="R1:R4"/>
    <mergeCell ref="S1:W1"/>
    <mergeCell ref="H108:H112"/>
    <mergeCell ref="H113:H117"/>
    <mergeCell ref="A121:E121"/>
    <mergeCell ref="A132:C132"/>
    <mergeCell ref="A133:B133"/>
    <mergeCell ref="C133:E133"/>
    <mergeCell ref="H48:H52"/>
    <mergeCell ref="H53:H57"/>
    <mergeCell ref="H58:H62"/>
    <mergeCell ref="H63:H67"/>
    <mergeCell ref="H103:H107"/>
    <mergeCell ref="H68:H72"/>
    <mergeCell ref="H73:H77"/>
    <mergeCell ref="H78:H82"/>
    <mergeCell ref="H83:H87"/>
    <mergeCell ref="H88:H92"/>
    <mergeCell ref="H93:H97"/>
    <mergeCell ref="H98:H102"/>
    <mergeCell ref="H23:H27"/>
    <mergeCell ref="H28:H32"/>
    <mergeCell ref="H33:H37"/>
    <mergeCell ref="H38:H42"/>
    <mergeCell ref="H43:H47"/>
    <mergeCell ref="E1:H1"/>
    <mergeCell ref="E2:H2"/>
    <mergeCell ref="H8:H12"/>
    <mergeCell ref="H13:H17"/>
    <mergeCell ref="H18:H22"/>
  </mergeCells>
  <pageMargins left="0.19685039370078741" right="0.19685039370078741" top="0.19685039370078741" bottom="0.19685039370078741" header="0" footer="0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95"/>
  <sheetViews>
    <sheetView workbookViewId="0">
      <selection sqref="A1:B1"/>
    </sheetView>
  </sheetViews>
  <sheetFormatPr defaultColWidth="14.42578125" defaultRowHeight="15" customHeight="1" x14ac:dyDescent="0.25"/>
  <cols>
    <col min="1" max="1" width="11.85546875" customWidth="1"/>
    <col min="2" max="2" width="21.42578125" customWidth="1"/>
    <col min="4" max="4" width="20.7109375" customWidth="1"/>
    <col min="5" max="5" width="18.140625" customWidth="1"/>
  </cols>
  <sheetData>
    <row r="1" spans="1:24" x14ac:dyDescent="0.25">
      <c r="A1" s="80" t="s">
        <v>0</v>
      </c>
      <c r="B1" s="62"/>
      <c r="C1" s="61" t="s">
        <v>2</v>
      </c>
      <c r="D1" s="62"/>
      <c r="E1" s="62"/>
      <c r="F1" s="62"/>
    </row>
    <row r="2" spans="1:24" x14ac:dyDescent="0.25">
      <c r="A2" s="61" t="s">
        <v>3</v>
      </c>
      <c r="B2" s="62"/>
      <c r="C2" s="61" t="s">
        <v>4</v>
      </c>
      <c r="D2" s="62"/>
      <c r="E2" s="62"/>
      <c r="F2" s="62"/>
    </row>
    <row r="3" spans="1:24" x14ac:dyDescent="0.25">
      <c r="A3" s="3"/>
      <c r="B3" s="3"/>
      <c r="C3" s="3"/>
      <c r="D3" s="3"/>
      <c r="E3" s="3"/>
      <c r="F3" s="3"/>
    </row>
    <row r="4" spans="1:24" x14ac:dyDescent="0.25">
      <c r="A4" s="84" t="s">
        <v>5</v>
      </c>
      <c r="B4" s="62"/>
      <c r="C4" s="62"/>
      <c r="D4" s="62"/>
      <c r="E4" s="62"/>
      <c r="F4" s="62"/>
    </row>
    <row r="5" spans="1:24" x14ac:dyDescent="0.25">
      <c r="A5" s="85" t="s">
        <v>6</v>
      </c>
      <c r="B5" s="62"/>
      <c r="C5" s="62"/>
      <c r="D5" s="62"/>
      <c r="E5" s="62"/>
      <c r="F5" s="62"/>
    </row>
    <row r="6" spans="1:24" x14ac:dyDescent="0.25">
      <c r="A6" s="82" t="s">
        <v>7</v>
      </c>
      <c r="B6" s="82" t="s">
        <v>8</v>
      </c>
      <c r="C6" s="86" t="s">
        <v>9</v>
      </c>
      <c r="D6" s="68"/>
      <c r="E6" s="69"/>
      <c r="F6" s="82" t="s">
        <v>10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65"/>
      <c r="B7" s="65"/>
      <c r="C7" s="5" t="s">
        <v>9</v>
      </c>
      <c r="D7" s="5" t="s">
        <v>16</v>
      </c>
      <c r="E7" s="5" t="s">
        <v>18</v>
      </c>
      <c r="F7" s="6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9">
        <v>1</v>
      </c>
      <c r="B8" s="10" t="s">
        <v>23</v>
      </c>
      <c r="C8" s="12">
        <v>46195</v>
      </c>
      <c r="D8" s="13" t="s">
        <v>26</v>
      </c>
      <c r="E8" s="14"/>
      <c r="F8" s="63" t="s">
        <v>29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15">
        <v>2</v>
      </c>
      <c r="B9" s="16" t="s">
        <v>23</v>
      </c>
      <c r="C9" s="17">
        <v>46196</v>
      </c>
      <c r="D9" s="18" t="s">
        <v>44</v>
      </c>
      <c r="E9" s="19"/>
      <c r="F9" s="6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5">
      <c r="A10" s="9">
        <v>3</v>
      </c>
      <c r="B10" s="10" t="s">
        <v>23</v>
      </c>
      <c r="C10" s="12">
        <v>46197</v>
      </c>
      <c r="D10" s="13" t="s">
        <v>55</v>
      </c>
      <c r="E10" s="14"/>
      <c r="F10" s="6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15">
        <v>4</v>
      </c>
      <c r="B11" s="16" t="s">
        <v>23</v>
      </c>
      <c r="C11" s="17">
        <v>46198</v>
      </c>
      <c r="D11" s="18" t="s">
        <v>59</v>
      </c>
      <c r="E11" s="19"/>
      <c r="F11" s="6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9">
        <v>5</v>
      </c>
      <c r="B12" s="10" t="s">
        <v>23</v>
      </c>
      <c r="C12" s="12">
        <v>46199</v>
      </c>
      <c r="D12" s="13" t="s">
        <v>72</v>
      </c>
      <c r="E12" s="14"/>
      <c r="F12" s="6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15">
        <v>6</v>
      </c>
      <c r="B13" s="16" t="s">
        <v>23</v>
      </c>
      <c r="C13" s="17">
        <v>46202</v>
      </c>
      <c r="D13" s="18" t="s">
        <v>26</v>
      </c>
      <c r="E13" s="19"/>
      <c r="F13" s="66" t="s">
        <v>83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9">
        <v>7</v>
      </c>
      <c r="B14" s="10" t="s">
        <v>23</v>
      </c>
      <c r="C14" s="12">
        <v>46203</v>
      </c>
      <c r="D14" s="13" t="s">
        <v>44</v>
      </c>
      <c r="E14" s="14"/>
      <c r="F14" s="6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15">
        <v>8</v>
      </c>
      <c r="B15" s="16" t="s">
        <v>23</v>
      </c>
      <c r="C15" s="17">
        <v>46204</v>
      </c>
      <c r="D15" s="18" t="s">
        <v>55</v>
      </c>
      <c r="E15" s="19"/>
      <c r="F15" s="6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9">
        <v>9</v>
      </c>
      <c r="B16" s="10" t="s">
        <v>23</v>
      </c>
      <c r="C16" s="12">
        <v>46205</v>
      </c>
      <c r="D16" s="13" t="s">
        <v>59</v>
      </c>
      <c r="E16" s="14"/>
      <c r="F16" s="6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15">
        <v>10</v>
      </c>
      <c r="B17" s="16" t="s">
        <v>23</v>
      </c>
      <c r="C17" s="17">
        <v>46206</v>
      </c>
      <c r="D17" s="18" t="s">
        <v>72</v>
      </c>
      <c r="E17" s="15" t="s">
        <v>117</v>
      </c>
      <c r="F17" s="6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9">
        <v>11</v>
      </c>
      <c r="B18" s="10" t="s">
        <v>121</v>
      </c>
      <c r="C18" s="12">
        <v>46209</v>
      </c>
      <c r="D18" s="13" t="s">
        <v>26</v>
      </c>
      <c r="E18" s="9" t="s">
        <v>117</v>
      </c>
      <c r="F18" s="63" t="s">
        <v>124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15">
        <v>12</v>
      </c>
      <c r="B19" s="16" t="s">
        <v>121</v>
      </c>
      <c r="C19" s="17">
        <v>46210</v>
      </c>
      <c r="D19" s="18" t="s">
        <v>44</v>
      </c>
      <c r="E19" s="19"/>
      <c r="F19" s="6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9">
        <v>13</v>
      </c>
      <c r="B20" s="10" t="s">
        <v>121</v>
      </c>
      <c r="C20" s="12">
        <v>46211</v>
      </c>
      <c r="D20" s="13" t="s">
        <v>55</v>
      </c>
      <c r="E20" s="14"/>
      <c r="F20" s="6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s="15">
        <v>14</v>
      </c>
      <c r="B21" s="16" t="s">
        <v>121</v>
      </c>
      <c r="C21" s="17">
        <v>46212</v>
      </c>
      <c r="D21" s="18" t="s">
        <v>59</v>
      </c>
      <c r="E21" s="19"/>
      <c r="F21" s="6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9">
        <v>15</v>
      </c>
      <c r="B22" s="10" t="s">
        <v>121</v>
      </c>
      <c r="C22" s="12">
        <v>46213</v>
      </c>
      <c r="D22" s="13" t="s">
        <v>72</v>
      </c>
      <c r="E22" s="14"/>
      <c r="F22" s="6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s="15">
        <v>16</v>
      </c>
      <c r="B23" s="16" t="s">
        <v>121</v>
      </c>
      <c r="C23" s="17">
        <v>46216</v>
      </c>
      <c r="D23" s="18" t="s">
        <v>26</v>
      </c>
      <c r="E23" s="19"/>
      <c r="F23" s="66" t="s">
        <v>133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s="9">
        <v>17</v>
      </c>
      <c r="B24" s="10" t="s">
        <v>121</v>
      </c>
      <c r="C24" s="12">
        <v>46217</v>
      </c>
      <c r="D24" s="13" t="s">
        <v>44</v>
      </c>
      <c r="E24" s="14"/>
      <c r="F24" s="6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15">
        <v>18</v>
      </c>
      <c r="B25" s="16" t="s">
        <v>121</v>
      </c>
      <c r="C25" s="17">
        <v>46218</v>
      </c>
      <c r="D25" s="18" t="s">
        <v>55</v>
      </c>
      <c r="E25" s="19"/>
      <c r="F25" s="6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5">
      <c r="A26" s="9">
        <v>19</v>
      </c>
      <c r="B26" s="10" t="s">
        <v>121</v>
      </c>
      <c r="C26" s="12">
        <v>46219</v>
      </c>
      <c r="D26" s="13" t="s">
        <v>59</v>
      </c>
      <c r="E26" s="14"/>
      <c r="F26" s="6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5">
      <c r="A27" s="15">
        <v>20</v>
      </c>
      <c r="B27" s="16" t="s">
        <v>121</v>
      </c>
      <c r="C27" s="17">
        <v>46220</v>
      </c>
      <c r="D27" s="18" t="s">
        <v>72</v>
      </c>
      <c r="E27" s="19"/>
      <c r="F27" s="6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25">
      <c r="A28" s="9">
        <v>21</v>
      </c>
      <c r="B28" s="10" t="s">
        <v>135</v>
      </c>
      <c r="C28" s="12">
        <v>46223</v>
      </c>
      <c r="D28" s="13" t="s">
        <v>26</v>
      </c>
      <c r="E28" s="14"/>
      <c r="F28" s="63" t="s">
        <v>136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s="15">
        <v>22</v>
      </c>
      <c r="B29" s="16" t="s">
        <v>135</v>
      </c>
      <c r="C29" s="17">
        <v>46224</v>
      </c>
      <c r="D29" s="18" t="s">
        <v>44</v>
      </c>
      <c r="E29" s="19"/>
      <c r="F29" s="6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5">
      <c r="A30" s="9">
        <v>23</v>
      </c>
      <c r="B30" s="10" t="s">
        <v>135</v>
      </c>
      <c r="C30" s="12">
        <v>46225</v>
      </c>
      <c r="D30" s="13" t="s">
        <v>55</v>
      </c>
      <c r="E30" s="14"/>
      <c r="F30" s="6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5">
      <c r="A31" s="15">
        <v>24</v>
      </c>
      <c r="B31" s="16" t="s">
        <v>135</v>
      </c>
      <c r="C31" s="17">
        <v>46226</v>
      </c>
      <c r="D31" s="18" t="s">
        <v>59</v>
      </c>
      <c r="E31" s="19"/>
      <c r="F31" s="6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5">
      <c r="A32" s="9">
        <v>25</v>
      </c>
      <c r="B32" s="10" t="s">
        <v>135</v>
      </c>
      <c r="C32" s="12">
        <v>46227</v>
      </c>
      <c r="D32" s="13" t="s">
        <v>72</v>
      </c>
      <c r="E32" s="14"/>
      <c r="F32" s="6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5">
      <c r="A33" s="15">
        <v>26</v>
      </c>
      <c r="B33" s="16" t="s">
        <v>137</v>
      </c>
      <c r="C33" s="17">
        <v>46230</v>
      </c>
      <c r="D33" s="18" t="s">
        <v>26</v>
      </c>
      <c r="E33" s="19"/>
      <c r="F33" s="66" t="s">
        <v>138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5">
      <c r="A34" s="9">
        <v>27</v>
      </c>
      <c r="B34" s="10" t="s">
        <v>137</v>
      </c>
      <c r="C34" s="12">
        <v>46231</v>
      </c>
      <c r="D34" s="13" t="s">
        <v>44</v>
      </c>
      <c r="E34" s="14"/>
      <c r="F34" s="6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25">
      <c r="A35" s="15">
        <v>28</v>
      </c>
      <c r="B35" s="16" t="s">
        <v>137</v>
      </c>
      <c r="C35" s="17">
        <v>46232</v>
      </c>
      <c r="D35" s="18" t="s">
        <v>55</v>
      </c>
      <c r="E35" s="19"/>
      <c r="F35" s="6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s="9">
        <v>29</v>
      </c>
      <c r="B36" s="10" t="s">
        <v>137</v>
      </c>
      <c r="C36" s="12">
        <v>46233</v>
      </c>
      <c r="D36" s="13" t="s">
        <v>59</v>
      </c>
      <c r="E36" s="14"/>
      <c r="F36" s="6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x14ac:dyDescent="0.25">
      <c r="A37" s="15">
        <v>30</v>
      </c>
      <c r="B37" s="16" t="s">
        <v>137</v>
      </c>
      <c r="C37" s="17">
        <v>46234</v>
      </c>
      <c r="D37" s="18" t="s">
        <v>72</v>
      </c>
      <c r="E37" s="19"/>
      <c r="F37" s="6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5">
      <c r="A38" s="9">
        <v>31</v>
      </c>
      <c r="B38" s="10" t="s">
        <v>137</v>
      </c>
      <c r="C38" s="12">
        <v>46237</v>
      </c>
      <c r="D38" s="13" t="s">
        <v>26</v>
      </c>
      <c r="E38" s="9" t="s">
        <v>117</v>
      </c>
      <c r="F38" s="63" t="s">
        <v>141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15">
        <v>32</v>
      </c>
      <c r="B39" s="16" t="s">
        <v>137</v>
      </c>
      <c r="C39" s="17">
        <v>46238</v>
      </c>
      <c r="D39" s="18" t="s">
        <v>44</v>
      </c>
      <c r="E39" s="15" t="s">
        <v>117</v>
      </c>
      <c r="F39" s="6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9">
        <v>33</v>
      </c>
      <c r="B40" s="10" t="s">
        <v>137</v>
      </c>
      <c r="C40" s="12">
        <v>46239</v>
      </c>
      <c r="D40" s="13" t="s">
        <v>55</v>
      </c>
      <c r="E40" s="14"/>
      <c r="F40" s="6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15">
        <v>34</v>
      </c>
      <c r="B41" s="16" t="s">
        <v>137</v>
      </c>
      <c r="C41" s="17">
        <v>46240</v>
      </c>
      <c r="D41" s="18" t="s">
        <v>59</v>
      </c>
      <c r="E41" s="19"/>
      <c r="F41" s="6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9">
        <v>35</v>
      </c>
      <c r="B42" s="10" t="s">
        <v>137</v>
      </c>
      <c r="C42" s="12">
        <v>46241</v>
      </c>
      <c r="D42" s="13" t="s">
        <v>72</v>
      </c>
      <c r="E42" s="14"/>
      <c r="F42" s="6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15">
        <v>36</v>
      </c>
      <c r="B43" s="16" t="s">
        <v>142</v>
      </c>
      <c r="C43" s="17">
        <v>46244</v>
      </c>
      <c r="D43" s="18" t="s">
        <v>26</v>
      </c>
      <c r="E43" s="19"/>
      <c r="F43" s="66" t="s">
        <v>143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9">
        <v>37</v>
      </c>
      <c r="B44" s="10" t="s">
        <v>142</v>
      </c>
      <c r="C44" s="12">
        <v>46245</v>
      </c>
      <c r="D44" s="13" t="s">
        <v>44</v>
      </c>
      <c r="E44" s="14"/>
      <c r="F44" s="6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15">
        <v>38</v>
      </c>
      <c r="B45" s="16" t="s">
        <v>142</v>
      </c>
      <c r="C45" s="17">
        <v>46246</v>
      </c>
      <c r="D45" s="18" t="s">
        <v>55</v>
      </c>
      <c r="E45" s="19"/>
      <c r="F45" s="6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9">
        <v>39</v>
      </c>
      <c r="B46" s="10" t="s">
        <v>142</v>
      </c>
      <c r="C46" s="12">
        <v>46247</v>
      </c>
      <c r="D46" s="13" t="s">
        <v>59</v>
      </c>
      <c r="E46" s="14"/>
      <c r="F46" s="6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15">
        <v>40</v>
      </c>
      <c r="B47" s="16" t="s">
        <v>142</v>
      </c>
      <c r="C47" s="17">
        <v>46248</v>
      </c>
      <c r="D47" s="18" t="s">
        <v>72</v>
      </c>
      <c r="E47" s="19"/>
      <c r="F47" s="6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9">
        <v>41</v>
      </c>
      <c r="B48" s="10" t="s">
        <v>145</v>
      </c>
      <c r="C48" s="12">
        <v>46251</v>
      </c>
      <c r="D48" s="13" t="s">
        <v>26</v>
      </c>
      <c r="E48" s="14"/>
      <c r="F48" s="63" t="s">
        <v>146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15">
        <v>42</v>
      </c>
      <c r="B49" s="16" t="s">
        <v>145</v>
      </c>
      <c r="C49" s="17">
        <v>46252</v>
      </c>
      <c r="D49" s="18" t="s">
        <v>44</v>
      </c>
      <c r="E49" s="19"/>
      <c r="F49" s="6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9">
        <v>43</v>
      </c>
      <c r="B50" s="10" t="s">
        <v>145</v>
      </c>
      <c r="C50" s="12">
        <v>46253</v>
      </c>
      <c r="D50" s="13" t="s">
        <v>55</v>
      </c>
      <c r="E50" s="14"/>
      <c r="F50" s="6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x14ac:dyDescent="0.25">
      <c r="A51" s="15">
        <v>44</v>
      </c>
      <c r="B51" s="16" t="s">
        <v>145</v>
      </c>
      <c r="C51" s="17">
        <v>46254</v>
      </c>
      <c r="D51" s="18" t="s">
        <v>59</v>
      </c>
      <c r="E51" s="19"/>
      <c r="F51" s="6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9">
        <v>45</v>
      </c>
      <c r="B52" s="10" t="s">
        <v>145</v>
      </c>
      <c r="C52" s="12">
        <v>46255</v>
      </c>
      <c r="D52" s="13" t="s">
        <v>72</v>
      </c>
      <c r="E52" s="14"/>
      <c r="F52" s="6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15">
        <v>46</v>
      </c>
      <c r="B53" s="16" t="s">
        <v>145</v>
      </c>
      <c r="C53" s="17">
        <v>46258</v>
      </c>
      <c r="D53" s="18" t="s">
        <v>26</v>
      </c>
      <c r="E53" s="19"/>
      <c r="F53" s="66" t="s">
        <v>148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9">
        <v>47</v>
      </c>
      <c r="B54" s="10" t="s">
        <v>145</v>
      </c>
      <c r="C54" s="12">
        <v>46259</v>
      </c>
      <c r="D54" s="13" t="s">
        <v>44</v>
      </c>
      <c r="E54" s="14"/>
      <c r="F54" s="6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15">
        <v>48</v>
      </c>
      <c r="B55" s="16" t="s">
        <v>145</v>
      </c>
      <c r="C55" s="17">
        <v>46260</v>
      </c>
      <c r="D55" s="18" t="s">
        <v>55</v>
      </c>
      <c r="E55" s="19"/>
      <c r="F55" s="6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9">
        <v>49</v>
      </c>
      <c r="B56" s="10" t="s">
        <v>145</v>
      </c>
      <c r="C56" s="12">
        <v>46261</v>
      </c>
      <c r="D56" s="13" t="s">
        <v>59</v>
      </c>
      <c r="E56" s="14"/>
      <c r="F56" s="6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15">
        <v>50</v>
      </c>
      <c r="B57" s="16" t="s">
        <v>145</v>
      </c>
      <c r="C57" s="17">
        <v>46262</v>
      </c>
      <c r="D57" s="18" t="s">
        <v>72</v>
      </c>
      <c r="E57" s="19"/>
      <c r="F57" s="6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9">
        <v>51</v>
      </c>
      <c r="B58" s="10" t="s">
        <v>151</v>
      </c>
      <c r="C58" s="12">
        <v>46265</v>
      </c>
      <c r="D58" s="13" t="s">
        <v>26</v>
      </c>
      <c r="E58" s="14"/>
      <c r="F58" s="63" t="s">
        <v>153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15">
        <v>52</v>
      </c>
      <c r="B59" s="16" t="s">
        <v>151</v>
      </c>
      <c r="C59" s="17">
        <v>46266</v>
      </c>
      <c r="D59" s="18" t="s">
        <v>44</v>
      </c>
      <c r="E59" s="19"/>
      <c r="F59" s="6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9">
        <v>53</v>
      </c>
      <c r="B60" s="10" t="s">
        <v>151</v>
      </c>
      <c r="C60" s="12">
        <v>46267</v>
      </c>
      <c r="D60" s="13" t="s">
        <v>55</v>
      </c>
      <c r="E60" s="14"/>
      <c r="F60" s="6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x14ac:dyDescent="0.25">
      <c r="A61" s="15">
        <v>54</v>
      </c>
      <c r="B61" s="16" t="s">
        <v>151</v>
      </c>
      <c r="C61" s="17">
        <v>46268</v>
      </c>
      <c r="D61" s="18" t="s">
        <v>59</v>
      </c>
      <c r="E61" s="15" t="s">
        <v>117</v>
      </c>
      <c r="F61" s="6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5">
      <c r="A62" s="9">
        <v>55</v>
      </c>
      <c r="B62" s="10" t="s">
        <v>151</v>
      </c>
      <c r="C62" s="12">
        <v>46269</v>
      </c>
      <c r="D62" s="13" t="s">
        <v>72</v>
      </c>
      <c r="E62" s="9" t="s">
        <v>117</v>
      </c>
      <c r="F62" s="6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x14ac:dyDescent="0.25">
      <c r="A63" s="15">
        <v>56</v>
      </c>
      <c r="B63" s="16" t="s">
        <v>154</v>
      </c>
      <c r="C63" s="17">
        <v>46272</v>
      </c>
      <c r="D63" s="18" t="s">
        <v>26</v>
      </c>
      <c r="E63" s="19"/>
      <c r="F63" s="66" t="s">
        <v>155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5">
      <c r="A64" s="9">
        <v>57</v>
      </c>
      <c r="B64" s="10" t="s">
        <v>154</v>
      </c>
      <c r="C64" s="12">
        <v>46273</v>
      </c>
      <c r="D64" s="13" t="s">
        <v>44</v>
      </c>
      <c r="E64" s="14"/>
      <c r="F64" s="6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A65" s="15">
        <v>58</v>
      </c>
      <c r="B65" s="16" t="s">
        <v>154</v>
      </c>
      <c r="C65" s="17">
        <v>46274</v>
      </c>
      <c r="D65" s="18" t="s">
        <v>55</v>
      </c>
      <c r="E65" s="19"/>
      <c r="F65" s="6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x14ac:dyDescent="0.25">
      <c r="A66" s="9">
        <v>59</v>
      </c>
      <c r="B66" s="10" t="s">
        <v>154</v>
      </c>
      <c r="C66" s="12">
        <v>46275</v>
      </c>
      <c r="D66" s="13" t="s">
        <v>59</v>
      </c>
      <c r="E66" s="14"/>
      <c r="F66" s="6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x14ac:dyDescent="0.25">
      <c r="A67" s="15">
        <v>60</v>
      </c>
      <c r="B67" s="16" t="s">
        <v>154</v>
      </c>
      <c r="C67" s="17">
        <v>46276</v>
      </c>
      <c r="D67" s="18" t="s">
        <v>72</v>
      </c>
      <c r="E67" s="19"/>
      <c r="F67" s="6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9">
        <v>61</v>
      </c>
      <c r="B68" s="10" t="s">
        <v>154</v>
      </c>
      <c r="C68" s="12">
        <v>46279</v>
      </c>
      <c r="D68" s="13" t="s">
        <v>26</v>
      </c>
      <c r="E68" s="14"/>
      <c r="F68" s="63" t="s">
        <v>160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5">
      <c r="A69" s="15">
        <v>62</v>
      </c>
      <c r="B69" s="16" t="s">
        <v>154</v>
      </c>
      <c r="C69" s="17">
        <v>46280</v>
      </c>
      <c r="D69" s="18" t="s">
        <v>44</v>
      </c>
      <c r="E69" s="19"/>
      <c r="F69" s="6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x14ac:dyDescent="0.25">
      <c r="A70" s="9">
        <v>63</v>
      </c>
      <c r="B70" s="10" t="s">
        <v>154</v>
      </c>
      <c r="C70" s="12">
        <v>46281</v>
      </c>
      <c r="D70" s="13" t="s">
        <v>55</v>
      </c>
      <c r="E70" s="14"/>
      <c r="F70" s="6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x14ac:dyDescent="0.25">
      <c r="A71" s="15">
        <v>64</v>
      </c>
      <c r="B71" s="16" t="s">
        <v>154</v>
      </c>
      <c r="C71" s="17">
        <v>46282</v>
      </c>
      <c r="D71" s="18" t="s">
        <v>59</v>
      </c>
      <c r="E71" s="19"/>
      <c r="F71" s="6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x14ac:dyDescent="0.25">
      <c r="A72" s="9">
        <v>65</v>
      </c>
      <c r="B72" s="10" t="s">
        <v>154</v>
      </c>
      <c r="C72" s="12">
        <v>46283</v>
      </c>
      <c r="D72" s="13" t="s">
        <v>72</v>
      </c>
      <c r="E72" s="14"/>
      <c r="F72" s="6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x14ac:dyDescent="0.25">
      <c r="A73" s="15">
        <v>66</v>
      </c>
      <c r="B73" s="16" t="s">
        <v>161</v>
      </c>
      <c r="C73" s="17">
        <v>46286</v>
      </c>
      <c r="D73" s="18" t="s">
        <v>26</v>
      </c>
      <c r="E73" s="19"/>
      <c r="F73" s="66" t="s">
        <v>162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x14ac:dyDescent="0.25">
      <c r="A74" s="9">
        <v>67</v>
      </c>
      <c r="B74" s="10" t="s">
        <v>161</v>
      </c>
      <c r="C74" s="12">
        <v>46287</v>
      </c>
      <c r="D74" s="13" t="s">
        <v>44</v>
      </c>
      <c r="E74" s="14"/>
      <c r="F74" s="6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x14ac:dyDescent="0.25">
      <c r="A75" s="15">
        <v>68</v>
      </c>
      <c r="B75" s="16" t="s">
        <v>161</v>
      </c>
      <c r="C75" s="17">
        <v>46288</v>
      </c>
      <c r="D75" s="18" t="s">
        <v>55</v>
      </c>
      <c r="E75" s="19"/>
      <c r="F75" s="6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x14ac:dyDescent="0.25">
      <c r="A76" s="9">
        <v>69</v>
      </c>
      <c r="B76" s="10" t="s">
        <v>161</v>
      </c>
      <c r="C76" s="12">
        <v>46289</v>
      </c>
      <c r="D76" s="13" t="s">
        <v>59</v>
      </c>
      <c r="E76" s="14"/>
      <c r="F76" s="6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x14ac:dyDescent="0.25">
      <c r="A77" s="15">
        <v>70</v>
      </c>
      <c r="B77" s="16" t="s">
        <v>161</v>
      </c>
      <c r="C77" s="17">
        <v>46290</v>
      </c>
      <c r="D77" s="18" t="s">
        <v>72</v>
      </c>
      <c r="E77" s="19"/>
      <c r="F77" s="6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5">
      <c r="A78" s="9">
        <v>71</v>
      </c>
      <c r="B78" s="10" t="s">
        <v>161</v>
      </c>
      <c r="C78" s="12">
        <v>46293</v>
      </c>
      <c r="D78" s="13" t="s">
        <v>26</v>
      </c>
      <c r="E78" s="14"/>
      <c r="F78" s="63" t="s">
        <v>163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15">
        <v>72</v>
      </c>
      <c r="B79" s="16" t="s">
        <v>161</v>
      </c>
      <c r="C79" s="17">
        <v>46294</v>
      </c>
      <c r="D79" s="18" t="s">
        <v>44</v>
      </c>
      <c r="E79" s="19"/>
      <c r="F79" s="6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x14ac:dyDescent="0.25">
      <c r="A80" s="9">
        <v>73</v>
      </c>
      <c r="B80" s="10" t="s">
        <v>161</v>
      </c>
      <c r="C80" s="12">
        <v>46295</v>
      </c>
      <c r="D80" s="13" t="s">
        <v>55</v>
      </c>
      <c r="E80" s="14"/>
      <c r="F80" s="6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5">
      <c r="A81" s="15">
        <v>74</v>
      </c>
      <c r="B81" s="16" t="s">
        <v>161</v>
      </c>
      <c r="C81" s="17">
        <v>46296</v>
      </c>
      <c r="D81" s="18" t="s">
        <v>59</v>
      </c>
      <c r="E81" s="19"/>
      <c r="F81" s="6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x14ac:dyDescent="0.25">
      <c r="A82" s="9">
        <v>75</v>
      </c>
      <c r="B82" s="10" t="s">
        <v>161</v>
      </c>
      <c r="C82" s="12">
        <v>46297</v>
      </c>
      <c r="D82" s="13" t="s">
        <v>72</v>
      </c>
      <c r="E82" s="14"/>
      <c r="F82" s="6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x14ac:dyDescent="0.25">
      <c r="A83" s="15">
        <v>76</v>
      </c>
      <c r="B83" s="16" t="s">
        <v>164</v>
      </c>
      <c r="C83" s="17">
        <v>46300</v>
      </c>
      <c r="D83" s="18" t="s">
        <v>26</v>
      </c>
      <c r="E83" s="15" t="s">
        <v>117</v>
      </c>
      <c r="F83" s="66" t="s">
        <v>165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x14ac:dyDescent="0.25">
      <c r="A84" s="9">
        <v>77</v>
      </c>
      <c r="B84" s="10" t="s">
        <v>164</v>
      </c>
      <c r="C84" s="12">
        <v>46301</v>
      </c>
      <c r="D84" s="13" t="s">
        <v>44</v>
      </c>
      <c r="E84" s="9" t="s">
        <v>117</v>
      </c>
      <c r="F84" s="6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5">
      <c r="A85" s="15">
        <v>78</v>
      </c>
      <c r="B85" s="16" t="s">
        <v>164</v>
      </c>
      <c r="C85" s="17">
        <v>46302</v>
      </c>
      <c r="D85" s="18" t="s">
        <v>55</v>
      </c>
      <c r="E85" s="19"/>
      <c r="F85" s="6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x14ac:dyDescent="0.25">
      <c r="A86" s="9">
        <v>79</v>
      </c>
      <c r="B86" s="10" t="s">
        <v>164</v>
      </c>
      <c r="C86" s="12">
        <v>46303</v>
      </c>
      <c r="D86" s="13" t="s">
        <v>59</v>
      </c>
      <c r="E86" s="14"/>
      <c r="F86" s="6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x14ac:dyDescent="0.25">
      <c r="A87" s="15">
        <v>80</v>
      </c>
      <c r="B87" s="16" t="s">
        <v>164</v>
      </c>
      <c r="C87" s="17">
        <v>46304</v>
      </c>
      <c r="D87" s="18" t="s">
        <v>72</v>
      </c>
      <c r="E87" s="19"/>
      <c r="F87" s="6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x14ac:dyDescent="0.25">
      <c r="A88" s="9">
        <v>81</v>
      </c>
      <c r="B88" s="10" t="s">
        <v>166</v>
      </c>
      <c r="C88" s="48">
        <v>46307</v>
      </c>
      <c r="D88" s="13" t="s">
        <v>26</v>
      </c>
      <c r="E88" s="14"/>
      <c r="F88" s="63" t="s">
        <v>167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x14ac:dyDescent="0.25">
      <c r="A89" s="15">
        <v>82</v>
      </c>
      <c r="B89" s="16" t="s">
        <v>166</v>
      </c>
      <c r="C89" s="49">
        <v>46308</v>
      </c>
      <c r="D89" s="18" t="s">
        <v>44</v>
      </c>
      <c r="E89" s="19"/>
      <c r="F89" s="6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x14ac:dyDescent="0.25">
      <c r="A90" s="9">
        <v>83</v>
      </c>
      <c r="B90" s="10" t="s">
        <v>166</v>
      </c>
      <c r="C90" s="48">
        <v>46309</v>
      </c>
      <c r="D90" s="13" t="s">
        <v>55</v>
      </c>
      <c r="E90" s="14"/>
      <c r="F90" s="6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x14ac:dyDescent="0.25">
      <c r="A91" s="15">
        <v>84</v>
      </c>
      <c r="B91" s="16" t="s">
        <v>166</v>
      </c>
      <c r="C91" s="49">
        <v>46310</v>
      </c>
      <c r="D91" s="18" t="s">
        <v>59</v>
      </c>
      <c r="E91" s="19"/>
      <c r="F91" s="6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x14ac:dyDescent="0.25">
      <c r="A92" s="9">
        <v>85</v>
      </c>
      <c r="B92" s="10" t="s">
        <v>166</v>
      </c>
      <c r="C92" s="48">
        <v>46311</v>
      </c>
      <c r="D92" s="13" t="s">
        <v>72</v>
      </c>
      <c r="E92" s="14"/>
      <c r="F92" s="6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x14ac:dyDescent="0.25">
      <c r="A93" s="15">
        <v>86</v>
      </c>
      <c r="B93" s="16" t="s">
        <v>168</v>
      </c>
      <c r="C93" s="49">
        <v>46314</v>
      </c>
      <c r="D93" s="18" t="s">
        <v>26</v>
      </c>
      <c r="E93" s="19"/>
      <c r="F93" s="66" t="s">
        <v>169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x14ac:dyDescent="0.25">
      <c r="A94" s="9">
        <v>87</v>
      </c>
      <c r="B94" s="10" t="s">
        <v>168</v>
      </c>
      <c r="C94" s="48">
        <v>46315</v>
      </c>
      <c r="D94" s="13" t="s">
        <v>44</v>
      </c>
      <c r="E94" s="14"/>
      <c r="F94" s="6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x14ac:dyDescent="0.25">
      <c r="A95" s="15">
        <v>88</v>
      </c>
      <c r="B95" s="16" t="s">
        <v>168</v>
      </c>
      <c r="C95" s="49">
        <v>46316</v>
      </c>
      <c r="D95" s="18" t="s">
        <v>55</v>
      </c>
      <c r="E95" s="19"/>
      <c r="F95" s="6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x14ac:dyDescent="0.25">
      <c r="A96" s="9">
        <v>89</v>
      </c>
      <c r="B96" s="10" t="s">
        <v>168</v>
      </c>
      <c r="C96" s="48">
        <v>46317</v>
      </c>
      <c r="D96" s="13" t="s">
        <v>59</v>
      </c>
      <c r="E96" s="14"/>
      <c r="F96" s="6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x14ac:dyDescent="0.25">
      <c r="A97" s="15">
        <v>90</v>
      </c>
      <c r="B97" s="16" t="s">
        <v>168</v>
      </c>
      <c r="C97" s="49">
        <v>46318</v>
      </c>
      <c r="D97" s="18" t="s">
        <v>72</v>
      </c>
      <c r="E97" s="19"/>
      <c r="F97" s="6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x14ac:dyDescent="0.25">
      <c r="A98" s="9">
        <v>91</v>
      </c>
      <c r="B98" s="10" t="s">
        <v>170</v>
      </c>
      <c r="C98" s="48">
        <v>46321</v>
      </c>
      <c r="D98" s="13" t="s">
        <v>26</v>
      </c>
      <c r="E98" s="14"/>
      <c r="F98" s="63" t="s">
        <v>171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x14ac:dyDescent="0.25">
      <c r="A99" s="15">
        <v>92</v>
      </c>
      <c r="B99" s="16" t="s">
        <v>170</v>
      </c>
      <c r="C99" s="49">
        <v>46322</v>
      </c>
      <c r="D99" s="18" t="s">
        <v>44</v>
      </c>
      <c r="E99" s="19"/>
      <c r="F99" s="6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x14ac:dyDescent="0.25">
      <c r="A100" s="9">
        <v>93</v>
      </c>
      <c r="B100" s="10" t="s">
        <v>170</v>
      </c>
      <c r="C100" s="48">
        <v>46323</v>
      </c>
      <c r="D100" s="13" t="s">
        <v>55</v>
      </c>
      <c r="E100" s="14"/>
      <c r="F100" s="6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x14ac:dyDescent="0.25">
      <c r="A101" s="15">
        <v>94</v>
      </c>
      <c r="B101" s="16" t="s">
        <v>170</v>
      </c>
      <c r="C101" s="49">
        <v>46324</v>
      </c>
      <c r="D101" s="18" t="s">
        <v>59</v>
      </c>
      <c r="E101" s="19"/>
      <c r="F101" s="6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x14ac:dyDescent="0.25">
      <c r="A102" s="9">
        <v>95</v>
      </c>
      <c r="B102" s="10" t="s">
        <v>170</v>
      </c>
      <c r="C102" s="48">
        <v>46325</v>
      </c>
      <c r="D102" s="13" t="s">
        <v>72</v>
      </c>
      <c r="E102" s="14"/>
      <c r="F102" s="6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x14ac:dyDescent="0.25">
      <c r="A103" s="15">
        <v>96</v>
      </c>
      <c r="B103" s="16" t="s">
        <v>172</v>
      </c>
      <c r="C103" s="17">
        <v>46328</v>
      </c>
      <c r="D103" s="18" t="s">
        <v>26</v>
      </c>
      <c r="E103" s="19"/>
      <c r="F103" s="66" t="s">
        <v>173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x14ac:dyDescent="0.25">
      <c r="A104" s="9">
        <v>97</v>
      </c>
      <c r="B104" s="10" t="s">
        <v>172</v>
      </c>
      <c r="C104" s="12">
        <v>46329</v>
      </c>
      <c r="D104" s="13" t="s">
        <v>44</v>
      </c>
      <c r="E104" s="9" t="s">
        <v>117</v>
      </c>
      <c r="F104" s="6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x14ac:dyDescent="0.25">
      <c r="A105" s="15">
        <v>98</v>
      </c>
      <c r="B105" s="16" t="s">
        <v>172</v>
      </c>
      <c r="C105" s="17">
        <v>46330</v>
      </c>
      <c r="D105" s="18" t="s">
        <v>55</v>
      </c>
      <c r="E105" s="15" t="s">
        <v>117</v>
      </c>
      <c r="F105" s="6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x14ac:dyDescent="0.25">
      <c r="A106" s="9">
        <v>99</v>
      </c>
      <c r="B106" s="10" t="s">
        <v>172</v>
      </c>
      <c r="C106" s="12">
        <v>46331</v>
      </c>
      <c r="D106" s="13" t="s">
        <v>59</v>
      </c>
      <c r="E106" s="14"/>
      <c r="F106" s="6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x14ac:dyDescent="0.25">
      <c r="A107" s="15">
        <v>100</v>
      </c>
      <c r="B107" s="16" t="s">
        <v>172</v>
      </c>
      <c r="C107" s="17">
        <v>46332</v>
      </c>
      <c r="D107" s="18" t="s">
        <v>72</v>
      </c>
      <c r="E107" s="19"/>
      <c r="F107" s="6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x14ac:dyDescent="0.25">
      <c r="A108" s="9">
        <v>101</v>
      </c>
      <c r="B108" s="10" t="s">
        <v>174</v>
      </c>
      <c r="C108" s="12">
        <v>46335</v>
      </c>
      <c r="D108" s="13" t="s">
        <v>26</v>
      </c>
      <c r="E108" s="14"/>
      <c r="F108" s="63" t="s">
        <v>175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x14ac:dyDescent="0.25">
      <c r="A109" s="15">
        <v>102</v>
      </c>
      <c r="B109" s="16" t="s">
        <v>174</v>
      </c>
      <c r="C109" s="49">
        <v>46336</v>
      </c>
      <c r="D109" s="18" t="s">
        <v>44</v>
      </c>
      <c r="E109" s="19"/>
      <c r="F109" s="6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x14ac:dyDescent="0.25">
      <c r="A110" s="9">
        <v>103</v>
      </c>
      <c r="B110" s="10" t="s">
        <v>174</v>
      </c>
      <c r="C110" s="48">
        <v>46337</v>
      </c>
      <c r="D110" s="13" t="s">
        <v>55</v>
      </c>
      <c r="E110" s="14"/>
      <c r="F110" s="6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x14ac:dyDescent="0.25">
      <c r="A111" s="15">
        <v>104</v>
      </c>
      <c r="B111" s="16" t="s">
        <v>174</v>
      </c>
      <c r="C111" s="49">
        <v>46338</v>
      </c>
      <c r="D111" s="18" t="s">
        <v>59</v>
      </c>
      <c r="E111" s="19"/>
      <c r="F111" s="6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x14ac:dyDescent="0.25">
      <c r="A112" s="9">
        <v>105</v>
      </c>
      <c r="B112" s="10" t="s">
        <v>174</v>
      </c>
      <c r="C112" s="48">
        <v>46339</v>
      </c>
      <c r="D112" s="13" t="s">
        <v>72</v>
      </c>
      <c r="E112" s="14"/>
      <c r="F112" s="6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x14ac:dyDescent="0.25">
      <c r="A113" s="15">
        <v>106</v>
      </c>
      <c r="B113" s="16" t="s">
        <v>176</v>
      </c>
      <c r="C113" s="49">
        <v>46342</v>
      </c>
      <c r="D113" s="18" t="s">
        <v>26</v>
      </c>
      <c r="E113" s="19"/>
      <c r="F113" s="66" t="s">
        <v>177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x14ac:dyDescent="0.25">
      <c r="A114" s="9">
        <v>107</v>
      </c>
      <c r="B114" s="10" t="s">
        <v>176</v>
      </c>
      <c r="C114" s="48">
        <v>46343</v>
      </c>
      <c r="D114" s="13" t="s">
        <v>44</v>
      </c>
      <c r="E114" s="14"/>
      <c r="F114" s="6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x14ac:dyDescent="0.25">
      <c r="A115" s="15">
        <v>108</v>
      </c>
      <c r="B115" s="16" t="s">
        <v>176</v>
      </c>
      <c r="C115" s="49">
        <v>46344</v>
      </c>
      <c r="D115" s="18" t="s">
        <v>55</v>
      </c>
      <c r="E115" s="19"/>
      <c r="F115" s="6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x14ac:dyDescent="0.25">
      <c r="A116" s="9">
        <v>109</v>
      </c>
      <c r="B116" s="10" t="s">
        <v>176</v>
      </c>
      <c r="C116" s="48">
        <v>46345</v>
      </c>
      <c r="D116" s="13" t="s">
        <v>59</v>
      </c>
      <c r="E116" s="14"/>
      <c r="F116" s="6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x14ac:dyDescent="0.25">
      <c r="A117" s="15">
        <v>110</v>
      </c>
      <c r="B117" s="16" t="s">
        <v>176</v>
      </c>
      <c r="C117" s="49">
        <v>46346</v>
      </c>
      <c r="D117" s="18" t="s">
        <v>72</v>
      </c>
      <c r="E117" s="19"/>
      <c r="F117" s="6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x14ac:dyDescent="0.25">
      <c r="E118" s="50"/>
    </row>
    <row r="119" spans="1:24" x14ac:dyDescent="0.25">
      <c r="E119" s="50"/>
    </row>
    <row r="120" spans="1:24" x14ac:dyDescent="0.25">
      <c r="E120" s="50"/>
    </row>
    <row r="121" spans="1:24" x14ac:dyDescent="0.25">
      <c r="E121" s="50"/>
    </row>
    <row r="122" spans="1:24" x14ac:dyDescent="0.25">
      <c r="E122" s="50"/>
    </row>
    <row r="123" spans="1:24" x14ac:dyDescent="0.25">
      <c r="E123" s="50"/>
    </row>
    <row r="124" spans="1:24" x14ac:dyDescent="0.25">
      <c r="E124" s="50"/>
    </row>
    <row r="125" spans="1:24" x14ac:dyDescent="0.25">
      <c r="E125" s="50"/>
    </row>
    <row r="126" spans="1:24" x14ac:dyDescent="0.25">
      <c r="E126" s="50"/>
    </row>
    <row r="127" spans="1:24" x14ac:dyDescent="0.25">
      <c r="E127" s="50"/>
    </row>
    <row r="128" spans="1:24" x14ac:dyDescent="0.25">
      <c r="E128" s="50"/>
    </row>
    <row r="129" spans="5:5" x14ac:dyDescent="0.25">
      <c r="E129" s="50"/>
    </row>
    <row r="130" spans="5:5" x14ac:dyDescent="0.25">
      <c r="E130" s="50"/>
    </row>
    <row r="131" spans="5:5" x14ac:dyDescent="0.25">
      <c r="E131" s="50"/>
    </row>
    <row r="132" spans="5:5" x14ac:dyDescent="0.25">
      <c r="E132" s="50"/>
    </row>
    <row r="133" spans="5:5" x14ac:dyDescent="0.25">
      <c r="E133" s="50"/>
    </row>
    <row r="134" spans="5:5" x14ac:dyDescent="0.25">
      <c r="E134" s="50"/>
    </row>
    <row r="135" spans="5:5" x14ac:dyDescent="0.25">
      <c r="E135" s="50"/>
    </row>
    <row r="136" spans="5:5" x14ac:dyDescent="0.25">
      <c r="E136" s="50"/>
    </row>
    <row r="137" spans="5:5" x14ac:dyDescent="0.25">
      <c r="E137" s="50"/>
    </row>
    <row r="138" spans="5:5" x14ac:dyDescent="0.25">
      <c r="E138" s="50"/>
    </row>
    <row r="139" spans="5:5" x14ac:dyDescent="0.25">
      <c r="E139" s="50"/>
    </row>
    <row r="140" spans="5:5" x14ac:dyDescent="0.25">
      <c r="E140" s="50"/>
    </row>
    <row r="141" spans="5:5" x14ac:dyDescent="0.25">
      <c r="E141" s="50"/>
    </row>
    <row r="142" spans="5:5" x14ac:dyDescent="0.25">
      <c r="E142" s="50"/>
    </row>
    <row r="143" spans="5:5" x14ac:dyDescent="0.25">
      <c r="E143" s="50"/>
    </row>
    <row r="144" spans="5:5" x14ac:dyDescent="0.25">
      <c r="E144" s="50"/>
    </row>
    <row r="145" spans="5:5" x14ac:dyDescent="0.25">
      <c r="E145" s="50"/>
    </row>
    <row r="146" spans="5:5" x14ac:dyDescent="0.25">
      <c r="E146" s="50"/>
    </row>
    <row r="147" spans="5:5" x14ac:dyDescent="0.25">
      <c r="E147" s="50"/>
    </row>
    <row r="148" spans="5:5" x14ac:dyDescent="0.25">
      <c r="E148" s="50"/>
    </row>
    <row r="149" spans="5:5" x14ac:dyDescent="0.25">
      <c r="E149" s="50"/>
    </row>
    <row r="150" spans="5:5" x14ac:dyDescent="0.25">
      <c r="E150" s="50"/>
    </row>
    <row r="151" spans="5:5" x14ac:dyDescent="0.25">
      <c r="E151" s="50"/>
    </row>
    <row r="152" spans="5:5" x14ac:dyDescent="0.25">
      <c r="E152" s="50"/>
    </row>
    <row r="153" spans="5:5" x14ac:dyDescent="0.25">
      <c r="E153" s="50"/>
    </row>
    <row r="154" spans="5:5" x14ac:dyDescent="0.25">
      <c r="E154" s="50"/>
    </row>
    <row r="155" spans="5:5" x14ac:dyDescent="0.25">
      <c r="E155" s="50"/>
    </row>
    <row r="156" spans="5:5" x14ac:dyDescent="0.25">
      <c r="E156" s="50"/>
    </row>
    <row r="157" spans="5:5" x14ac:dyDescent="0.25">
      <c r="E157" s="50"/>
    </row>
    <row r="158" spans="5:5" x14ac:dyDescent="0.25">
      <c r="E158" s="50"/>
    </row>
    <row r="159" spans="5:5" x14ac:dyDescent="0.25">
      <c r="E159" s="50"/>
    </row>
    <row r="160" spans="5:5" x14ac:dyDescent="0.25">
      <c r="E160" s="50"/>
    </row>
    <row r="161" spans="5:5" x14ac:dyDescent="0.25">
      <c r="E161" s="50"/>
    </row>
    <row r="162" spans="5:5" x14ac:dyDescent="0.25">
      <c r="E162" s="50"/>
    </row>
    <row r="163" spans="5:5" x14ac:dyDescent="0.25">
      <c r="E163" s="50"/>
    </row>
    <row r="164" spans="5:5" x14ac:dyDescent="0.25">
      <c r="E164" s="50"/>
    </row>
    <row r="165" spans="5:5" x14ac:dyDescent="0.25">
      <c r="E165" s="50"/>
    </row>
    <row r="166" spans="5:5" x14ac:dyDescent="0.25">
      <c r="E166" s="50"/>
    </row>
    <row r="167" spans="5:5" x14ac:dyDescent="0.25">
      <c r="E167" s="50"/>
    </row>
    <row r="168" spans="5:5" x14ac:dyDescent="0.25">
      <c r="E168" s="50"/>
    </row>
    <row r="169" spans="5:5" x14ac:dyDescent="0.25">
      <c r="E169" s="50"/>
    </row>
    <row r="170" spans="5:5" x14ac:dyDescent="0.25">
      <c r="E170" s="50"/>
    </row>
    <row r="171" spans="5:5" x14ac:dyDescent="0.25">
      <c r="E171" s="50"/>
    </row>
    <row r="172" spans="5:5" x14ac:dyDescent="0.25">
      <c r="E172" s="50"/>
    </row>
    <row r="173" spans="5:5" x14ac:dyDescent="0.25">
      <c r="E173" s="50"/>
    </row>
    <row r="174" spans="5:5" x14ac:dyDescent="0.25">
      <c r="E174" s="50"/>
    </row>
    <row r="175" spans="5:5" x14ac:dyDescent="0.25">
      <c r="E175" s="50"/>
    </row>
    <row r="176" spans="5:5" x14ac:dyDescent="0.25">
      <c r="E176" s="50"/>
    </row>
    <row r="177" spans="5:5" x14ac:dyDescent="0.25">
      <c r="E177" s="50"/>
    </row>
    <row r="178" spans="5:5" x14ac:dyDescent="0.25">
      <c r="E178" s="50"/>
    </row>
    <row r="179" spans="5:5" x14ac:dyDescent="0.25">
      <c r="E179" s="50"/>
    </row>
    <row r="180" spans="5:5" x14ac:dyDescent="0.25">
      <c r="E180" s="50"/>
    </row>
    <row r="181" spans="5:5" x14ac:dyDescent="0.25">
      <c r="E181" s="50"/>
    </row>
    <row r="182" spans="5:5" x14ac:dyDescent="0.25">
      <c r="E182" s="50"/>
    </row>
    <row r="183" spans="5:5" x14ac:dyDescent="0.25">
      <c r="E183" s="50"/>
    </row>
    <row r="184" spans="5:5" x14ac:dyDescent="0.25">
      <c r="E184" s="50"/>
    </row>
    <row r="185" spans="5:5" x14ac:dyDescent="0.25">
      <c r="E185" s="50"/>
    </row>
    <row r="186" spans="5:5" x14ac:dyDescent="0.25">
      <c r="E186" s="50"/>
    </row>
    <row r="187" spans="5:5" x14ac:dyDescent="0.25">
      <c r="E187" s="50"/>
    </row>
    <row r="188" spans="5:5" x14ac:dyDescent="0.25">
      <c r="E188" s="50"/>
    </row>
    <row r="189" spans="5:5" x14ac:dyDescent="0.25">
      <c r="E189" s="50"/>
    </row>
    <row r="190" spans="5:5" x14ac:dyDescent="0.25">
      <c r="E190" s="50"/>
    </row>
    <row r="191" spans="5:5" x14ac:dyDescent="0.25">
      <c r="E191" s="50"/>
    </row>
    <row r="192" spans="5:5" x14ac:dyDescent="0.25">
      <c r="E192" s="50"/>
    </row>
    <row r="193" spans="5:5" x14ac:dyDescent="0.25">
      <c r="E193" s="50"/>
    </row>
    <row r="194" spans="5:5" x14ac:dyDescent="0.25">
      <c r="E194" s="50"/>
    </row>
    <row r="195" spans="5:5" x14ac:dyDescent="0.25">
      <c r="E195" s="50"/>
    </row>
    <row r="196" spans="5:5" x14ac:dyDescent="0.25">
      <c r="E196" s="50"/>
    </row>
    <row r="197" spans="5:5" x14ac:dyDescent="0.25">
      <c r="E197" s="50"/>
    </row>
    <row r="198" spans="5:5" x14ac:dyDescent="0.25">
      <c r="E198" s="50"/>
    </row>
    <row r="199" spans="5:5" x14ac:dyDescent="0.25">
      <c r="E199" s="50"/>
    </row>
    <row r="200" spans="5:5" x14ac:dyDescent="0.25">
      <c r="E200" s="50"/>
    </row>
    <row r="201" spans="5:5" x14ac:dyDescent="0.25">
      <c r="E201" s="50"/>
    </row>
    <row r="202" spans="5:5" x14ac:dyDescent="0.25">
      <c r="E202" s="50"/>
    </row>
    <row r="203" spans="5:5" x14ac:dyDescent="0.25">
      <c r="E203" s="50"/>
    </row>
    <row r="204" spans="5:5" x14ac:dyDescent="0.25">
      <c r="E204" s="50"/>
    </row>
    <row r="205" spans="5:5" x14ac:dyDescent="0.25">
      <c r="E205" s="50"/>
    </row>
    <row r="206" spans="5:5" x14ac:dyDescent="0.25">
      <c r="E206" s="50"/>
    </row>
    <row r="207" spans="5:5" x14ac:dyDescent="0.25">
      <c r="E207" s="50"/>
    </row>
    <row r="208" spans="5:5" x14ac:dyDescent="0.25">
      <c r="E208" s="50"/>
    </row>
    <row r="209" spans="5:5" x14ac:dyDescent="0.25">
      <c r="E209" s="50"/>
    </row>
    <row r="210" spans="5:5" x14ac:dyDescent="0.25">
      <c r="E210" s="50"/>
    </row>
    <row r="211" spans="5:5" x14ac:dyDescent="0.25">
      <c r="E211" s="50"/>
    </row>
    <row r="212" spans="5:5" x14ac:dyDescent="0.25">
      <c r="E212" s="50"/>
    </row>
    <row r="213" spans="5:5" x14ac:dyDescent="0.25">
      <c r="E213" s="50"/>
    </row>
    <row r="214" spans="5:5" x14ac:dyDescent="0.25">
      <c r="E214" s="50"/>
    </row>
    <row r="215" spans="5:5" x14ac:dyDescent="0.25">
      <c r="E215" s="50"/>
    </row>
    <row r="216" spans="5:5" x14ac:dyDescent="0.25">
      <c r="E216" s="50"/>
    </row>
    <row r="217" spans="5:5" x14ac:dyDescent="0.25">
      <c r="E217" s="50"/>
    </row>
    <row r="218" spans="5:5" x14ac:dyDescent="0.25">
      <c r="E218" s="50"/>
    </row>
    <row r="219" spans="5:5" x14ac:dyDescent="0.25">
      <c r="E219" s="50"/>
    </row>
    <row r="220" spans="5:5" x14ac:dyDescent="0.25">
      <c r="E220" s="50"/>
    </row>
    <row r="221" spans="5:5" x14ac:dyDescent="0.25">
      <c r="E221" s="50"/>
    </row>
    <row r="222" spans="5:5" x14ac:dyDescent="0.25">
      <c r="E222" s="50"/>
    </row>
    <row r="223" spans="5:5" x14ac:dyDescent="0.25">
      <c r="E223" s="50"/>
    </row>
    <row r="224" spans="5:5" x14ac:dyDescent="0.25">
      <c r="E224" s="50"/>
    </row>
    <row r="225" spans="5:5" x14ac:dyDescent="0.25">
      <c r="E225" s="50"/>
    </row>
    <row r="226" spans="5:5" x14ac:dyDescent="0.25">
      <c r="E226" s="50"/>
    </row>
    <row r="227" spans="5:5" x14ac:dyDescent="0.25">
      <c r="E227" s="50"/>
    </row>
    <row r="228" spans="5:5" x14ac:dyDescent="0.25">
      <c r="E228" s="50"/>
    </row>
    <row r="229" spans="5:5" x14ac:dyDescent="0.25">
      <c r="E229" s="50"/>
    </row>
    <row r="230" spans="5:5" x14ac:dyDescent="0.25">
      <c r="E230" s="50"/>
    </row>
    <row r="231" spans="5:5" x14ac:dyDescent="0.25">
      <c r="E231" s="50"/>
    </row>
    <row r="232" spans="5:5" x14ac:dyDescent="0.25">
      <c r="E232" s="50"/>
    </row>
    <row r="233" spans="5:5" x14ac:dyDescent="0.25">
      <c r="E233" s="50"/>
    </row>
    <row r="234" spans="5:5" x14ac:dyDescent="0.25">
      <c r="E234" s="50"/>
    </row>
    <row r="235" spans="5:5" x14ac:dyDescent="0.25">
      <c r="E235" s="50"/>
    </row>
    <row r="236" spans="5:5" x14ac:dyDescent="0.25">
      <c r="E236" s="50"/>
    </row>
    <row r="237" spans="5:5" x14ac:dyDescent="0.25">
      <c r="E237" s="50"/>
    </row>
    <row r="238" spans="5:5" x14ac:dyDescent="0.25">
      <c r="E238" s="50"/>
    </row>
    <row r="239" spans="5:5" x14ac:dyDescent="0.25">
      <c r="E239" s="50"/>
    </row>
    <row r="240" spans="5:5" x14ac:dyDescent="0.25">
      <c r="E240" s="50"/>
    </row>
    <row r="241" spans="5:5" x14ac:dyDescent="0.25">
      <c r="E241" s="50"/>
    </row>
    <row r="242" spans="5:5" x14ac:dyDescent="0.25">
      <c r="E242" s="50"/>
    </row>
    <row r="243" spans="5:5" x14ac:dyDescent="0.25">
      <c r="E243" s="50"/>
    </row>
    <row r="244" spans="5:5" x14ac:dyDescent="0.25">
      <c r="E244" s="50"/>
    </row>
    <row r="245" spans="5:5" x14ac:dyDescent="0.25">
      <c r="E245" s="50"/>
    </row>
    <row r="246" spans="5:5" x14ac:dyDescent="0.25">
      <c r="E246" s="50"/>
    </row>
    <row r="247" spans="5:5" x14ac:dyDescent="0.25">
      <c r="E247" s="50"/>
    </row>
    <row r="248" spans="5:5" x14ac:dyDescent="0.25">
      <c r="E248" s="50"/>
    </row>
    <row r="249" spans="5:5" x14ac:dyDescent="0.25">
      <c r="E249" s="50"/>
    </row>
    <row r="250" spans="5:5" x14ac:dyDescent="0.25">
      <c r="E250" s="50"/>
    </row>
    <row r="251" spans="5:5" x14ac:dyDescent="0.25">
      <c r="E251" s="50"/>
    </row>
    <row r="252" spans="5:5" x14ac:dyDescent="0.25">
      <c r="E252" s="50"/>
    </row>
    <row r="253" spans="5:5" x14ac:dyDescent="0.25">
      <c r="E253" s="50"/>
    </row>
    <row r="254" spans="5:5" x14ac:dyDescent="0.25">
      <c r="E254" s="50"/>
    </row>
    <row r="255" spans="5:5" x14ac:dyDescent="0.25">
      <c r="E255" s="50"/>
    </row>
    <row r="256" spans="5:5" x14ac:dyDescent="0.25">
      <c r="E256" s="50"/>
    </row>
    <row r="257" spans="5:5" x14ac:dyDescent="0.25">
      <c r="E257" s="50"/>
    </row>
    <row r="258" spans="5:5" x14ac:dyDescent="0.25">
      <c r="E258" s="50"/>
    </row>
    <row r="259" spans="5:5" x14ac:dyDescent="0.25">
      <c r="E259" s="50"/>
    </row>
    <row r="260" spans="5:5" x14ac:dyDescent="0.25">
      <c r="E260" s="50"/>
    </row>
    <row r="261" spans="5:5" x14ac:dyDescent="0.25">
      <c r="E261" s="50"/>
    </row>
    <row r="262" spans="5:5" x14ac:dyDescent="0.25">
      <c r="E262" s="50"/>
    </row>
    <row r="263" spans="5:5" x14ac:dyDescent="0.25">
      <c r="E263" s="50"/>
    </row>
    <row r="264" spans="5:5" x14ac:dyDescent="0.25">
      <c r="E264" s="50"/>
    </row>
    <row r="265" spans="5:5" x14ac:dyDescent="0.25">
      <c r="E265" s="50"/>
    </row>
    <row r="266" spans="5:5" x14ac:dyDescent="0.25">
      <c r="E266" s="50"/>
    </row>
    <row r="267" spans="5:5" x14ac:dyDescent="0.25">
      <c r="E267" s="50"/>
    </row>
    <row r="268" spans="5:5" x14ac:dyDescent="0.25">
      <c r="E268" s="50"/>
    </row>
    <row r="269" spans="5:5" x14ac:dyDescent="0.25">
      <c r="E269" s="50"/>
    </row>
    <row r="270" spans="5:5" x14ac:dyDescent="0.25">
      <c r="E270" s="50"/>
    </row>
    <row r="271" spans="5:5" x14ac:dyDescent="0.25">
      <c r="E271" s="50"/>
    </row>
    <row r="272" spans="5:5" x14ac:dyDescent="0.25">
      <c r="E272" s="50"/>
    </row>
    <row r="273" spans="5:5" x14ac:dyDescent="0.25">
      <c r="E273" s="50"/>
    </row>
    <row r="274" spans="5:5" x14ac:dyDescent="0.25">
      <c r="E274" s="50"/>
    </row>
    <row r="275" spans="5:5" x14ac:dyDescent="0.25">
      <c r="E275" s="50"/>
    </row>
    <row r="276" spans="5:5" x14ac:dyDescent="0.25">
      <c r="E276" s="50"/>
    </row>
    <row r="277" spans="5:5" x14ac:dyDescent="0.25">
      <c r="E277" s="50"/>
    </row>
    <row r="278" spans="5:5" x14ac:dyDescent="0.25">
      <c r="E278" s="50"/>
    </row>
    <row r="279" spans="5:5" x14ac:dyDescent="0.25">
      <c r="E279" s="50"/>
    </row>
    <row r="280" spans="5:5" x14ac:dyDescent="0.25">
      <c r="E280" s="50"/>
    </row>
    <row r="281" spans="5:5" x14ac:dyDescent="0.25">
      <c r="E281" s="50"/>
    </row>
    <row r="282" spans="5:5" x14ac:dyDescent="0.25">
      <c r="E282" s="50"/>
    </row>
    <row r="283" spans="5:5" x14ac:dyDescent="0.25">
      <c r="E283" s="50"/>
    </row>
    <row r="284" spans="5:5" x14ac:dyDescent="0.25">
      <c r="E284" s="50"/>
    </row>
    <row r="285" spans="5:5" x14ac:dyDescent="0.25">
      <c r="E285" s="50"/>
    </row>
    <row r="286" spans="5:5" x14ac:dyDescent="0.25">
      <c r="E286" s="50"/>
    </row>
    <row r="287" spans="5:5" x14ac:dyDescent="0.25">
      <c r="E287" s="50"/>
    </row>
    <row r="288" spans="5:5" x14ac:dyDescent="0.25">
      <c r="E288" s="50"/>
    </row>
    <row r="289" spans="5:5" x14ac:dyDescent="0.25">
      <c r="E289" s="50"/>
    </row>
    <row r="290" spans="5:5" x14ac:dyDescent="0.25">
      <c r="E290" s="50"/>
    </row>
    <row r="291" spans="5:5" x14ac:dyDescent="0.25">
      <c r="E291" s="50"/>
    </row>
    <row r="292" spans="5:5" x14ac:dyDescent="0.25">
      <c r="E292" s="50"/>
    </row>
    <row r="293" spans="5:5" x14ac:dyDescent="0.25">
      <c r="E293" s="50"/>
    </row>
    <row r="294" spans="5:5" x14ac:dyDescent="0.25">
      <c r="E294" s="50"/>
    </row>
    <row r="295" spans="5:5" x14ac:dyDescent="0.25">
      <c r="E295" s="50"/>
    </row>
    <row r="296" spans="5:5" x14ac:dyDescent="0.25">
      <c r="E296" s="50"/>
    </row>
    <row r="297" spans="5:5" x14ac:dyDescent="0.25">
      <c r="E297" s="50"/>
    </row>
    <row r="298" spans="5:5" x14ac:dyDescent="0.25">
      <c r="E298" s="50"/>
    </row>
    <row r="299" spans="5:5" x14ac:dyDescent="0.25">
      <c r="E299" s="50"/>
    </row>
    <row r="300" spans="5:5" x14ac:dyDescent="0.25">
      <c r="E300" s="50"/>
    </row>
    <row r="301" spans="5:5" x14ac:dyDescent="0.25">
      <c r="E301" s="50"/>
    </row>
    <row r="302" spans="5:5" x14ac:dyDescent="0.25">
      <c r="E302" s="50"/>
    </row>
    <row r="303" spans="5:5" x14ac:dyDescent="0.25">
      <c r="E303" s="50"/>
    </row>
    <row r="304" spans="5:5" x14ac:dyDescent="0.25">
      <c r="E304" s="50"/>
    </row>
    <row r="305" spans="5:5" x14ac:dyDescent="0.25">
      <c r="E305" s="50"/>
    </row>
    <row r="306" spans="5:5" x14ac:dyDescent="0.25">
      <c r="E306" s="50"/>
    </row>
    <row r="307" spans="5:5" x14ac:dyDescent="0.25">
      <c r="E307" s="50"/>
    </row>
    <row r="308" spans="5:5" x14ac:dyDescent="0.25">
      <c r="E308" s="50"/>
    </row>
    <row r="309" spans="5:5" x14ac:dyDescent="0.25">
      <c r="E309" s="50"/>
    </row>
    <row r="310" spans="5:5" x14ac:dyDescent="0.25">
      <c r="E310" s="50"/>
    </row>
    <row r="311" spans="5:5" x14ac:dyDescent="0.25">
      <c r="E311" s="50"/>
    </row>
    <row r="312" spans="5:5" x14ac:dyDescent="0.25">
      <c r="E312" s="50"/>
    </row>
    <row r="313" spans="5:5" x14ac:dyDescent="0.25">
      <c r="E313" s="50"/>
    </row>
    <row r="314" spans="5:5" x14ac:dyDescent="0.25">
      <c r="E314" s="50"/>
    </row>
    <row r="315" spans="5:5" x14ac:dyDescent="0.25">
      <c r="E315" s="50"/>
    </row>
    <row r="316" spans="5:5" x14ac:dyDescent="0.25">
      <c r="E316" s="50"/>
    </row>
    <row r="317" spans="5:5" x14ac:dyDescent="0.25">
      <c r="E317" s="50"/>
    </row>
    <row r="318" spans="5:5" x14ac:dyDescent="0.25">
      <c r="E318" s="50"/>
    </row>
    <row r="319" spans="5:5" x14ac:dyDescent="0.25">
      <c r="E319" s="50"/>
    </row>
    <row r="320" spans="5:5" x14ac:dyDescent="0.25">
      <c r="E320" s="50"/>
    </row>
    <row r="321" spans="5:5" x14ac:dyDescent="0.25">
      <c r="E321" s="50"/>
    </row>
    <row r="322" spans="5:5" x14ac:dyDescent="0.25">
      <c r="E322" s="50"/>
    </row>
    <row r="323" spans="5:5" x14ac:dyDescent="0.25">
      <c r="E323" s="50"/>
    </row>
    <row r="324" spans="5:5" x14ac:dyDescent="0.25">
      <c r="E324" s="50"/>
    </row>
    <row r="325" spans="5:5" x14ac:dyDescent="0.25">
      <c r="E325" s="50"/>
    </row>
    <row r="326" spans="5:5" x14ac:dyDescent="0.25">
      <c r="E326" s="50"/>
    </row>
    <row r="327" spans="5:5" x14ac:dyDescent="0.25">
      <c r="E327" s="50"/>
    </row>
    <row r="328" spans="5:5" x14ac:dyDescent="0.25">
      <c r="E328" s="50"/>
    </row>
    <row r="329" spans="5:5" x14ac:dyDescent="0.25">
      <c r="E329" s="50"/>
    </row>
    <row r="330" spans="5:5" x14ac:dyDescent="0.25">
      <c r="E330" s="50"/>
    </row>
    <row r="331" spans="5:5" x14ac:dyDescent="0.25">
      <c r="E331" s="50"/>
    </row>
    <row r="332" spans="5:5" x14ac:dyDescent="0.25">
      <c r="E332" s="50"/>
    </row>
    <row r="333" spans="5:5" x14ac:dyDescent="0.25">
      <c r="E333" s="50"/>
    </row>
    <row r="334" spans="5:5" x14ac:dyDescent="0.25">
      <c r="E334" s="50"/>
    </row>
    <row r="335" spans="5:5" x14ac:dyDescent="0.25">
      <c r="E335" s="50"/>
    </row>
    <row r="336" spans="5:5" x14ac:dyDescent="0.25">
      <c r="E336" s="50"/>
    </row>
    <row r="337" spans="5:5" x14ac:dyDescent="0.25">
      <c r="E337" s="50"/>
    </row>
    <row r="338" spans="5:5" x14ac:dyDescent="0.25">
      <c r="E338" s="50"/>
    </row>
    <row r="339" spans="5:5" x14ac:dyDescent="0.25">
      <c r="E339" s="50"/>
    </row>
    <row r="340" spans="5:5" x14ac:dyDescent="0.25">
      <c r="E340" s="50"/>
    </row>
    <row r="341" spans="5:5" x14ac:dyDescent="0.25">
      <c r="E341" s="50"/>
    </row>
    <row r="342" spans="5:5" x14ac:dyDescent="0.25">
      <c r="E342" s="50"/>
    </row>
    <row r="343" spans="5:5" x14ac:dyDescent="0.25">
      <c r="E343" s="50"/>
    </row>
    <row r="344" spans="5:5" x14ac:dyDescent="0.25">
      <c r="E344" s="50"/>
    </row>
    <row r="345" spans="5:5" x14ac:dyDescent="0.25">
      <c r="E345" s="50"/>
    </row>
    <row r="346" spans="5:5" x14ac:dyDescent="0.25">
      <c r="E346" s="50"/>
    </row>
    <row r="347" spans="5:5" x14ac:dyDescent="0.25">
      <c r="E347" s="50"/>
    </row>
    <row r="348" spans="5:5" x14ac:dyDescent="0.25">
      <c r="E348" s="50"/>
    </row>
    <row r="349" spans="5:5" x14ac:dyDescent="0.25">
      <c r="E349" s="50"/>
    </row>
    <row r="350" spans="5:5" x14ac:dyDescent="0.25">
      <c r="E350" s="50"/>
    </row>
    <row r="351" spans="5:5" x14ac:dyDescent="0.25">
      <c r="E351" s="50"/>
    </row>
    <row r="352" spans="5:5" x14ac:dyDescent="0.25">
      <c r="E352" s="50"/>
    </row>
    <row r="353" spans="5:5" x14ac:dyDescent="0.25">
      <c r="E353" s="50"/>
    </row>
    <row r="354" spans="5:5" x14ac:dyDescent="0.25">
      <c r="E354" s="50"/>
    </row>
    <row r="355" spans="5:5" x14ac:dyDescent="0.25">
      <c r="E355" s="50"/>
    </row>
    <row r="356" spans="5:5" x14ac:dyDescent="0.25">
      <c r="E356" s="50"/>
    </row>
    <row r="357" spans="5:5" x14ac:dyDescent="0.25">
      <c r="E357" s="50"/>
    </row>
    <row r="358" spans="5:5" x14ac:dyDescent="0.25">
      <c r="E358" s="50"/>
    </row>
    <row r="359" spans="5:5" x14ac:dyDescent="0.25">
      <c r="E359" s="50"/>
    </row>
    <row r="360" spans="5:5" x14ac:dyDescent="0.25">
      <c r="E360" s="50"/>
    </row>
    <row r="361" spans="5:5" x14ac:dyDescent="0.25">
      <c r="E361" s="50"/>
    </row>
    <row r="362" spans="5:5" x14ac:dyDescent="0.25">
      <c r="E362" s="50"/>
    </row>
    <row r="363" spans="5:5" x14ac:dyDescent="0.25">
      <c r="E363" s="50"/>
    </row>
    <row r="364" spans="5:5" x14ac:dyDescent="0.25">
      <c r="E364" s="50"/>
    </row>
    <row r="365" spans="5:5" x14ac:dyDescent="0.25">
      <c r="E365" s="50"/>
    </row>
    <row r="366" spans="5:5" x14ac:dyDescent="0.25">
      <c r="E366" s="50"/>
    </row>
    <row r="367" spans="5:5" x14ac:dyDescent="0.25">
      <c r="E367" s="50"/>
    </row>
    <row r="368" spans="5:5" x14ac:dyDescent="0.25">
      <c r="E368" s="50"/>
    </row>
    <row r="369" spans="5:5" x14ac:dyDescent="0.25">
      <c r="E369" s="50"/>
    </row>
    <row r="370" spans="5:5" x14ac:dyDescent="0.25">
      <c r="E370" s="50"/>
    </row>
    <row r="371" spans="5:5" x14ac:dyDescent="0.25">
      <c r="E371" s="50"/>
    </row>
    <row r="372" spans="5:5" x14ac:dyDescent="0.25">
      <c r="E372" s="50"/>
    </row>
    <row r="373" spans="5:5" x14ac:dyDescent="0.25">
      <c r="E373" s="50"/>
    </row>
    <row r="374" spans="5:5" x14ac:dyDescent="0.25">
      <c r="E374" s="50"/>
    </row>
    <row r="375" spans="5:5" x14ac:dyDescent="0.25">
      <c r="E375" s="50"/>
    </row>
    <row r="376" spans="5:5" x14ac:dyDescent="0.25">
      <c r="E376" s="50"/>
    </row>
    <row r="377" spans="5:5" x14ac:dyDescent="0.25">
      <c r="E377" s="50"/>
    </row>
    <row r="378" spans="5:5" x14ac:dyDescent="0.25">
      <c r="E378" s="50"/>
    </row>
    <row r="379" spans="5:5" x14ac:dyDescent="0.25">
      <c r="E379" s="50"/>
    </row>
    <row r="380" spans="5:5" x14ac:dyDescent="0.25">
      <c r="E380" s="50"/>
    </row>
    <row r="381" spans="5:5" x14ac:dyDescent="0.25">
      <c r="E381" s="50"/>
    </row>
    <row r="382" spans="5:5" x14ac:dyDescent="0.25">
      <c r="E382" s="50"/>
    </row>
    <row r="383" spans="5:5" x14ac:dyDescent="0.25">
      <c r="E383" s="50"/>
    </row>
    <row r="384" spans="5:5" x14ac:dyDescent="0.25">
      <c r="E384" s="50"/>
    </row>
    <row r="385" spans="5:5" x14ac:dyDescent="0.25">
      <c r="E385" s="50"/>
    </row>
    <row r="386" spans="5:5" x14ac:dyDescent="0.25">
      <c r="E386" s="50"/>
    </row>
    <row r="387" spans="5:5" x14ac:dyDescent="0.25">
      <c r="E387" s="50"/>
    </row>
    <row r="388" spans="5:5" x14ac:dyDescent="0.25">
      <c r="E388" s="50"/>
    </row>
    <row r="389" spans="5:5" x14ac:dyDescent="0.25">
      <c r="E389" s="50"/>
    </row>
    <row r="390" spans="5:5" x14ac:dyDescent="0.25">
      <c r="E390" s="50"/>
    </row>
    <row r="391" spans="5:5" x14ac:dyDescent="0.25">
      <c r="E391" s="50"/>
    </row>
    <row r="392" spans="5:5" x14ac:dyDescent="0.25">
      <c r="E392" s="50"/>
    </row>
    <row r="393" spans="5:5" x14ac:dyDescent="0.25">
      <c r="E393" s="50"/>
    </row>
    <row r="394" spans="5:5" x14ac:dyDescent="0.25">
      <c r="E394" s="50"/>
    </row>
    <row r="395" spans="5:5" x14ac:dyDescent="0.25">
      <c r="E395" s="50"/>
    </row>
    <row r="396" spans="5:5" x14ac:dyDescent="0.25">
      <c r="E396" s="50"/>
    </row>
    <row r="397" spans="5:5" x14ac:dyDescent="0.25">
      <c r="E397" s="50"/>
    </row>
    <row r="398" spans="5:5" x14ac:dyDescent="0.25">
      <c r="E398" s="50"/>
    </row>
    <row r="399" spans="5:5" x14ac:dyDescent="0.25">
      <c r="E399" s="50"/>
    </row>
    <row r="400" spans="5:5" x14ac:dyDescent="0.25">
      <c r="E400" s="50"/>
    </row>
    <row r="401" spans="5:5" x14ac:dyDescent="0.25">
      <c r="E401" s="50"/>
    </row>
    <row r="402" spans="5:5" x14ac:dyDescent="0.25">
      <c r="E402" s="50"/>
    </row>
    <row r="403" spans="5:5" x14ac:dyDescent="0.25">
      <c r="E403" s="50"/>
    </row>
    <row r="404" spans="5:5" x14ac:dyDescent="0.25">
      <c r="E404" s="50"/>
    </row>
    <row r="405" spans="5:5" x14ac:dyDescent="0.25">
      <c r="E405" s="50"/>
    </row>
    <row r="406" spans="5:5" x14ac:dyDescent="0.25">
      <c r="E406" s="50"/>
    </row>
    <row r="407" spans="5:5" x14ac:dyDescent="0.25">
      <c r="E407" s="50"/>
    </row>
    <row r="408" spans="5:5" x14ac:dyDescent="0.25">
      <c r="E408" s="50"/>
    </row>
    <row r="409" spans="5:5" x14ac:dyDescent="0.25">
      <c r="E409" s="50"/>
    </row>
    <row r="410" spans="5:5" x14ac:dyDescent="0.25">
      <c r="E410" s="50"/>
    </row>
    <row r="411" spans="5:5" x14ac:dyDescent="0.25">
      <c r="E411" s="50"/>
    </row>
    <row r="412" spans="5:5" x14ac:dyDescent="0.25">
      <c r="E412" s="50"/>
    </row>
    <row r="413" spans="5:5" x14ac:dyDescent="0.25">
      <c r="E413" s="50"/>
    </row>
    <row r="414" spans="5:5" x14ac:dyDescent="0.25">
      <c r="E414" s="50"/>
    </row>
    <row r="415" spans="5:5" x14ac:dyDescent="0.25">
      <c r="E415" s="50"/>
    </row>
    <row r="416" spans="5:5" x14ac:dyDescent="0.25">
      <c r="E416" s="50"/>
    </row>
    <row r="417" spans="5:5" x14ac:dyDescent="0.25">
      <c r="E417" s="50"/>
    </row>
    <row r="418" spans="5:5" x14ac:dyDescent="0.25">
      <c r="E418" s="50"/>
    </row>
    <row r="419" spans="5:5" x14ac:dyDescent="0.25">
      <c r="E419" s="50"/>
    </row>
    <row r="420" spans="5:5" x14ac:dyDescent="0.25">
      <c r="E420" s="50"/>
    </row>
    <row r="421" spans="5:5" x14ac:dyDescent="0.25">
      <c r="E421" s="50"/>
    </row>
    <row r="422" spans="5:5" x14ac:dyDescent="0.25">
      <c r="E422" s="50"/>
    </row>
    <row r="423" spans="5:5" x14ac:dyDescent="0.25">
      <c r="E423" s="50"/>
    </row>
    <row r="424" spans="5:5" x14ac:dyDescent="0.25">
      <c r="E424" s="50"/>
    </row>
    <row r="425" spans="5:5" x14ac:dyDescent="0.25">
      <c r="E425" s="50"/>
    </row>
    <row r="426" spans="5:5" x14ac:dyDescent="0.25">
      <c r="E426" s="50"/>
    </row>
    <row r="427" spans="5:5" x14ac:dyDescent="0.25">
      <c r="E427" s="50"/>
    </row>
    <row r="428" spans="5:5" x14ac:dyDescent="0.25">
      <c r="E428" s="50"/>
    </row>
    <row r="429" spans="5:5" x14ac:dyDescent="0.25">
      <c r="E429" s="50"/>
    </row>
    <row r="430" spans="5:5" x14ac:dyDescent="0.25">
      <c r="E430" s="50"/>
    </row>
    <row r="431" spans="5:5" x14ac:dyDescent="0.25">
      <c r="E431" s="50"/>
    </row>
    <row r="432" spans="5:5" x14ac:dyDescent="0.25">
      <c r="E432" s="50"/>
    </row>
    <row r="433" spans="5:5" x14ac:dyDescent="0.25">
      <c r="E433" s="50"/>
    </row>
    <row r="434" spans="5:5" x14ac:dyDescent="0.25">
      <c r="E434" s="50"/>
    </row>
    <row r="435" spans="5:5" x14ac:dyDescent="0.25">
      <c r="E435" s="50"/>
    </row>
    <row r="436" spans="5:5" x14ac:dyDescent="0.25">
      <c r="E436" s="50"/>
    </row>
    <row r="437" spans="5:5" x14ac:dyDescent="0.25">
      <c r="E437" s="50"/>
    </row>
    <row r="438" spans="5:5" x14ac:dyDescent="0.25">
      <c r="E438" s="50"/>
    </row>
    <row r="439" spans="5:5" x14ac:dyDescent="0.25">
      <c r="E439" s="50"/>
    </row>
    <row r="440" spans="5:5" x14ac:dyDescent="0.25">
      <c r="E440" s="50"/>
    </row>
    <row r="441" spans="5:5" x14ac:dyDescent="0.25">
      <c r="E441" s="50"/>
    </row>
    <row r="442" spans="5:5" x14ac:dyDescent="0.25">
      <c r="E442" s="50"/>
    </row>
    <row r="443" spans="5:5" x14ac:dyDescent="0.25">
      <c r="E443" s="50"/>
    </row>
    <row r="444" spans="5:5" x14ac:dyDescent="0.25">
      <c r="E444" s="50"/>
    </row>
    <row r="445" spans="5:5" x14ac:dyDescent="0.25">
      <c r="E445" s="50"/>
    </row>
    <row r="446" spans="5:5" x14ac:dyDescent="0.25">
      <c r="E446" s="50"/>
    </row>
    <row r="447" spans="5:5" x14ac:dyDescent="0.25">
      <c r="E447" s="50"/>
    </row>
    <row r="448" spans="5:5" x14ac:dyDescent="0.25">
      <c r="E448" s="50"/>
    </row>
    <row r="449" spans="5:5" x14ac:dyDescent="0.25">
      <c r="E449" s="50"/>
    </row>
    <row r="450" spans="5:5" x14ac:dyDescent="0.25">
      <c r="E450" s="50"/>
    </row>
    <row r="451" spans="5:5" x14ac:dyDescent="0.25">
      <c r="E451" s="50"/>
    </row>
    <row r="452" spans="5:5" x14ac:dyDescent="0.25">
      <c r="E452" s="50"/>
    </row>
    <row r="453" spans="5:5" x14ac:dyDescent="0.25">
      <c r="E453" s="50"/>
    </row>
    <row r="454" spans="5:5" x14ac:dyDescent="0.25">
      <c r="E454" s="50"/>
    </row>
    <row r="455" spans="5:5" x14ac:dyDescent="0.25">
      <c r="E455" s="50"/>
    </row>
    <row r="456" spans="5:5" x14ac:dyDescent="0.25">
      <c r="E456" s="50"/>
    </row>
    <row r="457" spans="5:5" x14ac:dyDescent="0.25">
      <c r="E457" s="50"/>
    </row>
    <row r="458" spans="5:5" x14ac:dyDescent="0.25">
      <c r="E458" s="50"/>
    </row>
    <row r="459" spans="5:5" x14ac:dyDescent="0.25">
      <c r="E459" s="50"/>
    </row>
    <row r="460" spans="5:5" x14ac:dyDescent="0.25">
      <c r="E460" s="50"/>
    </row>
    <row r="461" spans="5:5" x14ac:dyDescent="0.25">
      <c r="E461" s="50"/>
    </row>
    <row r="462" spans="5:5" x14ac:dyDescent="0.25">
      <c r="E462" s="50"/>
    </row>
    <row r="463" spans="5:5" x14ac:dyDescent="0.25">
      <c r="E463" s="50"/>
    </row>
    <row r="464" spans="5:5" x14ac:dyDescent="0.25">
      <c r="E464" s="50"/>
    </row>
    <row r="465" spans="5:5" x14ac:dyDescent="0.25">
      <c r="E465" s="50"/>
    </row>
    <row r="466" spans="5:5" x14ac:dyDescent="0.25">
      <c r="E466" s="50"/>
    </row>
    <row r="467" spans="5:5" x14ac:dyDescent="0.25">
      <c r="E467" s="50"/>
    </row>
    <row r="468" spans="5:5" x14ac:dyDescent="0.25">
      <c r="E468" s="50"/>
    </row>
    <row r="469" spans="5:5" x14ac:dyDescent="0.25">
      <c r="E469" s="50"/>
    </row>
    <row r="470" spans="5:5" x14ac:dyDescent="0.25">
      <c r="E470" s="50"/>
    </row>
    <row r="471" spans="5:5" x14ac:dyDescent="0.25">
      <c r="E471" s="50"/>
    </row>
    <row r="472" spans="5:5" x14ac:dyDescent="0.25">
      <c r="E472" s="50"/>
    </row>
    <row r="473" spans="5:5" x14ac:dyDescent="0.25">
      <c r="E473" s="50"/>
    </row>
    <row r="474" spans="5:5" x14ac:dyDescent="0.25">
      <c r="E474" s="50"/>
    </row>
    <row r="475" spans="5:5" x14ac:dyDescent="0.25">
      <c r="E475" s="50"/>
    </row>
    <row r="476" spans="5:5" x14ac:dyDescent="0.25">
      <c r="E476" s="50"/>
    </row>
    <row r="477" spans="5:5" x14ac:dyDescent="0.25">
      <c r="E477" s="50"/>
    </row>
    <row r="478" spans="5:5" x14ac:dyDescent="0.25">
      <c r="E478" s="50"/>
    </row>
    <row r="479" spans="5:5" x14ac:dyDescent="0.25">
      <c r="E479" s="50"/>
    </row>
    <row r="480" spans="5:5" x14ac:dyDescent="0.25">
      <c r="E480" s="50"/>
    </row>
    <row r="481" spans="5:5" x14ac:dyDescent="0.25">
      <c r="E481" s="50"/>
    </row>
    <row r="482" spans="5:5" x14ac:dyDescent="0.25">
      <c r="E482" s="50"/>
    </row>
    <row r="483" spans="5:5" x14ac:dyDescent="0.25">
      <c r="E483" s="50"/>
    </row>
    <row r="484" spans="5:5" x14ac:dyDescent="0.25">
      <c r="E484" s="50"/>
    </row>
    <row r="485" spans="5:5" x14ac:dyDescent="0.25">
      <c r="E485" s="50"/>
    </row>
    <row r="486" spans="5:5" x14ac:dyDescent="0.25">
      <c r="E486" s="50"/>
    </row>
    <row r="487" spans="5:5" x14ac:dyDescent="0.25">
      <c r="E487" s="50"/>
    </row>
    <row r="488" spans="5:5" x14ac:dyDescent="0.25">
      <c r="E488" s="50"/>
    </row>
    <row r="489" spans="5:5" x14ac:dyDescent="0.25">
      <c r="E489" s="50"/>
    </row>
    <row r="490" spans="5:5" x14ac:dyDescent="0.25">
      <c r="E490" s="50"/>
    </row>
    <row r="491" spans="5:5" x14ac:dyDescent="0.25">
      <c r="E491" s="50"/>
    </row>
    <row r="492" spans="5:5" x14ac:dyDescent="0.25">
      <c r="E492" s="50"/>
    </row>
    <row r="493" spans="5:5" x14ac:dyDescent="0.25">
      <c r="E493" s="50"/>
    </row>
    <row r="494" spans="5:5" x14ac:dyDescent="0.25">
      <c r="E494" s="50"/>
    </row>
    <row r="495" spans="5:5" x14ac:dyDescent="0.25">
      <c r="E495" s="50"/>
    </row>
    <row r="496" spans="5:5" x14ac:dyDescent="0.25">
      <c r="E496" s="50"/>
    </row>
    <row r="497" spans="5:5" x14ac:dyDescent="0.25">
      <c r="E497" s="50"/>
    </row>
    <row r="498" spans="5:5" x14ac:dyDescent="0.25">
      <c r="E498" s="50"/>
    </row>
    <row r="499" spans="5:5" x14ac:dyDescent="0.25">
      <c r="E499" s="50"/>
    </row>
    <row r="500" spans="5:5" x14ac:dyDescent="0.25">
      <c r="E500" s="50"/>
    </row>
    <row r="501" spans="5:5" x14ac:dyDescent="0.25">
      <c r="E501" s="50"/>
    </row>
    <row r="502" spans="5:5" x14ac:dyDescent="0.25">
      <c r="E502" s="50"/>
    </row>
    <row r="503" spans="5:5" x14ac:dyDescent="0.25">
      <c r="E503" s="50"/>
    </row>
    <row r="504" spans="5:5" x14ac:dyDescent="0.25">
      <c r="E504" s="50"/>
    </row>
    <row r="505" spans="5:5" x14ac:dyDescent="0.25">
      <c r="E505" s="50"/>
    </row>
    <row r="506" spans="5:5" x14ac:dyDescent="0.25">
      <c r="E506" s="50"/>
    </row>
    <row r="507" spans="5:5" x14ac:dyDescent="0.25">
      <c r="E507" s="50"/>
    </row>
    <row r="508" spans="5:5" x14ac:dyDescent="0.25">
      <c r="E508" s="50"/>
    </row>
    <row r="509" spans="5:5" x14ac:dyDescent="0.25">
      <c r="E509" s="50"/>
    </row>
    <row r="510" spans="5:5" x14ac:dyDescent="0.25">
      <c r="E510" s="50"/>
    </row>
    <row r="511" spans="5:5" x14ac:dyDescent="0.25">
      <c r="E511" s="50"/>
    </row>
    <row r="512" spans="5:5" x14ac:dyDescent="0.25">
      <c r="E512" s="50"/>
    </row>
    <row r="513" spans="5:5" x14ac:dyDescent="0.25">
      <c r="E513" s="50"/>
    </row>
    <row r="514" spans="5:5" x14ac:dyDescent="0.25">
      <c r="E514" s="50"/>
    </row>
    <row r="515" spans="5:5" x14ac:dyDescent="0.25">
      <c r="E515" s="50"/>
    </row>
    <row r="516" spans="5:5" x14ac:dyDescent="0.25">
      <c r="E516" s="50"/>
    </row>
    <row r="517" spans="5:5" x14ac:dyDescent="0.25">
      <c r="E517" s="50"/>
    </row>
    <row r="518" spans="5:5" x14ac:dyDescent="0.25">
      <c r="E518" s="50"/>
    </row>
    <row r="519" spans="5:5" x14ac:dyDescent="0.25">
      <c r="E519" s="50"/>
    </row>
    <row r="520" spans="5:5" x14ac:dyDescent="0.25">
      <c r="E520" s="50"/>
    </row>
    <row r="521" spans="5:5" x14ac:dyDescent="0.25">
      <c r="E521" s="50"/>
    </row>
    <row r="522" spans="5:5" x14ac:dyDescent="0.25">
      <c r="E522" s="50"/>
    </row>
    <row r="523" spans="5:5" x14ac:dyDescent="0.25">
      <c r="E523" s="50"/>
    </row>
    <row r="524" spans="5:5" x14ac:dyDescent="0.25">
      <c r="E524" s="50"/>
    </row>
    <row r="525" spans="5:5" x14ac:dyDescent="0.25">
      <c r="E525" s="50"/>
    </row>
    <row r="526" spans="5:5" x14ac:dyDescent="0.25">
      <c r="E526" s="50"/>
    </row>
    <row r="527" spans="5:5" x14ac:dyDescent="0.25">
      <c r="E527" s="50"/>
    </row>
    <row r="528" spans="5:5" x14ac:dyDescent="0.25">
      <c r="E528" s="50"/>
    </row>
    <row r="529" spans="5:5" x14ac:dyDescent="0.25">
      <c r="E529" s="50"/>
    </row>
    <row r="530" spans="5:5" x14ac:dyDescent="0.25">
      <c r="E530" s="50"/>
    </row>
    <row r="531" spans="5:5" x14ac:dyDescent="0.25">
      <c r="E531" s="50"/>
    </row>
    <row r="532" spans="5:5" x14ac:dyDescent="0.25">
      <c r="E532" s="50"/>
    </row>
    <row r="533" spans="5:5" x14ac:dyDescent="0.25">
      <c r="E533" s="50"/>
    </row>
    <row r="534" spans="5:5" x14ac:dyDescent="0.25">
      <c r="E534" s="50"/>
    </row>
    <row r="535" spans="5:5" x14ac:dyDescent="0.25">
      <c r="E535" s="50"/>
    </row>
    <row r="536" spans="5:5" x14ac:dyDescent="0.25">
      <c r="E536" s="50"/>
    </row>
    <row r="537" spans="5:5" x14ac:dyDescent="0.25">
      <c r="E537" s="50"/>
    </row>
    <row r="538" spans="5:5" x14ac:dyDescent="0.25">
      <c r="E538" s="50"/>
    </row>
    <row r="539" spans="5:5" x14ac:dyDescent="0.25">
      <c r="E539" s="50"/>
    </row>
    <row r="540" spans="5:5" x14ac:dyDescent="0.25">
      <c r="E540" s="50"/>
    </row>
    <row r="541" spans="5:5" x14ac:dyDescent="0.25">
      <c r="E541" s="50"/>
    </row>
    <row r="542" spans="5:5" x14ac:dyDescent="0.25">
      <c r="E542" s="50"/>
    </row>
    <row r="543" spans="5:5" x14ac:dyDescent="0.25">
      <c r="E543" s="50"/>
    </row>
    <row r="544" spans="5:5" x14ac:dyDescent="0.25">
      <c r="E544" s="50"/>
    </row>
    <row r="545" spans="5:5" x14ac:dyDescent="0.25">
      <c r="E545" s="50"/>
    </row>
    <row r="546" spans="5:5" x14ac:dyDescent="0.25">
      <c r="E546" s="50"/>
    </row>
    <row r="547" spans="5:5" x14ac:dyDescent="0.25">
      <c r="E547" s="50"/>
    </row>
    <row r="548" spans="5:5" x14ac:dyDescent="0.25">
      <c r="E548" s="50"/>
    </row>
    <row r="549" spans="5:5" x14ac:dyDescent="0.25">
      <c r="E549" s="50"/>
    </row>
    <row r="550" spans="5:5" x14ac:dyDescent="0.25">
      <c r="E550" s="50"/>
    </row>
    <row r="551" spans="5:5" x14ac:dyDescent="0.25">
      <c r="E551" s="50"/>
    </row>
    <row r="552" spans="5:5" x14ac:dyDescent="0.25">
      <c r="E552" s="50"/>
    </row>
    <row r="553" spans="5:5" x14ac:dyDescent="0.25">
      <c r="E553" s="50"/>
    </row>
    <row r="554" spans="5:5" x14ac:dyDescent="0.25">
      <c r="E554" s="50"/>
    </row>
    <row r="555" spans="5:5" x14ac:dyDescent="0.25">
      <c r="E555" s="50"/>
    </row>
    <row r="556" spans="5:5" x14ac:dyDescent="0.25">
      <c r="E556" s="50"/>
    </row>
    <row r="557" spans="5:5" x14ac:dyDescent="0.25">
      <c r="E557" s="50"/>
    </row>
    <row r="558" spans="5:5" x14ac:dyDescent="0.25">
      <c r="E558" s="50"/>
    </row>
    <row r="559" spans="5:5" x14ac:dyDescent="0.25">
      <c r="E559" s="50"/>
    </row>
    <row r="560" spans="5:5" x14ac:dyDescent="0.25">
      <c r="E560" s="50"/>
    </row>
    <row r="561" spans="5:5" x14ac:dyDescent="0.25">
      <c r="E561" s="50"/>
    </row>
    <row r="562" spans="5:5" x14ac:dyDescent="0.25">
      <c r="E562" s="50"/>
    </row>
    <row r="563" spans="5:5" x14ac:dyDescent="0.25">
      <c r="E563" s="50"/>
    </row>
    <row r="564" spans="5:5" x14ac:dyDescent="0.25">
      <c r="E564" s="50"/>
    </row>
    <row r="565" spans="5:5" x14ac:dyDescent="0.25">
      <c r="E565" s="50"/>
    </row>
    <row r="566" spans="5:5" x14ac:dyDescent="0.25">
      <c r="E566" s="50"/>
    </row>
    <row r="567" spans="5:5" x14ac:dyDescent="0.25">
      <c r="E567" s="50"/>
    </row>
    <row r="568" spans="5:5" x14ac:dyDescent="0.25">
      <c r="E568" s="50"/>
    </row>
    <row r="569" spans="5:5" x14ac:dyDescent="0.25">
      <c r="E569" s="50"/>
    </row>
    <row r="570" spans="5:5" x14ac:dyDescent="0.25">
      <c r="E570" s="50"/>
    </row>
    <row r="571" spans="5:5" x14ac:dyDescent="0.25">
      <c r="E571" s="50"/>
    </row>
    <row r="572" spans="5:5" x14ac:dyDescent="0.25">
      <c r="E572" s="50"/>
    </row>
    <row r="573" spans="5:5" x14ac:dyDescent="0.25">
      <c r="E573" s="50"/>
    </row>
    <row r="574" spans="5:5" x14ac:dyDescent="0.25">
      <c r="E574" s="50"/>
    </row>
    <row r="575" spans="5:5" x14ac:dyDescent="0.25">
      <c r="E575" s="50"/>
    </row>
    <row r="576" spans="5:5" x14ac:dyDescent="0.25">
      <c r="E576" s="50"/>
    </row>
    <row r="577" spans="5:5" x14ac:dyDescent="0.25">
      <c r="E577" s="50"/>
    </row>
    <row r="578" spans="5:5" x14ac:dyDescent="0.25">
      <c r="E578" s="50"/>
    </row>
    <row r="579" spans="5:5" x14ac:dyDescent="0.25">
      <c r="E579" s="50"/>
    </row>
    <row r="580" spans="5:5" x14ac:dyDescent="0.25">
      <c r="E580" s="50"/>
    </row>
    <row r="581" spans="5:5" x14ac:dyDescent="0.25">
      <c r="E581" s="50"/>
    </row>
    <row r="582" spans="5:5" x14ac:dyDescent="0.25">
      <c r="E582" s="50"/>
    </row>
    <row r="583" spans="5:5" x14ac:dyDescent="0.25">
      <c r="E583" s="50"/>
    </row>
    <row r="584" spans="5:5" x14ac:dyDescent="0.25">
      <c r="E584" s="50"/>
    </row>
    <row r="585" spans="5:5" x14ac:dyDescent="0.25">
      <c r="E585" s="50"/>
    </row>
    <row r="586" spans="5:5" x14ac:dyDescent="0.25">
      <c r="E586" s="50"/>
    </row>
    <row r="587" spans="5:5" x14ac:dyDescent="0.25">
      <c r="E587" s="50"/>
    </row>
    <row r="588" spans="5:5" x14ac:dyDescent="0.25">
      <c r="E588" s="50"/>
    </row>
    <row r="589" spans="5:5" x14ac:dyDescent="0.25">
      <c r="E589" s="50"/>
    </row>
    <row r="590" spans="5:5" x14ac:dyDescent="0.25">
      <c r="E590" s="50"/>
    </row>
    <row r="591" spans="5:5" x14ac:dyDescent="0.25">
      <c r="E591" s="50"/>
    </row>
    <row r="592" spans="5:5" x14ac:dyDescent="0.25">
      <c r="E592" s="50"/>
    </row>
    <row r="593" spans="5:5" x14ac:dyDescent="0.25">
      <c r="E593" s="50"/>
    </row>
    <row r="594" spans="5:5" x14ac:dyDescent="0.25">
      <c r="E594" s="50"/>
    </row>
    <row r="595" spans="5:5" x14ac:dyDescent="0.25">
      <c r="E595" s="50"/>
    </row>
    <row r="596" spans="5:5" x14ac:dyDescent="0.25">
      <c r="E596" s="50"/>
    </row>
    <row r="597" spans="5:5" x14ac:dyDescent="0.25">
      <c r="E597" s="50"/>
    </row>
    <row r="598" spans="5:5" x14ac:dyDescent="0.25">
      <c r="E598" s="50"/>
    </row>
    <row r="599" spans="5:5" x14ac:dyDescent="0.25">
      <c r="E599" s="50"/>
    </row>
    <row r="600" spans="5:5" x14ac:dyDescent="0.25">
      <c r="E600" s="50"/>
    </row>
    <row r="601" spans="5:5" x14ac:dyDescent="0.25">
      <c r="E601" s="50"/>
    </row>
    <row r="602" spans="5:5" x14ac:dyDescent="0.25">
      <c r="E602" s="50"/>
    </row>
    <row r="603" spans="5:5" x14ac:dyDescent="0.25">
      <c r="E603" s="50"/>
    </row>
    <row r="604" spans="5:5" x14ac:dyDescent="0.25">
      <c r="E604" s="50"/>
    </row>
    <row r="605" spans="5:5" x14ac:dyDescent="0.25">
      <c r="E605" s="50"/>
    </row>
    <row r="606" spans="5:5" x14ac:dyDescent="0.25">
      <c r="E606" s="50"/>
    </row>
    <row r="607" spans="5:5" x14ac:dyDescent="0.25">
      <c r="E607" s="50"/>
    </row>
    <row r="608" spans="5:5" x14ac:dyDescent="0.25">
      <c r="E608" s="50"/>
    </row>
    <row r="609" spans="5:5" x14ac:dyDescent="0.25">
      <c r="E609" s="50"/>
    </row>
    <row r="610" spans="5:5" x14ac:dyDescent="0.25">
      <c r="E610" s="50"/>
    </row>
    <row r="611" spans="5:5" x14ac:dyDescent="0.25">
      <c r="E611" s="50"/>
    </row>
    <row r="612" spans="5:5" x14ac:dyDescent="0.25">
      <c r="E612" s="50"/>
    </row>
    <row r="613" spans="5:5" x14ac:dyDescent="0.25">
      <c r="E613" s="50"/>
    </row>
    <row r="614" spans="5:5" x14ac:dyDescent="0.25">
      <c r="E614" s="50"/>
    </row>
    <row r="615" spans="5:5" x14ac:dyDescent="0.25">
      <c r="E615" s="50"/>
    </row>
    <row r="616" spans="5:5" x14ac:dyDescent="0.25">
      <c r="E616" s="50"/>
    </row>
    <row r="617" spans="5:5" x14ac:dyDescent="0.25">
      <c r="E617" s="50"/>
    </row>
    <row r="618" spans="5:5" x14ac:dyDescent="0.25">
      <c r="E618" s="50"/>
    </row>
    <row r="619" spans="5:5" x14ac:dyDescent="0.25">
      <c r="E619" s="50"/>
    </row>
    <row r="620" spans="5:5" x14ac:dyDescent="0.25">
      <c r="E620" s="50"/>
    </row>
    <row r="621" spans="5:5" x14ac:dyDescent="0.25">
      <c r="E621" s="50"/>
    </row>
    <row r="622" spans="5:5" x14ac:dyDescent="0.25">
      <c r="E622" s="50"/>
    </row>
    <row r="623" spans="5:5" x14ac:dyDescent="0.25">
      <c r="E623" s="50"/>
    </row>
    <row r="624" spans="5:5" x14ac:dyDescent="0.25">
      <c r="E624" s="50"/>
    </row>
    <row r="625" spans="5:5" x14ac:dyDescent="0.25">
      <c r="E625" s="50"/>
    </row>
    <row r="626" spans="5:5" x14ac:dyDescent="0.25">
      <c r="E626" s="50"/>
    </row>
    <row r="627" spans="5:5" x14ac:dyDescent="0.25">
      <c r="E627" s="50"/>
    </row>
    <row r="628" spans="5:5" x14ac:dyDescent="0.25">
      <c r="E628" s="50"/>
    </row>
    <row r="629" spans="5:5" x14ac:dyDescent="0.25">
      <c r="E629" s="50"/>
    </row>
    <row r="630" spans="5:5" x14ac:dyDescent="0.25">
      <c r="E630" s="50"/>
    </row>
    <row r="631" spans="5:5" x14ac:dyDescent="0.25">
      <c r="E631" s="50"/>
    </row>
    <row r="632" spans="5:5" x14ac:dyDescent="0.25">
      <c r="E632" s="50"/>
    </row>
    <row r="633" spans="5:5" x14ac:dyDescent="0.25">
      <c r="E633" s="50"/>
    </row>
    <row r="634" spans="5:5" x14ac:dyDescent="0.25">
      <c r="E634" s="50"/>
    </row>
    <row r="635" spans="5:5" x14ac:dyDescent="0.25">
      <c r="E635" s="50"/>
    </row>
    <row r="636" spans="5:5" x14ac:dyDescent="0.25">
      <c r="E636" s="50"/>
    </row>
    <row r="637" spans="5:5" x14ac:dyDescent="0.25">
      <c r="E637" s="50"/>
    </row>
    <row r="638" spans="5:5" x14ac:dyDescent="0.25">
      <c r="E638" s="50"/>
    </row>
    <row r="639" spans="5:5" x14ac:dyDescent="0.25">
      <c r="E639" s="50"/>
    </row>
    <row r="640" spans="5:5" x14ac:dyDescent="0.25">
      <c r="E640" s="50"/>
    </row>
    <row r="641" spans="5:5" x14ac:dyDescent="0.25">
      <c r="E641" s="50"/>
    </row>
    <row r="642" spans="5:5" x14ac:dyDescent="0.25">
      <c r="E642" s="50"/>
    </row>
    <row r="643" spans="5:5" x14ac:dyDescent="0.25">
      <c r="E643" s="50"/>
    </row>
    <row r="644" spans="5:5" x14ac:dyDescent="0.25">
      <c r="E644" s="50"/>
    </row>
    <row r="645" spans="5:5" x14ac:dyDescent="0.25">
      <c r="E645" s="50"/>
    </row>
    <row r="646" spans="5:5" x14ac:dyDescent="0.25">
      <c r="E646" s="50"/>
    </row>
    <row r="647" spans="5:5" x14ac:dyDescent="0.25">
      <c r="E647" s="50"/>
    </row>
    <row r="648" spans="5:5" x14ac:dyDescent="0.25">
      <c r="E648" s="50"/>
    </row>
    <row r="649" spans="5:5" x14ac:dyDescent="0.25">
      <c r="E649" s="50"/>
    </row>
    <row r="650" spans="5:5" x14ac:dyDescent="0.25">
      <c r="E650" s="50"/>
    </row>
    <row r="651" spans="5:5" x14ac:dyDescent="0.25">
      <c r="E651" s="50"/>
    </row>
    <row r="652" spans="5:5" x14ac:dyDescent="0.25">
      <c r="E652" s="50"/>
    </row>
    <row r="653" spans="5:5" x14ac:dyDescent="0.25">
      <c r="E653" s="50"/>
    </row>
    <row r="654" spans="5:5" x14ac:dyDescent="0.25">
      <c r="E654" s="50"/>
    </row>
    <row r="655" spans="5:5" x14ac:dyDescent="0.25">
      <c r="E655" s="50"/>
    </row>
    <row r="656" spans="5:5" x14ac:dyDescent="0.25">
      <c r="E656" s="50"/>
    </row>
    <row r="657" spans="5:5" x14ac:dyDescent="0.25">
      <c r="E657" s="50"/>
    </row>
    <row r="658" spans="5:5" x14ac:dyDescent="0.25">
      <c r="E658" s="50"/>
    </row>
    <row r="659" spans="5:5" x14ac:dyDescent="0.25">
      <c r="E659" s="50"/>
    </row>
    <row r="660" spans="5:5" x14ac:dyDescent="0.25">
      <c r="E660" s="50"/>
    </row>
    <row r="661" spans="5:5" x14ac:dyDescent="0.25">
      <c r="E661" s="50"/>
    </row>
    <row r="662" spans="5:5" x14ac:dyDescent="0.25">
      <c r="E662" s="50"/>
    </row>
    <row r="663" spans="5:5" x14ac:dyDescent="0.25">
      <c r="E663" s="50"/>
    </row>
    <row r="664" spans="5:5" x14ac:dyDescent="0.25">
      <c r="E664" s="50"/>
    </row>
    <row r="665" spans="5:5" x14ac:dyDescent="0.25">
      <c r="E665" s="50"/>
    </row>
    <row r="666" spans="5:5" x14ac:dyDescent="0.25">
      <c r="E666" s="50"/>
    </row>
    <row r="667" spans="5:5" x14ac:dyDescent="0.25">
      <c r="E667" s="50"/>
    </row>
    <row r="668" spans="5:5" x14ac:dyDescent="0.25">
      <c r="E668" s="50"/>
    </row>
    <row r="669" spans="5:5" x14ac:dyDescent="0.25">
      <c r="E669" s="50"/>
    </row>
    <row r="670" spans="5:5" x14ac:dyDescent="0.25">
      <c r="E670" s="50"/>
    </row>
    <row r="671" spans="5:5" x14ac:dyDescent="0.25">
      <c r="E671" s="50"/>
    </row>
    <row r="672" spans="5:5" x14ac:dyDescent="0.25">
      <c r="E672" s="50"/>
    </row>
    <row r="673" spans="5:5" x14ac:dyDescent="0.25">
      <c r="E673" s="50"/>
    </row>
    <row r="674" spans="5:5" x14ac:dyDescent="0.25">
      <c r="E674" s="50"/>
    </row>
    <row r="675" spans="5:5" x14ac:dyDescent="0.25">
      <c r="E675" s="50"/>
    </row>
    <row r="676" spans="5:5" x14ac:dyDescent="0.25">
      <c r="E676" s="50"/>
    </row>
    <row r="677" spans="5:5" x14ac:dyDescent="0.25">
      <c r="E677" s="50"/>
    </row>
    <row r="678" spans="5:5" x14ac:dyDescent="0.25">
      <c r="E678" s="50"/>
    </row>
    <row r="679" spans="5:5" x14ac:dyDescent="0.25">
      <c r="E679" s="50"/>
    </row>
    <row r="680" spans="5:5" x14ac:dyDescent="0.25">
      <c r="E680" s="50"/>
    </row>
    <row r="681" spans="5:5" x14ac:dyDescent="0.25">
      <c r="E681" s="50"/>
    </row>
    <row r="682" spans="5:5" x14ac:dyDescent="0.25">
      <c r="E682" s="50"/>
    </row>
    <row r="683" spans="5:5" x14ac:dyDescent="0.25">
      <c r="E683" s="50"/>
    </row>
    <row r="684" spans="5:5" x14ac:dyDescent="0.25">
      <c r="E684" s="50"/>
    </row>
    <row r="685" spans="5:5" x14ac:dyDescent="0.25">
      <c r="E685" s="50"/>
    </row>
    <row r="686" spans="5:5" x14ac:dyDescent="0.25">
      <c r="E686" s="50"/>
    </row>
    <row r="687" spans="5:5" x14ac:dyDescent="0.25">
      <c r="E687" s="50"/>
    </row>
    <row r="688" spans="5:5" x14ac:dyDescent="0.25">
      <c r="E688" s="50"/>
    </row>
    <row r="689" spans="5:5" x14ac:dyDescent="0.25">
      <c r="E689" s="50"/>
    </row>
    <row r="690" spans="5:5" x14ac:dyDescent="0.25">
      <c r="E690" s="50"/>
    </row>
    <row r="691" spans="5:5" x14ac:dyDescent="0.25">
      <c r="E691" s="50"/>
    </row>
    <row r="692" spans="5:5" x14ac:dyDescent="0.25">
      <c r="E692" s="50"/>
    </row>
    <row r="693" spans="5:5" x14ac:dyDescent="0.25">
      <c r="E693" s="50"/>
    </row>
    <row r="694" spans="5:5" x14ac:dyDescent="0.25">
      <c r="E694" s="50"/>
    </row>
    <row r="695" spans="5:5" x14ac:dyDescent="0.25">
      <c r="E695" s="50"/>
    </row>
    <row r="696" spans="5:5" x14ac:dyDescent="0.25">
      <c r="E696" s="50"/>
    </row>
    <row r="697" spans="5:5" x14ac:dyDescent="0.25">
      <c r="E697" s="50"/>
    </row>
    <row r="698" spans="5:5" x14ac:dyDescent="0.25">
      <c r="E698" s="50"/>
    </row>
    <row r="699" spans="5:5" x14ac:dyDescent="0.25">
      <c r="E699" s="50"/>
    </row>
    <row r="700" spans="5:5" x14ac:dyDescent="0.25">
      <c r="E700" s="50"/>
    </row>
    <row r="701" spans="5:5" x14ac:dyDescent="0.25">
      <c r="E701" s="50"/>
    </row>
    <row r="702" spans="5:5" x14ac:dyDescent="0.25">
      <c r="E702" s="50"/>
    </row>
    <row r="703" spans="5:5" x14ac:dyDescent="0.25">
      <c r="E703" s="50"/>
    </row>
    <row r="704" spans="5:5" x14ac:dyDescent="0.25">
      <c r="E704" s="50"/>
    </row>
    <row r="705" spans="5:5" x14ac:dyDescent="0.25">
      <c r="E705" s="50"/>
    </row>
    <row r="706" spans="5:5" x14ac:dyDescent="0.25">
      <c r="E706" s="50"/>
    </row>
    <row r="707" spans="5:5" x14ac:dyDescent="0.25">
      <c r="E707" s="50"/>
    </row>
    <row r="708" spans="5:5" x14ac:dyDescent="0.25">
      <c r="E708" s="50"/>
    </row>
    <row r="709" spans="5:5" x14ac:dyDescent="0.25">
      <c r="E709" s="50"/>
    </row>
    <row r="710" spans="5:5" x14ac:dyDescent="0.25">
      <c r="E710" s="50"/>
    </row>
    <row r="711" spans="5:5" x14ac:dyDescent="0.25">
      <c r="E711" s="50"/>
    </row>
    <row r="712" spans="5:5" x14ac:dyDescent="0.25">
      <c r="E712" s="50"/>
    </row>
    <row r="713" spans="5:5" x14ac:dyDescent="0.25">
      <c r="E713" s="50"/>
    </row>
    <row r="714" spans="5:5" x14ac:dyDescent="0.25">
      <c r="E714" s="50"/>
    </row>
    <row r="715" spans="5:5" x14ac:dyDescent="0.25">
      <c r="E715" s="50"/>
    </row>
    <row r="716" spans="5:5" x14ac:dyDescent="0.25">
      <c r="E716" s="50"/>
    </row>
    <row r="717" spans="5:5" x14ac:dyDescent="0.25">
      <c r="E717" s="50"/>
    </row>
    <row r="718" spans="5:5" x14ac:dyDescent="0.25">
      <c r="E718" s="50"/>
    </row>
    <row r="719" spans="5:5" x14ac:dyDescent="0.25">
      <c r="E719" s="50"/>
    </row>
    <row r="720" spans="5:5" x14ac:dyDescent="0.25">
      <c r="E720" s="50"/>
    </row>
    <row r="721" spans="5:5" x14ac:dyDescent="0.25">
      <c r="E721" s="50"/>
    </row>
    <row r="722" spans="5:5" x14ac:dyDescent="0.25">
      <c r="E722" s="50"/>
    </row>
    <row r="723" spans="5:5" x14ac:dyDescent="0.25">
      <c r="E723" s="50"/>
    </row>
    <row r="724" spans="5:5" x14ac:dyDescent="0.25">
      <c r="E724" s="50"/>
    </row>
    <row r="725" spans="5:5" x14ac:dyDescent="0.25">
      <c r="E725" s="50"/>
    </row>
    <row r="726" spans="5:5" x14ac:dyDescent="0.25">
      <c r="E726" s="50"/>
    </row>
    <row r="727" spans="5:5" x14ac:dyDescent="0.25">
      <c r="E727" s="50"/>
    </row>
    <row r="728" spans="5:5" x14ac:dyDescent="0.25">
      <c r="E728" s="50"/>
    </row>
    <row r="729" spans="5:5" x14ac:dyDescent="0.25">
      <c r="E729" s="50"/>
    </row>
    <row r="730" spans="5:5" x14ac:dyDescent="0.25">
      <c r="E730" s="50"/>
    </row>
    <row r="731" spans="5:5" x14ac:dyDescent="0.25">
      <c r="E731" s="50"/>
    </row>
    <row r="732" spans="5:5" x14ac:dyDescent="0.25">
      <c r="E732" s="50"/>
    </row>
    <row r="733" spans="5:5" x14ac:dyDescent="0.25">
      <c r="E733" s="50"/>
    </row>
    <row r="734" spans="5:5" x14ac:dyDescent="0.25">
      <c r="E734" s="50"/>
    </row>
    <row r="735" spans="5:5" x14ac:dyDescent="0.25">
      <c r="E735" s="50"/>
    </row>
    <row r="736" spans="5:5" x14ac:dyDescent="0.25">
      <c r="E736" s="50"/>
    </row>
    <row r="737" spans="5:5" x14ac:dyDescent="0.25">
      <c r="E737" s="50"/>
    </row>
    <row r="738" spans="5:5" x14ac:dyDescent="0.25">
      <c r="E738" s="50"/>
    </row>
    <row r="739" spans="5:5" x14ac:dyDescent="0.25">
      <c r="E739" s="50"/>
    </row>
    <row r="740" spans="5:5" x14ac:dyDescent="0.25">
      <c r="E740" s="50"/>
    </row>
    <row r="741" spans="5:5" x14ac:dyDescent="0.25">
      <c r="E741" s="50"/>
    </row>
    <row r="742" spans="5:5" x14ac:dyDescent="0.25">
      <c r="E742" s="50"/>
    </row>
    <row r="743" spans="5:5" x14ac:dyDescent="0.25">
      <c r="E743" s="50"/>
    </row>
    <row r="744" spans="5:5" x14ac:dyDescent="0.25">
      <c r="E744" s="50"/>
    </row>
    <row r="745" spans="5:5" x14ac:dyDescent="0.25">
      <c r="E745" s="50"/>
    </row>
    <row r="746" spans="5:5" x14ac:dyDescent="0.25">
      <c r="E746" s="50"/>
    </row>
    <row r="747" spans="5:5" x14ac:dyDescent="0.25">
      <c r="E747" s="50"/>
    </row>
    <row r="748" spans="5:5" x14ac:dyDescent="0.25">
      <c r="E748" s="50"/>
    </row>
    <row r="749" spans="5:5" x14ac:dyDescent="0.25">
      <c r="E749" s="50"/>
    </row>
    <row r="750" spans="5:5" x14ac:dyDescent="0.25">
      <c r="E750" s="50"/>
    </row>
    <row r="751" spans="5:5" x14ac:dyDescent="0.25">
      <c r="E751" s="50"/>
    </row>
    <row r="752" spans="5:5" x14ac:dyDescent="0.25">
      <c r="E752" s="50"/>
    </row>
    <row r="753" spans="5:5" x14ac:dyDescent="0.25">
      <c r="E753" s="50"/>
    </row>
    <row r="754" spans="5:5" x14ac:dyDescent="0.25">
      <c r="E754" s="50"/>
    </row>
    <row r="755" spans="5:5" x14ac:dyDescent="0.25">
      <c r="E755" s="50"/>
    </row>
    <row r="756" spans="5:5" x14ac:dyDescent="0.25">
      <c r="E756" s="50"/>
    </row>
    <row r="757" spans="5:5" x14ac:dyDescent="0.25">
      <c r="E757" s="50"/>
    </row>
    <row r="758" spans="5:5" x14ac:dyDescent="0.25">
      <c r="E758" s="50"/>
    </row>
    <row r="759" spans="5:5" x14ac:dyDescent="0.25">
      <c r="E759" s="50"/>
    </row>
    <row r="760" spans="5:5" x14ac:dyDescent="0.25">
      <c r="E760" s="50"/>
    </row>
    <row r="761" spans="5:5" x14ac:dyDescent="0.25">
      <c r="E761" s="50"/>
    </row>
    <row r="762" spans="5:5" x14ac:dyDescent="0.25">
      <c r="E762" s="50"/>
    </row>
    <row r="763" spans="5:5" x14ac:dyDescent="0.25">
      <c r="E763" s="50"/>
    </row>
    <row r="764" spans="5:5" x14ac:dyDescent="0.25">
      <c r="E764" s="50"/>
    </row>
    <row r="765" spans="5:5" x14ac:dyDescent="0.25">
      <c r="E765" s="50"/>
    </row>
    <row r="766" spans="5:5" x14ac:dyDescent="0.25">
      <c r="E766" s="50"/>
    </row>
    <row r="767" spans="5:5" x14ac:dyDescent="0.25">
      <c r="E767" s="50"/>
    </row>
    <row r="768" spans="5:5" x14ac:dyDescent="0.25">
      <c r="E768" s="50"/>
    </row>
    <row r="769" spans="5:5" x14ac:dyDescent="0.25">
      <c r="E769" s="50"/>
    </row>
    <row r="770" spans="5:5" x14ac:dyDescent="0.25">
      <c r="E770" s="50"/>
    </row>
    <row r="771" spans="5:5" x14ac:dyDescent="0.25">
      <c r="E771" s="50"/>
    </row>
    <row r="772" spans="5:5" x14ac:dyDescent="0.25">
      <c r="E772" s="50"/>
    </row>
    <row r="773" spans="5:5" x14ac:dyDescent="0.25">
      <c r="E773" s="50"/>
    </row>
    <row r="774" spans="5:5" x14ac:dyDescent="0.25">
      <c r="E774" s="50"/>
    </row>
    <row r="775" spans="5:5" x14ac:dyDescent="0.25">
      <c r="E775" s="50"/>
    </row>
    <row r="776" spans="5:5" x14ac:dyDescent="0.25">
      <c r="E776" s="50"/>
    </row>
    <row r="777" spans="5:5" x14ac:dyDescent="0.25">
      <c r="E777" s="50"/>
    </row>
    <row r="778" spans="5:5" x14ac:dyDescent="0.25">
      <c r="E778" s="50"/>
    </row>
    <row r="779" spans="5:5" x14ac:dyDescent="0.25">
      <c r="E779" s="50"/>
    </row>
    <row r="780" spans="5:5" x14ac:dyDescent="0.25">
      <c r="E780" s="50"/>
    </row>
    <row r="781" spans="5:5" x14ac:dyDescent="0.25">
      <c r="E781" s="50"/>
    </row>
    <row r="782" spans="5:5" x14ac:dyDescent="0.25">
      <c r="E782" s="50"/>
    </row>
    <row r="783" spans="5:5" x14ac:dyDescent="0.25">
      <c r="E783" s="50"/>
    </row>
    <row r="784" spans="5:5" x14ac:dyDescent="0.25">
      <c r="E784" s="50"/>
    </row>
    <row r="785" spans="5:5" x14ac:dyDescent="0.25">
      <c r="E785" s="50"/>
    </row>
    <row r="786" spans="5:5" x14ac:dyDescent="0.25">
      <c r="E786" s="50"/>
    </row>
    <row r="787" spans="5:5" x14ac:dyDescent="0.25">
      <c r="E787" s="50"/>
    </row>
    <row r="788" spans="5:5" x14ac:dyDescent="0.25">
      <c r="E788" s="50"/>
    </row>
    <row r="789" spans="5:5" x14ac:dyDescent="0.25">
      <c r="E789" s="50"/>
    </row>
    <row r="790" spans="5:5" x14ac:dyDescent="0.25">
      <c r="E790" s="50"/>
    </row>
    <row r="791" spans="5:5" x14ac:dyDescent="0.25">
      <c r="E791" s="50"/>
    </row>
    <row r="792" spans="5:5" x14ac:dyDescent="0.25">
      <c r="E792" s="50"/>
    </row>
    <row r="793" spans="5:5" x14ac:dyDescent="0.25">
      <c r="E793" s="50"/>
    </row>
    <row r="794" spans="5:5" x14ac:dyDescent="0.25">
      <c r="E794" s="50"/>
    </row>
    <row r="795" spans="5:5" x14ac:dyDescent="0.25">
      <c r="E795" s="50"/>
    </row>
    <row r="796" spans="5:5" x14ac:dyDescent="0.25">
      <c r="E796" s="50"/>
    </row>
    <row r="797" spans="5:5" x14ac:dyDescent="0.25">
      <c r="E797" s="50"/>
    </row>
    <row r="798" spans="5:5" x14ac:dyDescent="0.25">
      <c r="E798" s="50"/>
    </row>
    <row r="799" spans="5:5" x14ac:dyDescent="0.25">
      <c r="E799" s="50"/>
    </row>
    <row r="800" spans="5:5" x14ac:dyDescent="0.25">
      <c r="E800" s="50"/>
    </row>
    <row r="801" spans="5:5" x14ac:dyDescent="0.25">
      <c r="E801" s="50"/>
    </row>
    <row r="802" spans="5:5" x14ac:dyDescent="0.25">
      <c r="E802" s="50"/>
    </row>
    <row r="803" spans="5:5" x14ac:dyDescent="0.25">
      <c r="E803" s="50"/>
    </row>
    <row r="804" spans="5:5" x14ac:dyDescent="0.25">
      <c r="E804" s="50"/>
    </row>
    <row r="805" spans="5:5" x14ac:dyDescent="0.25">
      <c r="E805" s="50"/>
    </row>
    <row r="806" spans="5:5" x14ac:dyDescent="0.25">
      <c r="E806" s="50"/>
    </row>
    <row r="807" spans="5:5" x14ac:dyDescent="0.25">
      <c r="E807" s="50"/>
    </row>
    <row r="808" spans="5:5" x14ac:dyDescent="0.25">
      <c r="E808" s="50"/>
    </row>
    <row r="809" spans="5:5" x14ac:dyDescent="0.25">
      <c r="E809" s="50"/>
    </row>
    <row r="810" spans="5:5" x14ac:dyDescent="0.25">
      <c r="E810" s="50"/>
    </row>
    <row r="811" spans="5:5" x14ac:dyDescent="0.25">
      <c r="E811" s="50"/>
    </row>
    <row r="812" spans="5:5" x14ac:dyDescent="0.25">
      <c r="E812" s="50"/>
    </row>
    <row r="813" spans="5:5" x14ac:dyDescent="0.25">
      <c r="E813" s="50"/>
    </row>
    <row r="814" spans="5:5" x14ac:dyDescent="0.25">
      <c r="E814" s="50"/>
    </row>
    <row r="815" spans="5:5" x14ac:dyDescent="0.25">
      <c r="E815" s="50"/>
    </row>
    <row r="816" spans="5:5" x14ac:dyDescent="0.25">
      <c r="E816" s="50"/>
    </row>
    <row r="817" spans="5:5" x14ac:dyDescent="0.25">
      <c r="E817" s="50"/>
    </row>
    <row r="818" spans="5:5" x14ac:dyDescent="0.25">
      <c r="E818" s="50"/>
    </row>
    <row r="819" spans="5:5" x14ac:dyDescent="0.25">
      <c r="E819" s="50"/>
    </row>
    <row r="820" spans="5:5" x14ac:dyDescent="0.25">
      <c r="E820" s="50"/>
    </row>
    <row r="821" spans="5:5" x14ac:dyDescent="0.25">
      <c r="E821" s="50"/>
    </row>
    <row r="822" spans="5:5" x14ac:dyDescent="0.25">
      <c r="E822" s="50"/>
    </row>
    <row r="823" spans="5:5" x14ac:dyDescent="0.25">
      <c r="E823" s="50"/>
    </row>
    <row r="824" spans="5:5" x14ac:dyDescent="0.25">
      <c r="E824" s="50"/>
    </row>
    <row r="825" spans="5:5" x14ac:dyDescent="0.25">
      <c r="E825" s="50"/>
    </row>
    <row r="826" spans="5:5" x14ac:dyDescent="0.25">
      <c r="E826" s="50"/>
    </row>
    <row r="827" spans="5:5" x14ac:dyDescent="0.25">
      <c r="E827" s="50"/>
    </row>
    <row r="828" spans="5:5" x14ac:dyDescent="0.25">
      <c r="E828" s="50"/>
    </row>
    <row r="829" spans="5:5" x14ac:dyDescent="0.25">
      <c r="E829" s="50"/>
    </row>
    <row r="830" spans="5:5" x14ac:dyDescent="0.25">
      <c r="E830" s="50"/>
    </row>
    <row r="831" spans="5:5" x14ac:dyDescent="0.25">
      <c r="E831" s="50"/>
    </row>
    <row r="832" spans="5:5" x14ac:dyDescent="0.25">
      <c r="E832" s="50"/>
    </row>
    <row r="833" spans="5:5" x14ac:dyDescent="0.25">
      <c r="E833" s="50"/>
    </row>
    <row r="834" spans="5:5" x14ac:dyDescent="0.25">
      <c r="E834" s="50"/>
    </row>
    <row r="835" spans="5:5" x14ac:dyDescent="0.25">
      <c r="E835" s="50"/>
    </row>
    <row r="836" spans="5:5" x14ac:dyDescent="0.25">
      <c r="E836" s="50"/>
    </row>
    <row r="837" spans="5:5" x14ac:dyDescent="0.25">
      <c r="E837" s="50"/>
    </row>
    <row r="838" spans="5:5" x14ac:dyDescent="0.25">
      <c r="E838" s="50"/>
    </row>
    <row r="839" spans="5:5" x14ac:dyDescent="0.25">
      <c r="E839" s="50"/>
    </row>
    <row r="840" spans="5:5" x14ac:dyDescent="0.25">
      <c r="E840" s="50"/>
    </row>
    <row r="841" spans="5:5" x14ac:dyDescent="0.25">
      <c r="E841" s="50"/>
    </row>
    <row r="842" spans="5:5" x14ac:dyDescent="0.25">
      <c r="E842" s="50"/>
    </row>
    <row r="843" spans="5:5" x14ac:dyDescent="0.25">
      <c r="E843" s="50"/>
    </row>
    <row r="844" spans="5:5" x14ac:dyDescent="0.25">
      <c r="E844" s="50"/>
    </row>
    <row r="845" spans="5:5" x14ac:dyDescent="0.25">
      <c r="E845" s="50"/>
    </row>
    <row r="846" spans="5:5" x14ac:dyDescent="0.25">
      <c r="E846" s="50"/>
    </row>
    <row r="847" spans="5:5" x14ac:dyDescent="0.25">
      <c r="E847" s="50"/>
    </row>
    <row r="848" spans="5:5" x14ac:dyDescent="0.25">
      <c r="E848" s="50"/>
    </row>
    <row r="849" spans="5:5" x14ac:dyDescent="0.25">
      <c r="E849" s="50"/>
    </row>
    <row r="850" spans="5:5" x14ac:dyDescent="0.25">
      <c r="E850" s="50"/>
    </row>
    <row r="851" spans="5:5" x14ac:dyDescent="0.25">
      <c r="E851" s="50"/>
    </row>
    <row r="852" spans="5:5" x14ac:dyDescent="0.25">
      <c r="E852" s="50"/>
    </row>
    <row r="853" spans="5:5" x14ac:dyDescent="0.25">
      <c r="E853" s="50"/>
    </row>
    <row r="854" spans="5:5" x14ac:dyDescent="0.25">
      <c r="E854" s="50"/>
    </row>
    <row r="855" spans="5:5" x14ac:dyDescent="0.25">
      <c r="E855" s="50"/>
    </row>
    <row r="856" spans="5:5" x14ac:dyDescent="0.25">
      <c r="E856" s="50"/>
    </row>
    <row r="857" spans="5:5" x14ac:dyDescent="0.25">
      <c r="E857" s="50"/>
    </row>
    <row r="858" spans="5:5" x14ac:dyDescent="0.25">
      <c r="E858" s="50"/>
    </row>
    <row r="859" spans="5:5" x14ac:dyDescent="0.25">
      <c r="E859" s="50"/>
    </row>
    <row r="860" spans="5:5" x14ac:dyDescent="0.25">
      <c r="E860" s="50"/>
    </row>
    <row r="861" spans="5:5" x14ac:dyDescent="0.25">
      <c r="E861" s="50"/>
    </row>
    <row r="862" spans="5:5" x14ac:dyDescent="0.25">
      <c r="E862" s="50"/>
    </row>
    <row r="863" spans="5:5" x14ac:dyDescent="0.25">
      <c r="E863" s="50"/>
    </row>
    <row r="864" spans="5:5" x14ac:dyDescent="0.25">
      <c r="E864" s="50"/>
    </row>
    <row r="865" spans="5:5" x14ac:dyDescent="0.25">
      <c r="E865" s="50"/>
    </row>
    <row r="866" spans="5:5" x14ac:dyDescent="0.25">
      <c r="E866" s="50"/>
    </row>
    <row r="867" spans="5:5" x14ac:dyDescent="0.25">
      <c r="E867" s="50"/>
    </row>
    <row r="868" spans="5:5" x14ac:dyDescent="0.25">
      <c r="E868" s="50"/>
    </row>
    <row r="869" spans="5:5" x14ac:dyDescent="0.25">
      <c r="E869" s="50"/>
    </row>
    <row r="870" spans="5:5" x14ac:dyDescent="0.25">
      <c r="E870" s="50"/>
    </row>
    <row r="871" spans="5:5" x14ac:dyDescent="0.25">
      <c r="E871" s="50"/>
    </row>
    <row r="872" spans="5:5" x14ac:dyDescent="0.25">
      <c r="E872" s="50"/>
    </row>
    <row r="873" spans="5:5" x14ac:dyDescent="0.25">
      <c r="E873" s="50"/>
    </row>
    <row r="874" spans="5:5" x14ac:dyDescent="0.25">
      <c r="E874" s="50"/>
    </row>
    <row r="875" spans="5:5" x14ac:dyDescent="0.25">
      <c r="E875" s="50"/>
    </row>
    <row r="876" spans="5:5" x14ac:dyDescent="0.25">
      <c r="E876" s="50"/>
    </row>
    <row r="877" spans="5:5" x14ac:dyDescent="0.25">
      <c r="E877" s="50"/>
    </row>
    <row r="878" spans="5:5" x14ac:dyDescent="0.25">
      <c r="E878" s="50"/>
    </row>
    <row r="879" spans="5:5" x14ac:dyDescent="0.25">
      <c r="E879" s="50"/>
    </row>
    <row r="880" spans="5:5" x14ac:dyDescent="0.25">
      <c r="E880" s="50"/>
    </row>
    <row r="881" spans="5:5" x14ac:dyDescent="0.25">
      <c r="E881" s="50"/>
    </row>
    <row r="882" spans="5:5" x14ac:dyDescent="0.25">
      <c r="E882" s="50"/>
    </row>
    <row r="883" spans="5:5" x14ac:dyDescent="0.25">
      <c r="E883" s="50"/>
    </row>
    <row r="884" spans="5:5" x14ac:dyDescent="0.25">
      <c r="E884" s="50"/>
    </row>
    <row r="885" spans="5:5" x14ac:dyDescent="0.25">
      <c r="E885" s="50"/>
    </row>
    <row r="886" spans="5:5" x14ac:dyDescent="0.25">
      <c r="E886" s="50"/>
    </row>
    <row r="887" spans="5:5" x14ac:dyDescent="0.25">
      <c r="E887" s="50"/>
    </row>
    <row r="888" spans="5:5" x14ac:dyDescent="0.25">
      <c r="E888" s="50"/>
    </row>
    <row r="889" spans="5:5" x14ac:dyDescent="0.25">
      <c r="E889" s="50"/>
    </row>
    <row r="890" spans="5:5" x14ac:dyDescent="0.25">
      <c r="E890" s="50"/>
    </row>
    <row r="891" spans="5:5" x14ac:dyDescent="0.25">
      <c r="E891" s="50"/>
    </row>
    <row r="892" spans="5:5" x14ac:dyDescent="0.25">
      <c r="E892" s="50"/>
    </row>
    <row r="893" spans="5:5" x14ac:dyDescent="0.25">
      <c r="E893" s="50"/>
    </row>
    <row r="894" spans="5:5" x14ac:dyDescent="0.25">
      <c r="E894" s="50"/>
    </row>
    <row r="895" spans="5:5" x14ac:dyDescent="0.25">
      <c r="E895" s="50"/>
    </row>
    <row r="896" spans="5:5" x14ac:dyDescent="0.25">
      <c r="E896" s="50"/>
    </row>
    <row r="897" spans="5:5" x14ac:dyDescent="0.25">
      <c r="E897" s="50"/>
    </row>
    <row r="898" spans="5:5" x14ac:dyDescent="0.25">
      <c r="E898" s="50"/>
    </row>
    <row r="899" spans="5:5" x14ac:dyDescent="0.25">
      <c r="E899" s="50"/>
    </row>
    <row r="900" spans="5:5" x14ac:dyDescent="0.25">
      <c r="E900" s="50"/>
    </row>
    <row r="901" spans="5:5" x14ac:dyDescent="0.25">
      <c r="E901" s="50"/>
    </row>
    <row r="902" spans="5:5" x14ac:dyDescent="0.25">
      <c r="E902" s="50"/>
    </row>
    <row r="903" spans="5:5" x14ac:dyDescent="0.25">
      <c r="E903" s="50"/>
    </row>
    <row r="904" spans="5:5" x14ac:dyDescent="0.25">
      <c r="E904" s="50"/>
    </row>
    <row r="905" spans="5:5" x14ac:dyDescent="0.25">
      <c r="E905" s="50"/>
    </row>
    <row r="906" spans="5:5" x14ac:dyDescent="0.25">
      <c r="E906" s="50"/>
    </row>
    <row r="907" spans="5:5" x14ac:dyDescent="0.25">
      <c r="E907" s="50"/>
    </row>
    <row r="908" spans="5:5" x14ac:dyDescent="0.25">
      <c r="E908" s="50"/>
    </row>
    <row r="909" spans="5:5" x14ac:dyDescent="0.25">
      <c r="E909" s="50"/>
    </row>
    <row r="910" spans="5:5" x14ac:dyDescent="0.25">
      <c r="E910" s="50"/>
    </row>
    <row r="911" spans="5:5" x14ac:dyDescent="0.25">
      <c r="E911" s="50"/>
    </row>
    <row r="912" spans="5:5" x14ac:dyDescent="0.25">
      <c r="E912" s="50"/>
    </row>
    <row r="913" spans="5:5" x14ac:dyDescent="0.25">
      <c r="E913" s="50"/>
    </row>
    <row r="914" spans="5:5" x14ac:dyDescent="0.25">
      <c r="E914" s="50"/>
    </row>
    <row r="915" spans="5:5" x14ac:dyDescent="0.25">
      <c r="E915" s="50"/>
    </row>
    <row r="916" spans="5:5" x14ac:dyDescent="0.25">
      <c r="E916" s="50"/>
    </row>
    <row r="917" spans="5:5" x14ac:dyDescent="0.25">
      <c r="E917" s="50"/>
    </row>
    <row r="918" spans="5:5" x14ac:dyDescent="0.25">
      <c r="E918" s="50"/>
    </row>
    <row r="919" spans="5:5" x14ac:dyDescent="0.25">
      <c r="E919" s="50"/>
    </row>
    <row r="920" spans="5:5" x14ac:dyDescent="0.25">
      <c r="E920" s="50"/>
    </row>
    <row r="921" spans="5:5" x14ac:dyDescent="0.25">
      <c r="E921" s="50"/>
    </row>
    <row r="922" spans="5:5" x14ac:dyDescent="0.25">
      <c r="E922" s="50"/>
    </row>
    <row r="923" spans="5:5" x14ac:dyDescent="0.25">
      <c r="E923" s="50"/>
    </row>
    <row r="924" spans="5:5" x14ac:dyDescent="0.25">
      <c r="E924" s="50"/>
    </row>
    <row r="925" spans="5:5" x14ac:dyDescent="0.25">
      <c r="E925" s="50"/>
    </row>
    <row r="926" spans="5:5" x14ac:dyDescent="0.25">
      <c r="E926" s="50"/>
    </row>
    <row r="927" spans="5:5" x14ac:dyDescent="0.25">
      <c r="E927" s="50"/>
    </row>
    <row r="928" spans="5:5" x14ac:dyDescent="0.25">
      <c r="E928" s="50"/>
    </row>
    <row r="929" spans="5:5" x14ac:dyDescent="0.25">
      <c r="E929" s="50"/>
    </row>
    <row r="930" spans="5:5" x14ac:dyDescent="0.25">
      <c r="E930" s="50"/>
    </row>
    <row r="931" spans="5:5" x14ac:dyDescent="0.25">
      <c r="E931" s="50"/>
    </row>
    <row r="932" spans="5:5" x14ac:dyDescent="0.25">
      <c r="E932" s="50"/>
    </row>
    <row r="933" spans="5:5" x14ac:dyDescent="0.25">
      <c r="E933" s="50"/>
    </row>
    <row r="934" spans="5:5" x14ac:dyDescent="0.25">
      <c r="E934" s="50"/>
    </row>
    <row r="935" spans="5:5" x14ac:dyDescent="0.25">
      <c r="E935" s="50"/>
    </row>
    <row r="936" spans="5:5" x14ac:dyDescent="0.25">
      <c r="E936" s="50"/>
    </row>
    <row r="937" spans="5:5" x14ac:dyDescent="0.25">
      <c r="E937" s="50"/>
    </row>
    <row r="938" spans="5:5" x14ac:dyDescent="0.25">
      <c r="E938" s="50"/>
    </row>
    <row r="939" spans="5:5" x14ac:dyDescent="0.25">
      <c r="E939" s="50"/>
    </row>
    <row r="940" spans="5:5" x14ac:dyDescent="0.25">
      <c r="E940" s="50"/>
    </row>
    <row r="941" spans="5:5" x14ac:dyDescent="0.25">
      <c r="E941" s="50"/>
    </row>
    <row r="942" spans="5:5" x14ac:dyDescent="0.25">
      <c r="E942" s="50"/>
    </row>
    <row r="943" spans="5:5" x14ac:dyDescent="0.25">
      <c r="E943" s="50"/>
    </row>
    <row r="944" spans="5:5" x14ac:dyDescent="0.25">
      <c r="E944" s="50"/>
    </row>
    <row r="945" spans="5:5" x14ac:dyDescent="0.25">
      <c r="E945" s="50"/>
    </row>
    <row r="946" spans="5:5" x14ac:dyDescent="0.25">
      <c r="E946" s="50"/>
    </row>
    <row r="947" spans="5:5" x14ac:dyDescent="0.25">
      <c r="E947" s="50"/>
    </row>
    <row r="948" spans="5:5" x14ac:dyDescent="0.25">
      <c r="E948" s="50"/>
    </row>
    <row r="949" spans="5:5" x14ac:dyDescent="0.25">
      <c r="E949" s="50"/>
    </row>
    <row r="950" spans="5:5" x14ac:dyDescent="0.25">
      <c r="E950" s="50"/>
    </row>
    <row r="951" spans="5:5" x14ac:dyDescent="0.25">
      <c r="E951" s="50"/>
    </row>
    <row r="952" spans="5:5" x14ac:dyDescent="0.25">
      <c r="E952" s="50"/>
    </row>
    <row r="953" spans="5:5" x14ac:dyDescent="0.25">
      <c r="E953" s="50"/>
    </row>
    <row r="954" spans="5:5" x14ac:dyDescent="0.25">
      <c r="E954" s="50"/>
    </row>
    <row r="955" spans="5:5" x14ac:dyDescent="0.25">
      <c r="E955" s="50"/>
    </row>
    <row r="956" spans="5:5" x14ac:dyDescent="0.25">
      <c r="E956" s="50"/>
    </row>
    <row r="957" spans="5:5" x14ac:dyDescent="0.25">
      <c r="E957" s="50"/>
    </row>
    <row r="958" spans="5:5" x14ac:dyDescent="0.25">
      <c r="E958" s="50"/>
    </row>
    <row r="959" spans="5:5" x14ac:dyDescent="0.25">
      <c r="E959" s="50"/>
    </row>
    <row r="960" spans="5:5" x14ac:dyDescent="0.25">
      <c r="E960" s="50"/>
    </row>
    <row r="961" spans="5:5" x14ac:dyDescent="0.25">
      <c r="E961" s="50"/>
    </row>
    <row r="962" spans="5:5" x14ac:dyDescent="0.25">
      <c r="E962" s="50"/>
    </row>
    <row r="963" spans="5:5" x14ac:dyDescent="0.25">
      <c r="E963" s="50"/>
    </row>
    <row r="964" spans="5:5" x14ac:dyDescent="0.25">
      <c r="E964" s="50"/>
    </row>
    <row r="965" spans="5:5" x14ac:dyDescent="0.25">
      <c r="E965" s="50"/>
    </row>
    <row r="966" spans="5:5" x14ac:dyDescent="0.25">
      <c r="E966" s="50"/>
    </row>
    <row r="967" spans="5:5" x14ac:dyDescent="0.25">
      <c r="E967" s="50"/>
    </row>
    <row r="968" spans="5:5" x14ac:dyDescent="0.25">
      <c r="E968" s="50"/>
    </row>
    <row r="969" spans="5:5" x14ac:dyDescent="0.25">
      <c r="E969" s="50"/>
    </row>
    <row r="970" spans="5:5" x14ac:dyDescent="0.25">
      <c r="E970" s="50"/>
    </row>
    <row r="971" spans="5:5" x14ac:dyDescent="0.25">
      <c r="E971" s="50"/>
    </row>
    <row r="972" spans="5:5" x14ac:dyDescent="0.25">
      <c r="E972" s="50"/>
    </row>
    <row r="973" spans="5:5" x14ac:dyDescent="0.25">
      <c r="E973" s="50"/>
    </row>
    <row r="974" spans="5:5" x14ac:dyDescent="0.25">
      <c r="E974" s="50"/>
    </row>
    <row r="975" spans="5:5" x14ac:dyDescent="0.25">
      <c r="E975" s="50"/>
    </row>
    <row r="976" spans="5:5" x14ac:dyDescent="0.25">
      <c r="E976" s="50"/>
    </row>
    <row r="977" spans="5:5" x14ac:dyDescent="0.25">
      <c r="E977" s="50"/>
    </row>
    <row r="978" spans="5:5" x14ac:dyDescent="0.25">
      <c r="E978" s="50"/>
    </row>
    <row r="979" spans="5:5" x14ac:dyDescent="0.25">
      <c r="E979" s="50"/>
    </row>
    <row r="980" spans="5:5" x14ac:dyDescent="0.25">
      <c r="E980" s="50"/>
    </row>
    <row r="981" spans="5:5" x14ac:dyDescent="0.25">
      <c r="E981" s="50"/>
    </row>
    <row r="982" spans="5:5" x14ac:dyDescent="0.25">
      <c r="E982" s="50"/>
    </row>
    <row r="983" spans="5:5" x14ac:dyDescent="0.25">
      <c r="E983" s="50"/>
    </row>
    <row r="984" spans="5:5" x14ac:dyDescent="0.25">
      <c r="E984" s="50"/>
    </row>
    <row r="985" spans="5:5" x14ac:dyDescent="0.25">
      <c r="E985" s="50"/>
    </row>
    <row r="986" spans="5:5" x14ac:dyDescent="0.25">
      <c r="E986" s="50"/>
    </row>
    <row r="987" spans="5:5" x14ac:dyDescent="0.25">
      <c r="E987" s="50"/>
    </row>
    <row r="988" spans="5:5" x14ac:dyDescent="0.25">
      <c r="E988" s="50"/>
    </row>
    <row r="989" spans="5:5" x14ac:dyDescent="0.25">
      <c r="E989" s="50"/>
    </row>
    <row r="990" spans="5:5" x14ac:dyDescent="0.25">
      <c r="E990" s="50"/>
    </row>
    <row r="991" spans="5:5" x14ac:dyDescent="0.25">
      <c r="E991" s="50"/>
    </row>
    <row r="992" spans="5:5" x14ac:dyDescent="0.25">
      <c r="E992" s="50"/>
    </row>
    <row r="993" spans="5:5" x14ac:dyDescent="0.25">
      <c r="E993" s="50"/>
    </row>
    <row r="994" spans="5:5" x14ac:dyDescent="0.25">
      <c r="E994" s="50"/>
    </row>
    <row r="995" spans="5:5" x14ac:dyDescent="0.25">
      <c r="E995" s="50"/>
    </row>
  </sheetData>
  <mergeCells count="32">
    <mergeCell ref="F58:F62"/>
    <mergeCell ref="F63:F67"/>
    <mergeCell ref="F103:F107"/>
    <mergeCell ref="F108:F112"/>
    <mergeCell ref="F113:F117"/>
    <mergeCell ref="F68:F72"/>
    <mergeCell ref="F73:F77"/>
    <mergeCell ref="F78:F82"/>
    <mergeCell ref="F83:F87"/>
    <mergeCell ref="F88:F92"/>
    <mergeCell ref="F93:F97"/>
    <mergeCell ref="F98:F102"/>
    <mergeCell ref="F33:F37"/>
    <mergeCell ref="F38:F42"/>
    <mergeCell ref="F43:F47"/>
    <mergeCell ref="F48:F52"/>
    <mergeCell ref="F53:F57"/>
    <mergeCell ref="F8:F12"/>
    <mergeCell ref="F13:F17"/>
    <mergeCell ref="F18:F22"/>
    <mergeCell ref="F23:F27"/>
    <mergeCell ref="F28:F32"/>
    <mergeCell ref="A5:F5"/>
    <mergeCell ref="A6:A7"/>
    <mergeCell ref="F6:F7"/>
    <mergeCell ref="B6:B7"/>
    <mergeCell ref="C6:E6"/>
    <mergeCell ref="A1:B1"/>
    <mergeCell ref="C1:F1"/>
    <mergeCell ref="A2:B2"/>
    <mergeCell ref="C2:F2"/>
    <mergeCell ref="A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opLeftCell="F1" workbookViewId="0">
      <pane ySplit="9" topLeftCell="A10" activePane="bottomLeft" state="frozen"/>
      <selection pane="bottomLeft" activeCell="M10" sqref="M10"/>
    </sheetView>
  </sheetViews>
  <sheetFormatPr defaultColWidth="14.42578125" defaultRowHeight="15" customHeight="1" x14ac:dyDescent="0.25"/>
  <cols>
    <col min="1" max="1" width="6" customWidth="1"/>
    <col min="2" max="2" width="32.85546875" customWidth="1"/>
    <col min="3" max="4" width="12" customWidth="1"/>
    <col min="5" max="5" width="24.42578125" customWidth="1"/>
    <col min="6" max="6" width="32" customWidth="1"/>
    <col min="7" max="9" width="11.7109375" customWidth="1"/>
    <col min="10" max="11" width="8" customWidth="1"/>
    <col min="12" max="12" width="30.140625" customWidth="1"/>
    <col min="13" max="26" width="8.7109375" customWidth="1"/>
  </cols>
  <sheetData>
    <row r="1" spans="1:26" ht="16.5" customHeight="1" x14ac:dyDescent="0.25">
      <c r="A1" s="87" t="s">
        <v>0</v>
      </c>
      <c r="B1" s="62"/>
      <c r="C1" s="62"/>
      <c r="D1" s="2"/>
      <c r="E1" s="2"/>
      <c r="F1" s="2"/>
      <c r="G1" s="87" t="s">
        <v>2</v>
      </c>
      <c r="H1" s="62"/>
      <c r="I1" s="62"/>
      <c r="J1" s="62"/>
      <c r="K1" s="62"/>
      <c r="L1" s="2"/>
      <c r="M1" s="2"/>
      <c r="N1" s="2"/>
      <c r="O1" s="2"/>
      <c r="P1" s="2"/>
      <c r="Q1" s="2"/>
      <c r="R1" s="2"/>
      <c r="S1" s="2"/>
      <c r="T1" s="2"/>
      <c r="U1" s="2"/>
      <c r="V1" s="4"/>
      <c r="W1" s="4"/>
      <c r="X1" s="4"/>
      <c r="Y1" s="4"/>
      <c r="Z1" s="4"/>
    </row>
    <row r="2" spans="1:26" ht="16.5" customHeight="1" x14ac:dyDescent="0.3">
      <c r="A2" s="88" t="s">
        <v>3</v>
      </c>
      <c r="B2" s="62"/>
      <c r="C2" s="62"/>
      <c r="D2" s="2"/>
      <c r="E2" s="2"/>
      <c r="F2" s="2"/>
      <c r="G2" s="88" t="s">
        <v>4</v>
      </c>
      <c r="H2" s="62"/>
      <c r="I2" s="62"/>
      <c r="J2" s="62"/>
      <c r="K2" s="62"/>
      <c r="L2" s="2"/>
      <c r="M2" s="2"/>
      <c r="N2" s="2"/>
      <c r="O2" s="2"/>
      <c r="P2" s="2"/>
      <c r="Q2" s="2"/>
      <c r="R2" s="2"/>
      <c r="S2" s="2"/>
      <c r="T2" s="2"/>
      <c r="U2" s="2"/>
      <c r="V2" s="4"/>
      <c r="W2" s="4"/>
      <c r="X2" s="4"/>
      <c r="Y2" s="4"/>
      <c r="Z2" s="4"/>
    </row>
    <row r="3" spans="1:26" ht="16.5" customHeight="1" x14ac:dyDescent="0.25">
      <c r="A3" s="89" t="s">
        <v>5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2"/>
      <c r="N3" s="2"/>
      <c r="O3" s="2"/>
      <c r="P3" s="2"/>
      <c r="Q3" s="2"/>
      <c r="R3" s="2"/>
      <c r="S3" s="2"/>
      <c r="T3" s="2"/>
      <c r="U3" s="2"/>
      <c r="V3" s="4"/>
      <c r="W3" s="4"/>
      <c r="X3" s="4"/>
      <c r="Y3" s="4"/>
      <c r="Z3" s="4"/>
    </row>
    <row r="4" spans="1:26" ht="6.75" customHeight="1" x14ac:dyDescent="0.2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2"/>
      <c r="N4" s="2"/>
      <c r="O4" s="2"/>
      <c r="P4" s="2"/>
      <c r="Q4" s="2"/>
      <c r="R4" s="2"/>
      <c r="S4" s="2"/>
      <c r="T4" s="2"/>
      <c r="U4" s="2"/>
      <c r="V4" s="4"/>
      <c r="W4" s="4"/>
      <c r="X4" s="4"/>
      <c r="Y4" s="4"/>
      <c r="Z4" s="4"/>
    </row>
    <row r="5" spans="1:26" ht="38.25" customHeight="1" x14ac:dyDescent="0.3">
      <c r="A5" s="88" t="s">
        <v>11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</row>
    <row r="6" spans="1:26" ht="27" customHeight="1" x14ac:dyDescent="0.3">
      <c r="A6" s="90" t="s">
        <v>13</v>
      </c>
      <c r="B6" s="62"/>
      <c r="C6" s="90" t="s">
        <v>14</v>
      </c>
      <c r="D6" s="62"/>
      <c r="E6" s="62"/>
      <c r="F6" s="90" t="s">
        <v>15</v>
      </c>
      <c r="G6" s="62"/>
      <c r="H6" s="90" t="s">
        <v>17</v>
      </c>
      <c r="I6" s="62"/>
      <c r="J6" s="62"/>
      <c r="K6" s="62"/>
      <c r="L6" s="6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8"/>
      <c r="Y6" s="8"/>
      <c r="Z6" s="8"/>
    </row>
    <row r="7" spans="1:26" ht="27" customHeight="1" x14ac:dyDescent="0.3">
      <c r="A7" s="93" t="s">
        <v>21</v>
      </c>
      <c r="B7" s="94"/>
      <c r="C7" s="94"/>
      <c r="D7" s="94"/>
      <c r="E7" s="11"/>
      <c r="F7" s="11"/>
      <c r="G7" s="11"/>
      <c r="H7" s="95" t="s">
        <v>24</v>
      </c>
      <c r="I7" s="94"/>
      <c r="J7" s="94"/>
      <c r="K7" s="94"/>
      <c r="L7" s="94"/>
      <c r="M7" s="7"/>
      <c r="N7" s="7"/>
      <c r="O7" s="7"/>
      <c r="P7" s="7"/>
      <c r="Q7" s="7"/>
      <c r="R7" s="7"/>
      <c r="S7" s="7"/>
      <c r="T7" s="7"/>
      <c r="U7" s="7"/>
      <c r="V7" s="8"/>
      <c r="W7" s="8"/>
      <c r="X7" s="8"/>
      <c r="Y7" s="8"/>
      <c r="Z7" s="8"/>
    </row>
    <row r="8" spans="1:26" ht="24" customHeight="1" x14ac:dyDescent="0.25">
      <c r="A8" s="96" t="s">
        <v>7</v>
      </c>
      <c r="B8" s="96" t="s">
        <v>32</v>
      </c>
      <c r="C8" s="92" t="s">
        <v>33</v>
      </c>
      <c r="D8" s="69"/>
      <c r="E8" s="91" t="s">
        <v>34</v>
      </c>
      <c r="F8" s="91" t="s">
        <v>36</v>
      </c>
      <c r="G8" s="92" t="s">
        <v>38</v>
      </c>
      <c r="H8" s="68"/>
      <c r="I8" s="69"/>
      <c r="J8" s="92" t="s">
        <v>41</v>
      </c>
      <c r="K8" s="69"/>
      <c r="L8" s="96" t="s">
        <v>43</v>
      </c>
      <c r="M8" s="2"/>
      <c r="N8" s="2"/>
      <c r="O8" s="2"/>
      <c r="P8" s="2"/>
      <c r="Q8" s="2"/>
      <c r="R8" s="2"/>
      <c r="S8" s="2"/>
      <c r="T8" s="2"/>
      <c r="U8" s="2"/>
      <c r="V8" s="4"/>
      <c r="W8" s="4"/>
      <c r="X8" s="4"/>
      <c r="Y8" s="4"/>
      <c r="Z8" s="4"/>
    </row>
    <row r="9" spans="1:26" ht="21.75" customHeight="1" x14ac:dyDescent="0.25">
      <c r="A9" s="65"/>
      <c r="B9" s="65"/>
      <c r="C9" s="20" t="s">
        <v>45</v>
      </c>
      <c r="D9" s="20" t="s">
        <v>46</v>
      </c>
      <c r="E9" s="65"/>
      <c r="F9" s="65"/>
      <c r="G9" s="20" t="s">
        <v>49</v>
      </c>
      <c r="H9" s="20" t="s">
        <v>51</v>
      </c>
      <c r="I9" s="20" t="s">
        <v>53</v>
      </c>
      <c r="J9" s="20" t="s">
        <v>54</v>
      </c>
      <c r="K9" s="20" t="s">
        <v>57</v>
      </c>
      <c r="L9" s="65"/>
      <c r="M9" s="2"/>
      <c r="N9" s="2"/>
      <c r="O9" s="2"/>
      <c r="P9" s="2"/>
      <c r="Q9" s="2"/>
      <c r="R9" s="2"/>
      <c r="S9" s="2"/>
      <c r="T9" s="2"/>
      <c r="U9" s="2"/>
      <c r="V9" s="4"/>
      <c r="W9" s="4"/>
      <c r="X9" s="4"/>
      <c r="Y9" s="4"/>
      <c r="Z9" s="4"/>
    </row>
    <row r="10" spans="1:26" ht="81" customHeight="1" x14ac:dyDescent="0.25">
      <c r="A10" s="22">
        <v>1</v>
      </c>
      <c r="B10" s="23"/>
      <c r="C10" s="22"/>
      <c r="D10" s="22"/>
      <c r="E10" s="22"/>
      <c r="F10" s="22"/>
      <c r="G10" s="22"/>
      <c r="H10" s="22"/>
      <c r="I10" s="22"/>
      <c r="J10" s="25"/>
      <c r="K10" s="25"/>
      <c r="L10" s="23" t="s">
        <v>66</v>
      </c>
      <c r="M10" s="2"/>
      <c r="N10" s="2"/>
      <c r="O10" s="2"/>
      <c r="P10" s="2"/>
      <c r="Q10" s="2"/>
      <c r="R10" s="2"/>
      <c r="S10" s="2"/>
      <c r="T10" s="2"/>
      <c r="U10" s="2"/>
      <c r="V10" s="4"/>
      <c r="W10" s="4"/>
      <c r="X10" s="4"/>
      <c r="Y10" s="4"/>
      <c r="Z10" s="4"/>
    </row>
    <row r="11" spans="1:26" ht="81" customHeight="1" x14ac:dyDescent="0.25">
      <c r="A11" s="22">
        <v>2</v>
      </c>
      <c r="B11" s="23"/>
      <c r="C11" s="22"/>
      <c r="D11" s="22"/>
      <c r="E11" s="22"/>
      <c r="F11" s="22"/>
      <c r="G11" s="22"/>
      <c r="H11" s="22"/>
      <c r="I11" s="22"/>
      <c r="J11" s="25"/>
      <c r="K11" s="25"/>
      <c r="L11" s="23" t="s">
        <v>66</v>
      </c>
      <c r="M11" s="2"/>
      <c r="N11" s="2"/>
      <c r="O11" s="2"/>
      <c r="P11" s="2"/>
      <c r="Q11" s="2"/>
      <c r="R11" s="2"/>
      <c r="S11" s="2"/>
      <c r="T11" s="2"/>
      <c r="U11" s="2"/>
      <c r="V11" s="4"/>
      <c r="W11" s="4"/>
      <c r="X11" s="4"/>
      <c r="Y11" s="4"/>
      <c r="Z11" s="4"/>
    </row>
    <row r="12" spans="1:26" ht="81" customHeight="1" x14ac:dyDescent="0.25">
      <c r="A12" s="22">
        <v>3</v>
      </c>
      <c r="B12" s="23"/>
      <c r="C12" s="22"/>
      <c r="D12" s="22"/>
      <c r="E12" s="22"/>
      <c r="F12" s="23"/>
      <c r="G12" s="22"/>
      <c r="H12" s="22"/>
      <c r="I12" s="22"/>
      <c r="J12" s="27"/>
      <c r="K12" s="27"/>
      <c r="L12" s="23" t="s">
        <v>66</v>
      </c>
      <c r="M12" s="2"/>
      <c r="N12" s="2"/>
      <c r="O12" s="2"/>
      <c r="P12" s="2"/>
      <c r="Q12" s="2"/>
      <c r="R12" s="2"/>
      <c r="S12" s="2"/>
      <c r="T12" s="2"/>
      <c r="U12" s="2"/>
      <c r="V12" s="4"/>
      <c r="W12" s="4"/>
      <c r="X12" s="4"/>
      <c r="Y12" s="4"/>
      <c r="Z12" s="4"/>
    </row>
    <row r="13" spans="1:26" ht="81" customHeight="1" x14ac:dyDescent="0.25">
      <c r="A13" s="22">
        <v>4</v>
      </c>
      <c r="B13" s="23"/>
      <c r="C13" s="22"/>
      <c r="D13" s="22"/>
      <c r="E13" s="22"/>
      <c r="F13" s="23"/>
      <c r="G13" s="22"/>
      <c r="H13" s="22"/>
      <c r="I13" s="22"/>
      <c r="J13" s="27"/>
      <c r="K13" s="27"/>
      <c r="L13" s="23" t="s">
        <v>66</v>
      </c>
      <c r="M13" s="2"/>
      <c r="N13" s="2"/>
      <c r="O13" s="2"/>
      <c r="P13" s="2"/>
      <c r="Q13" s="2"/>
      <c r="R13" s="2"/>
      <c r="S13" s="2"/>
      <c r="T13" s="2"/>
      <c r="U13" s="2"/>
      <c r="V13" s="4"/>
      <c r="W13" s="4"/>
      <c r="X13" s="4"/>
      <c r="Y13" s="4"/>
      <c r="Z13" s="4"/>
    </row>
    <row r="14" spans="1:26" ht="81" customHeight="1" x14ac:dyDescent="0.25">
      <c r="A14" s="22">
        <v>5</v>
      </c>
      <c r="B14" s="23"/>
      <c r="C14" s="22"/>
      <c r="D14" s="22"/>
      <c r="E14" s="22"/>
      <c r="F14" s="23"/>
      <c r="G14" s="22"/>
      <c r="H14" s="22"/>
      <c r="I14" s="22"/>
      <c r="J14" s="27"/>
      <c r="K14" s="27"/>
      <c r="L14" s="23" t="s">
        <v>66</v>
      </c>
      <c r="M14" s="2"/>
      <c r="N14" s="2"/>
      <c r="O14" s="2"/>
      <c r="P14" s="2"/>
      <c r="Q14" s="2"/>
      <c r="R14" s="2"/>
      <c r="S14" s="2"/>
      <c r="T14" s="2"/>
      <c r="U14" s="2"/>
      <c r="V14" s="4"/>
      <c r="W14" s="4"/>
      <c r="X14" s="4"/>
      <c r="Y14" s="4"/>
      <c r="Z14" s="4"/>
    </row>
    <row r="15" spans="1:26" ht="81" customHeight="1" x14ac:dyDescent="0.25">
      <c r="A15" s="22">
        <v>6</v>
      </c>
      <c r="B15" s="23"/>
      <c r="C15" s="22"/>
      <c r="D15" s="22"/>
      <c r="E15" s="22"/>
      <c r="F15" s="23"/>
      <c r="G15" s="22"/>
      <c r="H15" s="22"/>
      <c r="I15" s="22"/>
      <c r="J15" s="27"/>
      <c r="K15" s="27"/>
      <c r="L15" s="23" t="s">
        <v>66</v>
      </c>
      <c r="M15" s="2"/>
      <c r="N15" s="2"/>
      <c r="O15" s="2"/>
      <c r="P15" s="2"/>
      <c r="Q15" s="2"/>
      <c r="R15" s="2"/>
      <c r="S15" s="2"/>
      <c r="T15" s="2"/>
      <c r="U15" s="2"/>
      <c r="V15" s="4"/>
      <c r="W15" s="4"/>
      <c r="X15" s="4"/>
      <c r="Y15" s="4"/>
      <c r="Z15" s="4"/>
    </row>
    <row r="16" spans="1:26" ht="81" customHeight="1" x14ac:dyDescent="0.25">
      <c r="A16" s="22">
        <v>7</v>
      </c>
      <c r="B16" s="23"/>
      <c r="C16" s="22"/>
      <c r="D16" s="22"/>
      <c r="E16" s="22"/>
      <c r="F16" s="23"/>
      <c r="G16" s="22"/>
      <c r="H16" s="22"/>
      <c r="I16" s="22"/>
      <c r="J16" s="27"/>
      <c r="K16" s="27"/>
      <c r="L16" s="23" t="s">
        <v>66</v>
      </c>
      <c r="M16" s="2"/>
      <c r="N16" s="2"/>
      <c r="O16" s="2"/>
      <c r="P16" s="2"/>
      <c r="Q16" s="2"/>
      <c r="R16" s="2"/>
      <c r="S16" s="2"/>
      <c r="T16" s="2"/>
      <c r="U16" s="2"/>
      <c r="V16" s="4"/>
      <c r="W16" s="4"/>
      <c r="X16" s="4"/>
      <c r="Y16" s="4"/>
      <c r="Z16" s="4"/>
    </row>
    <row r="17" spans="1:26" ht="81" customHeight="1" x14ac:dyDescent="0.25">
      <c r="A17" s="22">
        <v>8</v>
      </c>
      <c r="B17" s="23"/>
      <c r="C17" s="22"/>
      <c r="D17" s="22"/>
      <c r="E17" s="22"/>
      <c r="F17" s="23"/>
      <c r="G17" s="22"/>
      <c r="H17" s="22"/>
      <c r="I17" s="22"/>
      <c r="J17" s="27"/>
      <c r="K17" s="27"/>
      <c r="L17" s="23" t="s">
        <v>66</v>
      </c>
      <c r="M17" s="2"/>
      <c r="N17" s="2"/>
      <c r="O17" s="2"/>
      <c r="P17" s="2"/>
      <c r="Q17" s="2"/>
      <c r="R17" s="2"/>
      <c r="S17" s="2"/>
      <c r="T17" s="2"/>
      <c r="U17" s="2"/>
      <c r="V17" s="4"/>
      <c r="W17" s="4"/>
      <c r="X17" s="4"/>
      <c r="Y17" s="4"/>
      <c r="Z17" s="4"/>
    </row>
    <row r="18" spans="1:26" ht="81" customHeight="1" x14ac:dyDescent="0.25">
      <c r="A18" s="22">
        <v>9</v>
      </c>
      <c r="B18" s="23"/>
      <c r="C18" s="22"/>
      <c r="D18" s="22"/>
      <c r="E18" s="22"/>
      <c r="F18" s="23"/>
      <c r="G18" s="22"/>
      <c r="H18" s="22"/>
      <c r="I18" s="22"/>
      <c r="J18" s="27"/>
      <c r="K18" s="27"/>
      <c r="L18" s="23" t="s">
        <v>66</v>
      </c>
      <c r="M18" s="2"/>
      <c r="N18" s="2"/>
      <c r="O18" s="2"/>
      <c r="P18" s="2"/>
      <c r="Q18" s="2"/>
      <c r="R18" s="2"/>
      <c r="S18" s="2"/>
      <c r="T18" s="2"/>
      <c r="U18" s="2"/>
      <c r="V18" s="4"/>
      <c r="W18" s="4"/>
      <c r="X18" s="4"/>
      <c r="Y18" s="4"/>
      <c r="Z18" s="4"/>
    </row>
    <row r="19" spans="1:26" ht="81" customHeight="1" x14ac:dyDescent="0.25">
      <c r="A19" s="22">
        <v>10</v>
      </c>
      <c r="B19" s="23"/>
      <c r="C19" s="22"/>
      <c r="D19" s="22"/>
      <c r="E19" s="22"/>
      <c r="F19" s="23"/>
      <c r="G19" s="22"/>
      <c r="H19" s="22"/>
      <c r="I19" s="22"/>
      <c r="J19" s="27"/>
      <c r="K19" s="27"/>
      <c r="L19" s="23" t="s">
        <v>66</v>
      </c>
      <c r="M19" s="2"/>
      <c r="N19" s="2"/>
      <c r="O19" s="2"/>
      <c r="P19" s="2"/>
      <c r="Q19" s="2"/>
      <c r="R19" s="2"/>
      <c r="S19" s="2"/>
      <c r="T19" s="2"/>
      <c r="U19" s="2"/>
      <c r="V19" s="4"/>
      <c r="W19" s="4"/>
      <c r="X19" s="4"/>
      <c r="Y19" s="4"/>
      <c r="Z19" s="4"/>
    </row>
    <row r="20" spans="1:26" ht="81" customHeight="1" x14ac:dyDescent="0.25">
      <c r="A20" s="22">
        <v>11</v>
      </c>
      <c r="B20" s="23"/>
      <c r="C20" s="22"/>
      <c r="D20" s="22"/>
      <c r="E20" s="22"/>
      <c r="F20" s="23"/>
      <c r="G20" s="22"/>
      <c r="H20" s="22"/>
      <c r="I20" s="22"/>
      <c r="J20" s="27"/>
      <c r="K20" s="27"/>
      <c r="L20" s="23" t="s">
        <v>66</v>
      </c>
      <c r="M20" s="2"/>
      <c r="N20" s="2"/>
      <c r="O20" s="2"/>
      <c r="P20" s="2"/>
      <c r="Q20" s="2"/>
      <c r="R20" s="2"/>
      <c r="S20" s="2"/>
      <c r="T20" s="2"/>
      <c r="U20" s="2"/>
      <c r="V20" s="4"/>
      <c r="W20" s="4"/>
      <c r="X20" s="4"/>
      <c r="Y20" s="4"/>
      <c r="Z20" s="4"/>
    </row>
    <row r="21" spans="1:26" ht="81" customHeight="1" x14ac:dyDescent="0.25">
      <c r="A21" s="22">
        <v>12</v>
      </c>
      <c r="B21" s="23"/>
      <c r="C21" s="22"/>
      <c r="D21" s="22"/>
      <c r="E21" s="22"/>
      <c r="F21" s="23"/>
      <c r="G21" s="22"/>
      <c r="H21" s="22"/>
      <c r="I21" s="22"/>
      <c r="J21" s="27"/>
      <c r="K21" s="27"/>
      <c r="L21" s="23" t="s">
        <v>66</v>
      </c>
      <c r="M21" s="2"/>
      <c r="N21" s="2"/>
      <c r="O21" s="2"/>
      <c r="P21" s="2"/>
      <c r="Q21" s="2"/>
      <c r="R21" s="2"/>
      <c r="S21" s="2"/>
      <c r="T21" s="2"/>
      <c r="U21" s="2"/>
      <c r="V21" s="4"/>
      <c r="W21" s="4"/>
      <c r="X21" s="4"/>
      <c r="Y21" s="4"/>
      <c r="Z21" s="4"/>
    </row>
    <row r="22" spans="1:26" ht="81" customHeight="1" x14ac:dyDescent="0.25">
      <c r="A22" s="22">
        <v>13</v>
      </c>
      <c r="B22" s="23"/>
      <c r="C22" s="22"/>
      <c r="D22" s="22"/>
      <c r="E22" s="22"/>
      <c r="F22" s="23"/>
      <c r="G22" s="22"/>
      <c r="H22" s="22"/>
      <c r="I22" s="22"/>
      <c r="J22" s="27"/>
      <c r="K22" s="27"/>
      <c r="L22" s="23" t="s">
        <v>66</v>
      </c>
      <c r="M22" s="2"/>
      <c r="N22" s="2"/>
      <c r="O22" s="2"/>
      <c r="P22" s="2"/>
      <c r="Q22" s="2"/>
      <c r="R22" s="2"/>
      <c r="S22" s="2"/>
      <c r="T22" s="2"/>
      <c r="U22" s="2"/>
      <c r="V22" s="4"/>
      <c r="W22" s="4"/>
      <c r="X22" s="4"/>
      <c r="Y22" s="4"/>
      <c r="Z22" s="4"/>
    </row>
    <row r="23" spans="1:26" ht="81" customHeight="1" x14ac:dyDescent="0.25">
      <c r="A23" s="22">
        <v>14</v>
      </c>
      <c r="B23" s="23"/>
      <c r="C23" s="22"/>
      <c r="D23" s="22"/>
      <c r="E23" s="22"/>
      <c r="F23" s="23"/>
      <c r="G23" s="22"/>
      <c r="H23" s="22"/>
      <c r="I23" s="22"/>
      <c r="J23" s="27"/>
      <c r="K23" s="27"/>
      <c r="L23" s="23" t="s">
        <v>66</v>
      </c>
      <c r="M23" s="2"/>
      <c r="N23" s="2"/>
      <c r="O23" s="2"/>
      <c r="P23" s="2"/>
      <c r="Q23" s="2"/>
      <c r="R23" s="2"/>
      <c r="S23" s="2"/>
      <c r="T23" s="2"/>
      <c r="U23" s="2"/>
      <c r="V23" s="4"/>
      <c r="W23" s="4"/>
      <c r="X23" s="4"/>
      <c r="Y23" s="4"/>
      <c r="Z23" s="4"/>
    </row>
    <row r="24" spans="1:26" ht="81" customHeight="1" x14ac:dyDescent="0.25">
      <c r="A24" s="22">
        <v>15</v>
      </c>
      <c r="B24" s="23"/>
      <c r="C24" s="22"/>
      <c r="D24" s="22"/>
      <c r="E24" s="22"/>
      <c r="F24" s="23"/>
      <c r="G24" s="22"/>
      <c r="H24" s="22"/>
      <c r="I24" s="22"/>
      <c r="J24" s="27"/>
      <c r="K24" s="27"/>
      <c r="L24" s="23" t="s">
        <v>66</v>
      </c>
      <c r="M24" s="2"/>
      <c r="N24" s="2"/>
      <c r="O24" s="2"/>
      <c r="P24" s="2"/>
      <c r="Q24" s="2"/>
      <c r="R24" s="2"/>
      <c r="S24" s="2"/>
      <c r="T24" s="2"/>
      <c r="U24" s="2"/>
      <c r="V24" s="4"/>
      <c r="W24" s="4"/>
      <c r="X24" s="4"/>
      <c r="Y24" s="4"/>
      <c r="Z24" s="4"/>
    </row>
    <row r="25" spans="1:26" ht="81" customHeight="1" x14ac:dyDescent="0.25">
      <c r="A25" s="22">
        <v>16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23" t="s">
        <v>66</v>
      </c>
      <c r="M25" s="2"/>
      <c r="N25" s="2"/>
      <c r="O25" s="2"/>
      <c r="P25" s="2"/>
      <c r="Q25" s="2"/>
      <c r="R25" s="2"/>
      <c r="S25" s="2"/>
      <c r="T25" s="2"/>
      <c r="U25" s="2"/>
      <c r="V25" s="4"/>
      <c r="W25" s="4"/>
      <c r="X25" s="4"/>
      <c r="Y25" s="4"/>
      <c r="Z25" s="4"/>
    </row>
    <row r="26" spans="1:26" ht="81" customHeight="1" x14ac:dyDescent="0.25">
      <c r="A26" s="22">
        <v>17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23" t="s">
        <v>66</v>
      </c>
      <c r="M26" s="2"/>
      <c r="N26" s="2"/>
      <c r="O26" s="2"/>
      <c r="P26" s="2"/>
      <c r="Q26" s="2"/>
      <c r="R26" s="2"/>
      <c r="S26" s="2"/>
      <c r="T26" s="2"/>
      <c r="U26" s="2"/>
      <c r="V26" s="4"/>
      <c r="W26" s="4"/>
      <c r="X26" s="4"/>
      <c r="Y26" s="4"/>
      <c r="Z26" s="4"/>
    </row>
    <row r="27" spans="1:26" ht="81" customHeight="1" x14ac:dyDescent="0.25">
      <c r="A27" s="22">
        <v>18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23" t="s">
        <v>66</v>
      </c>
      <c r="M27" s="2"/>
      <c r="N27" s="2"/>
      <c r="O27" s="2"/>
      <c r="P27" s="2"/>
      <c r="Q27" s="2"/>
      <c r="R27" s="2"/>
      <c r="S27" s="2"/>
      <c r="T27" s="2"/>
      <c r="U27" s="2"/>
      <c r="V27" s="4"/>
      <c r="W27" s="4"/>
      <c r="X27" s="4"/>
      <c r="Y27" s="4"/>
      <c r="Z27" s="4"/>
    </row>
    <row r="28" spans="1:26" ht="81" customHeight="1" x14ac:dyDescent="0.25">
      <c r="A28" s="22">
        <v>19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23" t="s">
        <v>66</v>
      </c>
      <c r="M28" s="2"/>
      <c r="N28" s="2"/>
      <c r="O28" s="2"/>
      <c r="P28" s="2"/>
      <c r="Q28" s="2"/>
      <c r="R28" s="2"/>
      <c r="S28" s="2"/>
      <c r="T28" s="2"/>
      <c r="U28" s="2"/>
      <c r="V28" s="4"/>
      <c r="W28" s="4"/>
      <c r="X28" s="4"/>
      <c r="Y28" s="4"/>
      <c r="Z28" s="4"/>
    </row>
    <row r="29" spans="1:26" ht="81" customHeight="1" x14ac:dyDescent="0.25">
      <c r="A29" s="22">
        <v>20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23" t="s">
        <v>66</v>
      </c>
      <c r="M29" s="2"/>
      <c r="N29" s="2"/>
      <c r="O29" s="2"/>
      <c r="P29" s="2"/>
      <c r="Q29" s="2"/>
      <c r="R29" s="2"/>
      <c r="S29" s="2"/>
      <c r="T29" s="2"/>
      <c r="U29" s="2"/>
      <c r="V29" s="4"/>
      <c r="W29" s="4"/>
      <c r="X29" s="4"/>
      <c r="Y29" s="4"/>
      <c r="Z29" s="4"/>
    </row>
    <row r="30" spans="1:26" ht="81" customHeight="1" x14ac:dyDescent="0.25">
      <c r="A30" s="22">
        <v>21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23" t="s">
        <v>66</v>
      </c>
      <c r="M30" s="2"/>
      <c r="N30" s="2"/>
      <c r="O30" s="2"/>
      <c r="P30" s="2"/>
      <c r="Q30" s="2"/>
      <c r="R30" s="2"/>
      <c r="S30" s="2"/>
      <c r="T30" s="2"/>
      <c r="U30" s="2"/>
      <c r="V30" s="4"/>
      <c r="W30" s="4"/>
      <c r="X30" s="4"/>
      <c r="Y30" s="4"/>
      <c r="Z30" s="4"/>
    </row>
    <row r="31" spans="1:26" ht="81" customHeight="1" x14ac:dyDescent="0.25">
      <c r="A31" s="22">
        <v>22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23" t="s">
        <v>66</v>
      </c>
      <c r="M31" s="2"/>
      <c r="N31" s="2"/>
      <c r="O31" s="2"/>
      <c r="P31" s="2"/>
      <c r="Q31" s="2"/>
      <c r="R31" s="2"/>
      <c r="S31" s="2"/>
      <c r="T31" s="2"/>
      <c r="U31" s="2"/>
      <c r="V31" s="4"/>
      <c r="W31" s="4"/>
      <c r="X31" s="4"/>
      <c r="Y31" s="4"/>
      <c r="Z31" s="4"/>
    </row>
    <row r="32" spans="1:26" ht="81" customHeight="1" x14ac:dyDescent="0.25">
      <c r="A32" s="22">
        <v>23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23" t="s">
        <v>66</v>
      </c>
      <c r="M32" s="2"/>
      <c r="N32" s="2"/>
      <c r="O32" s="2"/>
      <c r="P32" s="2"/>
      <c r="Q32" s="2"/>
      <c r="R32" s="2"/>
      <c r="S32" s="2"/>
      <c r="T32" s="2"/>
      <c r="U32" s="2"/>
      <c r="V32" s="4"/>
      <c r="W32" s="4"/>
      <c r="X32" s="4"/>
      <c r="Y32" s="4"/>
      <c r="Z32" s="4"/>
    </row>
    <row r="33" spans="1:26" ht="81" customHeight="1" x14ac:dyDescent="0.25">
      <c r="A33" s="22">
        <v>24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23" t="s">
        <v>66</v>
      </c>
      <c r="M33" s="2"/>
      <c r="N33" s="2"/>
      <c r="O33" s="2"/>
      <c r="P33" s="2"/>
      <c r="Q33" s="2"/>
      <c r="R33" s="2"/>
      <c r="S33" s="2"/>
      <c r="T33" s="2"/>
      <c r="U33" s="2"/>
      <c r="V33" s="4"/>
      <c r="W33" s="4"/>
      <c r="X33" s="4"/>
      <c r="Y33" s="4"/>
      <c r="Z33" s="4"/>
    </row>
    <row r="34" spans="1:26" ht="81" customHeight="1" x14ac:dyDescent="0.25">
      <c r="A34" s="22">
        <v>25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23" t="s">
        <v>66</v>
      </c>
      <c r="M34" s="2"/>
      <c r="N34" s="2"/>
      <c r="O34" s="2"/>
      <c r="P34" s="2"/>
      <c r="Q34" s="2"/>
      <c r="R34" s="2"/>
      <c r="S34" s="2"/>
      <c r="T34" s="2"/>
      <c r="U34" s="2"/>
      <c r="V34" s="4"/>
      <c r="W34" s="4"/>
      <c r="X34" s="4"/>
      <c r="Y34" s="4"/>
      <c r="Z34" s="4"/>
    </row>
    <row r="35" spans="1:26" ht="81" customHeight="1" x14ac:dyDescent="0.25">
      <c r="A35" s="22">
        <v>26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23" t="s">
        <v>66</v>
      </c>
      <c r="M35" s="2"/>
      <c r="N35" s="2"/>
      <c r="O35" s="2"/>
      <c r="P35" s="2"/>
      <c r="Q35" s="2"/>
      <c r="R35" s="2"/>
      <c r="S35" s="2"/>
      <c r="T35" s="2"/>
      <c r="U35" s="2"/>
      <c r="V35" s="4"/>
      <c r="W35" s="4"/>
      <c r="X35" s="4"/>
      <c r="Y35" s="4"/>
      <c r="Z35" s="4"/>
    </row>
    <row r="36" spans="1:26" ht="81" customHeight="1" x14ac:dyDescent="0.25">
      <c r="A36" s="22">
        <v>27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23" t="s">
        <v>66</v>
      </c>
      <c r="M36" s="2"/>
      <c r="N36" s="2"/>
      <c r="O36" s="2"/>
      <c r="P36" s="2"/>
      <c r="Q36" s="2"/>
      <c r="R36" s="2"/>
      <c r="S36" s="2"/>
      <c r="T36" s="2"/>
      <c r="U36" s="2"/>
      <c r="V36" s="4"/>
      <c r="W36" s="4"/>
      <c r="X36" s="4"/>
      <c r="Y36" s="4"/>
      <c r="Z36" s="4"/>
    </row>
    <row r="37" spans="1:26" ht="81" customHeight="1" x14ac:dyDescent="0.25">
      <c r="A37" s="22">
        <v>28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23" t="s">
        <v>66</v>
      </c>
      <c r="M37" s="2"/>
      <c r="N37" s="2"/>
      <c r="O37" s="2"/>
      <c r="P37" s="2"/>
      <c r="Q37" s="2"/>
      <c r="R37" s="2"/>
      <c r="S37" s="2"/>
      <c r="T37" s="2"/>
      <c r="U37" s="2"/>
      <c r="V37" s="4"/>
      <c r="W37" s="4"/>
      <c r="X37" s="4"/>
      <c r="Y37" s="4"/>
      <c r="Z37" s="4"/>
    </row>
    <row r="38" spans="1:26" ht="81" customHeight="1" x14ac:dyDescent="0.25">
      <c r="A38" s="22">
        <v>29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23" t="s">
        <v>66</v>
      </c>
      <c r="M38" s="2"/>
      <c r="N38" s="2"/>
      <c r="O38" s="2"/>
      <c r="P38" s="2"/>
      <c r="Q38" s="2"/>
      <c r="R38" s="2"/>
      <c r="S38" s="2"/>
      <c r="T38" s="2"/>
      <c r="U38" s="2"/>
      <c r="V38" s="4"/>
      <c r="W38" s="4"/>
      <c r="X38" s="4"/>
      <c r="Y38" s="4"/>
      <c r="Z38" s="4"/>
    </row>
    <row r="39" spans="1:26" ht="81" customHeight="1" x14ac:dyDescent="0.25">
      <c r="A39" s="22">
        <v>30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23" t="s">
        <v>66</v>
      </c>
      <c r="M39" s="2"/>
      <c r="N39" s="2"/>
      <c r="O39" s="2"/>
      <c r="P39" s="2"/>
      <c r="Q39" s="2"/>
      <c r="R39" s="2"/>
      <c r="S39" s="2"/>
      <c r="T39" s="2"/>
      <c r="U39" s="2"/>
      <c r="V39" s="4"/>
      <c r="W39" s="4"/>
      <c r="X39" s="4"/>
      <c r="Y39" s="4"/>
      <c r="Z39" s="4"/>
    </row>
    <row r="40" spans="1:26" ht="81" customHeight="1" x14ac:dyDescent="0.25">
      <c r="A40" s="22">
        <v>31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23" t="s">
        <v>66</v>
      </c>
      <c r="M40" s="2"/>
      <c r="N40" s="2"/>
      <c r="O40" s="2"/>
      <c r="P40" s="2"/>
      <c r="Q40" s="2"/>
      <c r="R40" s="2"/>
      <c r="S40" s="2"/>
      <c r="T40" s="2"/>
      <c r="U40" s="2"/>
      <c r="V40" s="4"/>
      <c r="W40" s="4"/>
      <c r="X40" s="4"/>
      <c r="Y40" s="4"/>
      <c r="Z40" s="4"/>
    </row>
    <row r="41" spans="1:26" ht="81" customHeight="1" x14ac:dyDescent="0.25">
      <c r="A41" s="22">
        <v>32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23" t="s">
        <v>66</v>
      </c>
      <c r="M41" s="2"/>
      <c r="N41" s="2"/>
      <c r="O41" s="2"/>
      <c r="P41" s="2"/>
      <c r="Q41" s="2"/>
      <c r="R41" s="2"/>
      <c r="S41" s="2"/>
      <c r="T41" s="2"/>
      <c r="U41" s="2"/>
      <c r="V41" s="4"/>
      <c r="W41" s="4"/>
      <c r="X41" s="4"/>
      <c r="Y41" s="4"/>
      <c r="Z41" s="4"/>
    </row>
    <row r="42" spans="1:26" ht="81" customHeight="1" x14ac:dyDescent="0.25">
      <c r="A42" s="22">
        <v>33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23" t="s">
        <v>66</v>
      </c>
      <c r="M42" s="2"/>
      <c r="N42" s="2"/>
      <c r="O42" s="2"/>
      <c r="P42" s="2"/>
      <c r="Q42" s="2"/>
      <c r="R42" s="2"/>
      <c r="S42" s="2"/>
      <c r="T42" s="2"/>
      <c r="U42" s="2"/>
      <c r="V42" s="4"/>
      <c r="W42" s="4"/>
      <c r="X42" s="4"/>
      <c r="Y42" s="4"/>
      <c r="Z42" s="4"/>
    </row>
    <row r="43" spans="1:26" ht="81" customHeight="1" x14ac:dyDescent="0.25">
      <c r="A43" s="22">
        <v>34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23" t="s">
        <v>66</v>
      </c>
      <c r="M43" s="2"/>
      <c r="N43" s="2"/>
      <c r="O43" s="2"/>
      <c r="P43" s="2"/>
      <c r="Q43" s="2"/>
      <c r="R43" s="2"/>
      <c r="S43" s="2"/>
      <c r="T43" s="2"/>
      <c r="U43" s="2"/>
      <c r="V43" s="4"/>
      <c r="W43" s="4"/>
      <c r="X43" s="4"/>
      <c r="Y43" s="4"/>
      <c r="Z43" s="4"/>
    </row>
    <row r="44" spans="1:26" ht="81" customHeight="1" x14ac:dyDescent="0.25">
      <c r="A44" s="22">
        <v>35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23" t="s">
        <v>66</v>
      </c>
      <c r="M44" s="2"/>
      <c r="N44" s="2"/>
      <c r="O44" s="2"/>
      <c r="P44" s="2"/>
      <c r="Q44" s="2"/>
      <c r="R44" s="2"/>
      <c r="S44" s="2"/>
      <c r="T44" s="2"/>
      <c r="U44" s="2"/>
      <c r="V44" s="4"/>
      <c r="W44" s="4"/>
      <c r="X44" s="4"/>
      <c r="Y44" s="4"/>
      <c r="Z44" s="4"/>
    </row>
    <row r="45" spans="1:26" ht="81" customHeight="1" x14ac:dyDescent="0.25">
      <c r="A45" s="22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23" t="s">
        <v>66</v>
      </c>
      <c r="M45" s="2"/>
      <c r="N45" s="2"/>
      <c r="O45" s="2"/>
      <c r="P45" s="2"/>
      <c r="Q45" s="2"/>
      <c r="R45" s="2"/>
      <c r="S45" s="2"/>
      <c r="T45" s="2"/>
      <c r="U45" s="2"/>
      <c r="V45" s="4"/>
      <c r="W45" s="4"/>
      <c r="X45" s="4"/>
      <c r="Y45" s="4"/>
      <c r="Z45" s="4"/>
    </row>
    <row r="46" spans="1:26" ht="39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4"/>
      <c r="W46" s="4"/>
      <c r="X46" s="4"/>
      <c r="Y46" s="4"/>
      <c r="Z46" s="4"/>
    </row>
    <row r="47" spans="1:26" ht="39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4"/>
      <c r="W47" s="4"/>
      <c r="X47" s="4"/>
      <c r="Y47" s="4"/>
      <c r="Z47" s="4"/>
    </row>
    <row r="48" spans="1:26" ht="39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4"/>
      <c r="W48" s="4"/>
      <c r="X48" s="4"/>
      <c r="Y48" s="4"/>
      <c r="Z48" s="4"/>
    </row>
    <row r="49" spans="1:26" ht="39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4"/>
      <c r="W49" s="4"/>
      <c r="X49" s="4"/>
      <c r="Y49" s="4"/>
      <c r="Z49" s="4"/>
    </row>
    <row r="50" spans="1:26" ht="16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4"/>
      <c r="W50" s="4"/>
      <c r="X50" s="4"/>
      <c r="Y50" s="4"/>
      <c r="Z50" s="4"/>
    </row>
    <row r="51" spans="1:26" ht="16.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4"/>
      <c r="W51" s="4"/>
      <c r="X51" s="4"/>
      <c r="Y51" s="4"/>
      <c r="Z51" s="4"/>
    </row>
    <row r="52" spans="1:26" ht="16.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4"/>
      <c r="W52" s="4"/>
      <c r="X52" s="4"/>
      <c r="Y52" s="4"/>
      <c r="Z52" s="4"/>
    </row>
    <row r="53" spans="1:26" ht="16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4"/>
      <c r="W53" s="4"/>
      <c r="X53" s="4"/>
      <c r="Y53" s="4"/>
      <c r="Z53" s="4"/>
    </row>
    <row r="54" spans="1:26" ht="16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4"/>
      <c r="W54" s="4"/>
      <c r="X54" s="4"/>
      <c r="Y54" s="4"/>
      <c r="Z54" s="4"/>
    </row>
    <row r="55" spans="1:26" ht="16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4"/>
      <c r="W55" s="4"/>
      <c r="X55" s="4"/>
      <c r="Y55" s="4"/>
      <c r="Z55" s="4"/>
    </row>
    <row r="56" spans="1:26" ht="16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4"/>
      <c r="W56" s="4"/>
      <c r="X56" s="4"/>
      <c r="Y56" s="4"/>
      <c r="Z56" s="4"/>
    </row>
    <row r="57" spans="1:26" ht="16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4"/>
      <c r="W57" s="4"/>
      <c r="X57" s="4"/>
      <c r="Y57" s="4"/>
      <c r="Z57" s="4"/>
    </row>
    <row r="58" spans="1:26" ht="16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4"/>
      <c r="W58" s="4"/>
      <c r="X58" s="4"/>
      <c r="Y58" s="4"/>
      <c r="Z58" s="4"/>
    </row>
    <row r="59" spans="1:26" ht="16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4"/>
      <c r="W59" s="4"/>
      <c r="X59" s="4"/>
      <c r="Y59" s="4"/>
      <c r="Z59" s="4"/>
    </row>
    <row r="60" spans="1:26" ht="16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4"/>
      <c r="W60" s="4"/>
      <c r="X60" s="4"/>
      <c r="Y60" s="4"/>
      <c r="Z60" s="4"/>
    </row>
    <row r="61" spans="1:26" ht="16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4"/>
      <c r="W61" s="4"/>
      <c r="X61" s="4"/>
      <c r="Y61" s="4"/>
      <c r="Z61" s="4"/>
    </row>
    <row r="62" spans="1:26" ht="16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4"/>
      <c r="W62" s="4"/>
      <c r="X62" s="4"/>
      <c r="Y62" s="4"/>
      <c r="Z62" s="4"/>
    </row>
    <row r="63" spans="1:26" ht="16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4"/>
      <c r="W63" s="4"/>
      <c r="X63" s="4"/>
      <c r="Y63" s="4"/>
      <c r="Z63" s="4"/>
    </row>
    <row r="64" spans="1:26" ht="16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4"/>
      <c r="W64" s="4"/>
      <c r="X64" s="4"/>
      <c r="Y64" s="4"/>
      <c r="Z64" s="4"/>
    </row>
    <row r="65" spans="1:26" ht="16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4"/>
      <c r="W65" s="4"/>
      <c r="X65" s="4"/>
      <c r="Y65" s="4"/>
      <c r="Z65" s="4"/>
    </row>
    <row r="66" spans="1:26" ht="16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4"/>
      <c r="W66" s="4"/>
      <c r="X66" s="4"/>
      <c r="Y66" s="4"/>
      <c r="Z66" s="4"/>
    </row>
    <row r="67" spans="1:26" ht="16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4"/>
      <c r="W67" s="4"/>
      <c r="X67" s="4"/>
      <c r="Y67" s="4"/>
      <c r="Z67" s="4"/>
    </row>
    <row r="68" spans="1:26" ht="16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4"/>
      <c r="W68" s="4"/>
      <c r="X68" s="4"/>
      <c r="Y68" s="4"/>
      <c r="Z68" s="4"/>
    </row>
    <row r="69" spans="1:26" ht="16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4"/>
      <c r="W69" s="4"/>
      <c r="X69" s="4"/>
      <c r="Y69" s="4"/>
      <c r="Z69" s="4"/>
    </row>
    <row r="70" spans="1:26" ht="16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4"/>
      <c r="W70" s="4"/>
      <c r="X70" s="4"/>
      <c r="Y70" s="4"/>
      <c r="Z70" s="4"/>
    </row>
    <row r="71" spans="1:26" ht="16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4"/>
      <c r="W71" s="4"/>
      <c r="X71" s="4"/>
      <c r="Y71" s="4"/>
      <c r="Z71" s="4"/>
    </row>
    <row r="72" spans="1:26" ht="16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4"/>
      <c r="W72" s="4"/>
      <c r="X72" s="4"/>
      <c r="Y72" s="4"/>
      <c r="Z72" s="4"/>
    </row>
    <row r="73" spans="1:26" ht="16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4"/>
      <c r="W73" s="4"/>
      <c r="X73" s="4"/>
      <c r="Y73" s="4"/>
      <c r="Z73" s="4"/>
    </row>
    <row r="74" spans="1:26" ht="16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4"/>
      <c r="W74" s="4"/>
      <c r="X74" s="4"/>
      <c r="Y74" s="4"/>
      <c r="Z74" s="4"/>
    </row>
    <row r="75" spans="1:26" ht="16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4"/>
      <c r="W75" s="4"/>
      <c r="X75" s="4"/>
      <c r="Y75" s="4"/>
      <c r="Z75" s="4"/>
    </row>
    <row r="76" spans="1:26" ht="16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4"/>
      <c r="W76" s="4"/>
      <c r="X76" s="4"/>
      <c r="Y76" s="4"/>
      <c r="Z76" s="4"/>
    </row>
    <row r="77" spans="1:26" ht="16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4"/>
      <c r="W77" s="4"/>
      <c r="X77" s="4"/>
      <c r="Y77" s="4"/>
      <c r="Z77" s="4"/>
    </row>
    <row r="78" spans="1:26" ht="16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4"/>
      <c r="W78" s="4"/>
      <c r="X78" s="4"/>
      <c r="Y78" s="4"/>
      <c r="Z78" s="4"/>
    </row>
    <row r="79" spans="1:26" ht="16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4"/>
      <c r="W79" s="4"/>
      <c r="X79" s="4"/>
      <c r="Y79" s="4"/>
      <c r="Z79" s="4"/>
    </row>
    <row r="80" spans="1:26" ht="16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4"/>
      <c r="W80" s="4"/>
      <c r="X80" s="4"/>
      <c r="Y80" s="4"/>
      <c r="Z80" s="4"/>
    </row>
    <row r="81" spans="1:26" ht="16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4"/>
      <c r="W81" s="4"/>
      <c r="X81" s="4"/>
      <c r="Y81" s="4"/>
      <c r="Z81" s="4"/>
    </row>
    <row r="82" spans="1:26" ht="16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4"/>
      <c r="W82" s="4"/>
      <c r="X82" s="4"/>
      <c r="Y82" s="4"/>
      <c r="Z82" s="4"/>
    </row>
    <row r="83" spans="1:26" ht="16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4"/>
      <c r="W83" s="4"/>
      <c r="X83" s="4"/>
      <c r="Y83" s="4"/>
      <c r="Z83" s="4"/>
    </row>
    <row r="84" spans="1:26" ht="16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4"/>
      <c r="W84" s="4"/>
      <c r="X84" s="4"/>
      <c r="Y84" s="4"/>
      <c r="Z84" s="4"/>
    </row>
    <row r="85" spans="1:26" ht="16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4"/>
      <c r="W85" s="4"/>
      <c r="X85" s="4"/>
      <c r="Y85" s="4"/>
      <c r="Z85" s="4"/>
    </row>
    <row r="86" spans="1:26" ht="16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4"/>
      <c r="W86" s="4"/>
      <c r="X86" s="4"/>
      <c r="Y86" s="4"/>
      <c r="Z86" s="4"/>
    </row>
    <row r="87" spans="1:26" ht="16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4"/>
      <c r="W87" s="4"/>
      <c r="X87" s="4"/>
      <c r="Y87" s="4"/>
      <c r="Z87" s="4"/>
    </row>
    <row r="88" spans="1:26" ht="16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4"/>
      <c r="W88" s="4"/>
      <c r="X88" s="4"/>
      <c r="Y88" s="4"/>
      <c r="Z88" s="4"/>
    </row>
    <row r="89" spans="1:26" ht="16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4"/>
      <c r="W89" s="4"/>
      <c r="X89" s="4"/>
      <c r="Y89" s="4"/>
      <c r="Z89" s="4"/>
    </row>
    <row r="90" spans="1:26" ht="16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4"/>
      <c r="W90" s="4"/>
      <c r="X90" s="4"/>
      <c r="Y90" s="4"/>
      <c r="Z90" s="4"/>
    </row>
    <row r="91" spans="1:26" ht="16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4"/>
      <c r="W91" s="4"/>
      <c r="X91" s="4"/>
      <c r="Y91" s="4"/>
      <c r="Z91" s="4"/>
    </row>
    <row r="92" spans="1:26" ht="16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4"/>
      <c r="W92" s="4"/>
      <c r="X92" s="4"/>
      <c r="Y92" s="4"/>
      <c r="Z92" s="4"/>
    </row>
    <row r="93" spans="1:26" ht="16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4"/>
      <c r="W93" s="4"/>
      <c r="X93" s="4"/>
      <c r="Y93" s="4"/>
      <c r="Z93" s="4"/>
    </row>
    <row r="94" spans="1:26" ht="16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4"/>
      <c r="W94" s="4"/>
      <c r="X94" s="4"/>
      <c r="Y94" s="4"/>
      <c r="Z94" s="4"/>
    </row>
    <row r="95" spans="1:26" ht="16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4"/>
      <c r="W95" s="4"/>
      <c r="X95" s="4"/>
      <c r="Y95" s="4"/>
      <c r="Z95" s="4"/>
    </row>
    <row r="96" spans="1:26" ht="16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4"/>
      <c r="W96" s="4"/>
      <c r="X96" s="4"/>
      <c r="Y96" s="4"/>
      <c r="Z96" s="4"/>
    </row>
    <row r="97" spans="1:26" ht="16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4"/>
      <c r="W97" s="4"/>
      <c r="X97" s="4"/>
      <c r="Y97" s="4"/>
      <c r="Z97" s="4"/>
    </row>
    <row r="98" spans="1:26" ht="16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4"/>
      <c r="W98" s="4"/>
      <c r="X98" s="4"/>
      <c r="Y98" s="4"/>
      <c r="Z98" s="4"/>
    </row>
    <row r="99" spans="1:26" ht="16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4"/>
      <c r="W99" s="4"/>
      <c r="X99" s="4"/>
      <c r="Y99" s="4"/>
      <c r="Z99" s="4"/>
    </row>
    <row r="100" spans="1:26" ht="16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4"/>
      <c r="W100" s="4"/>
      <c r="X100" s="4"/>
      <c r="Y100" s="4"/>
      <c r="Z100" s="4"/>
    </row>
    <row r="101" spans="1:26" ht="16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4"/>
      <c r="W101" s="4"/>
      <c r="X101" s="4"/>
      <c r="Y101" s="4"/>
      <c r="Z101" s="4"/>
    </row>
    <row r="102" spans="1:26" ht="16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4"/>
      <c r="W102" s="4"/>
      <c r="X102" s="4"/>
      <c r="Y102" s="4"/>
      <c r="Z102" s="4"/>
    </row>
    <row r="103" spans="1:26" ht="16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4"/>
      <c r="W103" s="4"/>
      <c r="X103" s="4"/>
      <c r="Y103" s="4"/>
      <c r="Z103" s="4"/>
    </row>
    <row r="104" spans="1:26" ht="16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4"/>
      <c r="W104" s="4"/>
      <c r="X104" s="4"/>
      <c r="Y104" s="4"/>
      <c r="Z104" s="4"/>
    </row>
    <row r="105" spans="1:26" ht="16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4"/>
      <c r="W105" s="4"/>
      <c r="X105" s="4"/>
      <c r="Y105" s="4"/>
      <c r="Z105" s="4"/>
    </row>
    <row r="106" spans="1:26" ht="16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4"/>
      <c r="W106" s="4"/>
      <c r="X106" s="4"/>
      <c r="Y106" s="4"/>
      <c r="Z106" s="4"/>
    </row>
    <row r="107" spans="1:26" ht="16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4"/>
      <c r="W107" s="4"/>
      <c r="X107" s="4"/>
      <c r="Y107" s="4"/>
      <c r="Z107" s="4"/>
    </row>
    <row r="108" spans="1:26" ht="16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4"/>
      <c r="W108" s="4"/>
      <c r="X108" s="4"/>
      <c r="Y108" s="4"/>
      <c r="Z108" s="4"/>
    </row>
    <row r="109" spans="1:26" ht="16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4"/>
      <c r="W109" s="4"/>
      <c r="X109" s="4"/>
      <c r="Y109" s="4"/>
      <c r="Z109" s="4"/>
    </row>
    <row r="110" spans="1:26" ht="16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4"/>
      <c r="W110" s="4"/>
      <c r="X110" s="4"/>
      <c r="Y110" s="4"/>
      <c r="Z110" s="4"/>
    </row>
    <row r="111" spans="1:26" ht="16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4"/>
      <c r="W111" s="4"/>
      <c r="X111" s="4"/>
      <c r="Y111" s="4"/>
      <c r="Z111" s="4"/>
    </row>
    <row r="112" spans="1:26" ht="16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4"/>
      <c r="W112" s="4"/>
      <c r="X112" s="4"/>
      <c r="Y112" s="4"/>
      <c r="Z112" s="4"/>
    </row>
    <row r="113" spans="1:26" ht="16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4"/>
      <c r="W113" s="4"/>
      <c r="X113" s="4"/>
      <c r="Y113" s="4"/>
      <c r="Z113" s="4"/>
    </row>
    <row r="114" spans="1:26" ht="16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4"/>
      <c r="W114" s="4"/>
      <c r="X114" s="4"/>
      <c r="Y114" s="4"/>
      <c r="Z114" s="4"/>
    </row>
    <row r="115" spans="1:26" ht="16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4"/>
      <c r="W115" s="4"/>
      <c r="X115" s="4"/>
      <c r="Y115" s="4"/>
      <c r="Z115" s="4"/>
    </row>
    <row r="116" spans="1:26" ht="16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4"/>
      <c r="W116" s="4"/>
      <c r="X116" s="4"/>
      <c r="Y116" s="4"/>
      <c r="Z116" s="4"/>
    </row>
    <row r="117" spans="1:26" ht="16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4"/>
      <c r="W117" s="4"/>
      <c r="X117" s="4"/>
      <c r="Y117" s="4"/>
      <c r="Z117" s="4"/>
    </row>
    <row r="118" spans="1:26" ht="16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4"/>
      <c r="W118" s="4"/>
      <c r="X118" s="4"/>
      <c r="Y118" s="4"/>
      <c r="Z118" s="4"/>
    </row>
    <row r="119" spans="1:26" ht="16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4"/>
      <c r="W119" s="4"/>
      <c r="X119" s="4"/>
      <c r="Y119" s="4"/>
      <c r="Z119" s="4"/>
    </row>
    <row r="120" spans="1:26" ht="16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4"/>
      <c r="W120" s="4"/>
      <c r="X120" s="4"/>
      <c r="Y120" s="4"/>
      <c r="Z120" s="4"/>
    </row>
    <row r="121" spans="1:26" ht="16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4"/>
      <c r="W121" s="4"/>
      <c r="X121" s="4"/>
      <c r="Y121" s="4"/>
      <c r="Z121" s="4"/>
    </row>
    <row r="122" spans="1:26" ht="16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4"/>
      <c r="W122" s="4"/>
      <c r="X122" s="4"/>
      <c r="Y122" s="4"/>
      <c r="Z122" s="4"/>
    </row>
    <row r="123" spans="1:26" ht="16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4"/>
      <c r="W123" s="4"/>
      <c r="X123" s="4"/>
      <c r="Y123" s="4"/>
      <c r="Z123" s="4"/>
    </row>
    <row r="124" spans="1:26" ht="16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4"/>
      <c r="W124" s="4"/>
      <c r="X124" s="4"/>
      <c r="Y124" s="4"/>
      <c r="Z124" s="4"/>
    </row>
    <row r="125" spans="1:26" ht="16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4"/>
      <c r="W125" s="4"/>
      <c r="X125" s="4"/>
      <c r="Y125" s="4"/>
      <c r="Z125" s="4"/>
    </row>
    <row r="126" spans="1:26" ht="16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4"/>
      <c r="W126" s="4"/>
      <c r="X126" s="4"/>
      <c r="Y126" s="4"/>
      <c r="Z126" s="4"/>
    </row>
    <row r="127" spans="1:26" ht="16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4"/>
      <c r="W127" s="4"/>
      <c r="X127" s="4"/>
      <c r="Y127" s="4"/>
      <c r="Z127" s="4"/>
    </row>
    <row r="128" spans="1:26" ht="16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4"/>
      <c r="W128" s="4"/>
      <c r="X128" s="4"/>
      <c r="Y128" s="4"/>
      <c r="Z128" s="4"/>
    </row>
    <row r="129" spans="1:26" ht="16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4"/>
      <c r="W129" s="4"/>
      <c r="X129" s="4"/>
      <c r="Y129" s="4"/>
      <c r="Z129" s="4"/>
    </row>
    <row r="130" spans="1:26" ht="16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4"/>
      <c r="W130" s="4"/>
      <c r="X130" s="4"/>
      <c r="Y130" s="4"/>
      <c r="Z130" s="4"/>
    </row>
    <row r="131" spans="1:26" ht="16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4"/>
      <c r="W131" s="4"/>
      <c r="X131" s="4"/>
      <c r="Y131" s="4"/>
      <c r="Z131" s="4"/>
    </row>
    <row r="132" spans="1:26" ht="16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4"/>
      <c r="W132" s="4"/>
      <c r="X132" s="4"/>
      <c r="Y132" s="4"/>
      <c r="Z132" s="4"/>
    </row>
    <row r="133" spans="1:26" ht="16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4"/>
      <c r="W133" s="4"/>
      <c r="X133" s="4"/>
      <c r="Y133" s="4"/>
      <c r="Z133" s="4"/>
    </row>
    <row r="134" spans="1:26" ht="16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4"/>
      <c r="W134" s="4"/>
      <c r="X134" s="4"/>
      <c r="Y134" s="4"/>
      <c r="Z134" s="4"/>
    </row>
    <row r="135" spans="1:26" ht="16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4"/>
      <c r="W135" s="4"/>
      <c r="X135" s="4"/>
      <c r="Y135" s="4"/>
      <c r="Z135" s="4"/>
    </row>
    <row r="136" spans="1:26" ht="16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4"/>
      <c r="W136" s="4"/>
      <c r="X136" s="4"/>
      <c r="Y136" s="4"/>
      <c r="Z136" s="4"/>
    </row>
    <row r="137" spans="1:26" ht="16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4"/>
      <c r="W137" s="4"/>
      <c r="X137" s="4"/>
      <c r="Y137" s="4"/>
      <c r="Z137" s="4"/>
    </row>
    <row r="138" spans="1:26" ht="16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4"/>
      <c r="W138" s="4"/>
      <c r="X138" s="4"/>
      <c r="Y138" s="4"/>
      <c r="Z138" s="4"/>
    </row>
    <row r="139" spans="1:26" ht="16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4"/>
      <c r="W139" s="4"/>
      <c r="X139" s="4"/>
      <c r="Y139" s="4"/>
      <c r="Z139" s="4"/>
    </row>
    <row r="140" spans="1:26" ht="16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4"/>
      <c r="W140" s="4"/>
      <c r="X140" s="4"/>
      <c r="Y140" s="4"/>
      <c r="Z140" s="4"/>
    </row>
    <row r="141" spans="1:26" ht="16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4"/>
      <c r="W141" s="4"/>
      <c r="X141" s="4"/>
      <c r="Y141" s="4"/>
      <c r="Z141" s="4"/>
    </row>
    <row r="142" spans="1:26" ht="16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4"/>
      <c r="W142" s="4"/>
      <c r="X142" s="4"/>
      <c r="Y142" s="4"/>
      <c r="Z142" s="4"/>
    </row>
    <row r="143" spans="1:26" ht="16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4"/>
      <c r="W143" s="4"/>
      <c r="X143" s="4"/>
      <c r="Y143" s="4"/>
      <c r="Z143" s="4"/>
    </row>
    <row r="144" spans="1:26" ht="16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4"/>
      <c r="W144" s="4"/>
      <c r="X144" s="4"/>
      <c r="Y144" s="4"/>
      <c r="Z144" s="4"/>
    </row>
    <row r="145" spans="1:26" ht="16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4"/>
      <c r="W145" s="4"/>
      <c r="X145" s="4"/>
      <c r="Y145" s="4"/>
      <c r="Z145" s="4"/>
    </row>
    <row r="146" spans="1:26" ht="16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4"/>
      <c r="W146" s="4"/>
      <c r="X146" s="4"/>
      <c r="Y146" s="4"/>
      <c r="Z146" s="4"/>
    </row>
    <row r="147" spans="1:26" ht="16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4"/>
      <c r="W147" s="4"/>
      <c r="X147" s="4"/>
      <c r="Y147" s="4"/>
      <c r="Z147" s="4"/>
    </row>
    <row r="148" spans="1:26" ht="16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4"/>
      <c r="W148" s="4"/>
      <c r="X148" s="4"/>
      <c r="Y148" s="4"/>
      <c r="Z148" s="4"/>
    </row>
    <row r="149" spans="1:26" ht="16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4"/>
      <c r="W149" s="4"/>
      <c r="X149" s="4"/>
      <c r="Y149" s="4"/>
      <c r="Z149" s="4"/>
    </row>
    <row r="150" spans="1:26" ht="16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4"/>
      <c r="W150" s="4"/>
      <c r="X150" s="4"/>
      <c r="Y150" s="4"/>
      <c r="Z150" s="4"/>
    </row>
    <row r="151" spans="1:26" ht="16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4"/>
      <c r="W151" s="4"/>
      <c r="X151" s="4"/>
      <c r="Y151" s="4"/>
      <c r="Z151" s="4"/>
    </row>
    <row r="152" spans="1:26" ht="16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4"/>
      <c r="W152" s="4"/>
      <c r="X152" s="4"/>
      <c r="Y152" s="4"/>
      <c r="Z152" s="4"/>
    </row>
    <row r="153" spans="1:26" ht="16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4"/>
      <c r="W153" s="4"/>
      <c r="X153" s="4"/>
      <c r="Y153" s="4"/>
      <c r="Z153" s="4"/>
    </row>
    <row r="154" spans="1:26" ht="16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4"/>
      <c r="W154" s="4"/>
      <c r="X154" s="4"/>
      <c r="Y154" s="4"/>
      <c r="Z154" s="4"/>
    </row>
    <row r="155" spans="1:26" ht="16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4"/>
      <c r="W155" s="4"/>
      <c r="X155" s="4"/>
      <c r="Y155" s="4"/>
      <c r="Z155" s="4"/>
    </row>
    <row r="156" spans="1:26" ht="16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4"/>
      <c r="W156" s="4"/>
      <c r="X156" s="4"/>
      <c r="Y156" s="4"/>
      <c r="Z156" s="4"/>
    </row>
    <row r="157" spans="1:26" ht="16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4"/>
      <c r="W157" s="4"/>
      <c r="X157" s="4"/>
      <c r="Y157" s="4"/>
      <c r="Z157" s="4"/>
    </row>
    <row r="158" spans="1:26" ht="16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4"/>
      <c r="W158" s="4"/>
      <c r="X158" s="4"/>
      <c r="Y158" s="4"/>
      <c r="Z158" s="4"/>
    </row>
    <row r="159" spans="1:26" ht="16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4"/>
      <c r="W159" s="4"/>
      <c r="X159" s="4"/>
      <c r="Y159" s="4"/>
      <c r="Z159" s="4"/>
    </row>
    <row r="160" spans="1:26" ht="16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4"/>
      <c r="W160" s="4"/>
      <c r="X160" s="4"/>
      <c r="Y160" s="4"/>
      <c r="Z160" s="4"/>
    </row>
    <row r="161" spans="1:26" ht="16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4"/>
      <c r="W161" s="4"/>
      <c r="X161" s="4"/>
      <c r="Y161" s="4"/>
      <c r="Z161" s="4"/>
    </row>
    <row r="162" spans="1:26" ht="16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4"/>
      <c r="W162" s="4"/>
      <c r="X162" s="4"/>
      <c r="Y162" s="4"/>
      <c r="Z162" s="4"/>
    </row>
    <row r="163" spans="1:26" ht="16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4"/>
      <c r="W163" s="4"/>
      <c r="X163" s="4"/>
      <c r="Y163" s="4"/>
      <c r="Z163" s="4"/>
    </row>
    <row r="164" spans="1:26" ht="16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4"/>
      <c r="W164" s="4"/>
      <c r="X164" s="4"/>
      <c r="Y164" s="4"/>
      <c r="Z164" s="4"/>
    </row>
    <row r="165" spans="1:26" ht="16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4"/>
      <c r="W165" s="4"/>
      <c r="X165" s="4"/>
      <c r="Y165" s="4"/>
      <c r="Z165" s="4"/>
    </row>
    <row r="166" spans="1:26" ht="16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4"/>
      <c r="W166" s="4"/>
      <c r="X166" s="4"/>
      <c r="Y166" s="4"/>
      <c r="Z166" s="4"/>
    </row>
    <row r="167" spans="1:26" ht="16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4"/>
      <c r="W167" s="4"/>
      <c r="X167" s="4"/>
      <c r="Y167" s="4"/>
      <c r="Z167" s="4"/>
    </row>
    <row r="168" spans="1:26" ht="16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4"/>
      <c r="W168" s="4"/>
      <c r="X168" s="4"/>
      <c r="Y168" s="4"/>
      <c r="Z168" s="4"/>
    </row>
    <row r="169" spans="1:26" ht="16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4"/>
      <c r="W169" s="4"/>
      <c r="X169" s="4"/>
      <c r="Y169" s="4"/>
      <c r="Z169" s="4"/>
    </row>
    <row r="170" spans="1:26" ht="16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4"/>
      <c r="W170" s="4"/>
      <c r="X170" s="4"/>
      <c r="Y170" s="4"/>
      <c r="Z170" s="4"/>
    </row>
    <row r="171" spans="1:26" ht="16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4"/>
      <c r="W171" s="4"/>
      <c r="X171" s="4"/>
      <c r="Y171" s="4"/>
      <c r="Z171" s="4"/>
    </row>
    <row r="172" spans="1:26" ht="16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4"/>
      <c r="W172" s="4"/>
      <c r="X172" s="4"/>
      <c r="Y172" s="4"/>
      <c r="Z172" s="4"/>
    </row>
    <row r="173" spans="1:26" ht="16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4"/>
      <c r="W173" s="4"/>
      <c r="X173" s="4"/>
      <c r="Y173" s="4"/>
      <c r="Z173" s="4"/>
    </row>
    <row r="174" spans="1:26" ht="16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4"/>
      <c r="W174" s="4"/>
      <c r="X174" s="4"/>
      <c r="Y174" s="4"/>
      <c r="Z174" s="4"/>
    </row>
    <row r="175" spans="1:26" ht="16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4"/>
      <c r="W175" s="4"/>
      <c r="X175" s="4"/>
      <c r="Y175" s="4"/>
      <c r="Z175" s="4"/>
    </row>
    <row r="176" spans="1:26" ht="16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4"/>
      <c r="W176" s="4"/>
      <c r="X176" s="4"/>
      <c r="Y176" s="4"/>
      <c r="Z176" s="4"/>
    </row>
    <row r="177" spans="1:26" ht="16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4"/>
      <c r="W177" s="4"/>
      <c r="X177" s="4"/>
      <c r="Y177" s="4"/>
      <c r="Z177" s="4"/>
    </row>
    <row r="178" spans="1:26" ht="16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4"/>
      <c r="W178" s="4"/>
      <c r="X178" s="4"/>
      <c r="Y178" s="4"/>
      <c r="Z178" s="4"/>
    </row>
    <row r="179" spans="1:26" ht="16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4"/>
      <c r="W179" s="4"/>
      <c r="X179" s="4"/>
      <c r="Y179" s="4"/>
      <c r="Z179" s="4"/>
    </row>
    <row r="180" spans="1:26" ht="16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4"/>
      <c r="W180" s="4"/>
      <c r="X180" s="4"/>
      <c r="Y180" s="4"/>
      <c r="Z180" s="4"/>
    </row>
    <row r="181" spans="1:26" ht="16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4"/>
      <c r="W181" s="4"/>
      <c r="X181" s="4"/>
      <c r="Y181" s="4"/>
      <c r="Z181" s="4"/>
    </row>
    <row r="182" spans="1:26" ht="16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4"/>
      <c r="W182" s="4"/>
      <c r="X182" s="4"/>
      <c r="Y182" s="4"/>
      <c r="Z182" s="4"/>
    </row>
    <row r="183" spans="1:26" ht="16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4"/>
      <c r="W183" s="4"/>
      <c r="X183" s="4"/>
      <c r="Y183" s="4"/>
      <c r="Z183" s="4"/>
    </row>
    <row r="184" spans="1:26" ht="16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4"/>
      <c r="W184" s="4"/>
      <c r="X184" s="4"/>
      <c r="Y184" s="4"/>
      <c r="Z184" s="4"/>
    </row>
    <row r="185" spans="1:26" ht="16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4"/>
      <c r="W185" s="4"/>
      <c r="X185" s="4"/>
      <c r="Y185" s="4"/>
      <c r="Z185" s="4"/>
    </row>
    <row r="186" spans="1:26" ht="16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4"/>
      <c r="W186" s="4"/>
      <c r="X186" s="4"/>
      <c r="Y186" s="4"/>
      <c r="Z186" s="4"/>
    </row>
    <row r="187" spans="1:26" ht="16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4"/>
      <c r="W187" s="4"/>
      <c r="X187" s="4"/>
      <c r="Y187" s="4"/>
      <c r="Z187" s="4"/>
    </row>
    <row r="188" spans="1:26" ht="16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4"/>
      <c r="W188" s="4"/>
      <c r="X188" s="4"/>
      <c r="Y188" s="4"/>
      <c r="Z188" s="4"/>
    </row>
    <row r="189" spans="1:26" ht="16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4"/>
      <c r="W189" s="4"/>
      <c r="X189" s="4"/>
      <c r="Y189" s="4"/>
      <c r="Z189" s="4"/>
    </row>
    <row r="190" spans="1:26" ht="16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4"/>
      <c r="W190" s="4"/>
      <c r="X190" s="4"/>
      <c r="Y190" s="4"/>
      <c r="Z190" s="4"/>
    </row>
    <row r="191" spans="1:26" ht="16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4"/>
      <c r="W191" s="4"/>
      <c r="X191" s="4"/>
      <c r="Y191" s="4"/>
      <c r="Z191" s="4"/>
    </row>
    <row r="192" spans="1:26" ht="16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4"/>
      <c r="W192" s="4"/>
      <c r="X192" s="4"/>
      <c r="Y192" s="4"/>
      <c r="Z192" s="4"/>
    </row>
    <row r="193" spans="1:26" ht="16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4"/>
      <c r="W193" s="4"/>
      <c r="X193" s="4"/>
      <c r="Y193" s="4"/>
      <c r="Z193" s="4"/>
    </row>
    <row r="194" spans="1:26" ht="16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4"/>
      <c r="W194" s="4"/>
      <c r="X194" s="4"/>
      <c r="Y194" s="4"/>
      <c r="Z194" s="4"/>
    </row>
    <row r="195" spans="1:26" ht="16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4"/>
      <c r="W195" s="4"/>
      <c r="X195" s="4"/>
      <c r="Y195" s="4"/>
      <c r="Z195" s="4"/>
    </row>
    <row r="196" spans="1:26" ht="16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4"/>
      <c r="W196" s="4"/>
      <c r="X196" s="4"/>
      <c r="Y196" s="4"/>
      <c r="Z196" s="4"/>
    </row>
    <row r="197" spans="1:26" ht="16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4"/>
      <c r="W197" s="4"/>
      <c r="X197" s="4"/>
      <c r="Y197" s="4"/>
      <c r="Z197" s="4"/>
    </row>
    <row r="198" spans="1:26" ht="16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4"/>
      <c r="W198" s="4"/>
      <c r="X198" s="4"/>
      <c r="Y198" s="4"/>
      <c r="Z198" s="4"/>
    </row>
    <row r="199" spans="1:26" ht="16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4"/>
      <c r="W199" s="4"/>
      <c r="X199" s="4"/>
      <c r="Y199" s="4"/>
      <c r="Z199" s="4"/>
    </row>
    <row r="200" spans="1:26" ht="16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4"/>
      <c r="W200" s="4"/>
      <c r="X200" s="4"/>
      <c r="Y200" s="4"/>
      <c r="Z200" s="4"/>
    </row>
    <row r="201" spans="1:26" ht="16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4"/>
      <c r="W201" s="4"/>
      <c r="X201" s="4"/>
      <c r="Y201" s="4"/>
      <c r="Z201" s="4"/>
    </row>
    <row r="202" spans="1:26" ht="16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4"/>
      <c r="W202" s="4"/>
      <c r="X202" s="4"/>
      <c r="Y202" s="4"/>
      <c r="Z202" s="4"/>
    </row>
    <row r="203" spans="1:26" ht="16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4"/>
      <c r="W203" s="4"/>
      <c r="X203" s="4"/>
      <c r="Y203" s="4"/>
      <c r="Z203" s="4"/>
    </row>
    <row r="204" spans="1:26" ht="16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4"/>
      <c r="W204" s="4"/>
      <c r="X204" s="4"/>
      <c r="Y204" s="4"/>
      <c r="Z204" s="4"/>
    </row>
    <row r="205" spans="1:26" ht="16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4"/>
      <c r="W205" s="4"/>
      <c r="X205" s="4"/>
      <c r="Y205" s="4"/>
      <c r="Z205" s="4"/>
    </row>
    <row r="206" spans="1:26" ht="16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4"/>
      <c r="W206" s="4"/>
      <c r="X206" s="4"/>
      <c r="Y206" s="4"/>
      <c r="Z206" s="4"/>
    </row>
    <row r="207" spans="1:26" ht="16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4"/>
      <c r="W207" s="4"/>
      <c r="X207" s="4"/>
      <c r="Y207" s="4"/>
      <c r="Z207" s="4"/>
    </row>
    <row r="208" spans="1:26" ht="16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4"/>
      <c r="W208" s="4"/>
      <c r="X208" s="4"/>
      <c r="Y208" s="4"/>
      <c r="Z208" s="4"/>
    </row>
    <row r="209" spans="1:26" ht="16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4"/>
      <c r="W209" s="4"/>
      <c r="X209" s="4"/>
      <c r="Y209" s="4"/>
      <c r="Z209" s="4"/>
    </row>
    <row r="210" spans="1:26" ht="16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4"/>
      <c r="W210" s="4"/>
      <c r="X210" s="4"/>
      <c r="Y210" s="4"/>
      <c r="Z210" s="4"/>
    </row>
    <row r="211" spans="1:26" ht="16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4"/>
      <c r="W211" s="4"/>
      <c r="X211" s="4"/>
      <c r="Y211" s="4"/>
      <c r="Z211" s="4"/>
    </row>
    <row r="212" spans="1:26" ht="16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4"/>
      <c r="W212" s="4"/>
      <c r="X212" s="4"/>
      <c r="Y212" s="4"/>
      <c r="Z212" s="4"/>
    </row>
    <row r="213" spans="1:26" ht="16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4"/>
      <c r="W213" s="4"/>
      <c r="X213" s="4"/>
      <c r="Y213" s="4"/>
      <c r="Z213" s="4"/>
    </row>
    <row r="214" spans="1:26" ht="16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4"/>
      <c r="W214" s="4"/>
      <c r="X214" s="4"/>
      <c r="Y214" s="4"/>
      <c r="Z214" s="4"/>
    </row>
    <row r="215" spans="1:26" ht="16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4"/>
      <c r="W215" s="4"/>
      <c r="X215" s="4"/>
      <c r="Y215" s="4"/>
      <c r="Z215" s="4"/>
    </row>
    <row r="216" spans="1:26" ht="16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4"/>
      <c r="W216" s="4"/>
      <c r="X216" s="4"/>
      <c r="Y216" s="4"/>
      <c r="Z216" s="4"/>
    </row>
    <row r="217" spans="1:26" ht="16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4"/>
      <c r="W217" s="4"/>
      <c r="X217" s="4"/>
      <c r="Y217" s="4"/>
      <c r="Z217" s="4"/>
    </row>
    <row r="218" spans="1:26" ht="16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4"/>
      <c r="W218" s="4"/>
      <c r="X218" s="4"/>
      <c r="Y218" s="4"/>
      <c r="Z218" s="4"/>
    </row>
    <row r="219" spans="1:26" ht="16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4"/>
      <c r="W219" s="4"/>
      <c r="X219" s="4"/>
      <c r="Y219" s="4"/>
      <c r="Z219" s="4"/>
    </row>
    <row r="220" spans="1:26" ht="16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4"/>
      <c r="W220" s="4"/>
      <c r="X220" s="4"/>
      <c r="Y220" s="4"/>
      <c r="Z220" s="4"/>
    </row>
    <row r="221" spans="1:26" ht="16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4"/>
      <c r="W221" s="4"/>
      <c r="X221" s="4"/>
      <c r="Y221" s="4"/>
      <c r="Z221" s="4"/>
    </row>
    <row r="222" spans="1:26" ht="16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4"/>
      <c r="W222" s="4"/>
      <c r="X222" s="4"/>
      <c r="Y222" s="4"/>
      <c r="Z222" s="4"/>
    </row>
    <row r="223" spans="1:26" ht="16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4"/>
      <c r="W223" s="4"/>
      <c r="X223" s="4"/>
      <c r="Y223" s="4"/>
      <c r="Z223" s="4"/>
    </row>
    <row r="224" spans="1:26" ht="16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4"/>
      <c r="W224" s="4"/>
      <c r="X224" s="4"/>
      <c r="Y224" s="4"/>
      <c r="Z224" s="4"/>
    </row>
    <row r="225" spans="1:26" ht="16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4"/>
      <c r="W225" s="4"/>
      <c r="X225" s="4"/>
      <c r="Y225" s="4"/>
      <c r="Z225" s="4"/>
    </row>
    <row r="226" spans="1:26" ht="16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4"/>
      <c r="W226" s="4"/>
      <c r="X226" s="4"/>
      <c r="Y226" s="4"/>
      <c r="Z226" s="4"/>
    </row>
    <row r="227" spans="1:26" ht="16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4"/>
      <c r="W227" s="4"/>
      <c r="X227" s="4"/>
      <c r="Y227" s="4"/>
      <c r="Z227" s="4"/>
    </row>
    <row r="228" spans="1:26" ht="16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4"/>
      <c r="W228" s="4"/>
      <c r="X228" s="4"/>
      <c r="Y228" s="4"/>
      <c r="Z228" s="4"/>
    </row>
    <row r="229" spans="1:26" ht="16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4"/>
      <c r="W229" s="4"/>
      <c r="X229" s="4"/>
      <c r="Y229" s="4"/>
      <c r="Z229" s="4"/>
    </row>
    <row r="230" spans="1:26" ht="16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4"/>
      <c r="W230" s="4"/>
      <c r="X230" s="4"/>
      <c r="Y230" s="4"/>
      <c r="Z230" s="4"/>
    </row>
    <row r="231" spans="1:26" ht="16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4"/>
      <c r="W231" s="4"/>
      <c r="X231" s="4"/>
      <c r="Y231" s="4"/>
      <c r="Z231" s="4"/>
    </row>
    <row r="232" spans="1:26" ht="16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4"/>
      <c r="W232" s="4"/>
      <c r="X232" s="4"/>
      <c r="Y232" s="4"/>
      <c r="Z232" s="4"/>
    </row>
    <row r="233" spans="1:26" ht="16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4"/>
      <c r="W233" s="4"/>
      <c r="X233" s="4"/>
      <c r="Y233" s="4"/>
      <c r="Z233" s="4"/>
    </row>
    <row r="234" spans="1:26" ht="16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4"/>
      <c r="W234" s="4"/>
      <c r="X234" s="4"/>
      <c r="Y234" s="4"/>
      <c r="Z234" s="4"/>
    </row>
    <row r="235" spans="1:26" ht="16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4"/>
      <c r="W235" s="4"/>
      <c r="X235" s="4"/>
      <c r="Y235" s="4"/>
      <c r="Z235" s="4"/>
    </row>
    <row r="236" spans="1:26" ht="16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4"/>
      <c r="W236" s="4"/>
      <c r="X236" s="4"/>
      <c r="Y236" s="4"/>
      <c r="Z236" s="4"/>
    </row>
    <row r="237" spans="1:26" ht="16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4"/>
      <c r="W237" s="4"/>
      <c r="X237" s="4"/>
      <c r="Y237" s="4"/>
      <c r="Z237" s="4"/>
    </row>
    <row r="238" spans="1:26" ht="16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4"/>
      <c r="W238" s="4"/>
      <c r="X238" s="4"/>
      <c r="Y238" s="4"/>
      <c r="Z238" s="4"/>
    </row>
    <row r="239" spans="1:26" ht="16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4"/>
      <c r="W239" s="4"/>
      <c r="X239" s="4"/>
      <c r="Y239" s="4"/>
      <c r="Z239" s="4"/>
    </row>
    <row r="240" spans="1:26" ht="16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4"/>
      <c r="W240" s="4"/>
      <c r="X240" s="4"/>
      <c r="Y240" s="4"/>
      <c r="Z240" s="4"/>
    </row>
    <row r="241" spans="1:26" ht="16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4"/>
      <c r="W241" s="4"/>
      <c r="X241" s="4"/>
      <c r="Y241" s="4"/>
      <c r="Z241" s="4"/>
    </row>
    <row r="242" spans="1:26" ht="16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4"/>
      <c r="W242" s="4"/>
      <c r="X242" s="4"/>
      <c r="Y242" s="4"/>
      <c r="Z242" s="4"/>
    </row>
    <row r="243" spans="1:26" ht="16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4"/>
      <c r="W243" s="4"/>
      <c r="X243" s="4"/>
      <c r="Y243" s="4"/>
      <c r="Z243" s="4"/>
    </row>
    <row r="244" spans="1:26" ht="16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4"/>
      <c r="W244" s="4"/>
      <c r="X244" s="4"/>
      <c r="Y244" s="4"/>
      <c r="Z244" s="4"/>
    </row>
    <row r="245" spans="1:26" ht="16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4"/>
      <c r="W245" s="4"/>
      <c r="X245" s="4"/>
      <c r="Y245" s="4"/>
      <c r="Z245" s="4"/>
    </row>
    <row r="246" spans="1:26" ht="16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4"/>
      <c r="W246" s="4"/>
      <c r="X246" s="4"/>
      <c r="Y246" s="4"/>
      <c r="Z246" s="4"/>
    </row>
    <row r="247" spans="1:26" ht="16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4"/>
      <c r="W247" s="4"/>
      <c r="X247" s="4"/>
      <c r="Y247" s="4"/>
      <c r="Z247" s="4"/>
    </row>
    <row r="248" spans="1:26" ht="16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4"/>
      <c r="W248" s="4"/>
      <c r="X248" s="4"/>
      <c r="Y248" s="4"/>
      <c r="Z248" s="4"/>
    </row>
    <row r="249" spans="1:26" ht="16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4"/>
      <c r="W249" s="4"/>
      <c r="X249" s="4"/>
      <c r="Y249" s="4"/>
      <c r="Z249" s="4"/>
    </row>
    <row r="250" spans="1:26" ht="16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4"/>
      <c r="W250" s="4"/>
      <c r="X250" s="4"/>
      <c r="Y250" s="4"/>
      <c r="Z250" s="4"/>
    </row>
    <row r="251" spans="1:26" ht="16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4"/>
      <c r="W251" s="4"/>
      <c r="X251" s="4"/>
      <c r="Y251" s="4"/>
      <c r="Z251" s="4"/>
    </row>
    <row r="252" spans="1:26" ht="16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4"/>
      <c r="W252" s="4"/>
      <c r="X252" s="4"/>
      <c r="Y252" s="4"/>
      <c r="Z252" s="4"/>
    </row>
    <row r="253" spans="1:26" ht="16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4"/>
      <c r="W253" s="4"/>
      <c r="X253" s="4"/>
      <c r="Y253" s="4"/>
      <c r="Z253" s="4"/>
    </row>
    <row r="254" spans="1:26" ht="16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4"/>
      <c r="W254" s="4"/>
      <c r="X254" s="4"/>
      <c r="Y254" s="4"/>
      <c r="Z254" s="4"/>
    </row>
    <row r="255" spans="1:26" ht="16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4"/>
      <c r="W255" s="4"/>
      <c r="X255" s="4"/>
      <c r="Y255" s="4"/>
      <c r="Z255" s="4"/>
    </row>
    <row r="256" spans="1:26" ht="16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4"/>
      <c r="W256" s="4"/>
      <c r="X256" s="4"/>
      <c r="Y256" s="4"/>
      <c r="Z256" s="4"/>
    </row>
    <row r="257" spans="1:26" ht="16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4"/>
      <c r="W257" s="4"/>
      <c r="X257" s="4"/>
      <c r="Y257" s="4"/>
      <c r="Z257" s="4"/>
    </row>
    <row r="258" spans="1:26" ht="16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4"/>
      <c r="W258" s="4"/>
      <c r="X258" s="4"/>
      <c r="Y258" s="4"/>
      <c r="Z258" s="4"/>
    </row>
    <row r="259" spans="1:26" ht="16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4"/>
      <c r="W259" s="4"/>
      <c r="X259" s="4"/>
      <c r="Y259" s="4"/>
      <c r="Z259" s="4"/>
    </row>
    <row r="260" spans="1:26" ht="16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4"/>
      <c r="W260" s="4"/>
      <c r="X260" s="4"/>
      <c r="Y260" s="4"/>
      <c r="Z260" s="4"/>
    </row>
    <row r="261" spans="1:26" ht="16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4"/>
      <c r="W261" s="4"/>
      <c r="X261" s="4"/>
      <c r="Y261" s="4"/>
      <c r="Z261" s="4"/>
    </row>
    <row r="262" spans="1:26" ht="16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4"/>
      <c r="W262" s="4"/>
      <c r="X262" s="4"/>
      <c r="Y262" s="4"/>
      <c r="Z262" s="4"/>
    </row>
    <row r="263" spans="1:26" ht="16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4"/>
      <c r="W263" s="4"/>
      <c r="X263" s="4"/>
      <c r="Y263" s="4"/>
      <c r="Z263" s="4"/>
    </row>
    <row r="264" spans="1:26" ht="16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4"/>
      <c r="W264" s="4"/>
      <c r="X264" s="4"/>
      <c r="Y264" s="4"/>
      <c r="Z264" s="4"/>
    </row>
    <row r="265" spans="1:26" ht="16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4"/>
      <c r="W265" s="4"/>
      <c r="X265" s="4"/>
      <c r="Y265" s="4"/>
      <c r="Z265" s="4"/>
    </row>
    <row r="266" spans="1:26" ht="16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4"/>
      <c r="W266" s="4"/>
      <c r="X266" s="4"/>
      <c r="Y266" s="4"/>
      <c r="Z266" s="4"/>
    </row>
    <row r="267" spans="1:26" ht="16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4"/>
      <c r="W267" s="4"/>
      <c r="X267" s="4"/>
      <c r="Y267" s="4"/>
      <c r="Z267" s="4"/>
    </row>
    <row r="268" spans="1:26" ht="16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4"/>
      <c r="W268" s="4"/>
      <c r="X268" s="4"/>
      <c r="Y268" s="4"/>
      <c r="Z268" s="4"/>
    </row>
    <row r="269" spans="1:26" ht="16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4"/>
      <c r="W269" s="4"/>
      <c r="X269" s="4"/>
      <c r="Y269" s="4"/>
      <c r="Z269" s="4"/>
    </row>
    <row r="270" spans="1:26" ht="16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4"/>
      <c r="W270" s="4"/>
      <c r="X270" s="4"/>
      <c r="Y270" s="4"/>
      <c r="Z270" s="4"/>
    </row>
    <row r="271" spans="1:26" ht="16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4"/>
      <c r="W271" s="4"/>
      <c r="X271" s="4"/>
      <c r="Y271" s="4"/>
      <c r="Z271" s="4"/>
    </row>
    <row r="272" spans="1:26" ht="16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4"/>
      <c r="W272" s="4"/>
      <c r="X272" s="4"/>
      <c r="Y272" s="4"/>
      <c r="Z272" s="4"/>
    </row>
    <row r="273" spans="1:26" ht="16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4"/>
      <c r="W273" s="4"/>
      <c r="X273" s="4"/>
      <c r="Y273" s="4"/>
      <c r="Z273" s="4"/>
    </row>
    <row r="274" spans="1:26" ht="16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4"/>
      <c r="W274" s="4"/>
      <c r="X274" s="4"/>
      <c r="Y274" s="4"/>
      <c r="Z274" s="4"/>
    </row>
    <row r="275" spans="1:26" ht="16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4"/>
      <c r="W275" s="4"/>
      <c r="X275" s="4"/>
      <c r="Y275" s="4"/>
      <c r="Z275" s="4"/>
    </row>
    <row r="276" spans="1:26" ht="16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4"/>
      <c r="W276" s="4"/>
      <c r="X276" s="4"/>
      <c r="Y276" s="4"/>
      <c r="Z276" s="4"/>
    </row>
    <row r="277" spans="1:26" ht="16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4"/>
      <c r="W277" s="4"/>
      <c r="X277" s="4"/>
      <c r="Y277" s="4"/>
      <c r="Z277" s="4"/>
    </row>
    <row r="278" spans="1:26" ht="16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4"/>
      <c r="W278" s="4"/>
      <c r="X278" s="4"/>
      <c r="Y278" s="4"/>
      <c r="Z278" s="4"/>
    </row>
    <row r="279" spans="1:26" ht="16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4"/>
      <c r="W279" s="4"/>
      <c r="X279" s="4"/>
      <c r="Y279" s="4"/>
      <c r="Z279" s="4"/>
    </row>
    <row r="280" spans="1:26" ht="16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4"/>
      <c r="W280" s="4"/>
      <c r="X280" s="4"/>
      <c r="Y280" s="4"/>
      <c r="Z280" s="4"/>
    </row>
    <row r="281" spans="1:26" ht="16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4"/>
      <c r="W281" s="4"/>
      <c r="X281" s="4"/>
      <c r="Y281" s="4"/>
      <c r="Z281" s="4"/>
    </row>
    <row r="282" spans="1:26" ht="16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4"/>
      <c r="W282" s="4"/>
      <c r="X282" s="4"/>
      <c r="Y282" s="4"/>
      <c r="Z282" s="4"/>
    </row>
    <row r="283" spans="1:26" ht="16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4"/>
      <c r="W283" s="4"/>
      <c r="X283" s="4"/>
      <c r="Y283" s="4"/>
      <c r="Z283" s="4"/>
    </row>
    <row r="284" spans="1:26" ht="16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4"/>
      <c r="W284" s="4"/>
      <c r="X284" s="4"/>
      <c r="Y284" s="4"/>
      <c r="Z284" s="4"/>
    </row>
    <row r="285" spans="1:26" ht="16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4"/>
      <c r="W285" s="4"/>
      <c r="X285" s="4"/>
      <c r="Y285" s="4"/>
      <c r="Z285" s="4"/>
    </row>
    <row r="286" spans="1:26" ht="16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4"/>
      <c r="W286" s="4"/>
      <c r="X286" s="4"/>
      <c r="Y286" s="4"/>
      <c r="Z286" s="4"/>
    </row>
    <row r="287" spans="1:26" ht="16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4"/>
      <c r="W287" s="4"/>
      <c r="X287" s="4"/>
      <c r="Y287" s="4"/>
      <c r="Z287" s="4"/>
    </row>
    <row r="288" spans="1:26" ht="16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4"/>
      <c r="W288" s="4"/>
      <c r="X288" s="4"/>
      <c r="Y288" s="4"/>
      <c r="Z288" s="4"/>
    </row>
    <row r="289" spans="1:26" ht="16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4"/>
      <c r="W289" s="4"/>
      <c r="X289" s="4"/>
      <c r="Y289" s="4"/>
      <c r="Z289" s="4"/>
    </row>
    <row r="290" spans="1:26" ht="16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4"/>
      <c r="W290" s="4"/>
      <c r="X290" s="4"/>
      <c r="Y290" s="4"/>
      <c r="Z290" s="4"/>
    </row>
    <row r="291" spans="1:26" ht="16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4"/>
      <c r="W291" s="4"/>
      <c r="X291" s="4"/>
      <c r="Y291" s="4"/>
      <c r="Z291" s="4"/>
    </row>
    <row r="292" spans="1:26" ht="16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4"/>
      <c r="W292" s="4"/>
      <c r="X292" s="4"/>
      <c r="Y292" s="4"/>
      <c r="Z292" s="4"/>
    </row>
    <row r="293" spans="1:26" ht="16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4"/>
      <c r="W293" s="4"/>
      <c r="X293" s="4"/>
      <c r="Y293" s="4"/>
      <c r="Z293" s="4"/>
    </row>
    <row r="294" spans="1:26" ht="16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4"/>
      <c r="W294" s="4"/>
      <c r="X294" s="4"/>
      <c r="Y294" s="4"/>
      <c r="Z294" s="4"/>
    </row>
    <row r="295" spans="1:26" ht="16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4"/>
      <c r="W295" s="4"/>
      <c r="X295" s="4"/>
      <c r="Y295" s="4"/>
      <c r="Z295" s="4"/>
    </row>
    <row r="296" spans="1:26" ht="16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4"/>
      <c r="W296" s="4"/>
      <c r="X296" s="4"/>
      <c r="Y296" s="4"/>
      <c r="Z296" s="4"/>
    </row>
    <row r="297" spans="1:26" ht="16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4"/>
      <c r="W297" s="4"/>
      <c r="X297" s="4"/>
      <c r="Y297" s="4"/>
      <c r="Z297" s="4"/>
    </row>
    <row r="298" spans="1:26" ht="16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4"/>
      <c r="W298" s="4"/>
      <c r="X298" s="4"/>
      <c r="Y298" s="4"/>
      <c r="Z298" s="4"/>
    </row>
    <row r="299" spans="1:26" ht="16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4"/>
      <c r="W299" s="4"/>
      <c r="X299" s="4"/>
      <c r="Y299" s="4"/>
      <c r="Z299" s="4"/>
    </row>
    <row r="300" spans="1:26" ht="16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4"/>
      <c r="W300" s="4"/>
      <c r="X300" s="4"/>
      <c r="Y300" s="4"/>
      <c r="Z300" s="4"/>
    </row>
    <row r="301" spans="1:26" ht="16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4"/>
      <c r="W301" s="4"/>
      <c r="X301" s="4"/>
      <c r="Y301" s="4"/>
      <c r="Z301" s="4"/>
    </row>
    <row r="302" spans="1:26" ht="16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4"/>
      <c r="W302" s="4"/>
      <c r="X302" s="4"/>
      <c r="Y302" s="4"/>
      <c r="Z302" s="4"/>
    </row>
    <row r="303" spans="1:26" ht="16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4"/>
      <c r="W303" s="4"/>
      <c r="X303" s="4"/>
      <c r="Y303" s="4"/>
      <c r="Z303" s="4"/>
    </row>
    <row r="304" spans="1:26" ht="16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4"/>
      <c r="W304" s="4"/>
      <c r="X304" s="4"/>
      <c r="Y304" s="4"/>
      <c r="Z304" s="4"/>
    </row>
    <row r="305" spans="1:26" ht="16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4"/>
      <c r="W305" s="4"/>
      <c r="X305" s="4"/>
      <c r="Y305" s="4"/>
      <c r="Z305" s="4"/>
    </row>
    <row r="306" spans="1:26" ht="16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4"/>
      <c r="W306" s="4"/>
      <c r="X306" s="4"/>
      <c r="Y306" s="4"/>
      <c r="Z306" s="4"/>
    </row>
    <row r="307" spans="1:26" ht="16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4"/>
      <c r="W307" s="4"/>
      <c r="X307" s="4"/>
      <c r="Y307" s="4"/>
      <c r="Z307" s="4"/>
    </row>
    <row r="308" spans="1:26" ht="16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4"/>
      <c r="W308" s="4"/>
      <c r="X308" s="4"/>
      <c r="Y308" s="4"/>
      <c r="Z308" s="4"/>
    </row>
    <row r="309" spans="1:26" ht="16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4"/>
      <c r="W309" s="4"/>
      <c r="X309" s="4"/>
      <c r="Y309" s="4"/>
      <c r="Z309" s="4"/>
    </row>
    <row r="310" spans="1:26" ht="16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4"/>
      <c r="W310" s="4"/>
      <c r="X310" s="4"/>
      <c r="Y310" s="4"/>
      <c r="Z310" s="4"/>
    </row>
    <row r="311" spans="1:26" ht="16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4"/>
      <c r="W311" s="4"/>
      <c r="X311" s="4"/>
      <c r="Y311" s="4"/>
      <c r="Z311" s="4"/>
    </row>
    <row r="312" spans="1:26" ht="16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4"/>
      <c r="W312" s="4"/>
      <c r="X312" s="4"/>
      <c r="Y312" s="4"/>
      <c r="Z312" s="4"/>
    </row>
    <row r="313" spans="1:26" ht="16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4"/>
      <c r="W313" s="4"/>
      <c r="X313" s="4"/>
      <c r="Y313" s="4"/>
      <c r="Z313" s="4"/>
    </row>
    <row r="314" spans="1:26" ht="16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"/>
      <c r="W314" s="4"/>
      <c r="X314" s="4"/>
      <c r="Y314" s="4"/>
      <c r="Z314" s="4"/>
    </row>
    <row r="315" spans="1:26" ht="16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4"/>
      <c r="X315" s="4"/>
      <c r="Y315" s="4"/>
      <c r="Z315" s="4"/>
    </row>
    <row r="316" spans="1:26" ht="16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4"/>
      <c r="X316" s="4"/>
      <c r="Y316" s="4"/>
      <c r="Z316" s="4"/>
    </row>
    <row r="317" spans="1:26" ht="16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4"/>
      <c r="X317" s="4"/>
      <c r="Y317" s="4"/>
      <c r="Z317" s="4"/>
    </row>
    <row r="318" spans="1:26" ht="16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4"/>
      <c r="X318" s="4"/>
      <c r="Y318" s="4"/>
      <c r="Z318" s="4"/>
    </row>
    <row r="319" spans="1:26" ht="16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4"/>
      <c r="X319" s="4"/>
      <c r="Y319" s="4"/>
      <c r="Z319" s="4"/>
    </row>
    <row r="320" spans="1:26" ht="16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4"/>
      <c r="X320" s="4"/>
      <c r="Y320" s="4"/>
      <c r="Z320" s="4"/>
    </row>
    <row r="321" spans="1:26" ht="16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4"/>
      <c r="X321" s="4"/>
      <c r="Y321" s="4"/>
      <c r="Z321" s="4"/>
    </row>
    <row r="322" spans="1:26" ht="16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4"/>
      <c r="X322" s="4"/>
      <c r="Y322" s="4"/>
      <c r="Z322" s="4"/>
    </row>
    <row r="323" spans="1:26" ht="16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4"/>
      <c r="X323" s="4"/>
      <c r="Y323" s="4"/>
      <c r="Z323" s="4"/>
    </row>
    <row r="324" spans="1:26" ht="16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4"/>
      <c r="X324" s="4"/>
      <c r="Y324" s="4"/>
      <c r="Z324" s="4"/>
    </row>
    <row r="325" spans="1:26" ht="16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4"/>
      <c r="X325" s="4"/>
      <c r="Y325" s="4"/>
      <c r="Z325" s="4"/>
    </row>
    <row r="326" spans="1:26" ht="16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4"/>
      <c r="X326" s="4"/>
      <c r="Y326" s="4"/>
      <c r="Z326" s="4"/>
    </row>
    <row r="327" spans="1:26" ht="16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4"/>
      <c r="X327" s="4"/>
      <c r="Y327" s="4"/>
      <c r="Z327" s="4"/>
    </row>
    <row r="328" spans="1:26" ht="16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4"/>
      <c r="X328" s="4"/>
      <c r="Y328" s="4"/>
      <c r="Z328" s="4"/>
    </row>
    <row r="329" spans="1:26" ht="16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4"/>
      <c r="X329" s="4"/>
      <c r="Y329" s="4"/>
      <c r="Z329" s="4"/>
    </row>
    <row r="330" spans="1:26" ht="16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4"/>
      <c r="X330" s="4"/>
      <c r="Y330" s="4"/>
      <c r="Z330" s="4"/>
    </row>
    <row r="331" spans="1:26" ht="16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4"/>
      <c r="X331" s="4"/>
      <c r="Y331" s="4"/>
      <c r="Z331" s="4"/>
    </row>
    <row r="332" spans="1:26" ht="16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4"/>
      <c r="X332" s="4"/>
      <c r="Y332" s="4"/>
      <c r="Z332" s="4"/>
    </row>
    <row r="333" spans="1:26" ht="16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4"/>
      <c r="X333" s="4"/>
      <c r="Y333" s="4"/>
      <c r="Z333" s="4"/>
    </row>
    <row r="334" spans="1:26" ht="16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4"/>
      <c r="X334" s="4"/>
      <c r="Y334" s="4"/>
      <c r="Z334" s="4"/>
    </row>
    <row r="335" spans="1:26" ht="16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4"/>
      <c r="X335" s="4"/>
      <c r="Y335" s="4"/>
      <c r="Z335" s="4"/>
    </row>
    <row r="336" spans="1:26" ht="16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4"/>
      <c r="X336" s="4"/>
      <c r="Y336" s="4"/>
      <c r="Z336" s="4"/>
    </row>
    <row r="337" spans="1:26" ht="16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4"/>
      <c r="X337" s="4"/>
      <c r="Y337" s="4"/>
      <c r="Z337" s="4"/>
    </row>
    <row r="338" spans="1:26" ht="16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4"/>
      <c r="X338" s="4"/>
      <c r="Y338" s="4"/>
      <c r="Z338" s="4"/>
    </row>
    <row r="339" spans="1:26" ht="16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4"/>
      <c r="X339" s="4"/>
      <c r="Y339" s="4"/>
      <c r="Z339" s="4"/>
    </row>
    <row r="340" spans="1:26" ht="16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4"/>
      <c r="X340" s="4"/>
      <c r="Y340" s="4"/>
      <c r="Z340" s="4"/>
    </row>
    <row r="341" spans="1:26" ht="16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4"/>
      <c r="X341" s="4"/>
      <c r="Y341" s="4"/>
      <c r="Z341" s="4"/>
    </row>
    <row r="342" spans="1:26" ht="16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4"/>
      <c r="X342" s="4"/>
      <c r="Y342" s="4"/>
      <c r="Z342" s="4"/>
    </row>
    <row r="343" spans="1:26" ht="16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4"/>
      <c r="X343" s="4"/>
      <c r="Y343" s="4"/>
      <c r="Z343" s="4"/>
    </row>
    <row r="344" spans="1:26" ht="16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4"/>
      <c r="X344" s="4"/>
      <c r="Y344" s="4"/>
      <c r="Z344" s="4"/>
    </row>
    <row r="345" spans="1:26" ht="16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4"/>
      <c r="X345" s="4"/>
      <c r="Y345" s="4"/>
      <c r="Z345" s="4"/>
    </row>
    <row r="346" spans="1:26" ht="16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4"/>
      <c r="X346" s="4"/>
      <c r="Y346" s="4"/>
      <c r="Z346" s="4"/>
    </row>
    <row r="347" spans="1:26" ht="16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4"/>
      <c r="X347" s="4"/>
      <c r="Y347" s="4"/>
      <c r="Z347" s="4"/>
    </row>
    <row r="348" spans="1:26" ht="16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4"/>
      <c r="X348" s="4"/>
      <c r="Y348" s="4"/>
      <c r="Z348" s="4"/>
    </row>
    <row r="349" spans="1:26" ht="16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4"/>
      <c r="X349" s="4"/>
      <c r="Y349" s="4"/>
      <c r="Z349" s="4"/>
    </row>
    <row r="350" spans="1:26" ht="16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4"/>
      <c r="X350" s="4"/>
      <c r="Y350" s="4"/>
      <c r="Z350" s="4"/>
    </row>
    <row r="351" spans="1:26" ht="16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4"/>
      <c r="X351" s="4"/>
      <c r="Y351" s="4"/>
      <c r="Z351" s="4"/>
    </row>
    <row r="352" spans="1:26" ht="16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4"/>
      <c r="X352" s="4"/>
      <c r="Y352" s="4"/>
      <c r="Z352" s="4"/>
    </row>
    <row r="353" spans="1:26" ht="16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4"/>
      <c r="X353" s="4"/>
      <c r="Y353" s="4"/>
      <c r="Z353" s="4"/>
    </row>
    <row r="354" spans="1:26" ht="16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4"/>
      <c r="X354" s="4"/>
      <c r="Y354" s="4"/>
      <c r="Z354" s="4"/>
    </row>
    <row r="355" spans="1:26" ht="16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4"/>
      <c r="X355" s="4"/>
      <c r="Y355" s="4"/>
      <c r="Z355" s="4"/>
    </row>
    <row r="356" spans="1:26" ht="16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4"/>
      <c r="X356" s="4"/>
      <c r="Y356" s="4"/>
      <c r="Z356" s="4"/>
    </row>
    <row r="357" spans="1:26" ht="16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4"/>
      <c r="X357" s="4"/>
      <c r="Y357" s="4"/>
      <c r="Z357" s="4"/>
    </row>
    <row r="358" spans="1:26" ht="16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4"/>
      <c r="X358" s="4"/>
      <c r="Y358" s="4"/>
      <c r="Z358" s="4"/>
    </row>
    <row r="359" spans="1:26" ht="16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4"/>
      <c r="X359" s="4"/>
      <c r="Y359" s="4"/>
      <c r="Z359" s="4"/>
    </row>
    <row r="360" spans="1:26" ht="16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4"/>
      <c r="X360" s="4"/>
      <c r="Y360" s="4"/>
      <c r="Z360" s="4"/>
    </row>
    <row r="361" spans="1:26" ht="16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4"/>
      <c r="X361" s="4"/>
      <c r="Y361" s="4"/>
      <c r="Z361" s="4"/>
    </row>
    <row r="362" spans="1:26" ht="16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4"/>
      <c r="X362" s="4"/>
      <c r="Y362" s="4"/>
      <c r="Z362" s="4"/>
    </row>
    <row r="363" spans="1:26" ht="16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4"/>
      <c r="X363" s="4"/>
      <c r="Y363" s="4"/>
      <c r="Z363" s="4"/>
    </row>
    <row r="364" spans="1:26" ht="16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4"/>
      <c r="X364" s="4"/>
      <c r="Y364" s="4"/>
      <c r="Z364" s="4"/>
    </row>
    <row r="365" spans="1:26" ht="16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4"/>
      <c r="X365" s="4"/>
      <c r="Y365" s="4"/>
      <c r="Z365" s="4"/>
    </row>
    <row r="366" spans="1:26" ht="16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4"/>
      <c r="X366" s="4"/>
      <c r="Y366" s="4"/>
      <c r="Z366" s="4"/>
    </row>
    <row r="367" spans="1:26" ht="16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4"/>
      <c r="X367" s="4"/>
      <c r="Y367" s="4"/>
      <c r="Z367" s="4"/>
    </row>
    <row r="368" spans="1:26" ht="16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4"/>
      <c r="X368" s="4"/>
      <c r="Y368" s="4"/>
      <c r="Z368" s="4"/>
    </row>
    <row r="369" spans="1:26" ht="16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4"/>
      <c r="X369" s="4"/>
      <c r="Y369" s="4"/>
      <c r="Z369" s="4"/>
    </row>
    <row r="370" spans="1:26" ht="16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4"/>
      <c r="X370" s="4"/>
      <c r="Y370" s="4"/>
      <c r="Z370" s="4"/>
    </row>
    <row r="371" spans="1:26" ht="16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4"/>
      <c r="X371" s="4"/>
      <c r="Y371" s="4"/>
      <c r="Z371" s="4"/>
    </row>
    <row r="372" spans="1:26" ht="16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4"/>
      <c r="X372" s="4"/>
      <c r="Y372" s="4"/>
      <c r="Z372" s="4"/>
    </row>
    <row r="373" spans="1:26" ht="16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4"/>
      <c r="X373" s="4"/>
      <c r="Y373" s="4"/>
      <c r="Z373" s="4"/>
    </row>
    <row r="374" spans="1:26" ht="16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4"/>
      <c r="X374" s="4"/>
      <c r="Y374" s="4"/>
      <c r="Z374" s="4"/>
    </row>
    <row r="375" spans="1:26" ht="16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4"/>
      <c r="X375" s="4"/>
      <c r="Y375" s="4"/>
      <c r="Z375" s="4"/>
    </row>
    <row r="376" spans="1:26" ht="16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4"/>
      <c r="X376" s="4"/>
      <c r="Y376" s="4"/>
      <c r="Z376" s="4"/>
    </row>
    <row r="377" spans="1:26" ht="16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4"/>
      <c r="X377" s="4"/>
      <c r="Y377" s="4"/>
      <c r="Z377" s="4"/>
    </row>
    <row r="378" spans="1:26" ht="16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4"/>
      <c r="X378" s="4"/>
      <c r="Y378" s="4"/>
      <c r="Z378" s="4"/>
    </row>
    <row r="379" spans="1:26" ht="16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4"/>
      <c r="X379" s="4"/>
      <c r="Y379" s="4"/>
      <c r="Z379" s="4"/>
    </row>
    <row r="380" spans="1:26" ht="16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4"/>
      <c r="W380" s="4"/>
      <c r="X380" s="4"/>
      <c r="Y380" s="4"/>
      <c r="Z380" s="4"/>
    </row>
    <row r="381" spans="1:26" ht="16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4"/>
      <c r="W381" s="4"/>
      <c r="X381" s="4"/>
      <c r="Y381" s="4"/>
      <c r="Z381" s="4"/>
    </row>
    <row r="382" spans="1:26" ht="16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/>
      <c r="W382" s="4"/>
      <c r="X382" s="4"/>
      <c r="Y382" s="4"/>
      <c r="Z382" s="4"/>
    </row>
    <row r="383" spans="1:26" ht="16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4"/>
      <c r="W383" s="4"/>
      <c r="X383" s="4"/>
      <c r="Y383" s="4"/>
      <c r="Z383" s="4"/>
    </row>
    <row r="384" spans="1:26" ht="16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4"/>
      <c r="W384" s="4"/>
      <c r="X384" s="4"/>
      <c r="Y384" s="4"/>
      <c r="Z384" s="4"/>
    </row>
    <row r="385" spans="1:26" ht="16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4"/>
      <c r="W385" s="4"/>
      <c r="X385" s="4"/>
      <c r="Y385" s="4"/>
      <c r="Z385" s="4"/>
    </row>
    <row r="386" spans="1:26" ht="16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4"/>
      <c r="W386" s="4"/>
      <c r="X386" s="4"/>
      <c r="Y386" s="4"/>
      <c r="Z386" s="4"/>
    </row>
    <row r="387" spans="1:26" ht="16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4"/>
      <c r="W387" s="4"/>
      <c r="X387" s="4"/>
      <c r="Y387" s="4"/>
      <c r="Z387" s="4"/>
    </row>
    <row r="388" spans="1:26" ht="16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4"/>
      <c r="W388" s="4"/>
      <c r="X388" s="4"/>
      <c r="Y388" s="4"/>
      <c r="Z388" s="4"/>
    </row>
    <row r="389" spans="1:26" ht="16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4"/>
      <c r="W389" s="4"/>
      <c r="X389" s="4"/>
      <c r="Y389" s="4"/>
      <c r="Z389" s="4"/>
    </row>
    <row r="390" spans="1:26" ht="16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4"/>
      <c r="W390" s="4"/>
      <c r="X390" s="4"/>
      <c r="Y390" s="4"/>
      <c r="Z390" s="4"/>
    </row>
    <row r="391" spans="1:26" ht="16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4"/>
      <c r="W391" s="4"/>
      <c r="X391" s="4"/>
      <c r="Y391" s="4"/>
      <c r="Z391" s="4"/>
    </row>
    <row r="392" spans="1:26" ht="16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4"/>
      <c r="W392" s="4"/>
      <c r="X392" s="4"/>
      <c r="Y392" s="4"/>
      <c r="Z392" s="4"/>
    </row>
    <row r="393" spans="1:26" ht="16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4"/>
      <c r="W393" s="4"/>
      <c r="X393" s="4"/>
      <c r="Y393" s="4"/>
      <c r="Z393" s="4"/>
    </row>
    <row r="394" spans="1:26" ht="16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4"/>
      <c r="W394" s="4"/>
      <c r="X394" s="4"/>
      <c r="Y394" s="4"/>
      <c r="Z394" s="4"/>
    </row>
    <row r="395" spans="1:26" ht="16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4"/>
      <c r="W395" s="4"/>
      <c r="X395" s="4"/>
      <c r="Y395" s="4"/>
      <c r="Z395" s="4"/>
    </row>
    <row r="396" spans="1:26" ht="16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4"/>
      <c r="W396" s="4"/>
      <c r="X396" s="4"/>
      <c r="Y396" s="4"/>
      <c r="Z396" s="4"/>
    </row>
    <row r="397" spans="1:26" ht="16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4"/>
      <c r="W397" s="4"/>
      <c r="X397" s="4"/>
      <c r="Y397" s="4"/>
      <c r="Z397" s="4"/>
    </row>
    <row r="398" spans="1:26" ht="16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4"/>
      <c r="W398" s="4"/>
      <c r="X398" s="4"/>
      <c r="Y398" s="4"/>
      <c r="Z398" s="4"/>
    </row>
    <row r="399" spans="1:26" ht="16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4"/>
      <c r="W399" s="4"/>
      <c r="X399" s="4"/>
      <c r="Y399" s="4"/>
      <c r="Z399" s="4"/>
    </row>
    <row r="400" spans="1:26" ht="16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4"/>
      <c r="W400" s="4"/>
      <c r="X400" s="4"/>
      <c r="Y400" s="4"/>
      <c r="Z400" s="4"/>
    </row>
    <row r="401" spans="1:26" ht="16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4"/>
      <c r="W401" s="4"/>
      <c r="X401" s="4"/>
      <c r="Y401" s="4"/>
      <c r="Z401" s="4"/>
    </row>
    <row r="402" spans="1:26" ht="16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4"/>
      <c r="W402" s="4"/>
      <c r="X402" s="4"/>
      <c r="Y402" s="4"/>
      <c r="Z402" s="4"/>
    </row>
    <row r="403" spans="1:26" ht="16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4"/>
      <c r="W403" s="4"/>
      <c r="X403" s="4"/>
      <c r="Y403" s="4"/>
      <c r="Z403" s="4"/>
    </row>
    <row r="404" spans="1:26" ht="16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4"/>
      <c r="W404" s="4"/>
      <c r="X404" s="4"/>
      <c r="Y404" s="4"/>
      <c r="Z404" s="4"/>
    </row>
    <row r="405" spans="1:26" ht="16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4"/>
      <c r="W405" s="4"/>
      <c r="X405" s="4"/>
      <c r="Y405" s="4"/>
      <c r="Z405" s="4"/>
    </row>
    <row r="406" spans="1:26" ht="16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4"/>
      <c r="W406" s="4"/>
      <c r="X406" s="4"/>
      <c r="Y406" s="4"/>
      <c r="Z406" s="4"/>
    </row>
    <row r="407" spans="1:26" ht="16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4"/>
      <c r="W407" s="4"/>
      <c r="X407" s="4"/>
      <c r="Y407" s="4"/>
      <c r="Z407" s="4"/>
    </row>
    <row r="408" spans="1:26" ht="16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4"/>
      <c r="W408" s="4"/>
      <c r="X408" s="4"/>
      <c r="Y408" s="4"/>
      <c r="Z408" s="4"/>
    </row>
    <row r="409" spans="1:26" ht="16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4"/>
      <c r="W409" s="4"/>
      <c r="X409" s="4"/>
      <c r="Y409" s="4"/>
      <c r="Z409" s="4"/>
    </row>
    <row r="410" spans="1:26" ht="16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4"/>
      <c r="W410" s="4"/>
      <c r="X410" s="4"/>
      <c r="Y410" s="4"/>
      <c r="Z410" s="4"/>
    </row>
    <row r="411" spans="1:26" ht="16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4"/>
      <c r="W411" s="4"/>
      <c r="X411" s="4"/>
      <c r="Y411" s="4"/>
      <c r="Z411" s="4"/>
    </row>
    <row r="412" spans="1:26" ht="16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4"/>
      <c r="W412" s="4"/>
      <c r="X412" s="4"/>
      <c r="Y412" s="4"/>
      <c r="Z412" s="4"/>
    </row>
    <row r="413" spans="1:26" ht="16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4"/>
      <c r="W413" s="4"/>
      <c r="X413" s="4"/>
      <c r="Y413" s="4"/>
      <c r="Z413" s="4"/>
    </row>
    <row r="414" spans="1:26" ht="16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4"/>
      <c r="W414" s="4"/>
      <c r="X414" s="4"/>
      <c r="Y414" s="4"/>
      <c r="Z414" s="4"/>
    </row>
    <row r="415" spans="1:26" ht="16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4"/>
      <c r="W415" s="4"/>
      <c r="X415" s="4"/>
      <c r="Y415" s="4"/>
      <c r="Z415" s="4"/>
    </row>
    <row r="416" spans="1:26" ht="16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4"/>
      <c r="W416" s="4"/>
      <c r="X416" s="4"/>
      <c r="Y416" s="4"/>
      <c r="Z416" s="4"/>
    </row>
    <row r="417" spans="1:26" ht="16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4"/>
      <c r="W417" s="4"/>
      <c r="X417" s="4"/>
      <c r="Y417" s="4"/>
      <c r="Z417" s="4"/>
    </row>
    <row r="418" spans="1:26" ht="16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4"/>
      <c r="W418" s="4"/>
      <c r="X418" s="4"/>
      <c r="Y418" s="4"/>
      <c r="Z418" s="4"/>
    </row>
    <row r="419" spans="1:26" ht="16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4"/>
      <c r="W419" s="4"/>
      <c r="X419" s="4"/>
      <c r="Y419" s="4"/>
      <c r="Z419" s="4"/>
    </row>
    <row r="420" spans="1:26" ht="16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4"/>
      <c r="W420" s="4"/>
      <c r="X420" s="4"/>
      <c r="Y420" s="4"/>
      <c r="Z420" s="4"/>
    </row>
    <row r="421" spans="1:26" ht="16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4"/>
      <c r="W421" s="4"/>
      <c r="X421" s="4"/>
      <c r="Y421" s="4"/>
      <c r="Z421" s="4"/>
    </row>
    <row r="422" spans="1:26" ht="16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4"/>
      <c r="W422" s="4"/>
      <c r="X422" s="4"/>
      <c r="Y422" s="4"/>
      <c r="Z422" s="4"/>
    </row>
    <row r="423" spans="1:26" ht="16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4"/>
      <c r="W423" s="4"/>
      <c r="X423" s="4"/>
      <c r="Y423" s="4"/>
      <c r="Z423" s="4"/>
    </row>
    <row r="424" spans="1:26" ht="16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4"/>
      <c r="W424" s="4"/>
      <c r="X424" s="4"/>
      <c r="Y424" s="4"/>
      <c r="Z424" s="4"/>
    </row>
    <row r="425" spans="1:26" ht="16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4"/>
      <c r="W425" s="4"/>
      <c r="X425" s="4"/>
      <c r="Y425" s="4"/>
      <c r="Z425" s="4"/>
    </row>
    <row r="426" spans="1:26" ht="16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4"/>
      <c r="W426" s="4"/>
      <c r="X426" s="4"/>
      <c r="Y426" s="4"/>
      <c r="Z426" s="4"/>
    </row>
    <row r="427" spans="1:26" ht="16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4"/>
      <c r="W427" s="4"/>
      <c r="X427" s="4"/>
      <c r="Y427" s="4"/>
      <c r="Z427" s="4"/>
    </row>
    <row r="428" spans="1:26" ht="16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4"/>
      <c r="W428" s="4"/>
      <c r="X428" s="4"/>
      <c r="Y428" s="4"/>
      <c r="Z428" s="4"/>
    </row>
    <row r="429" spans="1:26" ht="16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4"/>
      <c r="W429" s="4"/>
      <c r="X429" s="4"/>
      <c r="Y429" s="4"/>
      <c r="Z429" s="4"/>
    </row>
    <row r="430" spans="1:26" ht="16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4"/>
      <c r="W430" s="4"/>
      <c r="X430" s="4"/>
      <c r="Y430" s="4"/>
      <c r="Z430" s="4"/>
    </row>
    <row r="431" spans="1:26" ht="16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4"/>
      <c r="W431" s="4"/>
      <c r="X431" s="4"/>
      <c r="Y431" s="4"/>
      <c r="Z431" s="4"/>
    </row>
    <row r="432" spans="1:26" ht="16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4"/>
      <c r="W432" s="4"/>
      <c r="X432" s="4"/>
      <c r="Y432" s="4"/>
      <c r="Z432" s="4"/>
    </row>
    <row r="433" spans="1:26" ht="16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4"/>
      <c r="W433" s="4"/>
      <c r="X433" s="4"/>
      <c r="Y433" s="4"/>
      <c r="Z433" s="4"/>
    </row>
    <row r="434" spans="1:26" ht="16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4"/>
      <c r="W434" s="4"/>
      <c r="X434" s="4"/>
      <c r="Y434" s="4"/>
      <c r="Z434" s="4"/>
    </row>
    <row r="435" spans="1:26" ht="16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4"/>
      <c r="W435" s="4"/>
      <c r="X435" s="4"/>
      <c r="Y435" s="4"/>
      <c r="Z435" s="4"/>
    </row>
    <row r="436" spans="1:26" ht="16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4"/>
      <c r="W436" s="4"/>
      <c r="X436" s="4"/>
      <c r="Y436" s="4"/>
      <c r="Z436" s="4"/>
    </row>
    <row r="437" spans="1:26" ht="16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4"/>
      <c r="W437" s="4"/>
      <c r="X437" s="4"/>
      <c r="Y437" s="4"/>
      <c r="Z437" s="4"/>
    </row>
    <row r="438" spans="1:26" ht="16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4"/>
      <c r="W438" s="4"/>
      <c r="X438" s="4"/>
      <c r="Y438" s="4"/>
      <c r="Z438" s="4"/>
    </row>
    <row r="439" spans="1:26" ht="16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4"/>
      <c r="W439" s="4"/>
      <c r="X439" s="4"/>
      <c r="Y439" s="4"/>
      <c r="Z439" s="4"/>
    </row>
    <row r="440" spans="1:26" ht="16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4"/>
      <c r="W440" s="4"/>
      <c r="X440" s="4"/>
      <c r="Y440" s="4"/>
      <c r="Z440" s="4"/>
    </row>
    <row r="441" spans="1:26" ht="16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4"/>
      <c r="W441" s="4"/>
      <c r="X441" s="4"/>
      <c r="Y441" s="4"/>
      <c r="Z441" s="4"/>
    </row>
    <row r="442" spans="1:26" ht="16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4"/>
      <c r="W442" s="4"/>
      <c r="X442" s="4"/>
      <c r="Y442" s="4"/>
      <c r="Z442" s="4"/>
    </row>
    <row r="443" spans="1:26" ht="16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4"/>
      <c r="W443" s="4"/>
      <c r="X443" s="4"/>
      <c r="Y443" s="4"/>
      <c r="Z443" s="4"/>
    </row>
    <row r="444" spans="1:26" ht="16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4"/>
      <c r="W444" s="4"/>
      <c r="X444" s="4"/>
      <c r="Y444" s="4"/>
      <c r="Z444" s="4"/>
    </row>
    <row r="445" spans="1:26" ht="16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4"/>
      <c r="W445" s="4"/>
      <c r="X445" s="4"/>
      <c r="Y445" s="4"/>
      <c r="Z445" s="4"/>
    </row>
    <row r="446" spans="1:26" ht="16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4"/>
      <c r="W446" s="4"/>
      <c r="X446" s="4"/>
      <c r="Y446" s="4"/>
      <c r="Z446" s="4"/>
    </row>
    <row r="447" spans="1:26" ht="16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4"/>
      <c r="W447" s="4"/>
      <c r="X447" s="4"/>
      <c r="Y447" s="4"/>
      <c r="Z447" s="4"/>
    </row>
    <row r="448" spans="1:26" ht="16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4"/>
      <c r="W448" s="4"/>
      <c r="X448" s="4"/>
      <c r="Y448" s="4"/>
      <c r="Z448" s="4"/>
    </row>
    <row r="449" spans="1:26" ht="16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4"/>
      <c r="W449" s="4"/>
      <c r="X449" s="4"/>
      <c r="Y449" s="4"/>
      <c r="Z449" s="4"/>
    </row>
    <row r="450" spans="1:26" ht="16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4"/>
      <c r="W450" s="4"/>
      <c r="X450" s="4"/>
      <c r="Y450" s="4"/>
      <c r="Z450" s="4"/>
    </row>
    <row r="451" spans="1:26" ht="16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4"/>
      <c r="W451" s="4"/>
      <c r="X451" s="4"/>
      <c r="Y451" s="4"/>
      <c r="Z451" s="4"/>
    </row>
    <row r="452" spans="1:26" ht="16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4"/>
      <c r="W452" s="4"/>
      <c r="X452" s="4"/>
      <c r="Y452" s="4"/>
      <c r="Z452" s="4"/>
    </row>
    <row r="453" spans="1:26" ht="16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4"/>
      <c r="W453" s="4"/>
      <c r="X453" s="4"/>
      <c r="Y453" s="4"/>
      <c r="Z453" s="4"/>
    </row>
    <row r="454" spans="1:26" ht="16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4"/>
      <c r="W454" s="4"/>
      <c r="X454" s="4"/>
      <c r="Y454" s="4"/>
      <c r="Z454" s="4"/>
    </row>
    <row r="455" spans="1:26" ht="16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4"/>
      <c r="W455" s="4"/>
      <c r="X455" s="4"/>
      <c r="Y455" s="4"/>
      <c r="Z455" s="4"/>
    </row>
    <row r="456" spans="1:26" ht="16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4"/>
      <c r="W456" s="4"/>
      <c r="X456" s="4"/>
      <c r="Y456" s="4"/>
      <c r="Z456" s="4"/>
    </row>
    <row r="457" spans="1:26" ht="16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4"/>
      <c r="W457" s="4"/>
      <c r="X457" s="4"/>
      <c r="Y457" s="4"/>
      <c r="Z457" s="4"/>
    </row>
    <row r="458" spans="1:26" ht="16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4"/>
      <c r="W458" s="4"/>
      <c r="X458" s="4"/>
      <c r="Y458" s="4"/>
      <c r="Z458" s="4"/>
    </row>
    <row r="459" spans="1:26" ht="16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4"/>
      <c r="W459" s="4"/>
      <c r="X459" s="4"/>
      <c r="Y459" s="4"/>
      <c r="Z459" s="4"/>
    </row>
    <row r="460" spans="1:26" ht="16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4"/>
      <c r="W460" s="4"/>
      <c r="X460" s="4"/>
      <c r="Y460" s="4"/>
      <c r="Z460" s="4"/>
    </row>
    <row r="461" spans="1:26" ht="16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4"/>
      <c r="W461" s="4"/>
      <c r="X461" s="4"/>
      <c r="Y461" s="4"/>
      <c r="Z461" s="4"/>
    </row>
    <row r="462" spans="1:26" ht="16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4"/>
      <c r="W462" s="4"/>
      <c r="X462" s="4"/>
      <c r="Y462" s="4"/>
      <c r="Z462" s="4"/>
    </row>
    <row r="463" spans="1:26" ht="16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4"/>
      <c r="W463" s="4"/>
      <c r="X463" s="4"/>
      <c r="Y463" s="4"/>
      <c r="Z463" s="4"/>
    </row>
    <row r="464" spans="1:26" ht="16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4"/>
      <c r="W464" s="4"/>
      <c r="X464" s="4"/>
      <c r="Y464" s="4"/>
      <c r="Z464" s="4"/>
    </row>
    <row r="465" spans="1:26" ht="16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4"/>
      <c r="W465" s="4"/>
      <c r="X465" s="4"/>
      <c r="Y465" s="4"/>
      <c r="Z465" s="4"/>
    </row>
    <row r="466" spans="1:26" ht="16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4"/>
      <c r="W466" s="4"/>
      <c r="X466" s="4"/>
      <c r="Y466" s="4"/>
      <c r="Z466" s="4"/>
    </row>
    <row r="467" spans="1:26" ht="16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4"/>
      <c r="W467" s="4"/>
      <c r="X467" s="4"/>
      <c r="Y467" s="4"/>
      <c r="Z467" s="4"/>
    </row>
    <row r="468" spans="1:26" ht="16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4"/>
      <c r="W468" s="4"/>
      <c r="X468" s="4"/>
      <c r="Y468" s="4"/>
      <c r="Z468" s="4"/>
    </row>
    <row r="469" spans="1:26" ht="16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4"/>
      <c r="W469" s="4"/>
      <c r="X469" s="4"/>
      <c r="Y469" s="4"/>
      <c r="Z469" s="4"/>
    </row>
    <row r="470" spans="1:26" ht="16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4"/>
      <c r="W470" s="4"/>
      <c r="X470" s="4"/>
      <c r="Y470" s="4"/>
      <c r="Z470" s="4"/>
    </row>
    <row r="471" spans="1:26" ht="16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4"/>
      <c r="W471" s="4"/>
      <c r="X471" s="4"/>
      <c r="Y471" s="4"/>
      <c r="Z471" s="4"/>
    </row>
    <row r="472" spans="1:26" ht="16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4"/>
      <c r="W472" s="4"/>
      <c r="X472" s="4"/>
      <c r="Y472" s="4"/>
      <c r="Z472" s="4"/>
    </row>
    <row r="473" spans="1:26" ht="16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4"/>
      <c r="W473" s="4"/>
      <c r="X473" s="4"/>
      <c r="Y473" s="4"/>
      <c r="Z473" s="4"/>
    </row>
    <row r="474" spans="1:26" ht="16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4"/>
      <c r="W474" s="4"/>
      <c r="X474" s="4"/>
      <c r="Y474" s="4"/>
      <c r="Z474" s="4"/>
    </row>
    <row r="475" spans="1:26" ht="16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4"/>
      <c r="W475" s="4"/>
      <c r="X475" s="4"/>
      <c r="Y475" s="4"/>
      <c r="Z475" s="4"/>
    </row>
    <row r="476" spans="1:26" ht="16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4"/>
      <c r="W476" s="4"/>
      <c r="X476" s="4"/>
      <c r="Y476" s="4"/>
      <c r="Z476" s="4"/>
    </row>
    <row r="477" spans="1:26" ht="16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4"/>
      <c r="W477" s="4"/>
      <c r="X477" s="4"/>
      <c r="Y477" s="4"/>
      <c r="Z477" s="4"/>
    </row>
    <row r="478" spans="1:26" ht="16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4"/>
      <c r="W478" s="4"/>
      <c r="X478" s="4"/>
      <c r="Y478" s="4"/>
      <c r="Z478" s="4"/>
    </row>
    <row r="479" spans="1:26" ht="16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4"/>
      <c r="W479" s="4"/>
      <c r="X479" s="4"/>
      <c r="Y479" s="4"/>
      <c r="Z479" s="4"/>
    </row>
    <row r="480" spans="1:26" ht="16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4"/>
      <c r="W480" s="4"/>
      <c r="X480" s="4"/>
      <c r="Y480" s="4"/>
      <c r="Z480" s="4"/>
    </row>
    <row r="481" spans="1:26" ht="16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4"/>
      <c r="W481" s="4"/>
      <c r="X481" s="4"/>
      <c r="Y481" s="4"/>
      <c r="Z481" s="4"/>
    </row>
    <row r="482" spans="1:26" ht="16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4"/>
      <c r="W482" s="4"/>
      <c r="X482" s="4"/>
      <c r="Y482" s="4"/>
      <c r="Z482" s="4"/>
    </row>
    <row r="483" spans="1:26" ht="16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4"/>
      <c r="W483" s="4"/>
      <c r="X483" s="4"/>
      <c r="Y483" s="4"/>
      <c r="Z483" s="4"/>
    </row>
    <row r="484" spans="1:26" ht="16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4"/>
      <c r="W484" s="4"/>
      <c r="X484" s="4"/>
      <c r="Y484" s="4"/>
      <c r="Z484" s="4"/>
    </row>
    <row r="485" spans="1:26" ht="16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4"/>
      <c r="W485" s="4"/>
      <c r="X485" s="4"/>
      <c r="Y485" s="4"/>
      <c r="Z485" s="4"/>
    </row>
    <row r="486" spans="1:26" ht="16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4"/>
      <c r="W486" s="4"/>
      <c r="X486" s="4"/>
      <c r="Y486" s="4"/>
      <c r="Z486" s="4"/>
    </row>
    <row r="487" spans="1:26" ht="16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4"/>
      <c r="W487" s="4"/>
      <c r="X487" s="4"/>
      <c r="Y487" s="4"/>
      <c r="Z487" s="4"/>
    </row>
    <row r="488" spans="1:26" ht="16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4"/>
      <c r="W488" s="4"/>
      <c r="X488" s="4"/>
      <c r="Y488" s="4"/>
      <c r="Z488" s="4"/>
    </row>
    <row r="489" spans="1:26" ht="16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4"/>
      <c r="W489" s="4"/>
      <c r="X489" s="4"/>
      <c r="Y489" s="4"/>
      <c r="Z489" s="4"/>
    </row>
    <row r="490" spans="1:26" ht="16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4"/>
      <c r="W490" s="4"/>
      <c r="X490" s="4"/>
      <c r="Y490" s="4"/>
      <c r="Z490" s="4"/>
    </row>
    <row r="491" spans="1:26" ht="16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4"/>
      <c r="W491" s="4"/>
      <c r="X491" s="4"/>
      <c r="Y491" s="4"/>
      <c r="Z491" s="4"/>
    </row>
    <row r="492" spans="1:26" ht="16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4"/>
      <c r="W492" s="4"/>
      <c r="X492" s="4"/>
      <c r="Y492" s="4"/>
      <c r="Z492" s="4"/>
    </row>
    <row r="493" spans="1:26" ht="16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4"/>
      <c r="W493" s="4"/>
      <c r="X493" s="4"/>
      <c r="Y493" s="4"/>
      <c r="Z493" s="4"/>
    </row>
    <row r="494" spans="1:26" ht="16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4"/>
      <c r="W494" s="4"/>
      <c r="X494" s="4"/>
      <c r="Y494" s="4"/>
      <c r="Z494" s="4"/>
    </row>
    <row r="495" spans="1:26" ht="16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4"/>
      <c r="W495" s="4"/>
      <c r="X495" s="4"/>
      <c r="Y495" s="4"/>
      <c r="Z495" s="4"/>
    </row>
    <row r="496" spans="1:26" ht="16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4"/>
      <c r="W496" s="4"/>
      <c r="X496" s="4"/>
      <c r="Y496" s="4"/>
      <c r="Z496" s="4"/>
    </row>
    <row r="497" spans="1:26" ht="16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4"/>
      <c r="W497" s="4"/>
      <c r="X497" s="4"/>
      <c r="Y497" s="4"/>
      <c r="Z497" s="4"/>
    </row>
    <row r="498" spans="1:26" ht="16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4"/>
      <c r="W498" s="4"/>
      <c r="X498" s="4"/>
      <c r="Y498" s="4"/>
      <c r="Z498" s="4"/>
    </row>
    <row r="499" spans="1:26" ht="16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4"/>
      <c r="W499" s="4"/>
      <c r="X499" s="4"/>
      <c r="Y499" s="4"/>
      <c r="Z499" s="4"/>
    </row>
    <row r="500" spans="1:26" ht="16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4"/>
      <c r="W500" s="4"/>
      <c r="X500" s="4"/>
      <c r="Y500" s="4"/>
      <c r="Z500" s="4"/>
    </row>
    <row r="501" spans="1:26" ht="16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4"/>
      <c r="W501" s="4"/>
      <c r="X501" s="4"/>
      <c r="Y501" s="4"/>
      <c r="Z501" s="4"/>
    </row>
    <row r="502" spans="1:26" ht="16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4"/>
      <c r="W502" s="4"/>
      <c r="X502" s="4"/>
      <c r="Y502" s="4"/>
      <c r="Z502" s="4"/>
    </row>
    <row r="503" spans="1:26" ht="16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4"/>
      <c r="W503" s="4"/>
      <c r="X503" s="4"/>
      <c r="Y503" s="4"/>
      <c r="Z503" s="4"/>
    </row>
    <row r="504" spans="1:26" ht="16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4"/>
      <c r="W504" s="4"/>
      <c r="X504" s="4"/>
      <c r="Y504" s="4"/>
      <c r="Z504" s="4"/>
    </row>
    <row r="505" spans="1:26" ht="16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4"/>
      <c r="W505" s="4"/>
      <c r="X505" s="4"/>
      <c r="Y505" s="4"/>
      <c r="Z505" s="4"/>
    </row>
    <row r="506" spans="1:26" ht="16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4"/>
      <c r="W506" s="4"/>
      <c r="X506" s="4"/>
      <c r="Y506" s="4"/>
      <c r="Z506" s="4"/>
    </row>
    <row r="507" spans="1:26" ht="16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4"/>
      <c r="W507" s="4"/>
      <c r="X507" s="4"/>
      <c r="Y507" s="4"/>
      <c r="Z507" s="4"/>
    </row>
    <row r="508" spans="1:26" ht="16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4"/>
      <c r="W508" s="4"/>
      <c r="X508" s="4"/>
      <c r="Y508" s="4"/>
      <c r="Z508" s="4"/>
    </row>
    <row r="509" spans="1:26" ht="16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4"/>
      <c r="W509" s="4"/>
      <c r="X509" s="4"/>
      <c r="Y509" s="4"/>
      <c r="Z509" s="4"/>
    </row>
    <row r="510" spans="1:26" ht="16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4"/>
      <c r="W510" s="4"/>
      <c r="X510" s="4"/>
      <c r="Y510" s="4"/>
      <c r="Z510" s="4"/>
    </row>
    <row r="511" spans="1:26" ht="16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4"/>
      <c r="W511" s="4"/>
      <c r="X511" s="4"/>
      <c r="Y511" s="4"/>
      <c r="Z511" s="4"/>
    </row>
    <row r="512" spans="1:26" ht="16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4"/>
      <c r="W512" s="4"/>
      <c r="X512" s="4"/>
      <c r="Y512" s="4"/>
      <c r="Z512" s="4"/>
    </row>
    <row r="513" spans="1:26" ht="16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4"/>
      <c r="W513" s="4"/>
      <c r="X513" s="4"/>
      <c r="Y513" s="4"/>
      <c r="Z513" s="4"/>
    </row>
    <row r="514" spans="1:26" ht="16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4"/>
      <c r="W514" s="4"/>
      <c r="X514" s="4"/>
      <c r="Y514" s="4"/>
      <c r="Z514" s="4"/>
    </row>
    <row r="515" spans="1:26" ht="16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4"/>
      <c r="W515" s="4"/>
      <c r="X515" s="4"/>
      <c r="Y515" s="4"/>
      <c r="Z515" s="4"/>
    </row>
    <row r="516" spans="1:26" ht="16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4"/>
      <c r="W516" s="4"/>
      <c r="X516" s="4"/>
      <c r="Y516" s="4"/>
      <c r="Z516" s="4"/>
    </row>
    <row r="517" spans="1:26" ht="16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4"/>
      <c r="W517" s="4"/>
      <c r="X517" s="4"/>
      <c r="Y517" s="4"/>
      <c r="Z517" s="4"/>
    </row>
    <row r="518" spans="1:26" ht="16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4"/>
      <c r="W518" s="4"/>
      <c r="X518" s="4"/>
      <c r="Y518" s="4"/>
      <c r="Z518" s="4"/>
    </row>
    <row r="519" spans="1:26" ht="16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4"/>
      <c r="W519" s="4"/>
      <c r="X519" s="4"/>
      <c r="Y519" s="4"/>
      <c r="Z519" s="4"/>
    </row>
    <row r="520" spans="1:26" ht="16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4"/>
      <c r="W520" s="4"/>
      <c r="X520" s="4"/>
      <c r="Y520" s="4"/>
      <c r="Z520" s="4"/>
    </row>
    <row r="521" spans="1:26" ht="16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4"/>
      <c r="W521" s="4"/>
      <c r="X521" s="4"/>
      <c r="Y521" s="4"/>
      <c r="Z521" s="4"/>
    </row>
    <row r="522" spans="1:26" ht="16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4"/>
      <c r="W522" s="4"/>
      <c r="X522" s="4"/>
      <c r="Y522" s="4"/>
      <c r="Z522" s="4"/>
    </row>
    <row r="523" spans="1:26" ht="16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4"/>
      <c r="W523" s="4"/>
      <c r="X523" s="4"/>
      <c r="Y523" s="4"/>
      <c r="Z523" s="4"/>
    </row>
    <row r="524" spans="1:26" ht="16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4"/>
      <c r="W524" s="4"/>
      <c r="X524" s="4"/>
      <c r="Y524" s="4"/>
      <c r="Z524" s="4"/>
    </row>
    <row r="525" spans="1:26" ht="16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4"/>
      <c r="W525" s="4"/>
      <c r="X525" s="4"/>
      <c r="Y525" s="4"/>
      <c r="Z525" s="4"/>
    </row>
    <row r="526" spans="1:26" ht="16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4"/>
      <c r="W526" s="4"/>
      <c r="X526" s="4"/>
      <c r="Y526" s="4"/>
      <c r="Z526" s="4"/>
    </row>
    <row r="527" spans="1:26" ht="16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4"/>
      <c r="W527" s="4"/>
      <c r="X527" s="4"/>
      <c r="Y527" s="4"/>
      <c r="Z527" s="4"/>
    </row>
    <row r="528" spans="1:26" ht="16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4"/>
      <c r="W528" s="4"/>
      <c r="X528" s="4"/>
      <c r="Y528" s="4"/>
      <c r="Z528" s="4"/>
    </row>
    <row r="529" spans="1:26" ht="16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4"/>
      <c r="W529" s="4"/>
      <c r="X529" s="4"/>
      <c r="Y529" s="4"/>
      <c r="Z529" s="4"/>
    </row>
    <row r="530" spans="1:26" ht="16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4"/>
      <c r="W530" s="4"/>
      <c r="X530" s="4"/>
      <c r="Y530" s="4"/>
      <c r="Z530" s="4"/>
    </row>
    <row r="531" spans="1:26" ht="16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4"/>
      <c r="W531" s="4"/>
      <c r="X531" s="4"/>
      <c r="Y531" s="4"/>
      <c r="Z531" s="4"/>
    </row>
    <row r="532" spans="1:26" ht="16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4"/>
      <c r="W532" s="4"/>
      <c r="X532" s="4"/>
      <c r="Y532" s="4"/>
      <c r="Z532" s="4"/>
    </row>
    <row r="533" spans="1:26" ht="16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4"/>
      <c r="W533" s="4"/>
      <c r="X533" s="4"/>
      <c r="Y533" s="4"/>
      <c r="Z533" s="4"/>
    </row>
    <row r="534" spans="1:26" ht="16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4"/>
      <c r="W534" s="4"/>
      <c r="X534" s="4"/>
      <c r="Y534" s="4"/>
      <c r="Z534" s="4"/>
    </row>
    <row r="535" spans="1:26" ht="16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4"/>
      <c r="W535" s="4"/>
      <c r="X535" s="4"/>
      <c r="Y535" s="4"/>
      <c r="Z535" s="4"/>
    </row>
    <row r="536" spans="1:26" ht="16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4"/>
      <c r="W536" s="4"/>
      <c r="X536" s="4"/>
      <c r="Y536" s="4"/>
      <c r="Z536" s="4"/>
    </row>
    <row r="537" spans="1:26" ht="16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4"/>
      <c r="W537" s="4"/>
      <c r="X537" s="4"/>
      <c r="Y537" s="4"/>
      <c r="Z537" s="4"/>
    </row>
    <row r="538" spans="1:26" ht="16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4"/>
      <c r="W538" s="4"/>
      <c r="X538" s="4"/>
      <c r="Y538" s="4"/>
      <c r="Z538" s="4"/>
    </row>
    <row r="539" spans="1:26" ht="16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4"/>
      <c r="W539" s="4"/>
      <c r="X539" s="4"/>
      <c r="Y539" s="4"/>
      <c r="Z539" s="4"/>
    </row>
    <row r="540" spans="1:26" ht="16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4"/>
      <c r="W540" s="4"/>
      <c r="X540" s="4"/>
      <c r="Y540" s="4"/>
      <c r="Z540" s="4"/>
    </row>
    <row r="541" spans="1:26" ht="16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4"/>
      <c r="W541" s="4"/>
      <c r="X541" s="4"/>
      <c r="Y541" s="4"/>
      <c r="Z541" s="4"/>
    </row>
    <row r="542" spans="1:26" ht="16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4"/>
      <c r="W542" s="4"/>
      <c r="X542" s="4"/>
      <c r="Y542" s="4"/>
      <c r="Z542" s="4"/>
    </row>
    <row r="543" spans="1:26" ht="16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4"/>
      <c r="W543" s="4"/>
      <c r="X543" s="4"/>
      <c r="Y543" s="4"/>
      <c r="Z543" s="4"/>
    </row>
    <row r="544" spans="1:26" ht="16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4"/>
      <c r="W544" s="4"/>
      <c r="X544" s="4"/>
      <c r="Y544" s="4"/>
      <c r="Z544" s="4"/>
    </row>
    <row r="545" spans="1:26" ht="16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4"/>
      <c r="W545" s="4"/>
      <c r="X545" s="4"/>
      <c r="Y545" s="4"/>
      <c r="Z545" s="4"/>
    </row>
    <row r="546" spans="1:26" ht="16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4"/>
      <c r="W546" s="4"/>
      <c r="X546" s="4"/>
      <c r="Y546" s="4"/>
      <c r="Z546" s="4"/>
    </row>
    <row r="547" spans="1:26" ht="16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4"/>
      <c r="W547" s="4"/>
      <c r="X547" s="4"/>
      <c r="Y547" s="4"/>
      <c r="Z547" s="4"/>
    </row>
    <row r="548" spans="1:26" ht="16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4"/>
      <c r="W548" s="4"/>
      <c r="X548" s="4"/>
      <c r="Y548" s="4"/>
      <c r="Z548" s="4"/>
    </row>
    <row r="549" spans="1:26" ht="16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4"/>
      <c r="W549" s="4"/>
      <c r="X549" s="4"/>
      <c r="Y549" s="4"/>
      <c r="Z549" s="4"/>
    </row>
    <row r="550" spans="1:26" ht="16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4"/>
      <c r="W550" s="4"/>
      <c r="X550" s="4"/>
      <c r="Y550" s="4"/>
      <c r="Z550" s="4"/>
    </row>
    <row r="551" spans="1:26" ht="16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4"/>
      <c r="W551" s="4"/>
      <c r="X551" s="4"/>
      <c r="Y551" s="4"/>
      <c r="Z551" s="4"/>
    </row>
    <row r="552" spans="1:26" ht="16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4"/>
      <c r="W552" s="4"/>
      <c r="X552" s="4"/>
      <c r="Y552" s="4"/>
      <c r="Z552" s="4"/>
    </row>
    <row r="553" spans="1:26" ht="16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4"/>
      <c r="W553" s="4"/>
      <c r="X553" s="4"/>
      <c r="Y553" s="4"/>
      <c r="Z553" s="4"/>
    </row>
    <row r="554" spans="1:26" ht="16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4"/>
      <c r="W554" s="4"/>
      <c r="X554" s="4"/>
      <c r="Y554" s="4"/>
      <c r="Z554" s="4"/>
    </row>
    <row r="555" spans="1:26" ht="16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4"/>
      <c r="W555" s="4"/>
      <c r="X555" s="4"/>
      <c r="Y555" s="4"/>
      <c r="Z555" s="4"/>
    </row>
    <row r="556" spans="1:26" ht="16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4"/>
      <c r="W556" s="4"/>
      <c r="X556" s="4"/>
      <c r="Y556" s="4"/>
      <c r="Z556" s="4"/>
    </row>
    <row r="557" spans="1:26" ht="16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4"/>
      <c r="W557" s="4"/>
      <c r="X557" s="4"/>
      <c r="Y557" s="4"/>
      <c r="Z557" s="4"/>
    </row>
    <row r="558" spans="1:26" ht="16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4"/>
      <c r="W558" s="4"/>
      <c r="X558" s="4"/>
      <c r="Y558" s="4"/>
      <c r="Z558" s="4"/>
    </row>
    <row r="559" spans="1:26" ht="16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4"/>
      <c r="W559" s="4"/>
      <c r="X559" s="4"/>
      <c r="Y559" s="4"/>
      <c r="Z559" s="4"/>
    </row>
    <row r="560" spans="1:26" ht="16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4"/>
      <c r="W560" s="4"/>
      <c r="X560" s="4"/>
      <c r="Y560" s="4"/>
      <c r="Z560" s="4"/>
    </row>
    <row r="561" spans="1:26" ht="16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4"/>
      <c r="W561" s="4"/>
      <c r="X561" s="4"/>
      <c r="Y561" s="4"/>
      <c r="Z561" s="4"/>
    </row>
    <row r="562" spans="1:26" ht="16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4"/>
      <c r="W562" s="4"/>
      <c r="X562" s="4"/>
      <c r="Y562" s="4"/>
      <c r="Z562" s="4"/>
    </row>
    <row r="563" spans="1:26" ht="16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4"/>
      <c r="W563" s="4"/>
      <c r="X563" s="4"/>
      <c r="Y563" s="4"/>
      <c r="Z563" s="4"/>
    </row>
    <row r="564" spans="1:26" ht="16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4"/>
      <c r="W564" s="4"/>
      <c r="X564" s="4"/>
      <c r="Y564" s="4"/>
      <c r="Z564" s="4"/>
    </row>
    <row r="565" spans="1:26" ht="16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4"/>
      <c r="W565" s="4"/>
      <c r="X565" s="4"/>
      <c r="Y565" s="4"/>
      <c r="Z565" s="4"/>
    </row>
    <row r="566" spans="1:26" ht="16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4"/>
      <c r="W566" s="4"/>
      <c r="X566" s="4"/>
      <c r="Y566" s="4"/>
      <c r="Z566" s="4"/>
    </row>
    <row r="567" spans="1:26" ht="16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4"/>
      <c r="W567" s="4"/>
      <c r="X567" s="4"/>
      <c r="Y567" s="4"/>
      <c r="Z567" s="4"/>
    </row>
    <row r="568" spans="1:26" ht="16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4"/>
      <c r="W568" s="4"/>
      <c r="X568" s="4"/>
      <c r="Y568" s="4"/>
      <c r="Z568" s="4"/>
    </row>
    <row r="569" spans="1:26" ht="16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4"/>
      <c r="W569" s="4"/>
      <c r="X569" s="4"/>
      <c r="Y569" s="4"/>
      <c r="Z569" s="4"/>
    </row>
    <row r="570" spans="1:26" ht="16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4"/>
      <c r="W570" s="4"/>
      <c r="X570" s="4"/>
      <c r="Y570" s="4"/>
      <c r="Z570" s="4"/>
    </row>
    <row r="571" spans="1:26" ht="16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4"/>
      <c r="W571" s="4"/>
      <c r="X571" s="4"/>
      <c r="Y571" s="4"/>
      <c r="Z571" s="4"/>
    </row>
    <row r="572" spans="1:26" ht="16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4"/>
      <c r="W572" s="4"/>
      <c r="X572" s="4"/>
      <c r="Y572" s="4"/>
      <c r="Z572" s="4"/>
    </row>
    <row r="573" spans="1:26" ht="16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4"/>
      <c r="W573" s="4"/>
      <c r="X573" s="4"/>
      <c r="Y573" s="4"/>
      <c r="Z573" s="4"/>
    </row>
    <row r="574" spans="1:26" ht="16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4"/>
      <c r="W574" s="4"/>
      <c r="X574" s="4"/>
      <c r="Y574" s="4"/>
      <c r="Z574" s="4"/>
    </row>
    <row r="575" spans="1:26" ht="16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4"/>
      <c r="W575" s="4"/>
      <c r="X575" s="4"/>
      <c r="Y575" s="4"/>
      <c r="Z575" s="4"/>
    </row>
    <row r="576" spans="1:26" ht="16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4"/>
      <c r="W576" s="4"/>
      <c r="X576" s="4"/>
      <c r="Y576" s="4"/>
      <c r="Z576" s="4"/>
    </row>
    <row r="577" spans="1:26" ht="16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4"/>
      <c r="W577" s="4"/>
      <c r="X577" s="4"/>
      <c r="Y577" s="4"/>
      <c r="Z577" s="4"/>
    </row>
    <row r="578" spans="1:26" ht="16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4"/>
      <c r="W578" s="4"/>
      <c r="X578" s="4"/>
      <c r="Y578" s="4"/>
      <c r="Z578" s="4"/>
    </row>
    <row r="579" spans="1:26" ht="16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4"/>
      <c r="W579" s="4"/>
      <c r="X579" s="4"/>
      <c r="Y579" s="4"/>
      <c r="Z579" s="4"/>
    </row>
    <row r="580" spans="1:26" ht="16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4"/>
      <c r="W580" s="4"/>
      <c r="X580" s="4"/>
      <c r="Y580" s="4"/>
      <c r="Z580" s="4"/>
    </row>
    <row r="581" spans="1:26" ht="16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4"/>
      <c r="W581" s="4"/>
      <c r="X581" s="4"/>
      <c r="Y581" s="4"/>
      <c r="Z581" s="4"/>
    </row>
    <row r="582" spans="1:26" ht="16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4"/>
      <c r="W582" s="4"/>
      <c r="X582" s="4"/>
      <c r="Y582" s="4"/>
      <c r="Z582" s="4"/>
    </row>
    <row r="583" spans="1:26" ht="16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4"/>
      <c r="W583" s="4"/>
      <c r="X583" s="4"/>
      <c r="Y583" s="4"/>
      <c r="Z583" s="4"/>
    </row>
    <row r="584" spans="1:26" ht="16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4"/>
      <c r="W584" s="4"/>
      <c r="X584" s="4"/>
      <c r="Y584" s="4"/>
      <c r="Z584" s="4"/>
    </row>
    <row r="585" spans="1:26" ht="16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4"/>
      <c r="W585" s="4"/>
      <c r="X585" s="4"/>
      <c r="Y585" s="4"/>
      <c r="Z585" s="4"/>
    </row>
    <row r="586" spans="1:26" ht="16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4"/>
      <c r="W586" s="4"/>
      <c r="X586" s="4"/>
      <c r="Y586" s="4"/>
      <c r="Z586" s="4"/>
    </row>
    <row r="587" spans="1:26" ht="16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4"/>
      <c r="W587" s="4"/>
      <c r="X587" s="4"/>
      <c r="Y587" s="4"/>
      <c r="Z587" s="4"/>
    </row>
    <row r="588" spans="1:26" ht="16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4"/>
      <c r="W588" s="4"/>
      <c r="X588" s="4"/>
      <c r="Y588" s="4"/>
      <c r="Z588" s="4"/>
    </row>
    <row r="589" spans="1:26" ht="16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4"/>
      <c r="W589" s="4"/>
      <c r="X589" s="4"/>
      <c r="Y589" s="4"/>
      <c r="Z589" s="4"/>
    </row>
    <row r="590" spans="1:26" ht="16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4"/>
      <c r="W590" s="4"/>
      <c r="X590" s="4"/>
      <c r="Y590" s="4"/>
      <c r="Z590" s="4"/>
    </row>
    <row r="591" spans="1:26" ht="16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4"/>
      <c r="W591" s="4"/>
      <c r="X591" s="4"/>
      <c r="Y591" s="4"/>
      <c r="Z591" s="4"/>
    </row>
    <row r="592" spans="1:26" ht="16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4"/>
      <c r="W592" s="4"/>
      <c r="X592" s="4"/>
      <c r="Y592" s="4"/>
      <c r="Z592" s="4"/>
    </row>
    <row r="593" spans="1:26" ht="16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4"/>
      <c r="W593" s="4"/>
      <c r="X593" s="4"/>
      <c r="Y593" s="4"/>
      <c r="Z593" s="4"/>
    </row>
    <row r="594" spans="1:26" ht="16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4"/>
      <c r="W594" s="4"/>
      <c r="X594" s="4"/>
      <c r="Y594" s="4"/>
      <c r="Z594" s="4"/>
    </row>
    <row r="595" spans="1:26" ht="16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4"/>
      <c r="W595" s="4"/>
      <c r="X595" s="4"/>
      <c r="Y595" s="4"/>
      <c r="Z595" s="4"/>
    </row>
    <row r="596" spans="1:26" ht="16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4"/>
      <c r="W596" s="4"/>
      <c r="X596" s="4"/>
      <c r="Y596" s="4"/>
      <c r="Z596" s="4"/>
    </row>
    <row r="597" spans="1:26" ht="16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4"/>
      <c r="W597" s="4"/>
      <c r="X597" s="4"/>
      <c r="Y597" s="4"/>
      <c r="Z597" s="4"/>
    </row>
    <row r="598" spans="1:26" ht="16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4"/>
      <c r="W598" s="4"/>
      <c r="X598" s="4"/>
      <c r="Y598" s="4"/>
      <c r="Z598" s="4"/>
    </row>
    <row r="599" spans="1:26" ht="16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4"/>
      <c r="W599" s="4"/>
      <c r="X599" s="4"/>
      <c r="Y599" s="4"/>
      <c r="Z599" s="4"/>
    </row>
    <row r="600" spans="1:26" ht="16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4"/>
      <c r="W600" s="4"/>
      <c r="X600" s="4"/>
      <c r="Y600" s="4"/>
      <c r="Z600" s="4"/>
    </row>
    <row r="601" spans="1:26" ht="16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4"/>
      <c r="W601" s="4"/>
      <c r="X601" s="4"/>
      <c r="Y601" s="4"/>
      <c r="Z601" s="4"/>
    </row>
    <row r="602" spans="1:26" ht="16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4"/>
      <c r="W602" s="4"/>
      <c r="X602" s="4"/>
      <c r="Y602" s="4"/>
      <c r="Z602" s="4"/>
    </row>
    <row r="603" spans="1:26" ht="16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4"/>
      <c r="W603" s="4"/>
      <c r="X603" s="4"/>
      <c r="Y603" s="4"/>
      <c r="Z603" s="4"/>
    </row>
    <row r="604" spans="1:26" ht="16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4"/>
      <c r="W604" s="4"/>
      <c r="X604" s="4"/>
      <c r="Y604" s="4"/>
      <c r="Z604" s="4"/>
    </row>
    <row r="605" spans="1:26" ht="16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4"/>
      <c r="W605" s="4"/>
      <c r="X605" s="4"/>
      <c r="Y605" s="4"/>
      <c r="Z605" s="4"/>
    </row>
    <row r="606" spans="1:26" ht="16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4"/>
      <c r="W606" s="4"/>
      <c r="X606" s="4"/>
      <c r="Y606" s="4"/>
      <c r="Z606" s="4"/>
    </row>
    <row r="607" spans="1:26" ht="16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4"/>
      <c r="W607" s="4"/>
      <c r="X607" s="4"/>
      <c r="Y607" s="4"/>
      <c r="Z607" s="4"/>
    </row>
    <row r="608" spans="1:26" ht="16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4"/>
      <c r="W608" s="4"/>
      <c r="X608" s="4"/>
      <c r="Y608" s="4"/>
      <c r="Z608" s="4"/>
    </row>
    <row r="609" spans="1:26" ht="16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4"/>
      <c r="W609" s="4"/>
      <c r="X609" s="4"/>
      <c r="Y609" s="4"/>
      <c r="Z609" s="4"/>
    </row>
    <row r="610" spans="1:26" ht="16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4"/>
      <c r="W610" s="4"/>
      <c r="X610" s="4"/>
      <c r="Y610" s="4"/>
      <c r="Z610" s="4"/>
    </row>
    <row r="611" spans="1:26" ht="16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4"/>
      <c r="W611" s="4"/>
      <c r="X611" s="4"/>
      <c r="Y611" s="4"/>
      <c r="Z611" s="4"/>
    </row>
    <row r="612" spans="1:26" ht="16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4"/>
      <c r="W612" s="4"/>
      <c r="X612" s="4"/>
      <c r="Y612" s="4"/>
      <c r="Z612" s="4"/>
    </row>
    <row r="613" spans="1:26" ht="16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4"/>
      <c r="W613" s="4"/>
      <c r="X613" s="4"/>
      <c r="Y613" s="4"/>
      <c r="Z613" s="4"/>
    </row>
    <row r="614" spans="1:26" ht="16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4"/>
      <c r="W614" s="4"/>
      <c r="X614" s="4"/>
      <c r="Y614" s="4"/>
      <c r="Z614" s="4"/>
    </row>
    <row r="615" spans="1:26" ht="16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4"/>
      <c r="W615" s="4"/>
      <c r="X615" s="4"/>
      <c r="Y615" s="4"/>
      <c r="Z615" s="4"/>
    </row>
    <row r="616" spans="1:26" ht="16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4"/>
      <c r="W616" s="4"/>
      <c r="X616" s="4"/>
      <c r="Y616" s="4"/>
      <c r="Z616" s="4"/>
    </row>
    <row r="617" spans="1:26" ht="16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4"/>
      <c r="W617" s="4"/>
      <c r="X617" s="4"/>
      <c r="Y617" s="4"/>
      <c r="Z617" s="4"/>
    </row>
    <row r="618" spans="1:26" ht="16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4"/>
      <c r="W618" s="4"/>
      <c r="X618" s="4"/>
      <c r="Y618" s="4"/>
      <c r="Z618" s="4"/>
    </row>
    <row r="619" spans="1:26" ht="16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4"/>
      <c r="W619" s="4"/>
      <c r="X619" s="4"/>
      <c r="Y619" s="4"/>
      <c r="Z619" s="4"/>
    </row>
    <row r="620" spans="1:26" ht="16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4"/>
      <c r="W620" s="4"/>
      <c r="X620" s="4"/>
      <c r="Y620" s="4"/>
      <c r="Z620" s="4"/>
    </row>
    <row r="621" spans="1:26" ht="16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4"/>
      <c r="W621" s="4"/>
      <c r="X621" s="4"/>
      <c r="Y621" s="4"/>
      <c r="Z621" s="4"/>
    </row>
    <row r="622" spans="1:26" ht="16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4"/>
      <c r="W622" s="4"/>
      <c r="X622" s="4"/>
      <c r="Y622" s="4"/>
      <c r="Z622" s="4"/>
    </row>
    <row r="623" spans="1:26" ht="16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4"/>
      <c r="W623" s="4"/>
      <c r="X623" s="4"/>
      <c r="Y623" s="4"/>
      <c r="Z623" s="4"/>
    </row>
    <row r="624" spans="1:26" ht="16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4"/>
      <c r="W624" s="4"/>
      <c r="X624" s="4"/>
      <c r="Y624" s="4"/>
      <c r="Z624" s="4"/>
    </row>
    <row r="625" spans="1:26" ht="16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4"/>
      <c r="W625" s="4"/>
      <c r="X625" s="4"/>
      <c r="Y625" s="4"/>
      <c r="Z625" s="4"/>
    </row>
    <row r="626" spans="1:26" ht="16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4"/>
      <c r="W626" s="4"/>
      <c r="X626" s="4"/>
      <c r="Y626" s="4"/>
      <c r="Z626" s="4"/>
    </row>
    <row r="627" spans="1:26" ht="16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4"/>
      <c r="W627" s="4"/>
      <c r="X627" s="4"/>
      <c r="Y627" s="4"/>
      <c r="Z627" s="4"/>
    </row>
    <row r="628" spans="1:26" ht="16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4"/>
      <c r="W628" s="4"/>
      <c r="X628" s="4"/>
      <c r="Y628" s="4"/>
      <c r="Z628" s="4"/>
    </row>
    <row r="629" spans="1:26" ht="16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4"/>
      <c r="W629" s="4"/>
      <c r="X629" s="4"/>
      <c r="Y629" s="4"/>
      <c r="Z629" s="4"/>
    </row>
    <row r="630" spans="1:26" ht="16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4"/>
      <c r="W630" s="4"/>
      <c r="X630" s="4"/>
      <c r="Y630" s="4"/>
      <c r="Z630" s="4"/>
    </row>
    <row r="631" spans="1:26" ht="16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4"/>
      <c r="W631" s="4"/>
      <c r="X631" s="4"/>
      <c r="Y631" s="4"/>
      <c r="Z631" s="4"/>
    </row>
    <row r="632" spans="1:26" ht="16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4"/>
      <c r="W632" s="4"/>
      <c r="X632" s="4"/>
      <c r="Y632" s="4"/>
      <c r="Z632" s="4"/>
    </row>
    <row r="633" spans="1:26" ht="16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4"/>
      <c r="W633" s="4"/>
      <c r="X633" s="4"/>
      <c r="Y633" s="4"/>
      <c r="Z633" s="4"/>
    </row>
    <row r="634" spans="1:26" ht="16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4"/>
      <c r="W634" s="4"/>
      <c r="X634" s="4"/>
      <c r="Y634" s="4"/>
      <c r="Z634" s="4"/>
    </row>
    <row r="635" spans="1:26" ht="16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4"/>
      <c r="W635" s="4"/>
      <c r="X635" s="4"/>
      <c r="Y635" s="4"/>
      <c r="Z635" s="4"/>
    </row>
    <row r="636" spans="1:26" ht="16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4"/>
      <c r="W636" s="4"/>
      <c r="X636" s="4"/>
      <c r="Y636" s="4"/>
      <c r="Z636" s="4"/>
    </row>
    <row r="637" spans="1:26" ht="16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4"/>
      <c r="W637" s="4"/>
      <c r="X637" s="4"/>
      <c r="Y637" s="4"/>
      <c r="Z637" s="4"/>
    </row>
    <row r="638" spans="1:26" ht="16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4"/>
      <c r="W638" s="4"/>
      <c r="X638" s="4"/>
      <c r="Y638" s="4"/>
      <c r="Z638" s="4"/>
    </row>
    <row r="639" spans="1:26" ht="16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4"/>
      <c r="W639" s="4"/>
      <c r="X639" s="4"/>
      <c r="Y639" s="4"/>
      <c r="Z639" s="4"/>
    </row>
    <row r="640" spans="1:26" ht="16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4"/>
      <c r="W640" s="4"/>
      <c r="X640" s="4"/>
      <c r="Y640" s="4"/>
      <c r="Z640" s="4"/>
    </row>
    <row r="641" spans="1:26" ht="16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4"/>
      <c r="W641" s="4"/>
      <c r="X641" s="4"/>
      <c r="Y641" s="4"/>
      <c r="Z641" s="4"/>
    </row>
    <row r="642" spans="1:26" ht="16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4"/>
      <c r="W642" s="4"/>
      <c r="X642" s="4"/>
      <c r="Y642" s="4"/>
      <c r="Z642" s="4"/>
    </row>
    <row r="643" spans="1:26" ht="16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4"/>
      <c r="W643" s="4"/>
      <c r="X643" s="4"/>
      <c r="Y643" s="4"/>
      <c r="Z643" s="4"/>
    </row>
    <row r="644" spans="1:26" ht="16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4"/>
      <c r="W644" s="4"/>
      <c r="X644" s="4"/>
      <c r="Y644" s="4"/>
      <c r="Z644" s="4"/>
    </row>
    <row r="645" spans="1:26" ht="16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4"/>
      <c r="W645" s="4"/>
      <c r="X645" s="4"/>
      <c r="Y645" s="4"/>
      <c r="Z645" s="4"/>
    </row>
    <row r="646" spans="1:26" ht="16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4"/>
      <c r="W646" s="4"/>
      <c r="X646" s="4"/>
      <c r="Y646" s="4"/>
      <c r="Z646" s="4"/>
    </row>
    <row r="647" spans="1:26" ht="16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4"/>
      <c r="W647" s="4"/>
      <c r="X647" s="4"/>
      <c r="Y647" s="4"/>
      <c r="Z647" s="4"/>
    </row>
    <row r="648" spans="1:26" ht="16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4"/>
      <c r="W648" s="4"/>
      <c r="X648" s="4"/>
      <c r="Y648" s="4"/>
      <c r="Z648" s="4"/>
    </row>
    <row r="649" spans="1:26" ht="16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4"/>
      <c r="W649" s="4"/>
      <c r="X649" s="4"/>
      <c r="Y649" s="4"/>
      <c r="Z649" s="4"/>
    </row>
    <row r="650" spans="1:26" ht="16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4"/>
      <c r="W650" s="4"/>
      <c r="X650" s="4"/>
      <c r="Y650" s="4"/>
      <c r="Z650" s="4"/>
    </row>
    <row r="651" spans="1:26" ht="16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4"/>
      <c r="W651" s="4"/>
      <c r="X651" s="4"/>
      <c r="Y651" s="4"/>
      <c r="Z651" s="4"/>
    </row>
    <row r="652" spans="1:26" ht="16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4"/>
      <c r="W652" s="4"/>
      <c r="X652" s="4"/>
      <c r="Y652" s="4"/>
      <c r="Z652" s="4"/>
    </row>
    <row r="653" spans="1:26" ht="16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4"/>
      <c r="W653" s="4"/>
      <c r="X653" s="4"/>
      <c r="Y653" s="4"/>
      <c r="Z653" s="4"/>
    </row>
    <row r="654" spans="1:26" ht="16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4"/>
      <c r="W654" s="4"/>
      <c r="X654" s="4"/>
      <c r="Y654" s="4"/>
      <c r="Z654" s="4"/>
    </row>
    <row r="655" spans="1:26" ht="16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4"/>
      <c r="W655" s="4"/>
      <c r="X655" s="4"/>
      <c r="Y655" s="4"/>
      <c r="Z655" s="4"/>
    </row>
    <row r="656" spans="1:26" ht="16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4"/>
      <c r="W656" s="4"/>
      <c r="X656" s="4"/>
      <c r="Y656" s="4"/>
      <c r="Z656" s="4"/>
    </row>
    <row r="657" spans="1:26" ht="16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4"/>
      <c r="W657" s="4"/>
      <c r="X657" s="4"/>
      <c r="Y657" s="4"/>
      <c r="Z657" s="4"/>
    </row>
    <row r="658" spans="1:26" ht="16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4"/>
      <c r="W658" s="4"/>
      <c r="X658" s="4"/>
      <c r="Y658" s="4"/>
      <c r="Z658" s="4"/>
    </row>
    <row r="659" spans="1:26" ht="16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4"/>
      <c r="W659" s="4"/>
      <c r="X659" s="4"/>
      <c r="Y659" s="4"/>
      <c r="Z659" s="4"/>
    </row>
    <row r="660" spans="1:26" ht="16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4"/>
      <c r="W660" s="4"/>
      <c r="X660" s="4"/>
      <c r="Y660" s="4"/>
      <c r="Z660" s="4"/>
    </row>
    <row r="661" spans="1:26" ht="16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4"/>
      <c r="W661" s="4"/>
      <c r="X661" s="4"/>
      <c r="Y661" s="4"/>
      <c r="Z661" s="4"/>
    </row>
    <row r="662" spans="1:26" ht="16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4"/>
      <c r="W662" s="4"/>
      <c r="X662" s="4"/>
      <c r="Y662" s="4"/>
      <c r="Z662" s="4"/>
    </row>
    <row r="663" spans="1:26" ht="16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4"/>
      <c r="W663" s="4"/>
      <c r="X663" s="4"/>
      <c r="Y663" s="4"/>
      <c r="Z663" s="4"/>
    </row>
    <row r="664" spans="1:26" ht="16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4"/>
      <c r="W664" s="4"/>
      <c r="X664" s="4"/>
      <c r="Y664" s="4"/>
      <c r="Z664" s="4"/>
    </row>
    <row r="665" spans="1:26" ht="16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4"/>
      <c r="W665" s="4"/>
      <c r="X665" s="4"/>
      <c r="Y665" s="4"/>
      <c r="Z665" s="4"/>
    </row>
    <row r="666" spans="1:26" ht="16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4"/>
      <c r="W666" s="4"/>
      <c r="X666" s="4"/>
      <c r="Y666" s="4"/>
      <c r="Z666" s="4"/>
    </row>
    <row r="667" spans="1:26" ht="16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4"/>
      <c r="W667" s="4"/>
      <c r="X667" s="4"/>
      <c r="Y667" s="4"/>
      <c r="Z667" s="4"/>
    </row>
    <row r="668" spans="1:26" ht="16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4"/>
      <c r="W668" s="4"/>
      <c r="X668" s="4"/>
      <c r="Y668" s="4"/>
      <c r="Z668" s="4"/>
    </row>
    <row r="669" spans="1:26" ht="16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4"/>
      <c r="W669" s="4"/>
      <c r="X669" s="4"/>
      <c r="Y669" s="4"/>
      <c r="Z669" s="4"/>
    </row>
    <row r="670" spans="1:26" ht="16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4"/>
      <c r="W670" s="4"/>
      <c r="X670" s="4"/>
      <c r="Y670" s="4"/>
      <c r="Z670" s="4"/>
    </row>
    <row r="671" spans="1:26" ht="16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4"/>
      <c r="W671" s="4"/>
      <c r="X671" s="4"/>
      <c r="Y671" s="4"/>
      <c r="Z671" s="4"/>
    </row>
    <row r="672" spans="1:26" ht="16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4"/>
      <c r="W672" s="4"/>
      <c r="X672" s="4"/>
      <c r="Y672" s="4"/>
      <c r="Z672" s="4"/>
    </row>
    <row r="673" spans="1:26" ht="16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4"/>
      <c r="W673" s="4"/>
      <c r="X673" s="4"/>
      <c r="Y673" s="4"/>
      <c r="Z673" s="4"/>
    </row>
    <row r="674" spans="1:26" ht="16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4"/>
      <c r="W674" s="4"/>
      <c r="X674" s="4"/>
      <c r="Y674" s="4"/>
      <c r="Z674" s="4"/>
    </row>
    <row r="675" spans="1:26" ht="16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4"/>
      <c r="W675" s="4"/>
      <c r="X675" s="4"/>
      <c r="Y675" s="4"/>
      <c r="Z675" s="4"/>
    </row>
    <row r="676" spans="1:26" ht="16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4"/>
      <c r="W676" s="4"/>
      <c r="X676" s="4"/>
      <c r="Y676" s="4"/>
      <c r="Z676" s="4"/>
    </row>
    <row r="677" spans="1:26" ht="16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4"/>
      <c r="W677" s="4"/>
      <c r="X677" s="4"/>
      <c r="Y677" s="4"/>
      <c r="Z677" s="4"/>
    </row>
    <row r="678" spans="1:26" ht="16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4"/>
      <c r="W678" s="4"/>
      <c r="X678" s="4"/>
      <c r="Y678" s="4"/>
      <c r="Z678" s="4"/>
    </row>
    <row r="679" spans="1:26" ht="16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4"/>
      <c r="W679" s="4"/>
      <c r="X679" s="4"/>
      <c r="Y679" s="4"/>
      <c r="Z679" s="4"/>
    </row>
    <row r="680" spans="1:26" ht="16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4"/>
      <c r="W680" s="4"/>
      <c r="X680" s="4"/>
      <c r="Y680" s="4"/>
      <c r="Z680" s="4"/>
    </row>
    <row r="681" spans="1:26" ht="16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4"/>
      <c r="W681" s="4"/>
      <c r="X681" s="4"/>
      <c r="Y681" s="4"/>
      <c r="Z681" s="4"/>
    </row>
    <row r="682" spans="1:26" ht="16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4"/>
      <c r="W682" s="4"/>
      <c r="X682" s="4"/>
      <c r="Y682" s="4"/>
      <c r="Z682" s="4"/>
    </row>
    <row r="683" spans="1:26" ht="16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4"/>
      <c r="W683" s="4"/>
      <c r="X683" s="4"/>
      <c r="Y683" s="4"/>
      <c r="Z683" s="4"/>
    </row>
    <row r="684" spans="1:26" ht="16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4"/>
      <c r="W684" s="4"/>
      <c r="X684" s="4"/>
      <c r="Y684" s="4"/>
      <c r="Z684" s="4"/>
    </row>
    <row r="685" spans="1:26" ht="16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4"/>
      <c r="W685" s="4"/>
      <c r="X685" s="4"/>
      <c r="Y685" s="4"/>
      <c r="Z685" s="4"/>
    </row>
    <row r="686" spans="1:26" ht="16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4"/>
      <c r="W686" s="4"/>
      <c r="X686" s="4"/>
      <c r="Y686" s="4"/>
      <c r="Z686" s="4"/>
    </row>
    <row r="687" spans="1:26" ht="16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4"/>
      <c r="W687" s="4"/>
      <c r="X687" s="4"/>
      <c r="Y687" s="4"/>
      <c r="Z687" s="4"/>
    </row>
    <row r="688" spans="1:26" ht="16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4"/>
      <c r="W688" s="4"/>
      <c r="X688" s="4"/>
      <c r="Y688" s="4"/>
      <c r="Z688" s="4"/>
    </row>
    <row r="689" spans="1:26" ht="16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4"/>
      <c r="W689" s="4"/>
      <c r="X689" s="4"/>
      <c r="Y689" s="4"/>
      <c r="Z689" s="4"/>
    </row>
    <row r="690" spans="1:26" ht="16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4"/>
      <c r="W690" s="4"/>
      <c r="X690" s="4"/>
      <c r="Y690" s="4"/>
      <c r="Z690" s="4"/>
    </row>
    <row r="691" spans="1:26" ht="16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4"/>
      <c r="W691" s="4"/>
      <c r="X691" s="4"/>
      <c r="Y691" s="4"/>
      <c r="Z691" s="4"/>
    </row>
    <row r="692" spans="1:26" ht="16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4"/>
      <c r="W692" s="4"/>
      <c r="X692" s="4"/>
      <c r="Y692" s="4"/>
      <c r="Z692" s="4"/>
    </row>
    <row r="693" spans="1:26" ht="16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4"/>
      <c r="W693" s="4"/>
      <c r="X693" s="4"/>
      <c r="Y693" s="4"/>
      <c r="Z693" s="4"/>
    </row>
    <row r="694" spans="1:26" ht="16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4"/>
      <c r="W694" s="4"/>
      <c r="X694" s="4"/>
      <c r="Y694" s="4"/>
      <c r="Z694" s="4"/>
    </row>
    <row r="695" spans="1:26" ht="16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4"/>
      <c r="W695" s="4"/>
      <c r="X695" s="4"/>
      <c r="Y695" s="4"/>
      <c r="Z695" s="4"/>
    </row>
    <row r="696" spans="1:26" ht="16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4"/>
      <c r="W696" s="4"/>
      <c r="X696" s="4"/>
      <c r="Y696" s="4"/>
      <c r="Z696" s="4"/>
    </row>
    <row r="697" spans="1:26" ht="16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4"/>
      <c r="W697" s="4"/>
      <c r="X697" s="4"/>
      <c r="Y697" s="4"/>
      <c r="Z697" s="4"/>
    </row>
    <row r="698" spans="1:26" ht="16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4"/>
      <c r="W698" s="4"/>
      <c r="X698" s="4"/>
      <c r="Y698" s="4"/>
      <c r="Z698" s="4"/>
    </row>
    <row r="699" spans="1:26" ht="16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4"/>
      <c r="W699" s="4"/>
      <c r="X699" s="4"/>
      <c r="Y699" s="4"/>
      <c r="Z699" s="4"/>
    </row>
    <row r="700" spans="1:26" ht="16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4"/>
      <c r="W700" s="4"/>
      <c r="X700" s="4"/>
      <c r="Y700" s="4"/>
      <c r="Z700" s="4"/>
    </row>
    <row r="701" spans="1:26" ht="16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4"/>
      <c r="W701" s="4"/>
      <c r="X701" s="4"/>
      <c r="Y701" s="4"/>
      <c r="Z701" s="4"/>
    </row>
    <row r="702" spans="1:26" ht="16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4"/>
      <c r="W702" s="4"/>
      <c r="X702" s="4"/>
      <c r="Y702" s="4"/>
      <c r="Z702" s="4"/>
    </row>
    <row r="703" spans="1:26" ht="16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4"/>
      <c r="W703" s="4"/>
      <c r="X703" s="4"/>
      <c r="Y703" s="4"/>
      <c r="Z703" s="4"/>
    </row>
    <row r="704" spans="1:26" ht="16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4"/>
      <c r="W704" s="4"/>
      <c r="X704" s="4"/>
      <c r="Y704" s="4"/>
      <c r="Z704" s="4"/>
    </row>
    <row r="705" spans="1:26" ht="16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4"/>
      <c r="W705" s="4"/>
      <c r="X705" s="4"/>
      <c r="Y705" s="4"/>
      <c r="Z705" s="4"/>
    </row>
    <row r="706" spans="1:26" ht="16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4"/>
      <c r="W706" s="4"/>
      <c r="X706" s="4"/>
      <c r="Y706" s="4"/>
      <c r="Z706" s="4"/>
    </row>
    <row r="707" spans="1:26" ht="16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4"/>
      <c r="W707" s="4"/>
      <c r="X707" s="4"/>
      <c r="Y707" s="4"/>
      <c r="Z707" s="4"/>
    </row>
    <row r="708" spans="1:26" ht="16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4"/>
      <c r="W708" s="4"/>
      <c r="X708" s="4"/>
      <c r="Y708" s="4"/>
      <c r="Z708" s="4"/>
    </row>
    <row r="709" spans="1:26" ht="16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4"/>
      <c r="W709" s="4"/>
      <c r="X709" s="4"/>
      <c r="Y709" s="4"/>
      <c r="Z709" s="4"/>
    </row>
    <row r="710" spans="1:26" ht="16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4"/>
      <c r="W710" s="4"/>
      <c r="X710" s="4"/>
      <c r="Y710" s="4"/>
      <c r="Z710" s="4"/>
    </row>
    <row r="711" spans="1:26" ht="16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4"/>
      <c r="W711" s="4"/>
      <c r="X711" s="4"/>
      <c r="Y711" s="4"/>
      <c r="Z711" s="4"/>
    </row>
    <row r="712" spans="1:26" ht="16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4"/>
      <c r="W712" s="4"/>
      <c r="X712" s="4"/>
      <c r="Y712" s="4"/>
      <c r="Z712" s="4"/>
    </row>
    <row r="713" spans="1:26" ht="16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4"/>
      <c r="W713" s="4"/>
      <c r="X713" s="4"/>
      <c r="Y713" s="4"/>
      <c r="Z713" s="4"/>
    </row>
    <row r="714" spans="1:26" ht="16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4"/>
      <c r="W714" s="4"/>
      <c r="X714" s="4"/>
      <c r="Y714" s="4"/>
      <c r="Z714" s="4"/>
    </row>
    <row r="715" spans="1:26" ht="16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4"/>
      <c r="W715" s="4"/>
      <c r="X715" s="4"/>
      <c r="Y715" s="4"/>
      <c r="Z715" s="4"/>
    </row>
    <row r="716" spans="1:26" ht="16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4"/>
      <c r="W716" s="4"/>
      <c r="X716" s="4"/>
      <c r="Y716" s="4"/>
      <c r="Z716" s="4"/>
    </row>
    <row r="717" spans="1:26" ht="16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4"/>
      <c r="W717" s="4"/>
      <c r="X717" s="4"/>
      <c r="Y717" s="4"/>
      <c r="Z717" s="4"/>
    </row>
    <row r="718" spans="1:26" ht="16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4"/>
      <c r="W718" s="4"/>
      <c r="X718" s="4"/>
      <c r="Y718" s="4"/>
      <c r="Z718" s="4"/>
    </row>
    <row r="719" spans="1:26" ht="16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4"/>
      <c r="W719" s="4"/>
      <c r="X719" s="4"/>
      <c r="Y719" s="4"/>
      <c r="Z719" s="4"/>
    </row>
    <row r="720" spans="1:26" ht="16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4"/>
      <c r="W720" s="4"/>
      <c r="X720" s="4"/>
      <c r="Y720" s="4"/>
      <c r="Z720" s="4"/>
    </row>
    <row r="721" spans="1:26" ht="16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4"/>
      <c r="W721" s="4"/>
      <c r="X721" s="4"/>
      <c r="Y721" s="4"/>
      <c r="Z721" s="4"/>
    </row>
    <row r="722" spans="1:26" ht="16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4"/>
      <c r="W722" s="4"/>
      <c r="X722" s="4"/>
      <c r="Y722" s="4"/>
      <c r="Z722" s="4"/>
    </row>
    <row r="723" spans="1:26" ht="16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4"/>
      <c r="W723" s="4"/>
      <c r="X723" s="4"/>
      <c r="Y723" s="4"/>
      <c r="Z723" s="4"/>
    </row>
    <row r="724" spans="1:26" ht="16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4"/>
      <c r="W724" s="4"/>
      <c r="X724" s="4"/>
      <c r="Y724" s="4"/>
      <c r="Z724" s="4"/>
    </row>
    <row r="725" spans="1:26" ht="16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4"/>
      <c r="W725" s="4"/>
      <c r="X725" s="4"/>
      <c r="Y725" s="4"/>
      <c r="Z725" s="4"/>
    </row>
    <row r="726" spans="1:26" ht="16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4"/>
      <c r="W726" s="4"/>
      <c r="X726" s="4"/>
      <c r="Y726" s="4"/>
      <c r="Z726" s="4"/>
    </row>
    <row r="727" spans="1:26" ht="16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4"/>
      <c r="W727" s="4"/>
      <c r="X727" s="4"/>
      <c r="Y727" s="4"/>
      <c r="Z727" s="4"/>
    </row>
    <row r="728" spans="1:26" ht="16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4"/>
      <c r="W728" s="4"/>
      <c r="X728" s="4"/>
      <c r="Y728" s="4"/>
      <c r="Z728" s="4"/>
    </row>
    <row r="729" spans="1:26" ht="16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4"/>
      <c r="W729" s="4"/>
      <c r="X729" s="4"/>
      <c r="Y729" s="4"/>
      <c r="Z729" s="4"/>
    </row>
    <row r="730" spans="1:26" ht="16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4"/>
      <c r="W730" s="4"/>
      <c r="X730" s="4"/>
      <c r="Y730" s="4"/>
      <c r="Z730" s="4"/>
    </row>
    <row r="731" spans="1:26" ht="16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4"/>
      <c r="W731" s="4"/>
      <c r="X731" s="4"/>
      <c r="Y731" s="4"/>
      <c r="Z731" s="4"/>
    </row>
    <row r="732" spans="1:26" ht="16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4"/>
      <c r="W732" s="4"/>
      <c r="X732" s="4"/>
      <c r="Y732" s="4"/>
      <c r="Z732" s="4"/>
    </row>
    <row r="733" spans="1:26" ht="16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4"/>
      <c r="W733" s="4"/>
      <c r="X733" s="4"/>
      <c r="Y733" s="4"/>
      <c r="Z733" s="4"/>
    </row>
    <row r="734" spans="1:26" ht="16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4"/>
      <c r="W734" s="4"/>
      <c r="X734" s="4"/>
      <c r="Y734" s="4"/>
      <c r="Z734" s="4"/>
    </row>
    <row r="735" spans="1:26" ht="16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4"/>
      <c r="W735" s="4"/>
      <c r="X735" s="4"/>
      <c r="Y735" s="4"/>
      <c r="Z735" s="4"/>
    </row>
    <row r="736" spans="1:26" ht="16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4"/>
      <c r="W736" s="4"/>
      <c r="X736" s="4"/>
      <c r="Y736" s="4"/>
      <c r="Z736" s="4"/>
    </row>
    <row r="737" spans="1:26" ht="16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4"/>
      <c r="W737" s="4"/>
      <c r="X737" s="4"/>
      <c r="Y737" s="4"/>
      <c r="Z737" s="4"/>
    </row>
    <row r="738" spans="1:26" ht="16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4"/>
      <c r="W738" s="4"/>
      <c r="X738" s="4"/>
      <c r="Y738" s="4"/>
      <c r="Z738" s="4"/>
    </row>
    <row r="739" spans="1:26" ht="16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4"/>
      <c r="W739" s="4"/>
      <c r="X739" s="4"/>
      <c r="Y739" s="4"/>
      <c r="Z739" s="4"/>
    </row>
    <row r="740" spans="1:26" ht="16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4"/>
      <c r="W740" s="4"/>
      <c r="X740" s="4"/>
      <c r="Y740" s="4"/>
      <c r="Z740" s="4"/>
    </row>
    <row r="741" spans="1:26" ht="16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4"/>
      <c r="W741" s="4"/>
      <c r="X741" s="4"/>
      <c r="Y741" s="4"/>
      <c r="Z741" s="4"/>
    </row>
    <row r="742" spans="1:26" ht="16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4"/>
      <c r="W742" s="4"/>
      <c r="X742" s="4"/>
      <c r="Y742" s="4"/>
      <c r="Z742" s="4"/>
    </row>
    <row r="743" spans="1:26" ht="16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4"/>
      <c r="W743" s="4"/>
      <c r="X743" s="4"/>
      <c r="Y743" s="4"/>
      <c r="Z743" s="4"/>
    </row>
    <row r="744" spans="1:26" ht="16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4"/>
      <c r="W744" s="4"/>
      <c r="X744" s="4"/>
      <c r="Y744" s="4"/>
      <c r="Z744" s="4"/>
    </row>
    <row r="745" spans="1:26" ht="16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4"/>
      <c r="W745" s="4"/>
      <c r="X745" s="4"/>
      <c r="Y745" s="4"/>
      <c r="Z745" s="4"/>
    </row>
    <row r="746" spans="1:26" ht="16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4"/>
      <c r="W746" s="4"/>
      <c r="X746" s="4"/>
      <c r="Y746" s="4"/>
      <c r="Z746" s="4"/>
    </row>
    <row r="747" spans="1:26" ht="16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4"/>
      <c r="W747" s="4"/>
      <c r="X747" s="4"/>
      <c r="Y747" s="4"/>
      <c r="Z747" s="4"/>
    </row>
    <row r="748" spans="1:26" ht="16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4"/>
      <c r="W748" s="4"/>
      <c r="X748" s="4"/>
      <c r="Y748" s="4"/>
      <c r="Z748" s="4"/>
    </row>
    <row r="749" spans="1:26" ht="16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4"/>
      <c r="W749" s="4"/>
      <c r="X749" s="4"/>
      <c r="Y749" s="4"/>
      <c r="Z749" s="4"/>
    </row>
    <row r="750" spans="1:26" ht="16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4"/>
      <c r="W750" s="4"/>
      <c r="X750" s="4"/>
      <c r="Y750" s="4"/>
      <c r="Z750" s="4"/>
    </row>
    <row r="751" spans="1:26" ht="16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4"/>
      <c r="W751" s="4"/>
      <c r="X751" s="4"/>
      <c r="Y751" s="4"/>
      <c r="Z751" s="4"/>
    </row>
    <row r="752" spans="1:26" ht="16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4"/>
      <c r="W752" s="4"/>
      <c r="X752" s="4"/>
      <c r="Y752" s="4"/>
      <c r="Z752" s="4"/>
    </row>
    <row r="753" spans="1:26" ht="16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4"/>
      <c r="W753" s="4"/>
      <c r="X753" s="4"/>
      <c r="Y753" s="4"/>
      <c r="Z753" s="4"/>
    </row>
    <row r="754" spans="1:26" ht="16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4"/>
      <c r="W754" s="4"/>
      <c r="X754" s="4"/>
      <c r="Y754" s="4"/>
      <c r="Z754" s="4"/>
    </row>
    <row r="755" spans="1:26" ht="16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4"/>
      <c r="W755" s="4"/>
      <c r="X755" s="4"/>
      <c r="Y755" s="4"/>
      <c r="Z755" s="4"/>
    </row>
    <row r="756" spans="1:26" ht="16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4"/>
      <c r="W756" s="4"/>
      <c r="X756" s="4"/>
      <c r="Y756" s="4"/>
      <c r="Z756" s="4"/>
    </row>
    <row r="757" spans="1:26" ht="16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4"/>
      <c r="W757" s="4"/>
      <c r="X757" s="4"/>
      <c r="Y757" s="4"/>
      <c r="Z757" s="4"/>
    </row>
    <row r="758" spans="1:26" ht="16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4"/>
      <c r="W758" s="4"/>
      <c r="X758" s="4"/>
      <c r="Y758" s="4"/>
      <c r="Z758" s="4"/>
    </row>
    <row r="759" spans="1:26" ht="16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4"/>
      <c r="W759" s="4"/>
      <c r="X759" s="4"/>
      <c r="Y759" s="4"/>
      <c r="Z759" s="4"/>
    </row>
    <row r="760" spans="1:26" ht="16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4"/>
      <c r="W760" s="4"/>
      <c r="X760" s="4"/>
      <c r="Y760" s="4"/>
      <c r="Z760" s="4"/>
    </row>
    <row r="761" spans="1:26" ht="16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4"/>
      <c r="W761" s="4"/>
      <c r="X761" s="4"/>
      <c r="Y761" s="4"/>
      <c r="Z761" s="4"/>
    </row>
    <row r="762" spans="1:26" ht="16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4"/>
      <c r="W762" s="4"/>
      <c r="X762" s="4"/>
      <c r="Y762" s="4"/>
      <c r="Z762" s="4"/>
    </row>
    <row r="763" spans="1:26" ht="16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4"/>
      <c r="W763" s="4"/>
      <c r="X763" s="4"/>
      <c r="Y763" s="4"/>
      <c r="Z763" s="4"/>
    </row>
    <row r="764" spans="1:26" ht="16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4"/>
      <c r="W764" s="4"/>
      <c r="X764" s="4"/>
      <c r="Y764" s="4"/>
      <c r="Z764" s="4"/>
    </row>
    <row r="765" spans="1:26" ht="16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4"/>
      <c r="W765" s="4"/>
      <c r="X765" s="4"/>
      <c r="Y765" s="4"/>
      <c r="Z765" s="4"/>
    </row>
    <row r="766" spans="1:26" ht="16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4"/>
      <c r="W766" s="4"/>
      <c r="X766" s="4"/>
      <c r="Y766" s="4"/>
      <c r="Z766" s="4"/>
    </row>
    <row r="767" spans="1:26" ht="16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4"/>
      <c r="W767" s="4"/>
      <c r="X767" s="4"/>
      <c r="Y767" s="4"/>
      <c r="Z767" s="4"/>
    </row>
    <row r="768" spans="1:26" ht="16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4"/>
      <c r="W768" s="4"/>
      <c r="X768" s="4"/>
      <c r="Y768" s="4"/>
      <c r="Z768" s="4"/>
    </row>
    <row r="769" spans="1:26" ht="16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4"/>
      <c r="W769" s="4"/>
      <c r="X769" s="4"/>
      <c r="Y769" s="4"/>
      <c r="Z769" s="4"/>
    </row>
    <row r="770" spans="1:26" ht="16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4"/>
      <c r="W770" s="4"/>
      <c r="X770" s="4"/>
      <c r="Y770" s="4"/>
      <c r="Z770" s="4"/>
    </row>
    <row r="771" spans="1:26" ht="16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4"/>
      <c r="W771" s="4"/>
      <c r="X771" s="4"/>
      <c r="Y771" s="4"/>
      <c r="Z771" s="4"/>
    </row>
    <row r="772" spans="1:26" ht="16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4"/>
      <c r="W772" s="4"/>
      <c r="X772" s="4"/>
      <c r="Y772" s="4"/>
      <c r="Z772" s="4"/>
    </row>
    <row r="773" spans="1:26" ht="16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4"/>
      <c r="W773" s="4"/>
      <c r="X773" s="4"/>
      <c r="Y773" s="4"/>
      <c r="Z773" s="4"/>
    </row>
    <row r="774" spans="1:26" ht="16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4"/>
      <c r="W774" s="4"/>
      <c r="X774" s="4"/>
      <c r="Y774" s="4"/>
      <c r="Z774" s="4"/>
    </row>
    <row r="775" spans="1:26" ht="16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4"/>
      <c r="W775" s="4"/>
      <c r="X775" s="4"/>
      <c r="Y775" s="4"/>
      <c r="Z775" s="4"/>
    </row>
    <row r="776" spans="1:26" ht="16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4"/>
      <c r="W776" s="4"/>
      <c r="X776" s="4"/>
      <c r="Y776" s="4"/>
      <c r="Z776" s="4"/>
    </row>
    <row r="777" spans="1:26" ht="16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4"/>
      <c r="W777" s="4"/>
      <c r="X777" s="4"/>
      <c r="Y777" s="4"/>
      <c r="Z777" s="4"/>
    </row>
    <row r="778" spans="1:26" ht="16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4"/>
      <c r="W778" s="4"/>
      <c r="X778" s="4"/>
      <c r="Y778" s="4"/>
      <c r="Z778" s="4"/>
    </row>
    <row r="779" spans="1:26" ht="16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4"/>
      <c r="W779" s="4"/>
      <c r="X779" s="4"/>
      <c r="Y779" s="4"/>
      <c r="Z779" s="4"/>
    </row>
    <row r="780" spans="1:26" ht="16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4"/>
      <c r="W780" s="4"/>
      <c r="X780" s="4"/>
      <c r="Y780" s="4"/>
      <c r="Z780" s="4"/>
    </row>
    <row r="781" spans="1:26" ht="16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4"/>
      <c r="W781" s="4"/>
      <c r="X781" s="4"/>
      <c r="Y781" s="4"/>
      <c r="Z781" s="4"/>
    </row>
    <row r="782" spans="1:26" ht="16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4"/>
      <c r="W782" s="4"/>
      <c r="X782" s="4"/>
      <c r="Y782" s="4"/>
      <c r="Z782" s="4"/>
    </row>
    <row r="783" spans="1:26" ht="16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4"/>
      <c r="W783" s="4"/>
      <c r="X783" s="4"/>
      <c r="Y783" s="4"/>
      <c r="Z783" s="4"/>
    </row>
    <row r="784" spans="1:26" ht="16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4"/>
      <c r="W784" s="4"/>
      <c r="X784" s="4"/>
      <c r="Y784" s="4"/>
      <c r="Z784" s="4"/>
    </row>
    <row r="785" spans="1:26" ht="16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4"/>
      <c r="W785" s="4"/>
      <c r="X785" s="4"/>
      <c r="Y785" s="4"/>
      <c r="Z785" s="4"/>
    </row>
    <row r="786" spans="1:26" ht="16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4"/>
      <c r="W786" s="4"/>
      <c r="X786" s="4"/>
      <c r="Y786" s="4"/>
      <c r="Z786" s="4"/>
    </row>
    <row r="787" spans="1:26" ht="16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4"/>
      <c r="W787" s="4"/>
      <c r="X787" s="4"/>
      <c r="Y787" s="4"/>
      <c r="Z787" s="4"/>
    </row>
    <row r="788" spans="1:26" ht="16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4"/>
      <c r="W788" s="4"/>
      <c r="X788" s="4"/>
      <c r="Y788" s="4"/>
      <c r="Z788" s="4"/>
    </row>
    <row r="789" spans="1:26" ht="16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4"/>
      <c r="W789" s="4"/>
      <c r="X789" s="4"/>
      <c r="Y789" s="4"/>
      <c r="Z789" s="4"/>
    </row>
    <row r="790" spans="1:26" ht="16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4"/>
      <c r="W790" s="4"/>
      <c r="X790" s="4"/>
      <c r="Y790" s="4"/>
      <c r="Z790" s="4"/>
    </row>
    <row r="791" spans="1:26" ht="16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4"/>
      <c r="W791" s="4"/>
      <c r="X791" s="4"/>
      <c r="Y791" s="4"/>
      <c r="Z791" s="4"/>
    </row>
    <row r="792" spans="1:26" ht="16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4"/>
      <c r="W792" s="4"/>
      <c r="X792" s="4"/>
      <c r="Y792" s="4"/>
      <c r="Z792" s="4"/>
    </row>
    <row r="793" spans="1:26" ht="16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4"/>
      <c r="W793" s="4"/>
      <c r="X793" s="4"/>
      <c r="Y793" s="4"/>
      <c r="Z793" s="4"/>
    </row>
    <row r="794" spans="1:26" ht="16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4"/>
      <c r="W794" s="4"/>
      <c r="X794" s="4"/>
      <c r="Y794" s="4"/>
      <c r="Z794" s="4"/>
    </row>
    <row r="795" spans="1:26" ht="16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4"/>
      <c r="W795" s="4"/>
      <c r="X795" s="4"/>
      <c r="Y795" s="4"/>
      <c r="Z795" s="4"/>
    </row>
    <row r="796" spans="1:26" ht="16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4"/>
      <c r="W796" s="4"/>
      <c r="X796" s="4"/>
      <c r="Y796" s="4"/>
      <c r="Z796" s="4"/>
    </row>
    <row r="797" spans="1:26" ht="16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4"/>
      <c r="W797" s="4"/>
      <c r="X797" s="4"/>
      <c r="Y797" s="4"/>
      <c r="Z797" s="4"/>
    </row>
    <row r="798" spans="1:26" ht="16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4"/>
      <c r="W798" s="4"/>
      <c r="X798" s="4"/>
      <c r="Y798" s="4"/>
      <c r="Z798" s="4"/>
    </row>
    <row r="799" spans="1:26" ht="16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4"/>
      <c r="W799" s="4"/>
      <c r="X799" s="4"/>
      <c r="Y799" s="4"/>
      <c r="Z799" s="4"/>
    </row>
    <row r="800" spans="1:26" ht="16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4"/>
      <c r="W800" s="4"/>
      <c r="X800" s="4"/>
      <c r="Y800" s="4"/>
      <c r="Z800" s="4"/>
    </row>
    <row r="801" spans="1:26" ht="16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4"/>
      <c r="W801" s="4"/>
      <c r="X801" s="4"/>
      <c r="Y801" s="4"/>
      <c r="Z801" s="4"/>
    </row>
    <row r="802" spans="1:26" ht="16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4"/>
      <c r="W802" s="4"/>
      <c r="X802" s="4"/>
      <c r="Y802" s="4"/>
      <c r="Z802" s="4"/>
    </row>
    <row r="803" spans="1:26" ht="16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4"/>
      <c r="W803" s="4"/>
      <c r="X803" s="4"/>
      <c r="Y803" s="4"/>
      <c r="Z803" s="4"/>
    </row>
    <row r="804" spans="1:26" ht="16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4"/>
      <c r="W804" s="4"/>
      <c r="X804" s="4"/>
      <c r="Y804" s="4"/>
      <c r="Z804" s="4"/>
    </row>
    <row r="805" spans="1:26" ht="16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4"/>
      <c r="W805" s="4"/>
      <c r="X805" s="4"/>
      <c r="Y805" s="4"/>
      <c r="Z805" s="4"/>
    </row>
    <row r="806" spans="1:26" ht="16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4"/>
      <c r="W806" s="4"/>
      <c r="X806" s="4"/>
      <c r="Y806" s="4"/>
      <c r="Z806" s="4"/>
    </row>
    <row r="807" spans="1:26" ht="16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4"/>
      <c r="W807" s="4"/>
      <c r="X807" s="4"/>
      <c r="Y807" s="4"/>
      <c r="Z807" s="4"/>
    </row>
    <row r="808" spans="1:26" ht="16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4"/>
      <c r="W808" s="4"/>
      <c r="X808" s="4"/>
      <c r="Y808" s="4"/>
      <c r="Z808" s="4"/>
    </row>
    <row r="809" spans="1:26" ht="16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4"/>
      <c r="W809" s="4"/>
      <c r="X809" s="4"/>
      <c r="Y809" s="4"/>
      <c r="Z809" s="4"/>
    </row>
    <row r="810" spans="1:26" ht="16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4"/>
      <c r="W810" s="4"/>
      <c r="X810" s="4"/>
      <c r="Y810" s="4"/>
      <c r="Z810" s="4"/>
    </row>
    <row r="811" spans="1:26" ht="16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4"/>
      <c r="W811" s="4"/>
      <c r="X811" s="4"/>
      <c r="Y811" s="4"/>
      <c r="Z811" s="4"/>
    </row>
    <row r="812" spans="1:26" ht="16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4"/>
      <c r="W812" s="4"/>
      <c r="X812" s="4"/>
      <c r="Y812" s="4"/>
      <c r="Z812" s="4"/>
    </row>
    <row r="813" spans="1:26" ht="16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4"/>
      <c r="W813" s="4"/>
      <c r="X813" s="4"/>
      <c r="Y813" s="4"/>
      <c r="Z813" s="4"/>
    </row>
    <row r="814" spans="1:26" ht="16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4"/>
      <c r="W814" s="4"/>
      <c r="X814" s="4"/>
      <c r="Y814" s="4"/>
      <c r="Z814" s="4"/>
    </row>
    <row r="815" spans="1:26" ht="16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4"/>
      <c r="W815" s="4"/>
      <c r="X815" s="4"/>
      <c r="Y815" s="4"/>
      <c r="Z815" s="4"/>
    </row>
    <row r="816" spans="1:26" ht="16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4"/>
      <c r="W816" s="4"/>
      <c r="X816" s="4"/>
      <c r="Y816" s="4"/>
      <c r="Z816" s="4"/>
    </row>
    <row r="817" spans="1:26" ht="16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4"/>
      <c r="W817" s="4"/>
      <c r="X817" s="4"/>
      <c r="Y817" s="4"/>
      <c r="Z817" s="4"/>
    </row>
    <row r="818" spans="1:26" ht="16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4"/>
      <c r="W818" s="4"/>
      <c r="X818" s="4"/>
      <c r="Y818" s="4"/>
      <c r="Z818" s="4"/>
    </row>
    <row r="819" spans="1:26" ht="16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4"/>
      <c r="W819" s="4"/>
      <c r="X819" s="4"/>
      <c r="Y819" s="4"/>
      <c r="Z819" s="4"/>
    </row>
    <row r="820" spans="1:26" ht="16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4"/>
      <c r="W820" s="4"/>
      <c r="X820" s="4"/>
      <c r="Y820" s="4"/>
      <c r="Z820" s="4"/>
    </row>
    <row r="821" spans="1:26" ht="16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4"/>
      <c r="W821" s="4"/>
      <c r="X821" s="4"/>
      <c r="Y821" s="4"/>
      <c r="Z821" s="4"/>
    </row>
    <row r="822" spans="1:26" ht="16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4"/>
      <c r="W822" s="4"/>
      <c r="X822" s="4"/>
      <c r="Y822" s="4"/>
      <c r="Z822" s="4"/>
    </row>
    <row r="823" spans="1:26" ht="16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4"/>
      <c r="W823" s="4"/>
      <c r="X823" s="4"/>
      <c r="Y823" s="4"/>
      <c r="Z823" s="4"/>
    </row>
    <row r="824" spans="1:26" ht="16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4"/>
      <c r="W824" s="4"/>
      <c r="X824" s="4"/>
      <c r="Y824" s="4"/>
      <c r="Z824" s="4"/>
    </row>
    <row r="825" spans="1:26" ht="16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4"/>
      <c r="W825" s="4"/>
      <c r="X825" s="4"/>
      <c r="Y825" s="4"/>
      <c r="Z825" s="4"/>
    </row>
    <row r="826" spans="1:26" ht="16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4"/>
      <c r="W826" s="4"/>
      <c r="X826" s="4"/>
      <c r="Y826" s="4"/>
      <c r="Z826" s="4"/>
    </row>
    <row r="827" spans="1:26" ht="16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4"/>
      <c r="W827" s="4"/>
      <c r="X827" s="4"/>
      <c r="Y827" s="4"/>
      <c r="Z827" s="4"/>
    </row>
    <row r="828" spans="1:26" ht="16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4"/>
      <c r="W828" s="4"/>
      <c r="X828" s="4"/>
      <c r="Y828" s="4"/>
      <c r="Z828" s="4"/>
    </row>
    <row r="829" spans="1:26" ht="16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4"/>
      <c r="W829" s="4"/>
      <c r="X829" s="4"/>
      <c r="Y829" s="4"/>
      <c r="Z829" s="4"/>
    </row>
    <row r="830" spans="1:26" ht="16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4"/>
      <c r="W830" s="4"/>
      <c r="X830" s="4"/>
      <c r="Y830" s="4"/>
      <c r="Z830" s="4"/>
    </row>
    <row r="831" spans="1:26" ht="16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4"/>
      <c r="W831" s="4"/>
      <c r="X831" s="4"/>
      <c r="Y831" s="4"/>
      <c r="Z831" s="4"/>
    </row>
    <row r="832" spans="1:26" ht="16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4"/>
      <c r="W832" s="4"/>
      <c r="X832" s="4"/>
      <c r="Y832" s="4"/>
      <c r="Z832" s="4"/>
    </row>
    <row r="833" spans="1:26" ht="16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4"/>
      <c r="W833" s="4"/>
      <c r="X833" s="4"/>
      <c r="Y833" s="4"/>
      <c r="Z833" s="4"/>
    </row>
    <row r="834" spans="1:26" ht="16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4"/>
      <c r="W834" s="4"/>
      <c r="X834" s="4"/>
      <c r="Y834" s="4"/>
      <c r="Z834" s="4"/>
    </row>
    <row r="835" spans="1:26" ht="16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4"/>
      <c r="W835" s="4"/>
      <c r="X835" s="4"/>
      <c r="Y835" s="4"/>
      <c r="Z835" s="4"/>
    </row>
    <row r="836" spans="1:26" ht="16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4"/>
      <c r="W836" s="4"/>
      <c r="X836" s="4"/>
      <c r="Y836" s="4"/>
      <c r="Z836" s="4"/>
    </row>
    <row r="837" spans="1:26" ht="16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4"/>
      <c r="W837" s="4"/>
      <c r="X837" s="4"/>
      <c r="Y837" s="4"/>
      <c r="Z837" s="4"/>
    </row>
    <row r="838" spans="1:26" ht="16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4"/>
      <c r="W838" s="4"/>
      <c r="X838" s="4"/>
      <c r="Y838" s="4"/>
      <c r="Z838" s="4"/>
    </row>
    <row r="839" spans="1:26" ht="16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4"/>
      <c r="W839" s="4"/>
      <c r="X839" s="4"/>
      <c r="Y839" s="4"/>
      <c r="Z839" s="4"/>
    </row>
    <row r="840" spans="1:26" ht="16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4"/>
      <c r="W840" s="4"/>
      <c r="X840" s="4"/>
      <c r="Y840" s="4"/>
      <c r="Z840" s="4"/>
    </row>
    <row r="841" spans="1:26" ht="16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4"/>
      <c r="W841" s="4"/>
      <c r="X841" s="4"/>
      <c r="Y841" s="4"/>
      <c r="Z841" s="4"/>
    </row>
    <row r="842" spans="1:26" ht="16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4"/>
      <c r="W842" s="4"/>
      <c r="X842" s="4"/>
      <c r="Y842" s="4"/>
      <c r="Z842" s="4"/>
    </row>
    <row r="843" spans="1:26" ht="16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4"/>
      <c r="W843" s="4"/>
      <c r="X843" s="4"/>
      <c r="Y843" s="4"/>
      <c r="Z843" s="4"/>
    </row>
    <row r="844" spans="1:26" ht="16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4"/>
      <c r="W844" s="4"/>
      <c r="X844" s="4"/>
      <c r="Y844" s="4"/>
      <c r="Z844" s="4"/>
    </row>
    <row r="845" spans="1:26" ht="16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4"/>
      <c r="W845" s="4"/>
      <c r="X845" s="4"/>
      <c r="Y845" s="4"/>
      <c r="Z845" s="4"/>
    </row>
    <row r="846" spans="1:26" ht="16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4"/>
      <c r="W846" s="4"/>
      <c r="X846" s="4"/>
      <c r="Y846" s="4"/>
      <c r="Z846" s="4"/>
    </row>
    <row r="847" spans="1:26" ht="16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4"/>
      <c r="W847" s="4"/>
      <c r="X847" s="4"/>
      <c r="Y847" s="4"/>
      <c r="Z847" s="4"/>
    </row>
    <row r="848" spans="1:26" ht="16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4"/>
      <c r="W848" s="4"/>
      <c r="X848" s="4"/>
      <c r="Y848" s="4"/>
      <c r="Z848" s="4"/>
    </row>
    <row r="849" spans="1:26" ht="16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4"/>
      <c r="W849" s="4"/>
      <c r="X849" s="4"/>
      <c r="Y849" s="4"/>
      <c r="Z849" s="4"/>
    </row>
    <row r="850" spans="1:26" ht="16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4"/>
      <c r="W850" s="4"/>
      <c r="X850" s="4"/>
      <c r="Y850" s="4"/>
      <c r="Z850" s="4"/>
    </row>
    <row r="851" spans="1:26" ht="16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4"/>
      <c r="W851" s="4"/>
      <c r="X851" s="4"/>
      <c r="Y851" s="4"/>
      <c r="Z851" s="4"/>
    </row>
    <row r="852" spans="1:26" ht="16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4"/>
      <c r="W852" s="4"/>
      <c r="X852" s="4"/>
      <c r="Y852" s="4"/>
      <c r="Z852" s="4"/>
    </row>
    <row r="853" spans="1:26" ht="16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4"/>
      <c r="W853" s="4"/>
      <c r="X853" s="4"/>
      <c r="Y853" s="4"/>
      <c r="Z853" s="4"/>
    </row>
    <row r="854" spans="1:26" ht="16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4"/>
      <c r="W854" s="4"/>
      <c r="X854" s="4"/>
      <c r="Y854" s="4"/>
      <c r="Z854" s="4"/>
    </row>
    <row r="855" spans="1:26" ht="16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4"/>
      <c r="W855" s="4"/>
      <c r="X855" s="4"/>
      <c r="Y855" s="4"/>
      <c r="Z855" s="4"/>
    </row>
    <row r="856" spans="1:26" ht="16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4"/>
      <c r="W856" s="4"/>
      <c r="X856" s="4"/>
      <c r="Y856" s="4"/>
      <c r="Z856" s="4"/>
    </row>
    <row r="857" spans="1:26" ht="16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4"/>
      <c r="W857" s="4"/>
      <c r="X857" s="4"/>
      <c r="Y857" s="4"/>
      <c r="Z857" s="4"/>
    </row>
    <row r="858" spans="1:26" ht="16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4"/>
      <c r="W858" s="4"/>
      <c r="X858" s="4"/>
      <c r="Y858" s="4"/>
      <c r="Z858" s="4"/>
    </row>
    <row r="859" spans="1:26" ht="16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4"/>
      <c r="W859" s="4"/>
      <c r="X859" s="4"/>
      <c r="Y859" s="4"/>
      <c r="Z859" s="4"/>
    </row>
    <row r="860" spans="1:26" ht="16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4"/>
      <c r="W860" s="4"/>
      <c r="X860" s="4"/>
      <c r="Y860" s="4"/>
      <c r="Z860" s="4"/>
    </row>
    <row r="861" spans="1:26" ht="16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4"/>
      <c r="W861" s="4"/>
      <c r="X861" s="4"/>
      <c r="Y861" s="4"/>
      <c r="Z861" s="4"/>
    </row>
    <row r="862" spans="1:26" ht="16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4"/>
      <c r="W862" s="4"/>
      <c r="X862" s="4"/>
      <c r="Y862" s="4"/>
      <c r="Z862" s="4"/>
    </row>
    <row r="863" spans="1:26" ht="16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4"/>
      <c r="W863" s="4"/>
      <c r="X863" s="4"/>
      <c r="Y863" s="4"/>
      <c r="Z863" s="4"/>
    </row>
    <row r="864" spans="1:26" ht="16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4"/>
      <c r="W864" s="4"/>
      <c r="X864" s="4"/>
      <c r="Y864" s="4"/>
      <c r="Z864" s="4"/>
    </row>
    <row r="865" spans="1:26" ht="16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4"/>
      <c r="W865" s="4"/>
      <c r="X865" s="4"/>
      <c r="Y865" s="4"/>
      <c r="Z865" s="4"/>
    </row>
    <row r="866" spans="1:26" ht="16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4"/>
      <c r="W866" s="4"/>
      <c r="X866" s="4"/>
      <c r="Y866" s="4"/>
      <c r="Z866" s="4"/>
    </row>
    <row r="867" spans="1:26" ht="16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4"/>
      <c r="W867" s="4"/>
      <c r="X867" s="4"/>
      <c r="Y867" s="4"/>
      <c r="Z867" s="4"/>
    </row>
    <row r="868" spans="1:26" ht="16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4"/>
      <c r="W868" s="4"/>
      <c r="X868" s="4"/>
      <c r="Y868" s="4"/>
      <c r="Z868" s="4"/>
    </row>
    <row r="869" spans="1:26" ht="16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4"/>
      <c r="W869" s="4"/>
      <c r="X869" s="4"/>
      <c r="Y869" s="4"/>
      <c r="Z869" s="4"/>
    </row>
    <row r="870" spans="1:26" ht="16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4"/>
      <c r="W870" s="4"/>
      <c r="X870" s="4"/>
      <c r="Y870" s="4"/>
      <c r="Z870" s="4"/>
    </row>
    <row r="871" spans="1:26" ht="16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4"/>
      <c r="W871" s="4"/>
      <c r="X871" s="4"/>
      <c r="Y871" s="4"/>
      <c r="Z871" s="4"/>
    </row>
    <row r="872" spans="1:26" ht="16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4"/>
      <c r="W872" s="4"/>
      <c r="X872" s="4"/>
      <c r="Y872" s="4"/>
      <c r="Z872" s="4"/>
    </row>
    <row r="873" spans="1:26" ht="16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4"/>
      <c r="W873" s="4"/>
      <c r="X873" s="4"/>
      <c r="Y873" s="4"/>
      <c r="Z873" s="4"/>
    </row>
    <row r="874" spans="1:26" ht="16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4"/>
      <c r="W874" s="4"/>
      <c r="X874" s="4"/>
      <c r="Y874" s="4"/>
      <c r="Z874" s="4"/>
    </row>
    <row r="875" spans="1:26" ht="16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4"/>
      <c r="W875" s="4"/>
      <c r="X875" s="4"/>
      <c r="Y875" s="4"/>
      <c r="Z875" s="4"/>
    </row>
    <row r="876" spans="1:26" ht="16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4"/>
      <c r="W876" s="4"/>
      <c r="X876" s="4"/>
      <c r="Y876" s="4"/>
      <c r="Z876" s="4"/>
    </row>
    <row r="877" spans="1:26" ht="16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4"/>
      <c r="W877" s="4"/>
      <c r="X877" s="4"/>
      <c r="Y877" s="4"/>
      <c r="Z877" s="4"/>
    </row>
    <row r="878" spans="1:26" ht="16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4"/>
      <c r="W878" s="4"/>
      <c r="X878" s="4"/>
      <c r="Y878" s="4"/>
      <c r="Z878" s="4"/>
    </row>
    <row r="879" spans="1:26" ht="16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4"/>
      <c r="W879" s="4"/>
      <c r="X879" s="4"/>
      <c r="Y879" s="4"/>
      <c r="Z879" s="4"/>
    </row>
    <row r="880" spans="1:26" ht="16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4"/>
      <c r="W880" s="4"/>
      <c r="X880" s="4"/>
      <c r="Y880" s="4"/>
      <c r="Z880" s="4"/>
    </row>
    <row r="881" spans="1:26" ht="16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4"/>
      <c r="W881" s="4"/>
      <c r="X881" s="4"/>
      <c r="Y881" s="4"/>
      <c r="Z881" s="4"/>
    </row>
    <row r="882" spans="1:26" ht="16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4"/>
      <c r="W882" s="4"/>
      <c r="X882" s="4"/>
      <c r="Y882" s="4"/>
      <c r="Z882" s="4"/>
    </row>
    <row r="883" spans="1:26" ht="16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4"/>
      <c r="W883" s="4"/>
      <c r="X883" s="4"/>
      <c r="Y883" s="4"/>
      <c r="Z883" s="4"/>
    </row>
    <row r="884" spans="1:26" ht="16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4"/>
      <c r="W884" s="4"/>
      <c r="X884" s="4"/>
      <c r="Y884" s="4"/>
      <c r="Z884" s="4"/>
    </row>
    <row r="885" spans="1:26" ht="16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4"/>
      <c r="W885" s="4"/>
      <c r="X885" s="4"/>
      <c r="Y885" s="4"/>
      <c r="Z885" s="4"/>
    </row>
    <row r="886" spans="1:26" ht="16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4"/>
      <c r="W886" s="4"/>
      <c r="X886" s="4"/>
      <c r="Y886" s="4"/>
      <c r="Z886" s="4"/>
    </row>
    <row r="887" spans="1:26" ht="16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4"/>
      <c r="W887" s="4"/>
      <c r="X887" s="4"/>
      <c r="Y887" s="4"/>
      <c r="Z887" s="4"/>
    </row>
    <row r="888" spans="1:26" ht="16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4"/>
      <c r="W888" s="4"/>
      <c r="X888" s="4"/>
      <c r="Y888" s="4"/>
      <c r="Z888" s="4"/>
    </row>
    <row r="889" spans="1:26" ht="16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4"/>
      <c r="W889" s="4"/>
      <c r="X889" s="4"/>
      <c r="Y889" s="4"/>
      <c r="Z889" s="4"/>
    </row>
    <row r="890" spans="1:26" ht="16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4"/>
      <c r="W890" s="4"/>
      <c r="X890" s="4"/>
      <c r="Y890" s="4"/>
      <c r="Z890" s="4"/>
    </row>
    <row r="891" spans="1:26" ht="16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4"/>
      <c r="W891" s="4"/>
      <c r="X891" s="4"/>
      <c r="Y891" s="4"/>
      <c r="Z891" s="4"/>
    </row>
    <row r="892" spans="1:26" ht="16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4"/>
      <c r="W892" s="4"/>
      <c r="X892" s="4"/>
      <c r="Y892" s="4"/>
      <c r="Z892" s="4"/>
    </row>
    <row r="893" spans="1:26" ht="16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4"/>
      <c r="W893" s="4"/>
      <c r="X893" s="4"/>
      <c r="Y893" s="4"/>
      <c r="Z893" s="4"/>
    </row>
    <row r="894" spans="1:26" ht="16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4"/>
      <c r="W894" s="4"/>
      <c r="X894" s="4"/>
      <c r="Y894" s="4"/>
      <c r="Z894" s="4"/>
    </row>
    <row r="895" spans="1:26" ht="16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4"/>
      <c r="W895" s="4"/>
      <c r="X895" s="4"/>
      <c r="Y895" s="4"/>
      <c r="Z895" s="4"/>
    </row>
    <row r="896" spans="1:26" ht="16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4"/>
      <c r="W896" s="4"/>
      <c r="X896" s="4"/>
      <c r="Y896" s="4"/>
      <c r="Z896" s="4"/>
    </row>
    <row r="897" spans="1:26" ht="16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4"/>
      <c r="W897" s="4"/>
      <c r="X897" s="4"/>
      <c r="Y897" s="4"/>
      <c r="Z897" s="4"/>
    </row>
    <row r="898" spans="1:26" ht="16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4"/>
      <c r="W898" s="4"/>
      <c r="X898" s="4"/>
      <c r="Y898" s="4"/>
      <c r="Z898" s="4"/>
    </row>
    <row r="899" spans="1:26" ht="16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4"/>
      <c r="W899" s="4"/>
      <c r="X899" s="4"/>
      <c r="Y899" s="4"/>
      <c r="Z899" s="4"/>
    </row>
    <row r="900" spans="1:26" ht="16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4"/>
      <c r="W900" s="4"/>
      <c r="X900" s="4"/>
      <c r="Y900" s="4"/>
      <c r="Z900" s="4"/>
    </row>
    <row r="901" spans="1:26" ht="16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4"/>
      <c r="W901" s="4"/>
      <c r="X901" s="4"/>
      <c r="Y901" s="4"/>
      <c r="Z901" s="4"/>
    </row>
    <row r="902" spans="1:26" ht="16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4"/>
      <c r="W902" s="4"/>
      <c r="X902" s="4"/>
      <c r="Y902" s="4"/>
      <c r="Z902" s="4"/>
    </row>
    <row r="903" spans="1:26" ht="16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4"/>
      <c r="W903" s="4"/>
      <c r="X903" s="4"/>
      <c r="Y903" s="4"/>
      <c r="Z903" s="4"/>
    </row>
    <row r="904" spans="1:26" ht="16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4"/>
      <c r="W904" s="4"/>
      <c r="X904" s="4"/>
      <c r="Y904" s="4"/>
      <c r="Z904" s="4"/>
    </row>
    <row r="905" spans="1:26" ht="16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4"/>
      <c r="W905" s="4"/>
      <c r="X905" s="4"/>
      <c r="Y905" s="4"/>
      <c r="Z905" s="4"/>
    </row>
    <row r="906" spans="1:26" ht="16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4"/>
      <c r="W906" s="4"/>
      <c r="X906" s="4"/>
      <c r="Y906" s="4"/>
      <c r="Z906" s="4"/>
    </row>
    <row r="907" spans="1:26" ht="16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4"/>
      <c r="W907" s="4"/>
      <c r="X907" s="4"/>
      <c r="Y907" s="4"/>
      <c r="Z907" s="4"/>
    </row>
    <row r="908" spans="1:26" ht="16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4"/>
      <c r="W908" s="4"/>
      <c r="X908" s="4"/>
      <c r="Y908" s="4"/>
      <c r="Z908" s="4"/>
    </row>
    <row r="909" spans="1:26" ht="16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4"/>
      <c r="W909" s="4"/>
      <c r="X909" s="4"/>
      <c r="Y909" s="4"/>
      <c r="Z909" s="4"/>
    </row>
    <row r="910" spans="1:26" ht="16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4"/>
      <c r="W910" s="4"/>
      <c r="X910" s="4"/>
      <c r="Y910" s="4"/>
      <c r="Z910" s="4"/>
    </row>
    <row r="911" spans="1:26" ht="16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4"/>
      <c r="W911" s="4"/>
      <c r="X911" s="4"/>
      <c r="Y911" s="4"/>
      <c r="Z911" s="4"/>
    </row>
    <row r="912" spans="1:26" ht="16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4"/>
      <c r="W912" s="4"/>
      <c r="X912" s="4"/>
      <c r="Y912" s="4"/>
      <c r="Z912" s="4"/>
    </row>
    <row r="913" spans="1:26" ht="16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4"/>
      <c r="W913" s="4"/>
      <c r="X913" s="4"/>
      <c r="Y913" s="4"/>
      <c r="Z913" s="4"/>
    </row>
    <row r="914" spans="1:26" ht="16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4"/>
      <c r="W914" s="4"/>
      <c r="X914" s="4"/>
      <c r="Y914" s="4"/>
      <c r="Z914" s="4"/>
    </row>
    <row r="915" spans="1:26" ht="16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4"/>
      <c r="W915" s="4"/>
      <c r="X915" s="4"/>
      <c r="Y915" s="4"/>
      <c r="Z915" s="4"/>
    </row>
    <row r="916" spans="1:26" ht="16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4"/>
      <c r="W916" s="4"/>
      <c r="X916" s="4"/>
      <c r="Y916" s="4"/>
      <c r="Z916" s="4"/>
    </row>
    <row r="917" spans="1:26" ht="16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4"/>
      <c r="W917" s="4"/>
      <c r="X917" s="4"/>
      <c r="Y917" s="4"/>
      <c r="Z917" s="4"/>
    </row>
    <row r="918" spans="1:26" ht="16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4"/>
      <c r="W918" s="4"/>
      <c r="X918" s="4"/>
      <c r="Y918" s="4"/>
      <c r="Z918" s="4"/>
    </row>
    <row r="919" spans="1:26" ht="16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4"/>
      <c r="W919" s="4"/>
      <c r="X919" s="4"/>
      <c r="Y919" s="4"/>
      <c r="Z919" s="4"/>
    </row>
    <row r="920" spans="1:26" ht="16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4"/>
      <c r="W920" s="4"/>
      <c r="X920" s="4"/>
      <c r="Y920" s="4"/>
      <c r="Z920" s="4"/>
    </row>
    <row r="921" spans="1:26" ht="16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4"/>
      <c r="W921" s="4"/>
      <c r="X921" s="4"/>
      <c r="Y921" s="4"/>
      <c r="Z921" s="4"/>
    </row>
    <row r="922" spans="1:26" ht="16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4"/>
      <c r="W922" s="4"/>
      <c r="X922" s="4"/>
      <c r="Y922" s="4"/>
      <c r="Z922" s="4"/>
    </row>
    <row r="923" spans="1:26" ht="16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4"/>
      <c r="W923" s="4"/>
      <c r="X923" s="4"/>
      <c r="Y923" s="4"/>
      <c r="Z923" s="4"/>
    </row>
    <row r="924" spans="1:26" ht="16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4"/>
      <c r="W924" s="4"/>
      <c r="X924" s="4"/>
      <c r="Y924" s="4"/>
      <c r="Z924" s="4"/>
    </row>
    <row r="925" spans="1:26" ht="16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4"/>
      <c r="W925" s="4"/>
      <c r="X925" s="4"/>
      <c r="Y925" s="4"/>
      <c r="Z925" s="4"/>
    </row>
    <row r="926" spans="1:26" ht="16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4"/>
      <c r="W926" s="4"/>
      <c r="X926" s="4"/>
      <c r="Y926" s="4"/>
      <c r="Z926" s="4"/>
    </row>
    <row r="927" spans="1:26" ht="16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4"/>
      <c r="W927" s="4"/>
      <c r="X927" s="4"/>
      <c r="Y927" s="4"/>
      <c r="Z927" s="4"/>
    </row>
    <row r="928" spans="1:26" ht="16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4"/>
      <c r="W928" s="4"/>
      <c r="X928" s="4"/>
      <c r="Y928" s="4"/>
      <c r="Z928" s="4"/>
    </row>
    <row r="929" spans="1:26" ht="16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4"/>
      <c r="W929" s="4"/>
      <c r="X929" s="4"/>
      <c r="Y929" s="4"/>
      <c r="Z929" s="4"/>
    </row>
    <row r="930" spans="1:26" ht="16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4"/>
      <c r="W930" s="4"/>
      <c r="X930" s="4"/>
      <c r="Y930" s="4"/>
      <c r="Z930" s="4"/>
    </row>
    <row r="931" spans="1:26" ht="16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4"/>
      <c r="W931" s="4"/>
      <c r="X931" s="4"/>
      <c r="Y931" s="4"/>
      <c r="Z931" s="4"/>
    </row>
    <row r="932" spans="1:26" ht="16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4"/>
      <c r="W932" s="4"/>
      <c r="X932" s="4"/>
      <c r="Y932" s="4"/>
      <c r="Z932" s="4"/>
    </row>
    <row r="933" spans="1:26" ht="16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4"/>
      <c r="W933" s="4"/>
      <c r="X933" s="4"/>
      <c r="Y933" s="4"/>
      <c r="Z933" s="4"/>
    </row>
    <row r="934" spans="1:26" ht="16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4"/>
      <c r="W934" s="4"/>
      <c r="X934" s="4"/>
      <c r="Y934" s="4"/>
      <c r="Z934" s="4"/>
    </row>
    <row r="935" spans="1:26" ht="16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4"/>
      <c r="W935" s="4"/>
      <c r="X935" s="4"/>
      <c r="Y935" s="4"/>
      <c r="Z935" s="4"/>
    </row>
    <row r="936" spans="1:26" ht="16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4"/>
      <c r="W936" s="4"/>
      <c r="X936" s="4"/>
      <c r="Y936" s="4"/>
      <c r="Z936" s="4"/>
    </row>
    <row r="937" spans="1:26" ht="16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4"/>
      <c r="W937" s="4"/>
      <c r="X937" s="4"/>
      <c r="Y937" s="4"/>
      <c r="Z937" s="4"/>
    </row>
    <row r="938" spans="1:26" ht="16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4"/>
      <c r="W938" s="4"/>
      <c r="X938" s="4"/>
      <c r="Y938" s="4"/>
      <c r="Z938" s="4"/>
    </row>
    <row r="939" spans="1:26" ht="16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4"/>
      <c r="W939" s="4"/>
      <c r="X939" s="4"/>
      <c r="Y939" s="4"/>
      <c r="Z939" s="4"/>
    </row>
    <row r="940" spans="1:26" ht="16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4"/>
      <c r="W940" s="4"/>
      <c r="X940" s="4"/>
      <c r="Y940" s="4"/>
      <c r="Z940" s="4"/>
    </row>
    <row r="941" spans="1:26" ht="16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4"/>
      <c r="W941" s="4"/>
      <c r="X941" s="4"/>
      <c r="Y941" s="4"/>
      <c r="Z941" s="4"/>
    </row>
    <row r="942" spans="1:26" ht="16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4"/>
      <c r="W942" s="4"/>
      <c r="X942" s="4"/>
      <c r="Y942" s="4"/>
      <c r="Z942" s="4"/>
    </row>
    <row r="943" spans="1:26" ht="16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4"/>
      <c r="W943" s="4"/>
      <c r="X943" s="4"/>
      <c r="Y943" s="4"/>
      <c r="Z943" s="4"/>
    </row>
    <row r="944" spans="1:26" ht="16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4"/>
      <c r="W944" s="4"/>
      <c r="X944" s="4"/>
      <c r="Y944" s="4"/>
      <c r="Z944" s="4"/>
    </row>
    <row r="945" spans="1:26" ht="16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4"/>
      <c r="W945" s="4"/>
      <c r="X945" s="4"/>
      <c r="Y945" s="4"/>
      <c r="Z945" s="4"/>
    </row>
    <row r="946" spans="1:26" ht="16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4"/>
      <c r="W946" s="4"/>
      <c r="X946" s="4"/>
      <c r="Y946" s="4"/>
      <c r="Z946" s="4"/>
    </row>
    <row r="947" spans="1:26" ht="16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4"/>
      <c r="W947" s="4"/>
      <c r="X947" s="4"/>
      <c r="Y947" s="4"/>
      <c r="Z947" s="4"/>
    </row>
    <row r="948" spans="1:26" ht="16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4"/>
      <c r="W948" s="4"/>
      <c r="X948" s="4"/>
      <c r="Y948" s="4"/>
      <c r="Z948" s="4"/>
    </row>
    <row r="949" spans="1:26" ht="16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4"/>
      <c r="W949" s="4"/>
      <c r="X949" s="4"/>
      <c r="Y949" s="4"/>
      <c r="Z949" s="4"/>
    </row>
    <row r="950" spans="1:26" ht="16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4"/>
      <c r="W950" s="4"/>
      <c r="X950" s="4"/>
      <c r="Y950" s="4"/>
      <c r="Z950" s="4"/>
    </row>
    <row r="951" spans="1:26" ht="16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4"/>
      <c r="W951" s="4"/>
      <c r="X951" s="4"/>
      <c r="Y951" s="4"/>
      <c r="Z951" s="4"/>
    </row>
    <row r="952" spans="1:26" ht="16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4"/>
      <c r="W952" s="4"/>
      <c r="X952" s="4"/>
      <c r="Y952" s="4"/>
      <c r="Z952" s="4"/>
    </row>
    <row r="953" spans="1:26" ht="16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4"/>
      <c r="W953" s="4"/>
      <c r="X953" s="4"/>
      <c r="Y953" s="4"/>
      <c r="Z953" s="4"/>
    </row>
    <row r="954" spans="1:26" ht="16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4"/>
      <c r="W954" s="4"/>
      <c r="X954" s="4"/>
      <c r="Y954" s="4"/>
      <c r="Z954" s="4"/>
    </row>
    <row r="955" spans="1:26" ht="16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4"/>
      <c r="W955" s="4"/>
      <c r="X955" s="4"/>
      <c r="Y955" s="4"/>
      <c r="Z955" s="4"/>
    </row>
    <row r="956" spans="1:26" ht="16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4"/>
      <c r="W956" s="4"/>
      <c r="X956" s="4"/>
      <c r="Y956" s="4"/>
      <c r="Z956" s="4"/>
    </row>
    <row r="957" spans="1:26" ht="16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4"/>
      <c r="W957" s="4"/>
      <c r="X957" s="4"/>
      <c r="Y957" s="4"/>
      <c r="Z957" s="4"/>
    </row>
    <row r="958" spans="1:26" ht="16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4"/>
      <c r="W958" s="4"/>
      <c r="X958" s="4"/>
      <c r="Y958" s="4"/>
      <c r="Z958" s="4"/>
    </row>
    <row r="959" spans="1:26" ht="16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4"/>
      <c r="W959" s="4"/>
      <c r="X959" s="4"/>
      <c r="Y959" s="4"/>
      <c r="Z959" s="4"/>
    </row>
    <row r="960" spans="1:26" ht="16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4"/>
      <c r="W960" s="4"/>
      <c r="X960" s="4"/>
      <c r="Y960" s="4"/>
      <c r="Z960" s="4"/>
    </row>
    <row r="961" spans="1:26" ht="16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4"/>
      <c r="W961" s="4"/>
      <c r="X961" s="4"/>
      <c r="Y961" s="4"/>
      <c r="Z961" s="4"/>
    </row>
    <row r="962" spans="1:26" ht="16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4"/>
      <c r="W962" s="4"/>
      <c r="X962" s="4"/>
      <c r="Y962" s="4"/>
      <c r="Z962" s="4"/>
    </row>
    <row r="963" spans="1:26" ht="16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4"/>
      <c r="W963" s="4"/>
      <c r="X963" s="4"/>
      <c r="Y963" s="4"/>
      <c r="Z963" s="4"/>
    </row>
    <row r="964" spans="1:26" ht="16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4"/>
      <c r="W964" s="4"/>
      <c r="X964" s="4"/>
      <c r="Y964" s="4"/>
      <c r="Z964" s="4"/>
    </row>
    <row r="965" spans="1:26" ht="16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4"/>
      <c r="W965" s="4"/>
      <c r="X965" s="4"/>
      <c r="Y965" s="4"/>
      <c r="Z965" s="4"/>
    </row>
    <row r="966" spans="1:26" ht="16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4"/>
      <c r="W966" s="4"/>
      <c r="X966" s="4"/>
      <c r="Y966" s="4"/>
      <c r="Z966" s="4"/>
    </row>
    <row r="967" spans="1:26" ht="16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4"/>
      <c r="W967" s="4"/>
      <c r="X967" s="4"/>
      <c r="Y967" s="4"/>
      <c r="Z967" s="4"/>
    </row>
    <row r="968" spans="1:26" ht="16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4"/>
      <c r="W968" s="4"/>
      <c r="X968" s="4"/>
      <c r="Y968" s="4"/>
      <c r="Z968" s="4"/>
    </row>
    <row r="969" spans="1:26" ht="16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4"/>
      <c r="W969" s="4"/>
      <c r="X969" s="4"/>
      <c r="Y969" s="4"/>
      <c r="Z969" s="4"/>
    </row>
    <row r="970" spans="1:26" ht="16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4"/>
      <c r="W970" s="4"/>
      <c r="X970" s="4"/>
      <c r="Y970" s="4"/>
      <c r="Z970" s="4"/>
    </row>
    <row r="971" spans="1:26" ht="16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4"/>
      <c r="W971" s="4"/>
      <c r="X971" s="4"/>
      <c r="Y971" s="4"/>
      <c r="Z971" s="4"/>
    </row>
    <row r="972" spans="1:26" ht="16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4"/>
      <c r="W972" s="4"/>
      <c r="X972" s="4"/>
      <c r="Y972" s="4"/>
      <c r="Z972" s="4"/>
    </row>
    <row r="973" spans="1:26" ht="16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4"/>
      <c r="W973" s="4"/>
      <c r="X973" s="4"/>
      <c r="Y973" s="4"/>
      <c r="Z973" s="4"/>
    </row>
    <row r="974" spans="1:26" ht="16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4"/>
      <c r="W974" s="4"/>
      <c r="X974" s="4"/>
      <c r="Y974" s="4"/>
      <c r="Z974" s="4"/>
    </row>
    <row r="975" spans="1:26" ht="16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4"/>
      <c r="W975" s="4"/>
      <c r="X975" s="4"/>
      <c r="Y975" s="4"/>
      <c r="Z975" s="4"/>
    </row>
    <row r="976" spans="1:26" ht="16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4"/>
      <c r="W976" s="4"/>
      <c r="X976" s="4"/>
      <c r="Y976" s="4"/>
      <c r="Z976" s="4"/>
    </row>
    <row r="977" spans="1:26" ht="16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4"/>
      <c r="W977" s="4"/>
      <c r="X977" s="4"/>
      <c r="Y977" s="4"/>
      <c r="Z977" s="4"/>
    </row>
    <row r="978" spans="1:26" ht="16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4"/>
      <c r="W978" s="4"/>
      <c r="X978" s="4"/>
      <c r="Y978" s="4"/>
      <c r="Z978" s="4"/>
    </row>
    <row r="979" spans="1:26" ht="16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4"/>
      <c r="W979" s="4"/>
      <c r="X979" s="4"/>
      <c r="Y979" s="4"/>
      <c r="Z979" s="4"/>
    </row>
    <row r="980" spans="1:26" ht="16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4"/>
      <c r="W980" s="4"/>
      <c r="X980" s="4"/>
      <c r="Y980" s="4"/>
      <c r="Z980" s="4"/>
    </row>
    <row r="981" spans="1:26" ht="16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4"/>
      <c r="W981" s="4"/>
      <c r="X981" s="4"/>
      <c r="Y981" s="4"/>
      <c r="Z981" s="4"/>
    </row>
    <row r="982" spans="1:26" ht="16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4"/>
      <c r="W982" s="4"/>
      <c r="X982" s="4"/>
      <c r="Y982" s="4"/>
      <c r="Z982" s="4"/>
    </row>
    <row r="983" spans="1:26" ht="16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4"/>
      <c r="W983" s="4"/>
      <c r="X983" s="4"/>
      <c r="Y983" s="4"/>
      <c r="Z983" s="4"/>
    </row>
    <row r="984" spans="1:26" ht="16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4"/>
      <c r="W984" s="4"/>
      <c r="X984" s="4"/>
      <c r="Y984" s="4"/>
      <c r="Z984" s="4"/>
    </row>
    <row r="985" spans="1:26" ht="16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4"/>
      <c r="W985" s="4"/>
      <c r="X985" s="4"/>
      <c r="Y985" s="4"/>
      <c r="Z985" s="4"/>
    </row>
    <row r="986" spans="1:26" ht="16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4"/>
      <c r="W986" s="4"/>
      <c r="X986" s="4"/>
      <c r="Y986" s="4"/>
      <c r="Z986" s="4"/>
    </row>
    <row r="987" spans="1:26" ht="16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4"/>
      <c r="W987" s="4"/>
      <c r="X987" s="4"/>
      <c r="Y987" s="4"/>
      <c r="Z987" s="4"/>
    </row>
    <row r="988" spans="1:26" ht="16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4"/>
      <c r="W988" s="4"/>
      <c r="X988" s="4"/>
      <c r="Y988" s="4"/>
      <c r="Z988" s="4"/>
    </row>
    <row r="989" spans="1:26" ht="16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4"/>
      <c r="W989" s="4"/>
      <c r="X989" s="4"/>
      <c r="Y989" s="4"/>
      <c r="Z989" s="4"/>
    </row>
    <row r="990" spans="1:26" ht="16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4"/>
      <c r="W990" s="4"/>
      <c r="X990" s="4"/>
      <c r="Y990" s="4"/>
      <c r="Z990" s="4"/>
    </row>
    <row r="991" spans="1:26" ht="16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4"/>
      <c r="W991" s="4"/>
      <c r="X991" s="4"/>
      <c r="Y991" s="4"/>
      <c r="Z991" s="4"/>
    </row>
    <row r="992" spans="1:26" ht="16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4"/>
      <c r="W992" s="4"/>
      <c r="X992" s="4"/>
      <c r="Y992" s="4"/>
      <c r="Z992" s="4"/>
    </row>
    <row r="993" spans="1:26" ht="16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4"/>
      <c r="W993" s="4"/>
      <c r="X993" s="4"/>
      <c r="Y993" s="4"/>
      <c r="Z993" s="4"/>
    </row>
    <row r="994" spans="1:26" ht="16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4"/>
      <c r="W994" s="4"/>
      <c r="X994" s="4"/>
      <c r="Y994" s="4"/>
      <c r="Z994" s="4"/>
    </row>
    <row r="995" spans="1:26" ht="16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4"/>
      <c r="W995" s="4"/>
      <c r="X995" s="4"/>
      <c r="Y995" s="4"/>
      <c r="Z995" s="4"/>
    </row>
    <row r="996" spans="1:26" ht="16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4"/>
      <c r="W996" s="4"/>
      <c r="X996" s="4"/>
      <c r="Y996" s="4"/>
      <c r="Z996" s="4"/>
    </row>
    <row r="997" spans="1:26" ht="16.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0">
    <mergeCell ref="A5:L5"/>
    <mergeCell ref="A6:B6"/>
    <mergeCell ref="H6:K6"/>
    <mergeCell ref="E8:E9"/>
    <mergeCell ref="F8:F9"/>
    <mergeCell ref="G8:I8"/>
    <mergeCell ref="J8:K8"/>
    <mergeCell ref="C6:E6"/>
    <mergeCell ref="F6:G6"/>
    <mergeCell ref="A7:D7"/>
    <mergeCell ref="H7:L7"/>
    <mergeCell ref="A8:A9"/>
    <mergeCell ref="B8:B9"/>
    <mergeCell ref="C8:D8"/>
    <mergeCell ref="L8:L9"/>
    <mergeCell ref="A1:C1"/>
    <mergeCell ref="G1:K1"/>
    <mergeCell ref="A2:C2"/>
    <mergeCell ref="G2:K2"/>
    <mergeCell ref="A3:L4"/>
  </mergeCells>
  <pageMargins left="0.19685039370078741" right="0.19685039370078741" top="0.19685039370078741" bottom="0.19685039370078741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C18:H29"/>
  <sheetViews>
    <sheetView workbookViewId="0"/>
  </sheetViews>
  <sheetFormatPr defaultColWidth="14.42578125" defaultRowHeight="15" customHeight="1" x14ac:dyDescent="0.25"/>
  <sheetData>
    <row r="18" spans="3:8" x14ac:dyDescent="0.25">
      <c r="C18" s="97" t="s">
        <v>1</v>
      </c>
      <c r="D18" s="62"/>
      <c r="E18" s="62"/>
      <c r="F18" s="62"/>
      <c r="G18" s="62"/>
      <c r="H18" s="62"/>
    </row>
    <row r="19" spans="3:8" ht="15" customHeight="1" x14ac:dyDescent="0.25">
      <c r="C19" s="62"/>
      <c r="D19" s="62"/>
      <c r="E19" s="62"/>
      <c r="F19" s="62"/>
      <c r="G19" s="62"/>
      <c r="H19" s="62"/>
    </row>
    <row r="20" spans="3:8" ht="15" customHeight="1" x14ac:dyDescent="0.25">
      <c r="C20" s="62"/>
      <c r="D20" s="62"/>
      <c r="E20" s="62"/>
      <c r="F20" s="62"/>
      <c r="G20" s="62"/>
      <c r="H20" s="62"/>
    </row>
    <row r="21" spans="3:8" ht="15" customHeight="1" x14ac:dyDescent="0.25">
      <c r="C21" s="62"/>
      <c r="D21" s="62"/>
      <c r="E21" s="62"/>
      <c r="F21" s="62"/>
      <c r="G21" s="62"/>
      <c r="H21" s="62"/>
    </row>
    <row r="22" spans="3:8" ht="15" customHeight="1" x14ac:dyDescent="0.25">
      <c r="C22" s="62"/>
      <c r="D22" s="62"/>
      <c r="E22" s="62"/>
      <c r="F22" s="62"/>
      <c r="G22" s="62"/>
      <c r="H22" s="62"/>
    </row>
    <row r="23" spans="3:8" ht="15" customHeight="1" x14ac:dyDescent="0.25">
      <c r="C23" s="62"/>
      <c r="D23" s="62"/>
      <c r="E23" s="62"/>
      <c r="F23" s="62"/>
      <c r="G23" s="62"/>
      <c r="H23" s="62"/>
    </row>
    <row r="24" spans="3:8" ht="15" customHeight="1" x14ac:dyDescent="0.25">
      <c r="C24" s="62"/>
      <c r="D24" s="62"/>
      <c r="E24" s="62"/>
      <c r="F24" s="62"/>
      <c r="G24" s="62"/>
      <c r="H24" s="62"/>
    </row>
    <row r="25" spans="3:8" ht="15" customHeight="1" x14ac:dyDescent="0.25">
      <c r="C25" s="62"/>
      <c r="D25" s="62"/>
      <c r="E25" s="62"/>
      <c r="F25" s="62"/>
      <c r="G25" s="62"/>
      <c r="H25" s="62"/>
    </row>
    <row r="26" spans="3:8" ht="15" customHeight="1" x14ac:dyDescent="0.25">
      <c r="C26" s="62"/>
      <c r="D26" s="62"/>
      <c r="E26" s="62"/>
      <c r="F26" s="62"/>
      <c r="G26" s="62"/>
      <c r="H26" s="62"/>
    </row>
    <row r="27" spans="3:8" ht="15" customHeight="1" x14ac:dyDescent="0.25">
      <c r="C27" s="62"/>
      <c r="D27" s="62"/>
      <c r="E27" s="62"/>
      <c r="F27" s="62"/>
      <c r="G27" s="62"/>
      <c r="H27" s="62"/>
    </row>
    <row r="28" spans="3:8" ht="15" customHeight="1" x14ac:dyDescent="0.25">
      <c r="C28" s="62"/>
      <c r="D28" s="62"/>
      <c r="E28" s="62"/>
      <c r="F28" s="62"/>
      <c r="G28" s="62"/>
      <c r="H28" s="62"/>
    </row>
    <row r="29" spans="3:8" ht="15" customHeight="1" x14ac:dyDescent="0.25">
      <c r="C29" s="62"/>
      <c r="D29" s="62"/>
      <c r="E29" s="62"/>
      <c r="F29" s="62"/>
      <c r="G29" s="62"/>
      <c r="H29" s="62"/>
    </row>
  </sheetData>
  <mergeCells count="1">
    <mergeCell ref="C18:H29"/>
  </mergeCells>
  <hyperlinks>
    <hyperlink ref="C18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40.42578125" customWidth="1"/>
    <col min="2" max="2" width="28.7109375" customWidth="1"/>
    <col min="3" max="3" width="51" customWidth="1"/>
    <col min="4" max="4" width="47.140625" customWidth="1"/>
    <col min="5" max="5" width="38.85546875" customWidth="1"/>
  </cols>
  <sheetData>
    <row r="1" spans="1:26" ht="27" customHeight="1" x14ac:dyDescent="0.25">
      <c r="A1" s="21" t="s">
        <v>35</v>
      </c>
      <c r="B1" s="21" t="s">
        <v>37</v>
      </c>
      <c r="C1" s="21" t="s">
        <v>39</v>
      </c>
      <c r="D1" s="21" t="s">
        <v>40</v>
      </c>
      <c r="E1" s="21" t="s">
        <v>58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7" customHeight="1" x14ac:dyDescent="0.25">
      <c r="A2" s="26" t="s">
        <v>64</v>
      </c>
      <c r="B2" s="26" t="s">
        <v>67</v>
      </c>
      <c r="C2" s="26" t="s">
        <v>69</v>
      </c>
      <c r="D2" s="26" t="s">
        <v>70</v>
      </c>
      <c r="E2" s="26" t="s">
        <v>71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7" customHeight="1" x14ac:dyDescent="0.25">
      <c r="A3" s="26" t="s">
        <v>73</v>
      </c>
      <c r="B3" s="26" t="s">
        <v>75</v>
      </c>
      <c r="C3" s="26" t="s">
        <v>76</v>
      </c>
      <c r="D3" s="26" t="s">
        <v>77</v>
      </c>
      <c r="E3" s="26" t="s">
        <v>78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27" customHeight="1" x14ac:dyDescent="0.25">
      <c r="A4" s="26" t="s">
        <v>79</v>
      </c>
      <c r="B4" s="26" t="s">
        <v>80</v>
      </c>
      <c r="C4" s="26" t="s">
        <v>81</v>
      </c>
      <c r="D4" s="26" t="s">
        <v>82</v>
      </c>
      <c r="E4" s="26" t="s">
        <v>84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27" customHeight="1" x14ac:dyDescent="0.25">
      <c r="A5" s="26" t="s">
        <v>88</v>
      </c>
      <c r="B5" s="26" t="s">
        <v>89</v>
      </c>
      <c r="C5" s="26" t="s">
        <v>91</v>
      </c>
      <c r="D5" s="26" t="s">
        <v>92</v>
      </c>
      <c r="E5" s="26" t="s">
        <v>93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27" customHeight="1" x14ac:dyDescent="0.25">
      <c r="A6" s="26" t="s">
        <v>94</v>
      </c>
      <c r="B6" s="26" t="s">
        <v>95</v>
      </c>
      <c r="C6" s="26" t="s">
        <v>96</v>
      </c>
      <c r="D6" s="26" t="s">
        <v>97</v>
      </c>
      <c r="E6" s="26" t="s">
        <v>98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27" customHeight="1" x14ac:dyDescent="0.25">
      <c r="A7" s="26" t="s">
        <v>99</v>
      </c>
      <c r="B7" s="26" t="s">
        <v>100</v>
      </c>
      <c r="C7" s="26" t="s">
        <v>101</v>
      </c>
      <c r="D7" s="26" t="s">
        <v>102</v>
      </c>
      <c r="E7" s="26" t="s">
        <v>103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7" customHeight="1" x14ac:dyDescent="0.25">
      <c r="A8" s="26" t="s">
        <v>104</v>
      </c>
      <c r="B8" s="26" t="s">
        <v>105</v>
      </c>
      <c r="C8" s="26" t="s">
        <v>106</v>
      </c>
      <c r="D8" s="26" t="s">
        <v>107</v>
      </c>
      <c r="E8" s="26" t="s">
        <v>108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27" customHeight="1" x14ac:dyDescent="0.25">
      <c r="A9" s="26" t="s">
        <v>112</v>
      </c>
      <c r="B9" s="26" t="s">
        <v>113</v>
      </c>
      <c r="C9" s="26" t="s">
        <v>114</v>
      </c>
      <c r="D9" s="26" t="s">
        <v>115</v>
      </c>
      <c r="E9" s="26" t="s">
        <v>116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27" customHeight="1" x14ac:dyDescent="0.25">
      <c r="A10" s="26" t="s">
        <v>118</v>
      </c>
      <c r="B10" s="26" t="s">
        <v>119</v>
      </c>
      <c r="C10" s="26" t="s">
        <v>120</v>
      </c>
      <c r="D10" s="26" t="s">
        <v>122</v>
      </c>
      <c r="E10" s="26" t="s">
        <v>123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27" customHeight="1" x14ac:dyDescent="0.25">
      <c r="A11" s="26" t="s">
        <v>125</v>
      </c>
      <c r="B11" s="26" t="s">
        <v>126</v>
      </c>
      <c r="C11" s="26" t="s">
        <v>127</v>
      </c>
      <c r="D11" s="26" t="s">
        <v>128</v>
      </c>
      <c r="E11" s="26" t="s">
        <v>129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x14ac:dyDescent="0.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x14ac:dyDescent="0.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x14ac:dyDescent="0.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Mẫu chấm công</vt:lpstr>
      <vt:lpstr>Lịch chi tiết</vt:lpstr>
      <vt:lpstr>Mẫu Danh sách</vt:lpstr>
      <vt:lpstr>Mẫu toa thuốc</vt:lpstr>
      <vt:lpstr>Mã ICD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Hồng</cp:lastModifiedBy>
  <dcterms:created xsi:type="dcterms:W3CDTF">2026-06-17T02:44:02Z</dcterms:created>
  <dcterms:modified xsi:type="dcterms:W3CDTF">2026-07-29T04:26:02Z</dcterms:modified>
</cp:coreProperties>
</file>